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385" tabRatio="500" firstSheet="0" activeTab="1" autoFilterDateGrouping="1"/>
  </bookViews>
  <sheets>
    <sheet name="Final Calculation Sheet" sheetId="1" state="visible" r:id="rId1"/>
    <sheet name="Live Search" sheetId="2" state="visible" r:id="rId2"/>
    <sheet name="Buyer Groups" sheetId="3" state="visible" r:id="rId3"/>
  </sheets>
  <definedNames>
    <definedName name="_xlnm._FilterDatabase" localSheetId="0" hidden="1">'Final Calculation Sheet'!$A$3:$AG$43</definedName>
    <definedName name="_xlnm.Print_Titles" localSheetId="1">'Live Search'!$5:$5</definedName>
  </definedNames>
  <calcPr calcId="191028" fullCalcOnLoad="1" iterateDelta="0.0001" forceFullCalc="1"/>
</workbook>
</file>

<file path=xl/styles.xml><?xml version="1.0" encoding="utf-8"?>
<styleSheet xmlns="http://schemas.openxmlformats.org/spreadsheetml/2006/main">
  <numFmts count="2">
    <numFmt numFmtId="164" formatCode="#,##0;\(#,##0\)"/>
    <numFmt numFmtId="165" formatCode="_ * #,##0_ ;_ * \-#,##0_ ;_ * \-??_ ;_ @_ "/>
  </numFmts>
  <fonts count="20">
    <font>
      <name val="Calibri"/>
      <charset val="1"/>
      <family val="2"/>
      <color theme="1"/>
      <sz val="11"/>
    </font>
    <font>
      <name val="Arial"/>
      <charset val="1"/>
      <family val="2"/>
      <b val="1"/>
      <sz val="13"/>
    </font>
    <font>
      <name val="Calibri"/>
      <charset val="1"/>
      <family val="2"/>
      <b val="1"/>
      <color theme="1"/>
      <sz val="11"/>
    </font>
    <font>
      <name val="Calibri"/>
      <charset val="1"/>
      <family val="2"/>
      <b val="1"/>
      <color theme="1"/>
      <sz val="9"/>
    </font>
    <font>
      <name val="Arial"/>
      <charset val="1"/>
      <family val="2"/>
      <b val="1"/>
      <color theme="1"/>
      <sz val="10"/>
    </font>
    <font>
      <name val="Arial"/>
      <charset val="1"/>
      <family val="2"/>
      <sz val="10"/>
    </font>
    <font>
      <name val="Arial"/>
      <charset val="1"/>
      <family val="2"/>
      <color theme="1"/>
      <sz val="10"/>
    </font>
    <font>
      <name val="Calibri"/>
      <b val="1"/>
      <color rgb="FFFFFFFF"/>
      <sz val="15"/>
    </font>
    <font>
      <name val="Calibri"/>
      <i val="1"/>
      <color rgb="FF1F3864"/>
      <sz val="9"/>
    </font>
    <font>
      <name val="Calibri"/>
      <b val="1"/>
      <color rgb="FFFFFFFF"/>
      <sz val="11"/>
    </font>
    <font>
      <name val="Calibri"/>
      <b val="1"/>
      <color rgb="FF1F3864"/>
      <sz val="13"/>
    </font>
    <font>
      <name val="Calibri"/>
      <b val="1"/>
      <color rgb="FFFFFFFF"/>
      <sz val="10"/>
    </font>
    <font>
      <name val="Calibri"/>
      <b val="1"/>
      <color rgb="FF1F3864"/>
      <sz val="10"/>
    </font>
    <font>
      <name val="Calibri"/>
      <b val="1"/>
      <color rgb="FF1F3864"/>
      <sz val="12"/>
    </font>
    <font>
      <name val="Calibri"/>
      <b val="1"/>
      <color rgb="FFFFFFFF"/>
      <sz val="9"/>
    </font>
    <font>
      <name val="Calibri"/>
      <b val="1"/>
      <color rgb="FF666666"/>
      <sz val="9"/>
    </font>
    <font>
      <name val="Calibri"/>
      <b val="1"/>
      <color rgb="FF333333"/>
      <sz val="10"/>
    </font>
    <font>
      <name val="Calibri"/>
      <color rgb="FF333333"/>
      <sz val="10"/>
    </font>
    <font>
      <name val="Calibri"/>
      <b val="1"/>
      <sz val="10"/>
    </font>
    <font>
      <name val="Calibri"/>
      <i val="1"/>
      <color rgb="FF808080"/>
      <sz val="8"/>
    </font>
  </fonts>
  <fills count="16">
    <fill>
      <patternFill/>
    </fill>
    <fill>
      <patternFill patternType="gray125"/>
    </fill>
    <fill>
      <patternFill patternType="solid">
        <fgColor theme="0"/>
        <bgColor rgb="FFFFFFCC"/>
      </patternFill>
    </fill>
    <fill>
      <patternFill patternType="solid">
        <fgColor theme="2" tint="-0.09997863704336681"/>
        <bgColor rgb="FFCCCCFF"/>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404040"/>
        <bgColor rgb="FF404040"/>
      </patternFill>
    </fill>
    <fill>
      <patternFill patternType="solid">
        <fgColor rgb="FFFFE699"/>
        <bgColor rgb="FFFFE699"/>
      </patternFill>
    </fill>
    <fill>
      <patternFill patternType="solid">
        <fgColor rgb="FFDDEBF7"/>
        <bgColor rgb="FFDDEBF7"/>
      </patternFill>
    </fill>
    <fill>
      <patternFill patternType="solid">
        <fgColor rgb="FF1F4E79"/>
        <bgColor rgb="FF1F4E79"/>
      </patternFill>
    </fill>
    <fill>
      <patternFill patternType="solid">
        <fgColor rgb="FF2E75B6"/>
        <bgColor rgb="FF2E75B6"/>
      </patternFill>
    </fill>
    <fill>
      <patternFill patternType="solid">
        <fgColor rgb="FF203864"/>
        <bgColor rgb="FF203864"/>
      </patternFill>
    </fill>
    <fill>
      <patternFill patternType="solid">
        <fgColor rgb="FF1F3864"/>
      </patternFill>
    </fill>
    <fill>
      <patternFill patternType="solid">
        <fgColor rgb="FF2E75B6"/>
      </patternFill>
    </fill>
    <fill>
      <patternFill patternType="solid">
        <fgColor rgb="FF375623"/>
      </patternFill>
    </fill>
  </fills>
  <borders count="23">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808080"/>
      </left>
      <right style="medium">
        <color rgb="FF808080"/>
      </right>
      <top style="medium">
        <color rgb="FF808080"/>
      </top>
      <bottom style="medium">
        <color rgb="FF808080"/>
      </bottom>
      <diagonal/>
    </border>
    <border>
      <left style="thin">
        <color rgb="FFD0D0D0"/>
      </left>
      <right style="thin">
        <color rgb="FFD0D0D0"/>
      </right>
      <top style="medium">
        <color rgb="FF808080"/>
      </top>
      <bottom style="medium">
        <color rgb="FF808080"/>
      </bottom>
      <diagonal/>
    </border>
    <border>
      <left/>
      <right/>
      <top style="medium">
        <color rgb="FF808080"/>
      </top>
      <bottom/>
      <diagonal/>
    </border>
    <border>
      <left/>
      <right style="medium">
        <color rgb="FF808080"/>
      </right>
      <top style="medium">
        <color rgb="FF808080"/>
      </top>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s>
  <cellStyleXfs count="1">
    <xf numFmtId="0" fontId="0" fillId="0" borderId="0"/>
  </cellStyleXfs>
  <cellXfs count="108">
    <xf numFmtId="0" fontId="0" fillId="0" borderId="0" pivotButton="0" quotePrefix="0" xfId="0"/>
    <xf numFmtId="0" fontId="0" fillId="0" borderId="0" applyAlignment="1" pivotButton="0" quotePrefix="0" xfId="0">
      <alignment wrapText="1"/>
    </xf>
    <xf numFmtId="0" fontId="0" fillId="2" borderId="0" pivotButton="0" quotePrefix="0" xfId="0"/>
    <xf numFmtId="0" fontId="1" fillId="0" borderId="0" applyAlignment="1" pivotButton="0" quotePrefix="0" xfId="0">
      <alignment vertical="center"/>
    </xf>
    <xf numFmtId="0" fontId="2" fillId="3" borderId="1" applyAlignment="1" pivotButton="0" quotePrefix="0" xfId="0">
      <alignment horizontal="center" vertical="center"/>
    </xf>
    <xf numFmtId="0" fontId="2" fillId="3" borderId="2" applyAlignment="1" pivotButton="0" quotePrefix="0" xfId="0">
      <alignment horizontal="center" vertical="center"/>
    </xf>
    <xf numFmtId="0" fontId="2"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5" applyAlignment="1" pivotButton="0" quotePrefix="0" xfId="0">
      <alignment horizontal="left" vertical="center" wrapText="1"/>
    </xf>
    <xf numFmtId="164" fontId="5" fillId="0" borderId="5" applyAlignment="1" pivotButton="0" quotePrefix="0" xfId="0">
      <alignment horizontal="center" vertical="center" wrapText="1"/>
    </xf>
    <xf numFmtId="0" fontId="5" fillId="0" borderId="5" applyAlignment="1" pivotButton="0" quotePrefix="0" xfId="0">
      <alignment horizontal="center" vertical="center" wrapText="1"/>
    </xf>
    <xf numFmtId="164" fontId="5" fillId="0" borderId="5" applyAlignment="1" pivotButton="0" quotePrefix="0" xfId="0">
      <alignment horizontal="right" vertical="center" wrapText="1"/>
    </xf>
    <xf numFmtId="164" fontId="5" fillId="0" borderId="5" applyAlignment="1" pivotButton="0" quotePrefix="0" xfId="0">
      <alignment horizontal="right" vertical="center"/>
    </xf>
    <xf numFmtId="3" fontId="5" fillId="0" borderId="5" applyAlignment="1" pivotButton="0" quotePrefix="0" xfId="0">
      <alignment horizontal="right" vertical="center"/>
    </xf>
    <xf numFmtId="9" fontId="5" fillId="0" borderId="5" applyAlignment="1" pivotButton="0" quotePrefix="0" xfId="0">
      <alignment horizontal="right" vertical="center"/>
    </xf>
    <xf numFmtId="165" fontId="6" fillId="2" borderId="5" applyAlignment="1" pivotButton="0" quotePrefix="0" xfId="0">
      <alignment vertical="center"/>
    </xf>
    <xf numFmtId="164" fontId="5" fillId="2" borderId="5" applyAlignment="1" pivotButton="0" quotePrefix="0" xfId="0">
      <alignment horizontal="right" vertical="center"/>
    </xf>
    <xf numFmtId="164" fontId="5" fillId="2" borderId="6" applyAlignment="1" pivotButton="0" quotePrefix="0" xfId="0">
      <alignment horizontal="right" vertical="center"/>
    </xf>
    <xf numFmtId="1" fontId="5" fillId="2" borderId="6" applyAlignment="1" pivotButton="0" quotePrefix="0" xfId="0">
      <alignment horizontal="center" vertical="center"/>
    </xf>
    <xf numFmtId="164" fontId="5" fillId="2" borderId="7" applyAlignment="1" pivotButton="0" quotePrefix="0" xfId="0">
      <alignment horizontal="right" vertical="center"/>
    </xf>
    <xf numFmtId="0" fontId="5" fillId="0" borderId="8" applyAlignment="1" pivotButton="0" quotePrefix="0" xfId="0">
      <alignment horizontal="center" vertical="center" wrapText="1"/>
    </xf>
    <xf numFmtId="0" fontId="5" fillId="0" borderId="6" applyAlignment="1" pivotButton="0" quotePrefix="0" xfId="0">
      <alignment horizontal="left" vertical="center" wrapText="1"/>
    </xf>
    <xf numFmtId="164" fontId="5" fillId="0" borderId="6" applyAlignment="1" pivotButton="0" quotePrefix="0" xfId="0">
      <alignment horizontal="center" vertical="center" wrapText="1"/>
    </xf>
    <xf numFmtId="0" fontId="5" fillId="0" borderId="6" applyAlignment="1" pivotButton="0" quotePrefix="0" xfId="0">
      <alignment horizontal="center" vertical="center" wrapText="1"/>
    </xf>
    <xf numFmtId="164" fontId="5" fillId="0" borderId="6" applyAlignment="1" pivotButton="0" quotePrefix="0" xfId="0">
      <alignment horizontal="right" vertical="center" wrapText="1"/>
    </xf>
    <xf numFmtId="164" fontId="5" fillId="0" borderId="6" applyAlignment="1" pivotButton="0" quotePrefix="0" xfId="0">
      <alignment horizontal="right" vertical="center"/>
    </xf>
    <xf numFmtId="3" fontId="5" fillId="0" borderId="6" applyAlignment="1" pivotButton="0" quotePrefix="0" xfId="0">
      <alignment horizontal="right" vertical="center"/>
    </xf>
    <xf numFmtId="9" fontId="5" fillId="0" borderId="6" applyAlignment="1" pivotButton="0" quotePrefix="0" xfId="0">
      <alignment horizontal="right" vertical="center"/>
    </xf>
    <xf numFmtId="165" fontId="6" fillId="2" borderId="6" applyAlignment="1" pivotButton="0" quotePrefix="0" xfId="0">
      <alignment vertical="center"/>
    </xf>
    <xf numFmtId="0" fontId="5" fillId="0" borderId="9" applyAlignment="1" pivotButton="0" quotePrefix="0" xfId="0">
      <alignment horizontal="center" vertical="center" wrapText="1"/>
    </xf>
    <xf numFmtId="0" fontId="5" fillId="0" borderId="10" applyAlignment="1" pivotButton="0" quotePrefix="0" xfId="0">
      <alignment horizontal="left" vertical="center" wrapText="1"/>
    </xf>
    <xf numFmtId="164" fontId="5" fillId="0" borderId="10" applyAlignment="1" pivotButton="0" quotePrefix="0" xfId="0">
      <alignment horizontal="center" vertical="center" wrapText="1"/>
    </xf>
    <xf numFmtId="0" fontId="5" fillId="0" borderId="10" applyAlignment="1" pivotButton="0" quotePrefix="0" xfId="0">
      <alignment horizontal="center" vertical="center" wrapText="1"/>
    </xf>
    <xf numFmtId="164" fontId="5" fillId="0" borderId="10" applyAlignment="1" pivotButton="0" quotePrefix="0" xfId="0">
      <alignment horizontal="right" vertical="center" wrapText="1"/>
    </xf>
    <xf numFmtId="164" fontId="5" fillId="0" borderId="10" applyAlignment="1" pivotButton="0" quotePrefix="0" xfId="0">
      <alignment horizontal="right" vertical="center"/>
    </xf>
    <xf numFmtId="3" fontId="5" fillId="0" borderId="10" applyAlignment="1" pivotButton="0" quotePrefix="0" xfId="0">
      <alignment horizontal="right" vertical="center"/>
    </xf>
    <xf numFmtId="9" fontId="5" fillId="0" borderId="10" applyAlignment="1" pivotButton="0" quotePrefix="0" xfId="0">
      <alignment horizontal="right" vertical="center"/>
    </xf>
    <xf numFmtId="165" fontId="6" fillId="2" borderId="10" applyAlignment="1" pivotButton="0" quotePrefix="0" xfId="0">
      <alignment vertical="center"/>
    </xf>
    <xf numFmtId="0" fontId="0" fillId="0" borderId="11" pivotButton="0" quotePrefix="0" xfId="0"/>
    <xf numFmtId="0" fontId="0" fillId="0" borderId="12" pivotButton="0" quotePrefix="0" xfId="0"/>
    <xf numFmtId="164" fontId="5" fillId="0" borderId="12" applyAlignment="1" pivotButton="0" quotePrefix="0" xfId="0">
      <alignment horizontal="right" vertical="center" wrapText="1"/>
    </xf>
    <xf numFmtId="164" fontId="5" fillId="0" borderId="12" applyAlignment="1" pivotButton="0" quotePrefix="0" xfId="0">
      <alignment horizontal="right" vertical="center"/>
    </xf>
    <xf numFmtId="0" fontId="0" fillId="0" borderId="13" pivotButton="0" quotePrefix="0" xfId="0"/>
    <xf numFmtId="0" fontId="0" fillId="0" borderId="14" pivotButton="0" quotePrefix="0" xfId="0"/>
    <xf numFmtId="0" fontId="0" fillId="0" borderId="15" pivotButton="0" quotePrefix="0" xfId="0"/>
    <xf numFmtId="164" fontId="5" fillId="0" borderId="15" applyAlignment="1" pivotButton="0" quotePrefix="0" xfId="0">
      <alignment horizontal="right" vertical="center" wrapText="1"/>
    </xf>
    <xf numFmtId="164" fontId="5" fillId="0" borderId="15" applyAlignment="1" pivotButton="0" quotePrefix="0" xfId="0">
      <alignment horizontal="right" vertical="center"/>
    </xf>
    <xf numFmtId="3" fontId="5" fillId="0" borderId="15" applyAlignment="1" pivotButton="0" quotePrefix="0" xfId="0">
      <alignment horizontal="right" vertical="center"/>
    </xf>
    <xf numFmtId="164" fontId="6" fillId="0" borderId="15" pivotButton="0" quotePrefix="0" xfId="0"/>
    <xf numFmtId="165" fontId="6" fillId="2" borderId="15" applyAlignment="1" pivotButton="0" quotePrefix="0" xfId="0">
      <alignment horizontal="right" vertical="center"/>
    </xf>
    <xf numFmtId="164" fontId="0" fillId="0" borderId="15" pivotButton="0" quotePrefix="0" xfId="0"/>
    <xf numFmtId="0" fontId="0" fillId="0" borderId="16" pivotButton="0" quotePrefix="0" xfId="0"/>
    <xf numFmtId="164" fontId="0" fillId="0" borderId="0" pivotButton="0" quotePrefix="0" xfId="0"/>
    <xf numFmtId="0" fontId="0" fillId="2" borderId="0" applyAlignment="1" pivotButton="0" quotePrefix="0" xfId="0">
      <alignment horizontal="right" vertical="center"/>
    </xf>
    <xf numFmtId="0" fontId="0" fillId="0" borderId="0" applyAlignment="1" pivotButton="0" quotePrefix="0" xfId="0">
      <alignment horizontal="right"/>
    </xf>
    <xf numFmtId="164" fontId="0" fillId="2" borderId="0" pivotButton="0" quotePrefix="0" xfId="0"/>
    <xf numFmtId="0" fontId="9" fillId="4" borderId="0" applyAlignment="1" pivotButton="0" quotePrefix="0" xfId="0">
      <alignment horizontal="right" vertical="center"/>
    </xf>
    <xf numFmtId="0" fontId="11" fillId="7" borderId="0" applyAlignment="1" pivotButton="0" quotePrefix="0" xfId="0">
      <alignment horizontal="right" vertical="center"/>
    </xf>
    <xf numFmtId="0" fontId="12" fillId="8" borderId="17" applyAlignment="1" pivotButton="0" quotePrefix="0" xfId="0">
      <alignment horizontal="center" vertical="center" wrapText="1"/>
    </xf>
    <xf numFmtId="0" fontId="13" fillId="9" borderId="17" applyAlignment="1" pivotButton="0" quotePrefix="0" xfId="0">
      <alignment horizontal="center" vertical="center" wrapText="1"/>
    </xf>
    <xf numFmtId="0" fontId="19" fillId="0" borderId="0" pivotButton="0" quotePrefix="0" xfId="0"/>
    <xf numFmtId="0" fontId="14" fillId="10" borderId="18" applyAlignment="1" pivotButton="0" quotePrefix="0" xfId="0">
      <alignment horizontal="center" vertical="center" wrapText="1"/>
    </xf>
    <xf numFmtId="0" fontId="14" fillId="11" borderId="18" applyAlignment="1" pivotButton="0" quotePrefix="0" xfId="0">
      <alignment horizontal="center" vertical="center" wrapText="1"/>
    </xf>
    <xf numFmtId="0" fontId="14" fillId="12" borderId="18" applyAlignment="1" pivotButton="0" quotePrefix="0" xfId="0">
      <alignment horizontal="center" vertical="center" wrapText="1"/>
    </xf>
    <xf numFmtId="1" fontId="15" fillId="0" borderId="0" applyAlignment="1" pivotButton="0" quotePrefix="0" xfId="0">
      <alignment horizontal="center" vertical="center" wrapText="1"/>
    </xf>
    <xf numFmtId="0" fontId="16" fillId="0" borderId="0" applyAlignment="1" pivotButton="0" quotePrefix="0" xfId="0">
      <alignment horizontal="left" vertical="center"/>
    </xf>
    <xf numFmtId="0" fontId="17" fillId="0" borderId="0" applyAlignment="1" pivotButton="0" quotePrefix="0" xfId="0">
      <alignment horizontal="left" vertical="center"/>
    </xf>
    <xf numFmtId="164" fontId="17" fillId="0" borderId="0" applyAlignment="1" pivotButton="0" quotePrefix="0" xfId="0">
      <alignment horizontal="right" vertical="center"/>
    </xf>
    <xf numFmtId="3" fontId="17" fillId="0" borderId="0" applyAlignment="1" pivotButton="0" quotePrefix="0" xfId="0">
      <alignment horizontal="right" vertical="center"/>
    </xf>
    <xf numFmtId="9" fontId="17" fillId="0" borderId="0" applyAlignment="1" pivotButton="0" quotePrefix="0" xfId="0">
      <alignment horizontal="right" vertical="center"/>
    </xf>
    <xf numFmtId="165" fontId="17" fillId="0" borderId="0" applyAlignment="1" pivotButton="0" quotePrefix="0" xfId="0">
      <alignment horizontal="right" vertical="center"/>
    </xf>
    <xf numFmtId="1" fontId="17" fillId="0" borderId="0" applyAlignment="1" pivotButton="0" quotePrefix="0" xfId="0">
      <alignment horizontal="right" vertical="center"/>
    </xf>
    <xf numFmtId="0" fontId="18" fillId="0" borderId="0" applyAlignment="1" pivotButton="0" quotePrefix="0" xfId="0">
      <alignment horizontal="center" vertical="center" wrapText="1"/>
    </xf>
    <xf numFmtId="0" fontId="8" fillId="5" borderId="0" applyAlignment="1" pivotButton="0" quotePrefix="0" xfId="0">
      <alignment horizontal="left" vertical="center" wrapText="1"/>
    </xf>
    <xf numFmtId="0" fontId="0" fillId="0" borderId="0" pivotButton="0" quotePrefix="0" xfId="0"/>
    <xf numFmtId="0" fontId="10" fillId="6" borderId="17" applyAlignment="1" pivotButton="0" quotePrefix="0" xfId="0">
      <alignment horizontal="left" vertical="center" indent="1"/>
    </xf>
    <xf numFmtId="0" fontId="0" fillId="0" borderId="17" pivotButton="0" quotePrefix="0" xfId="0"/>
    <xf numFmtId="0" fontId="12" fillId="9" borderId="0" applyAlignment="1" pivotButton="0" quotePrefix="0" xfId="0">
      <alignment horizontal="left" vertical="center" indent="1"/>
    </xf>
    <xf numFmtId="0" fontId="7" fillId="4" borderId="0" applyAlignment="1" pivotButton="0" quotePrefix="0" xfId="0">
      <alignment horizontal="left" vertical="center" indent="1"/>
    </xf>
    <xf numFmtId="0" fontId="0" fillId="0" borderId="21" pivotButton="0" quotePrefix="0" xfId="0"/>
    <xf numFmtId="0" fontId="0" fillId="0" borderId="22" pivotButton="0" quotePrefix="0" xfId="0"/>
    <xf numFmtId="1" fontId="14" fillId="13" borderId="0" applyAlignment="1" pivotButton="0" quotePrefix="0" xfId="0">
      <alignment horizontal="center" vertical="center" wrapText="1"/>
    </xf>
    <xf numFmtId="0" fontId="11" fillId="13" borderId="0" applyAlignment="1" pivotButton="0" quotePrefix="0" xfId="0">
      <alignment horizontal="left" vertical="center"/>
    </xf>
    <xf numFmtId="164" fontId="11" fillId="13" borderId="0" applyAlignment="1" pivotButton="0" quotePrefix="0" xfId="0">
      <alignment horizontal="right" vertical="center"/>
    </xf>
    <xf numFmtId="3" fontId="11" fillId="13" borderId="0" applyAlignment="1" pivotButton="0" quotePrefix="0" xfId="0">
      <alignment horizontal="right" vertical="center"/>
    </xf>
    <xf numFmtId="9" fontId="11" fillId="13" borderId="0" applyAlignment="1" pivotButton="0" quotePrefix="0" xfId="0">
      <alignment horizontal="right" vertical="center"/>
    </xf>
    <xf numFmtId="165" fontId="11" fillId="13" borderId="0" applyAlignment="1" pivotButton="0" quotePrefix="0" xfId="0">
      <alignment horizontal="right" vertical="center"/>
    </xf>
    <xf numFmtId="1" fontId="11" fillId="13" borderId="0" applyAlignment="1" pivotButton="0" quotePrefix="0" xfId="0">
      <alignment horizontal="right" vertical="center"/>
    </xf>
    <xf numFmtId="0" fontId="11" fillId="13" borderId="0" applyAlignment="1" pivotButton="0" quotePrefix="0" xfId="0">
      <alignment horizontal="center" vertical="center" wrapText="1"/>
    </xf>
    <xf numFmtId="1" fontId="14" fillId="14" borderId="0" applyAlignment="1" pivotButton="0" quotePrefix="0" xfId="0">
      <alignment horizontal="center" vertical="center" wrapText="1"/>
    </xf>
    <xf numFmtId="0" fontId="11" fillId="14" borderId="0" applyAlignment="1" pivotButton="0" quotePrefix="0" xfId="0">
      <alignment horizontal="left" vertical="center"/>
    </xf>
    <xf numFmtId="164" fontId="11" fillId="14" borderId="0" applyAlignment="1" pivotButton="0" quotePrefix="0" xfId="0">
      <alignment horizontal="right" vertical="center"/>
    </xf>
    <xf numFmtId="3" fontId="11" fillId="14" borderId="0" applyAlignment="1" pivotButton="0" quotePrefix="0" xfId="0">
      <alignment horizontal="right" vertical="center"/>
    </xf>
    <xf numFmtId="9" fontId="11" fillId="14" borderId="0" applyAlignment="1" pivotButton="0" quotePrefix="0" xfId="0">
      <alignment horizontal="right" vertical="center"/>
    </xf>
    <xf numFmtId="165" fontId="11" fillId="14" borderId="0" applyAlignment="1" pivotButton="0" quotePrefix="0" xfId="0">
      <alignment horizontal="right" vertical="center"/>
    </xf>
    <xf numFmtId="1" fontId="11" fillId="14" borderId="0" applyAlignment="1" pivotButton="0" quotePrefix="0" xfId="0">
      <alignment horizontal="right" vertical="center"/>
    </xf>
    <xf numFmtId="0" fontId="11" fillId="14" borderId="0" applyAlignment="1" pivotButton="0" quotePrefix="0" xfId="0">
      <alignment horizontal="center" vertical="center" wrapText="1"/>
    </xf>
    <xf numFmtId="1" fontId="14" fillId="15" borderId="0" applyAlignment="1" pivotButton="0" quotePrefix="0" xfId="0">
      <alignment horizontal="center" vertical="center" wrapText="1"/>
    </xf>
    <xf numFmtId="0" fontId="11" fillId="15" borderId="0" applyAlignment="1" pivotButton="0" quotePrefix="0" xfId="0">
      <alignment horizontal="left" vertical="center"/>
    </xf>
    <xf numFmtId="164" fontId="11" fillId="15" borderId="0" applyAlignment="1" pivotButton="0" quotePrefix="0" xfId="0">
      <alignment horizontal="right" vertical="center"/>
    </xf>
    <xf numFmtId="3" fontId="11" fillId="15" borderId="0" applyAlignment="1" pivotButton="0" quotePrefix="0" xfId="0">
      <alignment horizontal="right" vertical="center"/>
    </xf>
    <xf numFmtId="9" fontId="11" fillId="15" borderId="0" applyAlignment="1" pivotButton="0" quotePrefix="0" xfId="0">
      <alignment horizontal="right" vertical="center"/>
    </xf>
    <xf numFmtId="165" fontId="11" fillId="15" borderId="0" applyAlignment="1" pivotButton="0" quotePrefix="0" xfId="0">
      <alignment horizontal="right" vertical="center"/>
    </xf>
    <xf numFmtId="1" fontId="11" fillId="15" borderId="0" applyAlignment="1" pivotButton="0" quotePrefix="0" xfId="0">
      <alignment horizontal="right" vertical="center"/>
    </xf>
    <xf numFmtId="0" fontId="11" fillId="15" borderId="0" applyAlignment="1" pivotButton="0" quotePrefix="0" xfId="0">
      <alignment horizontal="center" vertical="center" wrapText="1"/>
    </xf>
  </cellXfs>
  <cellStyles count="1">
    <cellStyle name="Normal" xfId="0" builtinId="0"/>
  </cellStyles>
  <dxfs count="13">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0006"/>
      </font>
    </dxf>
    <dxf>
      <border>
        <left style="thin">
          <color rgb="FFD0D0D0"/>
        </left>
        <right style="thin">
          <color rgb="FFD0D0D0"/>
        </right>
        <top style="thin">
          <color rgb="FFD0D0D0"/>
        </top>
        <bottom style="thin">
          <color rgb="FFD0D0D0"/>
        </bottom>
      </border>
    </dxf>
    <dxf>
      <fill>
        <patternFill patternType="solid">
          <fgColor rgb="FFF4F9FD"/>
          <bgColor rgb="FFF4F9FD"/>
        </patternFill>
      </fill>
    </dxf>
    <dxf>
      <fill>
        <patternFill patternType="solid">
          <fgColor rgb="FFE2EFDA"/>
          <bgColor rgb="FFE2EFDA"/>
        </patternFill>
      </fill>
    </dxf>
    <dxf>
      <font>
        <b val="1"/>
        <color rgb="FFFFFFFF"/>
      </font>
      <fill>
        <patternFill patternType="solid">
          <fgColor rgb="FF1F3864"/>
          <bgColor rgb="FF1F3864"/>
        </patternFill>
      </fill>
    </dxf>
    <dxf>
      <font>
        <b val="1"/>
        <color rgb="FFFFFFFF"/>
      </font>
      <fill>
        <patternFill patternType="solid">
          <fgColor rgb="FF2E75B6"/>
          <bgColor rgb="FF2E75B6"/>
        </patternFill>
      </fill>
    </dxf>
    <dxf>
      <font>
        <b val="1"/>
        <color rgb="FFFFFFFF"/>
      </font>
      <fill>
        <patternFill patternType="solid">
          <fgColor rgb="FF375623"/>
          <bgColor rgb="FF375623"/>
        </patternFill>
      </fill>
    </dxf>
    <dxf>
      <font>
        <b val="1"/>
        <color rgb="FFFFFFFF"/>
      </font>
      <fill>
        <patternFill patternType="solid">
          <fgColor rgb="FF666666"/>
          <bgColor rgb="FF666666"/>
        </patternFill>
      </fill>
    </dxf>
    <dxf>
      <font>
        <color rgb="FF666666"/>
      </font>
      <fill>
        <patternFill patternType="solid">
          <fgColor rgb="FFEDEDED"/>
          <bgColor rgb="FFEDEDED"/>
        </patternFill>
      </fill>
    </dxf>
    <dxf>
      <font>
        <b val="1"/>
        <color rgb="FF006100"/>
      </font>
      <fill>
        <patternFill patternType="solid">
          <fgColor rgb="FFC6EFCE"/>
        </patternFill>
      </fill>
    </dxf>
    <dxf>
      <font>
        <b val="1"/>
        <color rgb="FF9C0006"/>
      </font>
      <fill>
        <patternFill patternType="solid">
          <f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showGridLines="0" zoomScale="85" zoomScaleNormal="85" workbookViewId="0">
      <pane xSplit="7" ySplit="3" topLeftCell="H4" activePane="bottomRight" state="frozen"/>
      <selection pane="topRight" activeCell="A1" sqref="A1"/>
      <selection pane="bottomLeft" activeCell="A1" sqref="A1"/>
      <selection pane="bottomRight" activeCell="B10" sqref="B10"/>
    </sheetView>
  </sheetViews>
  <sheetFormatPr baseColWidth="8" defaultColWidth="8.7109375" defaultRowHeight="15"/>
  <cols>
    <col width="13.7109375" bestFit="1" customWidth="1" style="77" min="1" max="1"/>
    <col width="29.42578125" customWidth="1" style="77" min="2" max="2"/>
    <col width="9.140625" customWidth="1" style="77" min="3" max="3"/>
    <col width="9.42578125" customWidth="1" style="77" min="4" max="4"/>
    <col width="10" bestFit="1" customWidth="1" style="77" min="5" max="5"/>
    <col width="12.42578125" bestFit="1" customWidth="1" style="77" min="6" max="6"/>
    <col width="25" customWidth="1" style="77" min="7" max="7"/>
    <col width="15.5703125" bestFit="1" customWidth="1" style="77" min="8" max="8"/>
    <col width="9.85546875" bestFit="1" customWidth="1" style="77" min="9" max="9"/>
    <col width="17.140625" bestFit="1" customWidth="1" style="77" min="10" max="10"/>
    <col width="9.5703125" bestFit="1" customWidth="1" style="77" min="11" max="11"/>
    <col width="6.85546875" customWidth="1" style="77" min="12" max="12"/>
    <col width="8.28515625" customWidth="1" style="77" min="13" max="13"/>
    <col width="6.7109375" customWidth="1" style="77" min="14" max="14"/>
    <col width="9.140625" customWidth="1" style="77" min="15" max="15"/>
    <col width="8.28515625" customWidth="1" style="1" min="16" max="16"/>
    <col width="8.140625" customWidth="1" style="1" min="17" max="17"/>
    <col width="8.140625" customWidth="1" style="77" min="18" max="18"/>
    <col width="11.5703125" customWidth="1" style="77" min="19" max="19"/>
    <col width="9.85546875" customWidth="1" style="77" min="20" max="20"/>
    <col width="10" customWidth="1" style="2" min="21" max="21"/>
    <col width="10.140625" customWidth="1" style="2" min="22" max="22"/>
    <col width="10.7109375" customWidth="1" style="77" min="23" max="23"/>
    <col width="10.5703125" customWidth="1" style="77" min="24" max="24"/>
    <col width="10.140625" customWidth="1" style="77" min="25" max="28"/>
    <col width="14.140625" bestFit="1" customWidth="1" style="77" min="29" max="29"/>
    <col width="11.5703125" customWidth="1" style="77" min="30" max="30"/>
    <col width="13.7109375" customWidth="1" style="77" min="31" max="31"/>
    <col width="14.140625" customWidth="1" style="77" min="32" max="32"/>
    <col width="10.140625" customWidth="1" style="77" min="33" max="33"/>
  </cols>
  <sheetData>
    <row r="1" ht="15.75" customHeight="1" s="77">
      <c r="A1" s="3" t="n"/>
      <c r="B1" s="3" t="inlineStr">
        <is>
          <t>MSTC LIMITED - COMBINED BID SHEET (Auctions 21977, 21978, 21979, 21980)</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row>
    <row r="2" ht="14.25" customHeight="1" s="77">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row>
    <row r="3" ht="57.75" customHeight="1" s="77">
      <c r="A3" s="4" t="inlineStr">
        <is>
          <t>Quantity</t>
        </is>
      </c>
      <c r="B3" s="5" t="inlineStr">
        <is>
          <t>Lot No.</t>
        </is>
      </c>
      <c r="C3" s="5" t="inlineStr">
        <is>
          <t>Rate</t>
        </is>
      </c>
      <c r="D3" s="5" t="inlineStr">
        <is>
          <t>Bid Sheet</t>
        </is>
      </c>
      <c r="E3" s="5" t="inlineStr">
        <is>
          <t>Unit</t>
        </is>
      </c>
      <c r="F3" s="5" t="inlineStr">
        <is>
          <t>Lot No.</t>
        </is>
      </c>
      <c r="G3" s="5" t="inlineStr">
        <is>
          <t>Buyer</t>
        </is>
      </c>
      <c r="H3" s="5" t="inlineStr">
        <is>
          <t>Mat. Value</t>
        </is>
      </c>
      <c r="I3" s="5" t="inlineStr">
        <is>
          <t>GST</t>
        </is>
      </c>
      <c r="J3" s="6" t="inlineStr">
        <is>
          <t>Mat. Value + GST</t>
        </is>
      </c>
      <c r="K3" s="5" t="inlineStr">
        <is>
          <t>TCS</t>
        </is>
      </c>
      <c r="L3" s="6" t="inlineStr">
        <is>
          <t>TDS u/s 194(O)</t>
        </is>
      </c>
      <c r="M3" s="6" t="inlineStr">
        <is>
          <t>Service Charge
to MSTC</t>
        </is>
      </c>
      <c r="N3" s="6" t="inlineStr">
        <is>
          <t>TDS u/s 194(H)</t>
        </is>
      </c>
      <c r="O3" s="7" t="inlineStr">
        <is>
          <t>Net Service Charge
(post TDS 194H)</t>
        </is>
      </c>
      <c r="P3" s="6" t="inlineStr">
        <is>
          <t>Service charge to MSTC</t>
        </is>
      </c>
      <c r="Q3" s="6" t="inlineStr">
        <is>
          <t>GST TDS Rate</t>
        </is>
      </c>
      <c r="R3" s="6" t="inlineStr">
        <is>
          <t>GST TDS</t>
        </is>
      </c>
      <c r="S3" s="6" t="inlineStr">
        <is>
          <t>Total Receivables in Cash</t>
        </is>
      </c>
      <c r="T3" s="6" t="inlineStr">
        <is>
          <t>Security Deposit (Expected)</t>
        </is>
      </c>
      <c r="U3" s="6" t="inlineStr">
        <is>
          <t>Security Deposit (Received)</t>
        </is>
      </c>
      <c r="V3" s="6" t="inlineStr">
        <is>
          <t>Date of Receipt</t>
        </is>
      </c>
      <c r="W3" s="8" t="inlineStr">
        <is>
          <t>Final Payment (Expected)</t>
        </is>
      </c>
      <c r="X3" s="6" t="inlineStr">
        <is>
          <t>Final Payment (Received)</t>
        </is>
      </c>
      <c r="Y3" s="6" t="inlineStr">
        <is>
          <t>Date of Receipt</t>
        </is>
      </c>
      <c r="Z3" s="6" t="inlineStr">
        <is>
          <t>LPP Expected</t>
        </is>
      </c>
      <c r="AA3" s="6" t="inlineStr">
        <is>
          <t>LPP Received</t>
        </is>
      </c>
      <c r="AB3" s="6" t="inlineStr">
        <is>
          <t>Date of Recepit of LPP</t>
        </is>
      </c>
      <c r="AC3" s="6" t="inlineStr">
        <is>
          <t>Total Received</t>
        </is>
      </c>
      <c r="AD3" s="6" t="inlineStr">
        <is>
          <t>Outstanding</t>
        </is>
      </c>
      <c r="AE3" s="6" t="inlineStr">
        <is>
          <t xml:space="preserve">Invoice No. </t>
        </is>
      </c>
      <c r="AF3" s="6" t="inlineStr">
        <is>
          <t>SAP Document</t>
        </is>
      </c>
      <c r="AG3" s="9" t="inlineStr">
        <is>
          <t>Doc./Invoice Date</t>
        </is>
      </c>
    </row>
    <row r="4" ht="39" customHeight="1" s="77">
      <c r="A4" s="10" t="n">
        <v>669</v>
      </c>
      <c r="B4" s="11" t="inlineStr">
        <is>
          <t>SCRAP COPPER OF T/F WINDING (Oil impregnated paper insulated T/F winding)</t>
        </is>
      </c>
      <c r="C4" s="12" t="n">
        <v>1181</v>
      </c>
      <c r="D4" s="13" t="n">
        <v>21980</v>
      </c>
      <c r="E4" s="13" t="inlineStr">
        <is>
          <t>KG</t>
        </is>
      </c>
      <c r="F4" s="13" t="n">
        <v>1763</v>
      </c>
      <c r="G4" s="11" t="inlineStr">
        <is>
          <t>AL HAMD TRADE CORPORATION</t>
        </is>
      </c>
      <c r="H4" s="14" t="n">
        <v>790089</v>
      </c>
      <c r="I4" s="14">
        <f>ROUND(H4*18%,0)</f>
        <v/>
      </c>
      <c r="J4" s="14">
        <f>+H4+I4</f>
        <v/>
      </c>
      <c r="K4" s="14">
        <f>ROUND((H4+I4)*2%,0)</f>
        <v/>
      </c>
      <c r="L4" s="15">
        <f>H4*0.1%</f>
        <v/>
      </c>
      <c r="M4" s="15">
        <f>H4*2.25%*118%</f>
        <v/>
      </c>
      <c r="N4" s="16">
        <f>H4*2.25%*2%</f>
        <v/>
      </c>
      <c r="O4" s="15">
        <f>M4-N4</f>
        <v/>
      </c>
      <c r="P4" s="15">
        <f>ROUND(O4+L4,0)</f>
        <v/>
      </c>
      <c r="Q4" s="17" t="n">
        <v>0.02</v>
      </c>
      <c r="R4" s="15">
        <f>ROUND(H4*Q4,0)</f>
        <v/>
      </c>
      <c r="S4" s="14">
        <f>ROUND(H4*117.65%-R4,0)</f>
        <v/>
      </c>
      <c r="T4" s="15">
        <f>ROUND(H4*25%,0)</f>
        <v/>
      </c>
      <c r="U4" s="18" t="n">
        <v>197522</v>
      </c>
      <c r="V4" s="15" t="inlineStr">
        <is>
          <t>24.08.2026</t>
        </is>
      </c>
      <c r="W4" s="15">
        <f>ROUND(H4*92.65%-R4,0)</f>
        <v/>
      </c>
      <c r="X4" s="15" t="n">
        <v>716216</v>
      </c>
      <c r="Y4" s="15" t="inlineStr">
        <is>
          <t>18.08.2026</t>
        </is>
      </c>
      <c r="Z4" s="15">
        <f>IF(OR(Y4="",Y4=0),H4*0.0118*CEILING((TODAY()-DATE(2026,8,22))/7,1),IF(DATE(VALUE(RIGHT(Y4,4)),VALUE(MID(Y4,4,2)),VALUE(LEFT(Y4,2)))&lt;=DATE(2026,8,24),0,H4*0.0118*CEILING((DATE(VALUE(RIGHT(Y4,4)),VALUE(MID(Y4,4,2)),VALUE(LEFT(Y4,2)))-DATE(2026,8,22))/7,1)))</f>
        <v/>
      </c>
      <c r="AA4" s="15" t="n"/>
      <c r="AB4" s="15" t="n"/>
      <c r="AC4" s="15">
        <f>U4+X4+AA4</f>
        <v/>
      </c>
      <c r="AD4" s="19">
        <f>S4-AC4</f>
        <v/>
      </c>
      <c r="AE4" s="20" t="inlineStr">
        <is>
          <t>DR2640100029</t>
        </is>
      </c>
      <c r="AF4" s="21" t="n">
        <v>1800003271</v>
      </c>
      <c r="AG4" s="22" t="inlineStr">
        <is>
          <t>24.08.2026</t>
        </is>
      </c>
    </row>
    <row r="5" ht="14.25" customHeight="1" s="77">
      <c r="A5" s="23" t="n">
        <v>270</v>
      </c>
      <c r="B5" s="24" t="inlineStr">
        <is>
          <t>Scrap of Empty oil drum</t>
        </is>
      </c>
      <c r="C5" s="25" t="n">
        <v>580</v>
      </c>
      <c r="D5" s="26" t="n">
        <v>21977</v>
      </c>
      <c r="E5" s="26" t="inlineStr">
        <is>
          <t>NO</t>
        </is>
      </c>
      <c r="F5" s="26" t="n">
        <v>1874</v>
      </c>
      <c r="G5" s="24" t="inlineStr">
        <is>
          <t>NATIONAL ENTERPRISES</t>
        </is>
      </c>
      <c r="H5" s="27" t="n">
        <v>156600</v>
      </c>
      <c r="I5" s="27">
        <f>ROUND(H5*18%,0)</f>
        <v/>
      </c>
      <c r="J5" s="27">
        <f>+H5+I5</f>
        <v/>
      </c>
      <c r="K5" s="27">
        <f>ROUND((H5+I5)*2%,0)</f>
        <v/>
      </c>
      <c r="L5" s="28">
        <f>H5*0.1%</f>
        <v/>
      </c>
      <c r="M5" s="28">
        <f>H5*2.25%*118%</f>
        <v/>
      </c>
      <c r="N5" s="29">
        <f>H5*2.25%*2%</f>
        <v/>
      </c>
      <c r="O5" s="28">
        <f>M5-N5</f>
        <v/>
      </c>
      <c r="P5" s="28">
        <f>ROUND(O5+L5,0)</f>
        <v/>
      </c>
      <c r="Q5" s="30" t="n">
        <v>0</v>
      </c>
      <c r="R5" s="28">
        <f>ROUND(H5*Q5,0)</f>
        <v/>
      </c>
      <c r="S5" s="27">
        <f>ROUND(H5*117.65%-R5,0)</f>
        <v/>
      </c>
      <c r="T5" s="28">
        <f>ROUND(H5*25%,0)</f>
        <v/>
      </c>
      <c r="U5" s="31">
        <f>+T5</f>
        <v/>
      </c>
      <c r="V5" s="28" t="inlineStr">
        <is>
          <t>13.08.2026</t>
        </is>
      </c>
      <c r="W5" s="28">
        <f>ROUND(H5*92.65%-R5,0)</f>
        <v/>
      </c>
      <c r="X5" s="28" t="n">
        <v>145090</v>
      </c>
      <c r="Y5" s="28" t="inlineStr">
        <is>
          <t>24.08.2026</t>
        </is>
      </c>
      <c r="Z5" s="28">
        <f>IF(OR(Y5="",Y5=0),H5*0.0118*CEILING((TODAY()-DATE(2026,8,22))/7,1),IF(DATE(VALUE(RIGHT(Y5,4)),VALUE(MID(Y5,4,2)),VALUE(LEFT(Y5,2)))&lt;=DATE(2026,8,24),0,H5*0.0118*CEILING((DATE(VALUE(RIGHT(Y5,4)),VALUE(MID(Y5,4,2)),VALUE(LEFT(Y5,2)))-DATE(2026,8,22))/7,1)))</f>
        <v/>
      </c>
      <c r="AA5" s="28" t="n"/>
      <c r="AB5" s="28" t="n"/>
      <c r="AC5" s="15">
        <f>U5+X5+AA5</f>
        <v/>
      </c>
      <c r="AD5" s="19">
        <f>S5-AC5</f>
        <v/>
      </c>
      <c r="AE5" s="20" t="inlineStr">
        <is>
          <t>DR2640100030</t>
        </is>
      </c>
      <c r="AF5" s="21" t="n">
        <v>1800003302</v>
      </c>
      <c r="AG5" s="22" t="inlineStr">
        <is>
          <t>27.08.2026</t>
        </is>
      </c>
    </row>
    <row r="6" ht="26.25" customHeight="1" s="77">
      <c r="A6" s="23" t="n">
        <v>28</v>
      </c>
      <c r="B6" s="24" t="inlineStr">
        <is>
          <t>Scrap of Copper of faulty AC compressor</t>
        </is>
      </c>
      <c r="C6" s="25" t="n">
        <v>1456</v>
      </c>
      <c r="D6" s="26" t="n">
        <v>21977</v>
      </c>
      <c r="E6" s="26" t="inlineStr">
        <is>
          <t>KG</t>
        </is>
      </c>
      <c r="F6" s="26" t="n">
        <v>1875</v>
      </c>
      <c r="G6" s="24" t="inlineStr">
        <is>
          <t>F R KHANS ENTERPRISES</t>
        </is>
      </c>
      <c r="H6" s="27" t="n">
        <v>40768</v>
      </c>
      <c r="I6" s="27">
        <f>ROUND(H6*18%,0)</f>
        <v/>
      </c>
      <c r="J6" s="27">
        <f>+H6+I6</f>
        <v/>
      </c>
      <c r="K6" s="27">
        <f>ROUND((H6+I6)*2%,0)</f>
        <v/>
      </c>
      <c r="L6" s="28">
        <f>H6*0.1%</f>
        <v/>
      </c>
      <c r="M6" s="28">
        <f>H6*2.25%*118%</f>
        <v/>
      </c>
      <c r="N6" s="29">
        <f>H6*2.25%*2%</f>
        <v/>
      </c>
      <c r="O6" s="28">
        <f>M6-N6</f>
        <v/>
      </c>
      <c r="P6" s="28">
        <f>ROUND(O6+L6,0)</f>
        <v/>
      </c>
      <c r="Q6" s="30" t="n">
        <v>0</v>
      </c>
      <c r="R6" s="28">
        <f>ROUND(H6*Q6,0)</f>
        <v/>
      </c>
      <c r="S6" s="27">
        <f>ROUND(H6*117.65%-R6,0)</f>
        <v/>
      </c>
      <c r="T6" s="28">
        <f>ROUND(H6*25%,0)</f>
        <v/>
      </c>
      <c r="U6" s="31" t="n">
        <v>10192</v>
      </c>
      <c r="V6" s="28" t="inlineStr">
        <is>
          <t>11.08.2026</t>
        </is>
      </c>
      <c r="W6" s="28">
        <f>ROUND(H6*92.65%-R6,0)</f>
        <v/>
      </c>
      <c r="X6" s="28">
        <f>+W6+R6</f>
        <v/>
      </c>
      <c r="Y6" s="28" t="inlineStr">
        <is>
          <t>20.08.2026</t>
        </is>
      </c>
      <c r="Z6" s="28">
        <f>IF(OR(Y6="",Y6=0),H6*0.0118*CEILING((TODAY()-DATE(2026,8,22))/7,1),IF(DATE(VALUE(RIGHT(Y6,4)),VALUE(MID(Y6,4,2)),VALUE(LEFT(Y6,2)))&lt;=DATE(2026,8,24),0,H6*0.0118*CEILING((DATE(VALUE(RIGHT(Y6,4)),VALUE(MID(Y6,4,2)),VALUE(LEFT(Y6,2)))-DATE(2026,8,22))/7,1)))</f>
        <v/>
      </c>
      <c r="AA6" s="28" t="n"/>
      <c r="AB6" s="28" t="n"/>
      <c r="AC6" s="15">
        <f>U6+X6+AA6</f>
        <v/>
      </c>
      <c r="AD6" s="19">
        <f>S6-AC6</f>
        <v/>
      </c>
      <c r="AE6" s="20" t="inlineStr">
        <is>
          <t>DR2640100047</t>
        </is>
      </c>
      <c r="AF6" s="21" t="n">
        <v>1800003346</v>
      </c>
      <c r="AG6" s="22" t="inlineStr">
        <is>
          <t>27.08.2026</t>
        </is>
      </c>
    </row>
    <row r="7" ht="39" customHeight="1" s="77">
      <c r="A7" s="23" t="n">
        <v>3000</v>
      </c>
      <c r="B7" s="24" t="inlineStr">
        <is>
          <t>Scrap of MS (extracted from equip cage and empty Sf6 gas cylinder)</t>
        </is>
      </c>
      <c r="C7" s="25" t="n">
        <v>66</v>
      </c>
      <c r="D7" s="26" t="n">
        <v>21977</v>
      </c>
      <c r="E7" s="26" t="inlineStr">
        <is>
          <t>KG</t>
        </is>
      </c>
      <c r="F7" s="26" t="n">
        <v>1876</v>
      </c>
      <c r="G7" s="24" t="inlineStr">
        <is>
          <t>F R KHANS ENTERPRISES</t>
        </is>
      </c>
      <c r="H7" s="27" t="n">
        <v>198000</v>
      </c>
      <c r="I7" s="27">
        <f>ROUND(H7*18%,0)</f>
        <v/>
      </c>
      <c r="J7" s="27">
        <f>+H7+I7</f>
        <v/>
      </c>
      <c r="K7" s="27">
        <f>ROUND((H7+I7)*2%,0)</f>
        <v/>
      </c>
      <c r="L7" s="28">
        <f>H7*0.1%</f>
        <v/>
      </c>
      <c r="M7" s="28">
        <f>H7*2.25%*118%</f>
        <v/>
      </c>
      <c r="N7" s="29">
        <f>H7*2.25%*2%</f>
        <v/>
      </c>
      <c r="O7" s="28">
        <f>M7-N7</f>
        <v/>
      </c>
      <c r="P7" s="28">
        <f>ROUND(O7+L7,0)</f>
        <v/>
      </c>
      <c r="Q7" s="30" t="n">
        <v>0</v>
      </c>
      <c r="R7" s="28">
        <f>ROUND(H7*Q7,0)</f>
        <v/>
      </c>
      <c r="S7" s="27">
        <f>ROUND(H7*117.65%-R7,0)</f>
        <v/>
      </c>
      <c r="T7" s="28">
        <f>ROUND(H7*25%,0)</f>
        <v/>
      </c>
      <c r="U7" s="31" t="n">
        <v>49500</v>
      </c>
      <c r="V7" s="28" t="inlineStr">
        <is>
          <t>11.08.2026</t>
        </is>
      </c>
      <c r="W7" s="28">
        <f>ROUND(H7*92.65%-R7,0)</f>
        <v/>
      </c>
      <c r="X7" s="28">
        <f>+W7+R7-1</f>
        <v/>
      </c>
      <c r="Y7" s="28" t="inlineStr">
        <is>
          <t>20.08.2026</t>
        </is>
      </c>
      <c r="Z7" s="28">
        <f>IF(OR(Y7="",Y7=0),H7*0.0118*CEILING((TODAY()-DATE(2026,8,22))/7,1),IF(DATE(VALUE(RIGHT(Y7,4)),VALUE(MID(Y7,4,2)),VALUE(LEFT(Y7,2)))&lt;=DATE(2026,8,24),0,H7*0.0118*CEILING((DATE(VALUE(RIGHT(Y7,4)),VALUE(MID(Y7,4,2)),VALUE(LEFT(Y7,2)))-DATE(2026,8,22))/7,1)))</f>
        <v/>
      </c>
      <c r="AA7" s="28" t="n"/>
      <c r="AB7" s="28" t="n"/>
      <c r="AC7" s="15">
        <f>U7+X7+AA7</f>
        <v/>
      </c>
      <c r="AD7" s="19">
        <f>S7-AC7</f>
        <v/>
      </c>
      <c r="AE7" s="20" t="inlineStr">
        <is>
          <t>DR2640100048</t>
        </is>
      </c>
      <c r="AF7" s="21" t="n">
        <v>1800003347</v>
      </c>
      <c r="AG7" s="22" t="inlineStr">
        <is>
          <t>27.08.2026</t>
        </is>
      </c>
    </row>
    <row r="8" ht="26.25" customHeight="1" s="77">
      <c r="A8" s="23" t="n">
        <v>7253</v>
      </c>
      <c r="B8" s="24" t="inlineStr">
        <is>
          <t>SCRAP ACSR CONDUCTORS (Conductor Pieces)</t>
        </is>
      </c>
      <c r="C8" s="25" t="n">
        <v>227</v>
      </c>
      <c r="D8" s="26" t="n">
        <v>21980</v>
      </c>
      <c r="E8" s="26" t="inlineStr">
        <is>
          <t>KG</t>
        </is>
      </c>
      <c r="F8" s="26" t="n">
        <v>1923</v>
      </c>
      <c r="G8" s="24" t="inlineStr">
        <is>
          <t>OMKAR STEELS</t>
        </is>
      </c>
      <c r="H8" s="27" t="n">
        <v>1646431</v>
      </c>
      <c r="I8" s="27">
        <f>ROUND(H8*18%,0)</f>
        <v/>
      </c>
      <c r="J8" s="27">
        <f>+H8+I8</f>
        <v/>
      </c>
      <c r="K8" s="27">
        <f>ROUND((H8+I8)*2%,0)</f>
        <v/>
      </c>
      <c r="L8" s="28">
        <f>H8*0.1%</f>
        <v/>
      </c>
      <c r="M8" s="28">
        <f>H8*2.25%*118%</f>
        <v/>
      </c>
      <c r="N8" s="29">
        <f>H8*2.25%*2%</f>
        <v/>
      </c>
      <c r="O8" s="28">
        <f>M8-N8</f>
        <v/>
      </c>
      <c r="P8" s="28">
        <f>ROUND(O8+L8,0)</f>
        <v/>
      </c>
      <c r="Q8" s="30" t="n">
        <v>0.02</v>
      </c>
      <c r="R8" s="28">
        <f>ROUND(H8*Q8,0)</f>
        <v/>
      </c>
      <c r="S8" s="27">
        <f>ROUND(H8*117.65%-R8,0)</f>
        <v/>
      </c>
      <c r="T8" s="28">
        <f>ROUND(H8*25%,0)</f>
        <v/>
      </c>
      <c r="U8" s="31">
        <f>+T8</f>
        <v/>
      </c>
      <c r="V8" s="28" t="inlineStr">
        <is>
          <t>14.08.2026</t>
        </is>
      </c>
      <c r="W8" s="28">
        <f>ROUND(H8*92.65%-R8,0)</f>
        <v/>
      </c>
      <c r="X8" s="28" t="n">
        <v>1492490</v>
      </c>
      <c r="Y8" s="28" t="inlineStr">
        <is>
          <t>24.08.2026</t>
        </is>
      </c>
      <c r="Z8" s="28">
        <f>IF(OR(Y8="",Y8=0),H8*0.0118*CEILING((TODAY()-DATE(2026,8,22))/7,1),IF(DATE(VALUE(RIGHT(Y8,4)),VALUE(MID(Y8,4,2)),VALUE(LEFT(Y8,2)))&lt;=DATE(2026,8,24),0,H8*0.0118*CEILING((DATE(VALUE(RIGHT(Y8,4)),VALUE(MID(Y8,4,2)),VALUE(LEFT(Y8,2)))-DATE(2026,8,22))/7,1)))</f>
        <v/>
      </c>
      <c r="AA8" s="28" t="n"/>
      <c r="AB8" s="28" t="n"/>
      <c r="AC8" s="15">
        <f>U8+X8+AA8</f>
        <v/>
      </c>
      <c r="AD8" s="19">
        <f>S8-AC8</f>
        <v/>
      </c>
      <c r="AE8" s="20" t="inlineStr">
        <is>
          <t>DR2640100045</t>
        </is>
      </c>
      <c r="AF8" s="21" t="n">
        <v>1800003315</v>
      </c>
      <c r="AG8" s="22" t="inlineStr">
        <is>
          <t>27.08.2026</t>
        </is>
      </c>
    </row>
    <row r="9" ht="14.25" customHeight="1" s="77">
      <c r="A9" s="23" t="n">
        <v>1</v>
      </c>
      <c r="B9" s="24" t="inlineStr">
        <is>
          <t>Scrap Power Transformer</t>
        </is>
      </c>
      <c r="C9" s="25" t="n">
        <v>2787314</v>
      </c>
      <c r="D9" s="26" t="n">
        <v>21977</v>
      </c>
      <c r="E9" s="26" t="inlineStr">
        <is>
          <t>NO</t>
        </is>
      </c>
      <c r="F9" s="26" t="n">
        <v>1976</v>
      </c>
      <c r="G9" s="24" t="inlineStr">
        <is>
          <t>SHAR JAHAN TRADERS</t>
        </is>
      </c>
      <c r="H9" s="27" t="n">
        <v>2787314</v>
      </c>
      <c r="I9" s="27">
        <f>ROUND(H9*18%,0)</f>
        <v/>
      </c>
      <c r="J9" s="27">
        <f>+H9+I9</f>
        <v/>
      </c>
      <c r="K9" s="27">
        <f>ROUND((H9+I9)*2%,0)</f>
        <v/>
      </c>
      <c r="L9" s="28">
        <f>H9*0.1%</f>
        <v/>
      </c>
      <c r="M9" s="28">
        <f>H9*2.25%*118%</f>
        <v/>
      </c>
      <c r="N9" s="29">
        <f>H9*2.25%*2%</f>
        <v/>
      </c>
      <c r="O9" s="28">
        <f>M9-N9</f>
        <v/>
      </c>
      <c r="P9" s="28">
        <f>ROUND(O9+L9,0)</f>
        <v/>
      </c>
      <c r="Q9" s="30" t="n">
        <v>0</v>
      </c>
      <c r="R9" s="28">
        <f>ROUND(H9*Q9,0)</f>
        <v/>
      </c>
      <c r="S9" s="27">
        <f>ROUND(H9*117.65%-R9,0)</f>
        <v/>
      </c>
      <c r="T9" s="28">
        <f>ROUND(H9*25%,0)</f>
        <v/>
      </c>
      <c r="U9" s="31">
        <f>+T9</f>
        <v/>
      </c>
      <c r="V9" s="28" t="inlineStr">
        <is>
          <t>13.08.2026</t>
        </is>
      </c>
      <c r="W9" s="28">
        <f>ROUND(H9*92.65%-R9,0)</f>
        <v/>
      </c>
      <c r="X9" s="28" t="n">
        <v>2582447.09429161</v>
      </c>
      <c r="Y9" s="28" t="inlineStr">
        <is>
          <t>13.08.2026</t>
        </is>
      </c>
      <c r="Z9" s="28">
        <f>IF(OR(Y9="",Y9=0),H9*0.0118*CEILING((TODAY()-DATE(2026,8,22))/7,1),IF(DATE(VALUE(RIGHT(Y9,4)),VALUE(MID(Y9,4,2)),VALUE(LEFT(Y9,2)))&lt;=DATE(2026,8,24),0,H9*0.0118*CEILING((DATE(VALUE(RIGHT(Y9,4)),VALUE(MID(Y9,4,2)),VALUE(LEFT(Y9,2)))-DATE(2026,8,22))/7,1)))</f>
        <v/>
      </c>
      <c r="AA9" s="28" t="n"/>
      <c r="AB9" s="28" t="n"/>
      <c r="AC9" s="15">
        <f>U9+X9+AA9</f>
        <v/>
      </c>
      <c r="AD9" s="19">
        <f>S9-AC9</f>
        <v/>
      </c>
      <c r="AE9" s="20" t="inlineStr">
        <is>
          <t>DR2640100023</t>
        </is>
      </c>
      <c r="AF9" s="21" t="n">
        <v>1800003194</v>
      </c>
      <c r="AG9" s="22" t="inlineStr">
        <is>
          <t>17.08.2026</t>
        </is>
      </c>
    </row>
    <row r="10" ht="14.25" customHeight="1" s="77">
      <c r="A10" s="23" t="n">
        <v>4</v>
      </c>
      <c r="B10" s="24" t="inlineStr">
        <is>
          <t>Scrap of 132 KV CT</t>
        </is>
      </c>
      <c r="C10" s="25" t="n">
        <v>51511</v>
      </c>
      <c r="D10" s="26" t="n">
        <v>21977</v>
      </c>
      <c r="E10" s="26" t="inlineStr">
        <is>
          <t>NO</t>
        </is>
      </c>
      <c r="F10" s="26" t="n">
        <v>2002</v>
      </c>
      <c r="G10" s="24" t="inlineStr">
        <is>
          <t>NATIONAL ENTERPRISES</t>
        </is>
      </c>
      <c r="H10" s="27" t="n">
        <v>206044</v>
      </c>
      <c r="I10" s="27">
        <f>ROUND(H10*18%,0)</f>
        <v/>
      </c>
      <c r="J10" s="27">
        <f>+H10+I10</f>
        <v/>
      </c>
      <c r="K10" s="27">
        <f>ROUND((H10+I10)*2%,0)</f>
        <v/>
      </c>
      <c r="L10" s="28">
        <f>H10*0.1%</f>
        <v/>
      </c>
      <c r="M10" s="28">
        <f>H10*2.25%*118%</f>
        <v/>
      </c>
      <c r="N10" s="29">
        <f>H10*2.25%*2%</f>
        <v/>
      </c>
      <c r="O10" s="28">
        <f>M10-N10</f>
        <v/>
      </c>
      <c r="P10" s="28">
        <f>ROUND(O10+L10,0)</f>
        <v/>
      </c>
      <c r="Q10" s="30" t="n">
        <v>0</v>
      </c>
      <c r="R10" s="28">
        <f>ROUND(H10*Q10,0)</f>
        <v/>
      </c>
      <c r="S10" s="27">
        <f>ROUND(H10*117.65%-R10,0)</f>
        <v/>
      </c>
      <c r="T10" s="28">
        <f>ROUND(H10*25%,0)</f>
        <v/>
      </c>
      <c r="U10" s="31">
        <f>+T10</f>
        <v/>
      </c>
      <c r="V10" s="28" t="inlineStr">
        <is>
          <t>13.08.2026</t>
        </is>
      </c>
      <c r="W10" s="28">
        <f>ROUND(H10*92.65%-R10,0)</f>
        <v/>
      </c>
      <c r="X10" s="28" t="n">
        <v>190900</v>
      </c>
      <c r="Y10" s="28" t="inlineStr">
        <is>
          <t>24.08.2026</t>
        </is>
      </c>
      <c r="Z10" s="28">
        <f>IF(OR(Y10="",Y10=0),H10*0.0118*CEILING((TODAY()-DATE(2026,8,22))/7,1),IF(DATE(VALUE(RIGHT(Y10,4)),VALUE(MID(Y10,4,2)),VALUE(LEFT(Y10,2)))&lt;=DATE(2026,8,24),0,H10*0.0118*CEILING((DATE(VALUE(RIGHT(Y10,4)),VALUE(MID(Y10,4,2)),VALUE(LEFT(Y10,2)))-DATE(2026,8,22))/7,1)))</f>
        <v/>
      </c>
      <c r="AA10" s="28" t="n"/>
      <c r="AB10" s="28" t="n"/>
      <c r="AC10" s="15">
        <f>U10+X10+AA10</f>
        <v/>
      </c>
      <c r="AD10" s="19">
        <f>S10-AC10</f>
        <v/>
      </c>
      <c r="AE10" s="20" t="inlineStr">
        <is>
          <t>DR2640100031</t>
        </is>
      </c>
      <c r="AF10" s="21" t="n">
        <v>1800003303</v>
      </c>
      <c r="AG10" s="22" t="inlineStr">
        <is>
          <t>27.08.2026</t>
        </is>
      </c>
    </row>
    <row r="11" ht="14.25" customHeight="1" s="77">
      <c r="A11" s="23" t="n">
        <v>1</v>
      </c>
      <c r="B11" s="24" t="inlineStr">
        <is>
          <t>Scrap of 145 KV CB</t>
        </is>
      </c>
      <c r="C11" s="25" t="n">
        <v>65007</v>
      </c>
      <c r="D11" s="26" t="n">
        <v>21977</v>
      </c>
      <c r="E11" s="26" t="inlineStr">
        <is>
          <t>NO</t>
        </is>
      </c>
      <c r="F11" s="26" t="n">
        <v>2003</v>
      </c>
      <c r="G11" s="24" t="inlineStr">
        <is>
          <t>NATIONAL ENTERPRISES</t>
        </is>
      </c>
      <c r="H11" s="27" t="n">
        <v>65007</v>
      </c>
      <c r="I11" s="27">
        <f>ROUND(H11*18%,0)</f>
        <v/>
      </c>
      <c r="J11" s="27">
        <f>+H11+I11</f>
        <v/>
      </c>
      <c r="K11" s="27">
        <f>ROUND((H11+I11)*2%,0)</f>
        <v/>
      </c>
      <c r="L11" s="28">
        <f>H11*0.1%</f>
        <v/>
      </c>
      <c r="M11" s="28">
        <f>H11*2.25%*118%</f>
        <v/>
      </c>
      <c r="N11" s="29">
        <f>H11*2.25%*2%</f>
        <v/>
      </c>
      <c r="O11" s="28">
        <f>M11-N11</f>
        <v/>
      </c>
      <c r="P11" s="28">
        <f>ROUND(O11+L11,0)</f>
        <v/>
      </c>
      <c r="Q11" s="30" t="n">
        <v>0</v>
      </c>
      <c r="R11" s="28">
        <f>ROUND(H11*Q11,0)</f>
        <v/>
      </c>
      <c r="S11" s="27">
        <f>ROUND(H11*117.65%-R11,0)</f>
        <v/>
      </c>
      <c r="T11" s="28">
        <f>ROUND(H11*25%,0)</f>
        <v/>
      </c>
      <c r="U11" s="31">
        <f>+T11</f>
        <v/>
      </c>
      <c r="V11" s="28" t="inlineStr">
        <is>
          <t>13.08.2026</t>
        </is>
      </c>
      <c r="W11" s="28">
        <f>ROUND(H11*92.65%-R11,0)</f>
        <v/>
      </c>
      <c r="X11" s="28" t="n">
        <v>60229</v>
      </c>
      <c r="Y11" s="28" t="inlineStr">
        <is>
          <t>24.08.2026</t>
        </is>
      </c>
      <c r="Z11" s="28">
        <f>IF(OR(Y11="",Y11=0),H11*0.0118*CEILING((TODAY()-DATE(2026,8,22))/7,1),IF(DATE(VALUE(RIGHT(Y11,4)),VALUE(MID(Y11,4,2)),VALUE(LEFT(Y11,2)))&lt;=DATE(2026,8,24),0,H11*0.0118*CEILING((DATE(VALUE(RIGHT(Y11,4)),VALUE(MID(Y11,4,2)),VALUE(LEFT(Y11,2)))-DATE(2026,8,22))/7,1)))</f>
        <v/>
      </c>
      <c r="AA11" s="28" t="n"/>
      <c r="AB11" s="28" t="n"/>
      <c r="AC11" s="15">
        <f>U11+X11+AA11</f>
        <v/>
      </c>
      <c r="AD11" s="19">
        <f>S11-AC11</f>
        <v/>
      </c>
      <c r="AE11" s="20" t="inlineStr">
        <is>
          <t>DR2640100032</t>
        </is>
      </c>
      <c r="AF11" s="21" t="n">
        <v>1800003304</v>
      </c>
      <c r="AG11" s="22" t="inlineStr">
        <is>
          <t>27.08.2026</t>
        </is>
      </c>
    </row>
    <row r="12" ht="14.25" customHeight="1" s="77">
      <c r="A12" s="23" t="n">
        <v>1</v>
      </c>
      <c r="B12" s="24" t="inlineStr">
        <is>
          <t>Scrap of 220KV CT</t>
        </is>
      </c>
      <c r="C12" s="25" t="n">
        <v>70006</v>
      </c>
      <c r="D12" s="26" t="n">
        <v>21977</v>
      </c>
      <c r="E12" s="26" t="inlineStr">
        <is>
          <t>NO</t>
        </is>
      </c>
      <c r="F12" s="26" t="n">
        <v>2005</v>
      </c>
      <c r="G12" s="24" t="inlineStr">
        <is>
          <t>NATIONAL ENTERPRISES</t>
        </is>
      </c>
      <c r="H12" s="27" t="n">
        <v>70006</v>
      </c>
      <c r="I12" s="27">
        <f>ROUND(H12*18%,0)</f>
        <v/>
      </c>
      <c r="J12" s="27">
        <f>+H12+I12</f>
        <v/>
      </c>
      <c r="K12" s="27">
        <f>ROUND((H12+I12)*2%,0)</f>
        <v/>
      </c>
      <c r="L12" s="28">
        <f>H12*0.1%</f>
        <v/>
      </c>
      <c r="M12" s="28">
        <f>H12*2.25%*118%</f>
        <v/>
      </c>
      <c r="N12" s="29">
        <f>H12*2.25%*2%</f>
        <v/>
      </c>
      <c r="O12" s="28">
        <f>M12-N12</f>
        <v/>
      </c>
      <c r="P12" s="28">
        <f>ROUND(O12+L12,0)</f>
        <v/>
      </c>
      <c r="Q12" s="30" t="n">
        <v>0</v>
      </c>
      <c r="R12" s="28">
        <f>ROUND(H12*Q12,0)</f>
        <v/>
      </c>
      <c r="S12" s="27">
        <f>ROUND(H12*117.65%-R12,0)</f>
        <v/>
      </c>
      <c r="T12" s="28">
        <f>ROUND(H12*25%,0)</f>
        <v/>
      </c>
      <c r="U12" s="31">
        <f>+T12</f>
        <v/>
      </c>
      <c r="V12" s="28" t="inlineStr">
        <is>
          <t>13.08.2026</t>
        </is>
      </c>
      <c r="W12" s="28">
        <f>ROUND(H12*92.65%-R12,0)</f>
        <v/>
      </c>
      <c r="X12" s="28" t="n">
        <v>64859</v>
      </c>
      <c r="Y12" s="28" t="inlineStr">
        <is>
          <t>24.08.2026</t>
        </is>
      </c>
      <c r="Z12" s="28">
        <f>IF(OR(Y12="",Y12=0),H12*0.0118*CEILING((TODAY()-DATE(2026,8,22))/7,1),IF(DATE(VALUE(RIGHT(Y12,4)),VALUE(MID(Y12,4,2)),VALUE(LEFT(Y12,2)))&lt;=DATE(2026,8,24),0,H12*0.0118*CEILING((DATE(VALUE(RIGHT(Y12,4)),VALUE(MID(Y12,4,2)),VALUE(LEFT(Y12,2)))-DATE(2026,8,22))/7,1)))</f>
        <v/>
      </c>
      <c r="AA12" s="28" t="n"/>
      <c r="AB12" s="28" t="n"/>
      <c r="AC12" s="15">
        <f>U12+X12+AA12</f>
        <v/>
      </c>
      <c r="AD12" s="19">
        <f>S12-AC12</f>
        <v/>
      </c>
      <c r="AE12" s="20" t="inlineStr">
        <is>
          <t>DR2640100033</t>
        </is>
      </c>
      <c r="AF12" s="21" t="n">
        <v>1800003305</v>
      </c>
      <c r="AG12" s="22" t="inlineStr">
        <is>
          <t>27.08.2026</t>
        </is>
      </c>
    </row>
    <row r="13" ht="14.25" customHeight="1" s="77">
      <c r="A13" s="23" t="n">
        <v>25</v>
      </c>
      <c r="B13" s="24" t="inlineStr">
        <is>
          <t>Scrap of empty oil drums</t>
        </is>
      </c>
      <c r="C13" s="25" t="n">
        <v>700</v>
      </c>
      <c r="D13" s="26" t="n">
        <v>21977</v>
      </c>
      <c r="E13" s="26" t="inlineStr">
        <is>
          <t>NO</t>
        </is>
      </c>
      <c r="F13" s="26" t="n">
        <v>2006</v>
      </c>
      <c r="G13" s="24" t="inlineStr">
        <is>
          <t>STERLING ENTERPRISES</t>
        </is>
      </c>
      <c r="H13" s="27" t="n">
        <v>17500</v>
      </c>
      <c r="I13" s="27">
        <f>ROUND(H13*18%,0)</f>
        <v/>
      </c>
      <c r="J13" s="27">
        <f>+H13+I13</f>
        <v/>
      </c>
      <c r="K13" s="27">
        <f>ROUND((H13+I13)*2%,0)</f>
        <v/>
      </c>
      <c r="L13" s="28">
        <f>H13*0.1%</f>
        <v/>
      </c>
      <c r="M13" s="28">
        <f>H13*2.25%*118%</f>
        <v/>
      </c>
      <c r="N13" s="29">
        <f>H13*2.25%*2%</f>
        <v/>
      </c>
      <c r="O13" s="28">
        <f>M13-N13</f>
        <v/>
      </c>
      <c r="P13" s="28">
        <f>ROUND(O13+L13,0)</f>
        <v/>
      </c>
      <c r="Q13" s="30" t="n">
        <v>0</v>
      </c>
      <c r="R13" s="28">
        <f>ROUND(H13*Q13,0)</f>
        <v/>
      </c>
      <c r="S13" s="27">
        <f>ROUND(H13*117.65%-R13,0)</f>
        <v/>
      </c>
      <c r="T13" s="28">
        <f>ROUND(H13*25%,0)</f>
        <v/>
      </c>
      <c r="U13" s="31" t="n">
        <v>4375</v>
      </c>
      <c r="V13" s="28" t="inlineStr">
        <is>
          <t>11.08.2026</t>
        </is>
      </c>
      <c r="W13" s="28">
        <f>ROUND(H13*92.65%-R13,0)</f>
        <v/>
      </c>
      <c r="X13" s="28" t="n">
        <v>16214</v>
      </c>
      <c r="Y13" s="28" t="inlineStr">
        <is>
          <t>11.08.2026</t>
        </is>
      </c>
      <c r="Z13" s="28">
        <f>IF(OR(Y13="",Y13=0),H13*0.0118*CEILING((TODAY()-DATE(2026,8,22))/7,1),IF(DATE(VALUE(RIGHT(Y13,4)),VALUE(MID(Y13,4,2)),VALUE(LEFT(Y13,2)))&lt;=DATE(2026,8,24),0,H13*0.0118*CEILING((DATE(VALUE(RIGHT(Y13,4)),VALUE(MID(Y13,4,2)),VALUE(LEFT(Y13,2)))-DATE(2026,8,22))/7,1)))</f>
        <v/>
      </c>
      <c r="AA13" s="28" t="n"/>
      <c r="AB13" s="28" t="n"/>
      <c r="AC13" s="15">
        <f>U13+X13+AA13</f>
        <v/>
      </c>
      <c r="AD13" s="19">
        <f>S13-AC13</f>
        <v/>
      </c>
      <c r="AE13" s="20" t="inlineStr">
        <is>
          <t>DR2640100018</t>
        </is>
      </c>
      <c r="AF13" s="21" t="n">
        <v>1800003156</v>
      </c>
      <c r="AG13" s="22" t="inlineStr">
        <is>
          <t>14.08.2026</t>
        </is>
      </c>
    </row>
    <row r="14" ht="14.25" customHeight="1" s="77">
      <c r="A14" s="23" t="n">
        <v>1</v>
      </c>
      <c r="B14" s="24" t="inlineStr">
        <is>
          <t>SCRAP POWER TRANSFORMER</t>
        </is>
      </c>
      <c r="C14" s="25" t="n">
        <v>3857116</v>
      </c>
      <c r="D14" s="26" t="n">
        <v>21977</v>
      </c>
      <c r="E14" s="26" t="inlineStr">
        <is>
          <t>NO</t>
        </is>
      </c>
      <c r="F14" s="26" t="n">
        <v>2007</v>
      </c>
      <c r="G14" s="24" t="inlineStr">
        <is>
          <t>SHAR JAHAN TRADERS</t>
        </is>
      </c>
      <c r="H14" s="27" t="n">
        <v>3857116</v>
      </c>
      <c r="I14" s="27">
        <f>ROUND(H14*18%,0)</f>
        <v/>
      </c>
      <c r="J14" s="27">
        <f>+H14+I14</f>
        <v/>
      </c>
      <c r="K14" s="27">
        <f>ROUND((H14+I14)*2%,0)</f>
        <v/>
      </c>
      <c r="L14" s="28">
        <f>H14*0.1%</f>
        <v/>
      </c>
      <c r="M14" s="28">
        <f>H14*2.25%*118%</f>
        <v/>
      </c>
      <c r="N14" s="29">
        <f>H14*2.25%*2%</f>
        <v/>
      </c>
      <c r="O14" s="28">
        <f>M14-N14</f>
        <v/>
      </c>
      <c r="P14" s="28">
        <f>ROUND(O14+L14,0)</f>
        <v/>
      </c>
      <c r="Q14" s="30" t="n">
        <v>0</v>
      </c>
      <c r="R14" s="28">
        <f>ROUND(H14*Q14,0)</f>
        <v/>
      </c>
      <c r="S14" s="27">
        <f>ROUND(H14*117.65%-R14,0)</f>
        <v/>
      </c>
      <c r="T14" s="28">
        <f>ROUND(H14*25%,0)</f>
        <v/>
      </c>
      <c r="U14" s="31">
        <f>+T14</f>
        <v/>
      </c>
      <c r="V14" s="28" t="inlineStr">
        <is>
          <t>13.08.2026</t>
        </is>
      </c>
      <c r="W14" s="28">
        <f>ROUND(H14*92.65%-R14,0)</f>
        <v/>
      </c>
      <c r="X14" s="28" t="n">
        <v>3573618.90570839</v>
      </c>
      <c r="Y14" s="28" t="inlineStr">
        <is>
          <t>13.08.2026</t>
        </is>
      </c>
      <c r="Z14" s="28">
        <f>IF(OR(Y14="",Y14=0),H14*0.0118*CEILING((TODAY()-DATE(2026,8,22))/7,1),IF(DATE(VALUE(RIGHT(Y14,4)),VALUE(MID(Y14,4,2)),VALUE(LEFT(Y14,2)))&lt;=DATE(2026,8,24),0,H14*0.0118*CEILING((DATE(VALUE(RIGHT(Y14,4)),VALUE(MID(Y14,4,2)),VALUE(LEFT(Y14,2)))-DATE(2026,8,22))/7,1)))</f>
        <v/>
      </c>
      <c r="AA14" s="28" t="n"/>
      <c r="AB14" s="28" t="n"/>
      <c r="AC14" s="15">
        <f>U14+X14+AA14</f>
        <v/>
      </c>
      <c r="AD14" s="19">
        <f>S14-AC14</f>
        <v/>
      </c>
      <c r="AE14" s="20" t="inlineStr">
        <is>
          <t>DR2640100024</t>
        </is>
      </c>
      <c r="AF14" s="21" t="n">
        <v>1800003196</v>
      </c>
      <c r="AG14" s="22" t="inlineStr">
        <is>
          <t>17.08.2026</t>
        </is>
      </c>
    </row>
    <row r="15" ht="14.25" customHeight="1" s="77">
      <c r="A15" s="23" t="n">
        <v>250</v>
      </c>
      <c r="B15" s="24" t="inlineStr">
        <is>
          <t>Scrap of empty oil Druam</t>
        </is>
      </c>
      <c r="C15" s="25" t="n">
        <v>543</v>
      </c>
      <c r="D15" s="26" t="n">
        <v>21977</v>
      </c>
      <c r="E15" s="26" t="inlineStr">
        <is>
          <t>NO</t>
        </is>
      </c>
      <c r="F15" s="26" t="n">
        <v>2008</v>
      </c>
      <c r="G15" s="24" t="inlineStr">
        <is>
          <t>HIND TRADERS</t>
        </is>
      </c>
      <c r="H15" s="27" t="n">
        <v>135750</v>
      </c>
      <c r="I15" s="27">
        <f>ROUND(H15*18%,0)</f>
        <v/>
      </c>
      <c r="J15" s="27">
        <f>+H15+I15</f>
        <v/>
      </c>
      <c r="K15" s="27">
        <f>ROUND((H15+I15)*2%,0)</f>
        <v/>
      </c>
      <c r="L15" s="28">
        <f>H15*0.1%</f>
        <v/>
      </c>
      <c r="M15" s="28">
        <f>H15*2.25%*118%</f>
        <v/>
      </c>
      <c r="N15" s="29">
        <f>H15*2.25%*2%</f>
        <v/>
      </c>
      <c r="O15" s="28">
        <f>M15-N15</f>
        <v/>
      </c>
      <c r="P15" s="28">
        <f>ROUND(O15+L15,0)</f>
        <v/>
      </c>
      <c r="Q15" s="30" t="n">
        <v>0</v>
      </c>
      <c r="R15" s="28">
        <f>ROUND(H15*Q15,0)</f>
        <v/>
      </c>
      <c r="S15" s="27">
        <f>ROUND(H15*117.65%-R15,0)</f>
        <v/>
      </c>
      <c r="T15" s="28">
        <f>ROUND(H15*25%,0)</f>
        <v/>
      </c>
      <c r="U15" s="31" t="n">
        <v>33938</v>
      </c>
      <c r="V15" s="28" t="inlineStr">
        <is>
          <t>14.08.2026</t>
        </is>
      </c>
      <c r="W15" s="28">
        <f>ROUND(H15*92.65%-R15,0)</f>
        <v/>
      </c>
      <c r="X15" s="28" t="n">
        <v>125772</v>
      </c>
      <c r="Y15" s="28" t="inlineStr">
        <is>
          <t>18.08.2026</t>
        </is>
      </c>
      <c r="Z15" s="28">
        <f>IF(OR(Y15="",Y15=0),H15*0.0118*CEILING((TODAY()-DATE(2026,8,22))/7,1),IF(DATE(VALUE(RIGHT(Y15,4)),VALUE(MID(Y15,4,2)),VALUE(LEFT(Y15,2)))&lt;=DATE(2026,8,24),0,H15*0.0118*CEILING((DATE(VALUE(RIGHT(Y15,4)),VALUE(MID(Y15,4,2)),VALUE(LEFT(Y15,2)))-DATE(2026,8,22))/7,1)))</f>
        <v/>
      </c>
      <c r="AA15" s="28" t="n"/>
      <c r="AB15" s="28" t="n"/>
      <c r="AC15" s="15">
        <f>U15+X15+AA15</f>
        <v/>
      </c>
      <c r="AD15" s="19">
        <f>S15-AC15</f>
        <v/>
      </c>
      <c r="AE15" s="20" t="inlineStr">
        <is>
          <t>DR2640100026</t>
        </is>
      </c>
      <c r="AF15" s="21" t="n">
        <v>1800003247</v>
      </c>
      <c r="AG15" s="22" t="inlineStr">
        <is>
          <t>20.08.2026</t>
        </is>
      </c>
    </row>
    <row r="16" ht="14.25" customHeight="1" s="77">
      <c r="A16" s="23" t="n">
        <v>22</v>
      </c>
      <c r="B16" s="24" t="inlineStr">
        <is>
          <t>Scrap of empty oil Barrel</t>
        </is>
      </c>
      <c r="C16" s="25" t="n">
        <v>700</v>
      </c>
      <c r="D16" s="26" t="n">
        <v>21977</v>
      </c>
      <c r="E16" s="26" t="inlineStr">
        <is>
          <t>NO</t>
        </is>
      </c>
      <c r="F16" s="26" t="n">
        <v>2011</v>
      </c>
      <c r="G16" s="24" t="inlineStr">
        <is>
          <t>STERLING ENTERPRISES</t>
        </is>
      </c>
      <c r="H16" s="27" t="n">
        <v>15400</v>
      </c>
      <c r="I16" s="27">
        <f>ROUND(H16*18%,0)</f>
        <v/>
      </c>
      <c r="J16" s="27">
        <f>+H16+I16</f>
        <v/>
      </c>
      <c r="K16" s="27">
        <f>ROUND((H16+I16)*2%,0)</f>
        <v/>
      </c>
      <c r="L16" s="28">
        <f>H16*0.1%</f>
        <v/>
      </c>
      <c r="M16" s="28">
        <f>H16*2.25%*118%</f>
        <v/>
      </c>
      <c r="N16" s="29">
        <f>H16*2.25%*2%</f>
        <v/>
      </c>
      <c r="O16" s="28">
        <f>M16-N16</f>
        <v/>
      </c>
      <c r="P16" s="28">
        <f>ROUND(O16+L16,0)</f>
        <v/>
      </c>
      <c r="Q16" s="30" t="n">
        <v>0</v>
      </c>
      <c r="R16" s="28">
        <f>ROUND(H16*Q16,0)</f>
        <v/>
      </c>
      <c r="S16" s="27">
        <f>ROUND(H16*117.65%-R16,0)</f>
        <v/>
      </c>
      <c r="T16" s="28">
        <f>ROUND(H16*25%,0)</f>
        <v/>
      </c>
      <c r="U16" s="31" t="n">
        <v>3850</v>
      </c>
      <c r="V16" s="28" t="inlineStr">
        <is>
          <t>11.08.2026</t>
        </is>
      </c>
      <c r="W16" s="28">
        <f>ROUND(H16*92.65%-R16,0)</f>
        <v/>
      </c>
      <c r="X16" s="28" t="n">
        <v>14267</v>
      </c>
      <c r="Y16" s="28" t="inlineStr">
        <is>
          <t>11.08.2026</t>
        </is>
      </c>
      <c r="Z16" s="28">
        <f>IF(OR(Y16="",Y16=0),H16*0.0118*CEILING((TODAY()-DATE(2026,8,22))/7,1),IF(DATE(VALUE(RIGHT(Y16,4)),VALUE(MID(Y16,4,2)),VALUE(LEFT(Y16,2)))&lt;=DATE(2026,8,24),0,H16*0.0118*CEILING((DATE(VALUE(RIGHT(Y16,4)),VALUE(MID(Y16,4,2)),VALUE(LEFT(Y16,2)))-DATE(2026,8,22))/7,1)))</f>
        <v/>
      </c>
      <c r="AA16" s="28" t="n"/>
      <c r="AB16" s="28" t="n"/>
      <c r="AC16" s="15">
        <f>U16+X16+AA16</f>
        <v/>
      </c>
      <c r="AD16" s="19">
        <f>S16-AC16</f>
        <v/>
      </c>
      <c r="AE16" s="20" t="inlineStr">
        <is>
          <t>DR2640100019</t>
        </is>
      </c>
      <c r="AF16" s="21" t="n">
        <v>1800003157</v>
      </c>
      <c r="AG16" s="22" t="inlineStr">
        <is>
          <t>14.08.2026</t>
        </is>
      </c>
    </row>
    <row r="17" ht="14.25" customHeight="1" s="77">
      <c r="A17" s="23" t="n">
        <v>100</v>
      </c>
      <c r="B17" s="24" t="inlineStr">
        <is>
          <t>Scrap of empty oil Barrels</t>
        </is>
      </c>
      <c r="C17" s="25" t="n">
        <v>710</v>
      </c>
      <c r="D17" s="26" t="n">
        <v>21978</v>
      </c>
      <c r="E17" s="26" t="inlineStr">
        <is>
          <t>NO</t>
        </is>
      </c>
      <c r="F17" s="26" t="n">
        <v>2015</v>
      </c>
      <c r="G17" s="24" t="inlineStr">
        <is>
          <t>STERLING ENTERPRISES</t>
        </is>
      </c>
      <c r="H17" s="27" t="n">
        <v>71000</v>
      </c>
      <c r="I17" s="27">
        <f>ROUND(H17*18%,0)</f>
        <v/>
      </c>
      <c r="J17" s="27">
        <f>+H17+I17</f>
        <v/>
      </c>
      <c r="K17" s="27">
        <f>ROUND((H17+I17)*2%,0)</f>
        <v/>
      </c>
      <c r="L17" s="28">
        <f>H17*0.1%</f>
        <v/>
      </c>
      <c r="M17" s="28">
        <f>H17*2.25%*118%</f>
        <v/>
      </c>
      <c r="N17" s="29">
        <f>H17*2.25%*2%</f>
        <v/>
      </c>
      <c r="O17" s="28">
        <f>M17-N17</f>
        <v/>
      </c>
      <c r="P17" s="28">
        <f>ROUND(O17+L17,0)</f>
        <v/>
      </c>
      <c r="Q17" s="30" t="n">
        <v>0</v>
      </c>
      <c r="R17" s="28">
        <f>ROUND(H17*Q17,0)</f>
        <v/>
      </c>
      <c r="S17" s="27">
        <f>ROUND(H17*117.65%-R17,0)</f>
        <v/>
      </c>
      <c r="T17" s="28">
        <f>ROUND(H17*25%,0)</f>
        <v/>
      </c>
      <c r="U17" s="31" t="n">
        <v>17750</v>
      </c>
      <c r="V17" s="28" t="inlineStr">
        <is>
          <t>11.08.2026</t>
        </is>
      </c>
      <c r="W17" s="28">
        <f>ROUND(H17*92.65%-R17,0)</f>
        <v/>
      </c>
      <c r="X17" s="28">
        <f>+W17</f>
        <v/>
      </c>
      <c r="Y17" s="28" t="inlineStr">
        <is>
          <t>11.08.2026</t>
        </is>
      </c>
      <c r="Z17" s="28">
        <f>IF(OR(Y17="",Y17=0),H17*0.0118*CEILING((TODAY()-DATE(2026,8,22))/7,1),IF(DATE(VALUE(RIGHT(Y17,4)),VALUE(MID(Y17,4,2)),VALUE(LEFT(Y17,2)))&lt;=DATE(2026,8,24),0,H17*0.0118*CEILING((DATE(VALUE(RIGHT(Y17,4)),VALUE(MID(Y17,4,2)),VALUE(LEFT(Y17,2)))-DATE(2026,8,22))/7,1)))</f>
        <v/>
      </c>
      <c r="AA17" s="28" t="n"/>
      <c r="AB17" s="28" t="n"/>
      <c r="AC17" s="15">
        <f>U17+X17+AA17</f>
        <v/>
      </c>
      <c r="AD17" s="19">
        <f>S17-AC17</f>
        <v/>
      </c>
      <c r="AE17" s="20" t="inlineStr">
        <is>
          <t>DR2640100020</t>
        </is>
      </c>
      <c r="AF17" s="21" t="n">
        <v>1800003158</v>
      </c>
      <c r="AG17" s="22" t="inlineStr">
        <is>
          <t>14.08.2026</t>
        </is>
      </c>
    </row>
    <row r="18" ht="14.25" customHeight="1" s="77">
      <c r="A18" s="23" t="n">
        <v>1</v>
      </c>
      <c r="B18" s="24" t="inlineStr">
        <is>
          <t>Scrap of 220 KV Circuit Breaker</t>
        </is>
      </c>
      <c r="C18" s="25" t="n">
        <v>220001</v>
      </c>
      <c r="D18" s="26" t="n">
        <v>21978</v>
      </c>
      <c r="E18" s="26" t="inlineStr">
        <is>
          <t>NO</t>
        </is>
      </c>
      <c r="F18" s="26" t="n">
        <v>2018</v>
      </c>
      <c r="G18" s="24" t="inlineStr">
        <is>
          <t>NATIONAL ENTERPRISES</t>
        </is>
      </c>
      <c r="H18" s="27" t="n">
        <v>220001</v>
      </c>
      <c r="I18" s="27">
        <f>ROUND(H18*18%,0)</f>
        <v/>
      </c>
      <c r="J18" s="27">
        <f>+H18+I18</f>
        <v/>
      </c>
      <c r="K18" s="27">
        <f>ROUND((H18+I18)*2%,0)</f>
        <v/>
      </c>
      <c r="L18" s="28">
        <f>H18*0.1%</f>
        <v/>
      </c>
      <c r="M18" s="28">
        <f>H18*2.25%*118%</f>
        <v/>
      </c>
      <c r="N18" s="29">
        <f>H18*2.25%*2%</f>
        <v/>
      </c>
      <c r="O18" s="28">
        <f>M18-N18</f>
        <v/>
      </c>
      <c r="P18" s="28">
        <f>ROUND(O18+L18,0)</f>
        <v/>
      </c>
      <c r="Q18" s="30" t="n">
        <v>0</v>
      </c>
      <c r="R18" s="28">
        <f>ROUND(H18*Q18,0)</f>
        <v/>
      </c>
      <c r="S18" s="27">
        <f>ROUND(H18*117.65%-R18,0)</f>
        <v/>
      </c>
      <c r="T18" s="28">
        <f>ROUND(H18*25%,0)</f>
        <v/>
      </c>
      <c r="U18" s="31">
        <f>+T18</f>
        <v/>
      </c>
      <c r="V18" s="28" t="inlineStr">
        <is>
          <t>13.08.2026</t>
        </is>
      </c>
      <c r="W18" s="28">
        <f>ROUND(H18*92.65%-R18,0)</f>
        <v/>
      </c>
      <c r="X18" s="28" t="n">
        <v>203831</v>
      </c>
      <c r="Y18" s="28" t="inlineStr">
        <is>
          <t>24.08.2026</t>
        </is>
      </c>
      <c r="Z18" s="28">
        <f>IF(OR(Y18="",Y18=0),H18*0.0118*CEILING((TODAY()-DATE(2026,8,22))/7,1),IF(DATE(VALUE(RIGHT(Y18,4)),VALUE(MID(Y18,4,2)),VALUE(LEFT(Y18,2)))&lt;=DATE(2026,8,24),0,H18*0.0118*CEILING((DATE(VALUE(RIGHT(Y18,4)),VALUE(MID(Y18,4,2)),VALUE(LEFT(Y18,2)))-DATE(2026,8,22))/7,1)))</f>
        <v/>
      </c>
      <c r="AA18" s="28" t="n"/>
      <c r="AB18" s="28" t="n"/>
      <c r="AC18" s="15">
        <f>U18+X18+AA18</f>
        <v/>
      </c>
      <c r="AD18" s="19">
        <f>S18-AC18</f>
        <v/>
      </c>
      <c r="AE18" s="20" t="inlineStr">
        <is>
          <t>DR2640100034</t>
        </is>
      </c>
      <c r="AF18" s="21" t="n">
        <v>1800003306</v>
      </c>
      <c r="AG18" s="22" t="inlineStr">
        <is>
          <t>27.08.2026</t>
        </is>
      </c>
    </row>
    <row r="19" ht="14.25" customHeight="1" s="77">
      <c r="A19" s="23" t="n">
        <v>1</v>
      </c>
      <c r="B19" s="24" t="inlineStr">
        <is>
          <t>Scrap of 220 KV Circuit Breaker</t>
        </is>
      </c>
      <c r="C19" s="25" t="n">
        <v>210001</v>
      </c>
      <c r="D19" s="26" t="n">
        <v>21978</v>
      </c>
      <c r="E19" s="26" t="inlineStr">
        <is>
          <t>NO</t>
        </is>
      </c>
      <c r="F19" s="26" t="n">
        <v>2019</v>
      </c>
      <c r="G19" s="24" t="inlineStr">
        <is>
          <t>NATIONAL ENTERPRISES</t>
        </is>
      </c>
      <c r="H19" s="27" t="n">
        <v>210001</v>
      </c>
      <c r="I19" s="27">
        <f>ROUND(H19*18%,0)</f>
        <v/>
      </c>
      <c r="J19" s="27">
        <f>+H19+I19</f>
        <v/>
      </c>
      <c r="K19" s="27">
        <f>ROUND((H19+I19)*2%,0)</f>
        <v/>
      </c>
      <c r="L19" s="28">
        <f>H19*0.1%</f>
        <v/>
      </c>
      <c r="M19" s="28">
        <f>H19*2.25%*118%</f>
        <v/>
      </c>
      <c r="N19" s="29">
        <f>H19*2.25%*2%</f>
        <v/>
      </c>
      <c r="O19" s="28">
        <f>M19-N19</f>
        <v/>
      </c>
      <c r="P19" s="28">
        <f>ROUND(O19+L19,0)</f>
        <v/>
      </c>
      <c r="Q19" s="30" t="n">
        <v>0</v>
      </c>
      <c r="R19" s="28">
        <f>ROUND(H19*Q19,0)</f>
        <v/>
      </c>
      <c r="S19" s="27">
        <f>ROUND(H19*117.65%-R19,0)</f>
        <v/>
      </c>
      <c r="T19" s="28">
        <f>ROUND(H19*25%,0)</f>
        <v/>
      </c>
      <c r="U19" s="31">
        <f>+T19</f>
        <v/>
      </c>
      <c r="V19" s="28" t="inlineStr">
        <is>
          <t>13.08.2026</t>
        </is>
      </c>
      <c r="W19" s="28">
        <f>ROUND(H19*92.65%-R19,0)</f>
        <v/>
      </c>
      <c r="X19" s="28" t="n">
        <v>194566</v>
      </c>
      <c r="Y19" s="28" t="inlineStr">
        <is>
          <t>24.08.2026</t>
        </is>
      </c>
      <c r="Z19" s="28">
        <f>IF(OR(Y19="",Y19=0),H19*0.0118*CEILING((TODAY()-DATE(2026,8,22))/7,1),IF(DATE(VALUE(RIGHT(Y19,4)),VALUE(MID(Y19,4,2)),VALUE(LEFT(Y19,2)))&lt;=DATE(2026,8,24),0,H19*0.0118*CEILING((DATE(VALUE(RIGHT(Y19,4)),VALUE(MID(Y19,4,2)),VALUE(LEFT(Y19,2)))-DATE(2026,8,22))/7,1)))</f>
        <v/>
      </c>
      <c r="AA19" s="28" t="n"/>
      <c r="AB19" s="28" t="n"/>
      <c r="AC19" s="15">
        <f>U19+X19+AA19</f>
        <v/>
      </c>
      <c r="AD19" s="19">
        <f>S19-AC19</f>
        <v/>
      </c>
      <c r="AE19" s="20" t="inlineStr">
        <is>
          <t>DR2640100035</t>
        </is>
      </c>
      <c r="AF19" s="21" t="n">
        <v>1800003307</v>
      </c>
      <c r="AG19" s="22" t="inlineStr">
        <is>
          <t>27.08.2026</t>
        </is>
      </c>
    </row>
    <row r="20" ht="26.25" customHeight="1" s="77">
      <c r="A20" s="23" t="n">
        <v>3500</v>
      </c>
      <c r="B20" s="24" t="inlineStr">
        <is>
          <t>SCRAP 80MM² AAAC EARTHWIRE</t>
        </is>
      </c>
      <c r="C20" s="25" t="n">
        <v>333</v>
      </c>
      <c r="D20" s="26" t="n">
        <v>21978</v>
      </c>
      <c r="E20" s="26" t="inlineStr">
        <is>
          <t>KG</t>
        </is>
      </c>
      <c r="F20" s="26" t="n">
        <v>2020</v>
      </c>
      <c r="G20" s="24" t="inlineStr">
        <is>
          <t>OMKAR STEELS</t>
        </is>
      </c>
      <c r="H20" s="27" t="n">
        <v>1165500</v>
      </c>
      <c r="I20" s="27">
        <f>ROUND(H20*18%,0)</f>
        <v/>
      </c>
      <c r="J20" s="27">
        <f>+H20+I20</f>
        <v/>
      </c>
      <c r="K20" s="27">
        <f>ROUND((H20+I20)*2%,0)</f>
        <v/>
      </c>
      <c r="L20" s="28">
        <f>H20*0.1%</f>
        <v/>
      </c>
      <c r="M20" s="28">
        <f>H20*2.25%*118%</f>
        <v/>
      </c>
      <c r="N20" s="29">
        <f>H20*2.25%*2%</f>
        <v/>
      </c>
      <c r="O20" s="28">
        <f>M20-N20</f>
        <v/>
      </c>
      <c r="P20" s="28">
        <f>ROUND(O20+L20,0)</f>
        <v/>
      </c>
      <c r="Q20" s="30" t="n">
        <v>0.02</v>
      </c>
      <c r="R20" s="28">
        <f>ROUND(H20*Q20,0)</f>
        <v/>
      </c>
      <c r="S20" s="27">
        <f>ROUND(H20*117.65%-R20,0)</f>
        <v/>
      </c>
      <c r="T20" s="28">
        <f>ROUND(H20*25%,0)</f>
        <v/>
      </c>
      <c r="U20" s="31" t="n">
        <v>291375</v>
      </c>
      <c r="V20" s="28" t="inlineStr">
        <is>
          <t>10.08.2026</t>
        </is>
      </c>
      <c r="W20" s="28">
        <f>ROUND(H20*92.65%-R20,0)</f>
        <v/>
      </c>
      <c r="X20" s="28" t="n">
        <v>1056525</v>
      </c>
      <c r="Y20" s="28" t="inlineStr">
        <is>
          <t>10.08.2026</t>
        </is>
      </c>
      <c r="Z20" s="28">
        <f>IF(OR(Y20="",Y20=0),H20*0.0118*CEILING((TODAY()-DATE(2026,8,22))/7,1),IF(DATE(VALUE(RIGHT(Y20,4)),VALUE(MID(Y20,4,2)),VALUE(LEFT(Y20,2)))&lt;=DATE(2026,8,24),0,H20*0.0118*CEILING((DATE(VALUE(RIGHT(Y20,4)),VALUE(MID(Y20,4,2)),VALUE(LEFT(Y20,2)))-DATE(2026,8,22))/7,1)))</f>
        <v/>
      </c>
      <c r="AA20" s="28" t="n"/>
      <c r="AB20" s="28" t="n"/>
      <c r="AC20" s="15">
        <f>U20+X20+AA20</f>
        <v/>
      </c>
      <c r="AD20" s="19">
        <f>S20-AC20</f>
        <v/>
      </c>
      <c r="AE20" s="20" t="inlineStr">
        <is>
          <t>DR2640100017</t>
        </is>
      </c>
      <c r="AF20" s="21" t="n">
        <v>1800003065</v>
      </c>
      <c r="AG20" s="22" t="inlineStr">
        <is>
          <t>12.08.2026</t>
        </is>
      </c>
    </row>
    <row r="21" ht="39" customHeight="1" s="77">
      <c r="A21" s="23" t="n">
        <v>3</v>
      </c>
      <c r="B21" s="24" t="inlineStr">
        <is>
          <t>Scrap of 132 KV CT</t>
        </is>
      </c>
      <c r="C21" s="25" t="n">
        <v>110200</v>
      </c>
      <c r="D21" s="26" t="n">
        <v>21978</v>
      </c>
      <c r="E21" s="26" t="inlineStr">
        <is>
          <t>NO</t>
        </is>
      </c>
      <c r="F21" s="26" t="n">
        <v>2022</v>
      </c>
      <c r="G21" s="24" t="inlineStr">
        <is>
          <t>NATIONAL SCRAP AND BUILDING MATERIAL SUPPLIER</t>
        </is>
      </c>
      <c r="H21" s="27" t="n">
        <v>330600</v>
      </c>
      <c r="I21" s="27">
        <f>ROUND(H21*18%,0)</f>
        <v/>
      </c>
      <c r="J21" s="27">
        <f>+H21+I21</f>
        <v/>
      </c>
      <c r="K21" s="27">
        <f>ROUND((H21+I21)*2%,0)</f>
        <v/>
      </c>
      <c r="L21" s="28">
        <f>H21*0.1%</f>
        <v/>
      </c>
      <c r="M21" s="28">
        <f>H21*2.25%*118%</f>
        <v/>
      </c>
      <c r="N21" s="29">
        <f>H21*2.25%*2%</f>
        <v/>
      </c>
      <c r="O21" s="28">
        <f>M21-N21</f>
        <v/>
      </c>
      <c r="P21" s="28">
        <f>ROUND(O21+L21,0)</f>
        <v/>
      </c>
      <c r="Q21" s="30" t="n">
        <v>0</v>
      </c>
      <c r="R21" s="28">
        <f>ROUND(H21*Q21,0)</f>
        <v/>
      </c>
      <c r="S21" s="27">
        <f>ROUND(H21*117.65%-R21,0)</f>
        <v/>
      </c>
      <c r="T21" s="28">
        <f>ROUND(H21*25%,0)</f>
        <v/>
      </c>
      <c r="U21" s="31">
        <f>+T21</f>
        <v/>
      </c>
      <c r="V21" s="28" t="inlineStr">
        <is>
          <t>14.08.2026</t>
        </is>
      </c>
      <c r="W21" s="28">
        <f>ROUND(H21*92.65%-R21,0)</f>
        <v/>
      </c>
      <c r="X21" s="28" t="n">
        <v>306301</v>
      </c>
      <c r="Y21" s="28" t="inlineStr">
        <is>
          <t>21.08.2026</t>
        </is>
      </c>
      <c r="Z21" s="28">
        <f>IF(OR(Y21="",Y21=0),H21*0.0118*CEILING((TODAY()-DATE(2026,8,22))/7,1),IF(DATE(VALUE(RIGHT(Y21,4)),VALUE(MID(Y21,4,2)),VALUE(LEFT(Y21,2)))&lt;=DATE(2026,8,24),0,H21*0.0118*CEILING((DATE(VALUE(RIGHT(Y21,4)),VALUE(MID(Y21,4,2)),VALUE(LEFT(Y21,2)))-DATE(2026,8,22))/7,1)))</f>
        <v/>
      </c>
      <c r="AA21" s="28" t="n"/>
      <c r="AB21" s="28" t="n"/>
      <c r="AC21" s="15">
        <f>U21+X21+AA21</f>
        <v/>
      </c>
      <c r="AD21" s="19">
        <f>S21-AC21</f>
        <v/>
      </c>
      <c r="AE21" s="20" t="inlineStr">
        <is>
          <t>DR2640100028</t>
        </is>
      </c>
      <c r="AF21" s="21" t="n">
        <v>1800003269</v>
      </c>
      <c r="AG21" s="22" t="inlineStr">
        <is>
          <t>24.08.2026</t>
        </is>
      </c>
    </row>
    <row r="22" ht="14.25" customHeight="1" s="77">
      <c r="A22" s="23" t="n">
        <v>3</v>
      </c>
      <c r="B22" s="24" t="inlineStr">
        <is>
          <t>Scrap of 132 KV CT</t>
        </is>
      </c>
      <c r="C22" s="25" t="n">
        <v>83743</v>
      </c>
      <c r="D22" s="26" t="n">
        <v>21978</v>
      </c>
      <c r="E22" s="26" t="inlineStr">
        <is>
          <t>NO</t>
        </is>
      </c>
      <c r="F22" s="26" t="n">
        <v>2023</v>
      </c>
      <c r="G22" s="24" t="inlineStr">
        <is>
          <t>NATIONAL ENTERPRISES</t>
        </is>
      </c>
      <c r="H22" s="27" t="n">
        <v>251229</v>
      </c>
      <c r="I22" s="27">
        <f>ROUND(H22*18%,0)</f>
        <v/>
      </c>
      <c r="J22" s="27">
        <f>+H22+I22</f>
        <v/>
      </c>
      <c r="K22" s="27">
        <f>ROUND((H22+I22)*2%,0)</f>
        <v/>
      </c>
      <c r="L22" s="28">
        <f>H22*0.1%</f>
        <v/>
      </c>
      <c r="M22" s="28">
        <f>H22*2.25%*118%</f>
        <v/>
      </c>
      <c r="N22" s="29">
        <f>H22*2.25%*2%</f>
        <v/>
      </c>
      <c r="O22" s="28">
        <f>M22-N22</f>
        <v/>
      </c>
      <c r="P22" s="28">
        <f>ROUND(O22+L22,0)</f>
        <v/>
      </c>
      <c r="Q22" s="30" t="n">
        <v>0</v>
      </c>
      <c r="R22" s="28">
        <f>ROUND(H22*Q22,0)</f>
        <v/>
      </c>
      <c r="S22" s="27">
        <f>ROUND(H22*117.65%-R22,0)</f>
        <v/>
      </c>
      <c r="T22" s="28">
        <f>ROUND(H22*25%,0)</f>
        <v/>
      </c>
      <c r="U22" s="31">
        <f>+T22</f>
        <v/>
      </c>
      <c r="V22" s="28" t="inlineStr">
        <is>
          <t>13.08.2026</t>
        </is>
      </c>
      <c r="W22" s="28">
        <f>ROUND(H22*92.65%-R22,0)</f>
        <v/>
      </c>
      <c r="X22" s="28" t="n">
        <v>232764</v>
      </c>
      <c r="Y22" s="28" t="inlineStr">
        <is>
          <t>24.08.2026</t>
        </is>
      </c>
      <c r="Z22" s="28">
        <f>IF(OR(Y22="",Y22=0),H22*0.0118*CEILING((TODAY()-DATE(2026,8,22))/7,1),IF(DATE(VALUE(RIGHT(Y22,4)),VALUE(MID(Y22,4,2)),VALUE(LEFT(Y22,2)))&lt;=DATE(2026,8,24),0,H22*0.0118*CEILING((DATE(VALUE(RIGHT(Y22,4)),VALUE(MID(Y22,4,2)),VALUE(LEFT(Y22,2)))-DATE(2026,8,22))/7,1)))</f>
        <v/>
      </c>
      <c r="AA22" s="28" t="n"/>
      <c r="AB22" s="28" t="n"/>
      <c r="AC22" s="15">
        <f>U22+X22+AA22</f>
        <v/>
      </c>
      <c r="AD22" s="19">
        <f>S22-AC22</f>
        <v/>
      </c>
      <c r="AE22" s="20" t="inlineStr">
        <is>
          <t>DR2640100044</t>
        </is>
      </c>
      <c r="AF22" s="21" t="n">
        <v>1800003308</v>
      </c>
      <c r="AG22" s="22" t="inlineStr">
        <is>
          <t>27.08.2026</t>
        </is>
      </c>
    </row>
    <row r="23" ht="14.25" customHeight="1" s="77">
      <c r="A23" s="23" t="n">
        <v>90</v>
      </c>
      <c r="B23" s="24" t="inlineStr">
        <is>
          <t>Scrap of empty oil Barrels</t>
        </is>
      </c>
      <c r="C23" s="25" t="n">
        <v>700</v>
      </c>
      <c r="D23" s="26" t="n">
        <v>21978</v>
      </c>
      <c r="E23" s="26" t="inlineStr">
        <is>
          <t>NO</t>
        </is>
      </c>
      <c r="F23" s="26" t="n">
        <v>2025</v>
      </c>
      <c r="G23" s="24" t="inlineStr">
        <is>
          <t>STERLING ENTERPRISES</t>
        </is>
      </c>
      <c r="H23" s="27" t="n">
        <v>63000</v>
      </c>
      <c r="I23" s="27">
        <f>ROUND(H23*18%,0)</f>
        <v/>
      </c>
      <c r="J23" s="27">
        <f>+H23+I23</f>
        <v/>
      </c>
      <c r="K23" s="27">
        <f>ROUND((H23+I23)*2%,0)</f>
        <v/>
      </c>
      <c r="L23" s="28">
        <f>H23*0.1%</f>
        <v/>
      </c>
      <c r="M23" s="28">
        <f>H23*2.25%*118%</f>
        <v/>
      </c>
      <c r="N23" s="29">
        <f>H23*2.25%*2%</f>
        <v/>
      </c>
      <c r="O23" s="28">
        <f>M23-N23</f>
        <v/>
      </c>
      <c r="P23" s="28">
        <f>ROUND(O23+L23,0)</f>
        <v/>
      </c>
      <c r="Q23" s="30" t="n">
        <v>0</v>
      </c>
      <c r="R23" s="28">
        <f>ROUND(H23*Q23,0)</f>
        <v/>
      </c>
      <c r="S23" s="27">
        <f>ROUND(H23*117.65%-R23,0)</f>
        <v/>
      </c>
      <c r="T23" s="28">
        <f>ROUND(H23*25%,0)</f>
        <v/>
      </c>
      <c r="U23" s="31" t="n">
        <v>15750</v>
      </c>
      <c r="V23" s="28" t="inlineStr">
        <is>
          <t>11.08.2026</t>
        </is>
      </c>
      <c r="W23" s="28">
        <f>ROUND(H23*92.65%-R23,0)</f>
        <v/>
      </c>
      <c r="X23" s="28" t="n">
        <v>58418</v>
      </c>
      <c r="Y23" s="28" t="inlineStr">
        <is>
          <t>11.08.2026</t>
        </is>
      </c>
      <c r="Z23" s="28">
        <f>IF(OR(Y23="",Y23=0),H23*0.0118*CEILING((TODAY()-DATE(2026,8,22))/7,1),IF(DATE(VALUE(RIGHT(Y23,4)),VALUE(MID(Y23,4,2)),VALUE(LEFT(Y23,2)))&lt;=DATE(2026,8,24),0,H23*0.0118*CEILING((DATE(VALUE(RIGHT(Y23,4)),VALUE(MID(Y23,4,2)),VALUE(LEFT(Y23,2)))-DATE(2026,8,22))/7,1)))</f>
        <v/>
      </c>
      <c r="AA23" s="28" t="n"/>
      <c r="AB23" s="28" t="n"/>
      <c r="AC23" s="15">
        <f>U23+X23+AA23</f>
        <v/>
      </c>
      <c r="AD23" s="19">
        <f>S23-AC23</f>
        <v/>
      </c>
      <c r="AE23" s="20" t="inlineStr">
        <is>
          <t>DR2640100021</t>
        </is>
      </c>
      <c r="AF23" s="21" t="n">
        <v>1800003160</v>
      </c>
      <c r="AG23" s="22" t="inlineStr">
        <is>
          <t>14.08.2026</t>
        </is>
      </c>
    </row>
    <row r="24" ht="14.25" customHeight="1" s="77">
      <c r="A24" s="23" t="n">
        <v>1</v>
      </c>
      <c r="B24" s="24" t="inlineStr">
        <is>
          <t>Scrap of 132 KV CT</t>
        </is>
      </c>
      <c r="C24" s="25" t="n">
        <v>50003</v>
      </c>
      <c r="D24" s="26" t="n">
        <v>21978</v>
      </c>
      <c r="E24" s="26" t="inlineStr">
        <is>
          <t>NO</t>
        </is>
      </c>
      <c r="F24" s="26" t="n">
        <v>2027</v>
      </c>
      <c r="G24" s="24" t="inlineStr">
        <is>
          <t>NATIONAL ENTERPRISES</t>
        </is>
      </c>
      <c r="H24" s="27" t="n">
        <v>50003</v>
      </c>
      <c r="I24" s="27">
        <f>ROUND(H24*18%,0)</f>
        <v/>
      </c>
      <c r="J24" s="27">
        <f>+H24+I24</f>
        <v/>
      </c>
      <c r="K24" s="27">
        <f>ROUND((H24+I24)*2%,0)</f>
        <v/>
      </c>
      <c r="L24" s="28">
        <f>H24*0.1%</f>
        <v/>
      </c>
      <c r="M24" s="28">
        <f>H24*2.25%*118%</f>
        <v/>
      </c>
      <c r="N24" s="29">
        <f>H24*2.25%*2%</f>
        <v/>
      </c>
      <c r="O24" s="28">
        <f>M24-N24</f>
        <v/>
      </c>
      <c r="P24" s="28">
        <f>ROUND(O24+L24,0)</f>
        <v/>
      </c>
      <c r="Q24" s="30" t="n">
        <v>0</v>
      </c>
      <c r="R24" s="28">
        <f>ROUND(H24*Q24,0)</f>
        <v/>
      </c>
      <c r="S24" s="27">
        <f>ROUND(H24*117.65%-R24,0)</f>
        <v/>
      </c>
      <c r="T24" s="28">
        <f>ROUND(H24*25%,0)</f>
        <v/>
      </c>
      <c r="U24" s="31">
        <f>+T24</f>
        <v/>
      </c>
      <c r="V24" s="28" t="inlineStr">
        <is>
          <t>13.08.2026</t>
        </is>
      </c>
      <c r="W24" s="28">
        <f>ROUND(H24*92.65%-R24,0)</f>
        <v/>
      </c>
      <c r="X24" s="28" t="n">
        <v>46328</v>
      </c>
      <c r="Y24" s="28" t="inlineStr">
        <is>
          <t>24.08.2026</t>
        </is>
      </c>
      <c r="Z24" s="28">
        <f>IF(OR(Y24="",Y24=0),H24*0.0118*CEILING((TODAY()-DATE(2026,8,22))/7,1),IF(DATE(VALUE(RIGHT(Y24,4)),VALUE(MID(Y24,4,2)),VALUE(LEFT(Y24,2)))&lt;=DATE(2026,8,24),0,H24*0.0118*CEILING((DATE(VALUE(RIGHT(Y24,4)),VALUE(MID(Y24,4,2)),VALUE(LEFT(Y24,2)))-DATE(2026,8,22))/7,1)))</f>
        <v/>
      </c>
      <c r="AA24" s="28" t="n"/>
      <c r="AB24" s="28" t="n"/>
      <c r="AC24" s="15">
        <f>U24+X24+AA24</f>
        <v/>
      </c>
      <c r="AD24" s="19">
        <f>S24-AC24</f>
        <v/>
      </c>
      <c r="AE24" s="20" t="inlineStr">
        <is>
          <t>DR2640100036</t>
        </is>
      </c>
      <c r="AF24" s="21" t="n">
        <v>1800003309</v>
      </c>
      <c r="AG24" s="22" t="inlineStr">
        <is>
          <t>27.08.2026</t>
        </is>
      </c>
    </row>
    <row r="25" ht="14.25" customHeight="1" s="77">
      <c r="A25" s="23" t="n">
        <v>1000</v>
      </c>
      <c r="B25" s="24" t="inlineStr">
        <is>
          <t>Scrap Empty Oil Drum/ Barrel</t>
        </is>
      </c>
      <c r="C25" s="25" t="n">
        <v>517</v>
      </c>
      <c r="D25" s="26" t="n">
        <v>21978</v>
      </c>
      <c r="E25" s="26" t="inlineStr">
        <is>
          <t>NO</t>
        </is>
      </c>
      <c r="F25" s="26" t="n">
        <v>2033</v>
      </c>
      <c r="G25" s="24" t="inlineStr">
        <is>
          <t>WATAN SCRAP TRADERS</t>
        </is>
      </c>
      <c r="H25" s="27" t="n">
        <v>517000</v>
      </c>
      <c r="I25" s="27">
        <f>ROUND(H25*18%,0)</f>
        <v/>
      </c>
      <c r="J25" s="27">
        <f>+H25+I25</f>
        <v/>
      </c>
      <c r="K25" s="27">
        <f>ROUND((H25+I25)*2%,0)</f>
        <v/>
      </c>
      <c r="L25" s="28">
        <f>H25*0.1%</f>
        <v/>
      </c>
      <c r="M25" s="28">
        <f>H25*2.25%*118%</f>
        <v/>
      </c>
      <c r="N25" s="29">
        <f>H25*2.25%*2%</f>
        <v/>
      </c>
      <c r="O25" s="28">
        <f>M25-N25</f>
        <v/>
      </c>
      <c r="P25" s="28">
        <f>ROUND(O25+L25,0)</f>
        <v/>
      </c>
      <c r="Q25" s="30" t="n">
        <v>0</v>
      </c>
      <c r="R25" s="28">
        <f>ROUND(H25*Q25,0)</f>
        <v/>
      </c>
      <c r="S25" s="27">
        <f>ROUND(H25*117.65%-R25,0)</f>
        <v/>
      </c>
      <c r="T25" s="28">
        <f>ROUND(H25*25%,0)</f>
        <v/>
      </c>
      <c r="U25" s="31" t="n">
        <v>129250</v>
      </c>
      <c r="V25" s="28" t="inlineStr">
        <is>
          <t>14.08.2026</t>
        </is>
      </c>
      <c r="W25" s="28">
        <f>ROUND(H25*92.65%-R25,0)</f>
        <v/>
      </c>
      <c r="X25" s="28" t="n">
        <v>479001</v>
      </c>
      <c r="Y25" s="28" t="inlineStr">
        <is>
          <t>21.08.2026</t>
        </is>
      </c>
      <c r="Z25" s="28">
        <f>IF(OR(Y25="",Y25=0),H25*0.0118*CEILING((TODAY()-DATE(2026,8,22))/7,1),IF(DATE(VALUE(RIGHT(Y25,4)),VALUE(MID(Y25,4,2)),VALUE(LEFT(Y25,2)))&lt;=DATE(2026,8,24),0,H25*0.0118*CEILING((DATE(VALUE(RIGHT(Y25,4)),VALUE(MID(Y25,4,2)),VALUE(LEFT(Y25,2)))-DATE(2026,8,22))/7,1)))</f>
        <v/>
      </c>
      <c r="AA25" s="28" t="n"/>
      <c r="AB25" s="28" t="n"/>
      <c r="AC25" s="15">
        <f>U25+X25+AA25</f>
        <v/>
      </c>
      <c r="AD25" s="19">
        <f>S25-AC25</f>
        <v/>
      </c>
      <c r="AE25" s="20" t="inlineStr">
        <is>
          <t>DR2640100042</t>
        </is>
      </c>
      <c r="AF25" s="21" t="n">
        <v>1800003317</v>
      </c>
      <c r="AG25" s="22" t="inlineStr">
        <is>
          <t>27.08.2026</t>
        </is>
      </c>
    </row>
    <row r="26" ht="14.25" customHeight="1" s="77">
      <c r="A26" s="23" t="n">
        <v>2</v>
      </c>
      <c r="B26" s="24" t="inlineStr">
        <is>
          <t>Scrap of 132 KV Wave Trap</t>
        </is>
      </c>
      <c r="C26" s="25" t="n">
        <v>14001</v>
      </c>
      <c r="D26" s="26" t="n">
        <v>21978</v>
      </c>
      <c r="E26" s="26" t="inlineStr">
        <is>
          <t>NO</t>
        </is>
      </c>
      <c r="F26" s="26" t="n">
        <v>2035</v>
      </c>
      <c r="G26" s="24" t="inlineStr">
        <is>
          <t>NATIONAL ENTERPRISES</t>
        </is>
      </c>
      <c r="H26" s="27" t="n">
        <v>28002</v>
      </c>
      <c r="I26" s="27">
        <f>ROUND(H26*18%,0)</f>
        <v/>
      </c>
      <c r="J26" s="27">
        <f>+H26+I26</f>
        <v/>
      </c>
      <c r="K26" s="27">
        <f>ROUND((H26+I26)*2%,0)</f>
        <v/>
      </c>
      <c r="L26" s="28">
        <f>H26*0.1%</f>
        <v/>
      </c>
      <c r="M26" s="28">
        <f>H26*2.25%*118%</f>
        <v/>
      </c>
      <c r="N26" s="29">
        <f>H26*2.25%*2%</f>
        <v/>
      </c>
      <c r="O26" s="28">
        <f>M26-N26</f>
        <v/>
      </c>
      <c r="P26" s="28">
        <f>ROUND(O26+L26,0)</f>
        <v/>
      </c>
      <c r="Q26" s="30" t="n">
        <v>0</v>
      </c>
      <c r="R26" s="28">
        <f>ROUND(H26*Q26,0)</f>
        <v/>
      </c>
      <c r="S26" s="27">
        <f>ROUND(H26*117.65%-R26,0)</f>
        <v/>
      </c>
      <c r="T26" s="28">
        <f>ROUND(H26*25%,0)</f>
        <v/>
      </c>
      <c r="U26" s="31">
        <f>+T26</f>
        <v/>
      </c>
      <c r="V26" s="28" t="inlineStr">
        <is>
          <t>13.08.2026</t>
        </is>
      </c>
      <c r="W26" s="28">
        <f>ROUND(H26*92.65%-R26,0)</f>
        <v/>
      </c>
      <c r="X26" s="28" t="n">
        <v>25943</v>
      </c>
      <c r="Y26" s="28" t="inlineStr">
        <is>
          <t>24.08.2026</t>
        </is>
      </c>
      <c r="Z26" s="28">
        <f>IF(OR(Y26="",Y26=0),H26*0.0118*CEILING((TODAY()-DATE(2026,8,22))/7,1),IF(DATE(VALUE(RIGHT(Y26,4)),VALUE(MID(Y26,4,2)),VALUE(LEFT(Y26,2)))&lt;=DATE(2026,8,24),0,H26*0.0118*CEILING((DATE(VALUE(RIGHT(Y26,4)),VALUE(MID(Y26,4,2)),VALUE(LEFT(Y26,2)))-DATE(2026,8,22))/7,1)))</f>
        <v/>
      </c>
      <c r="AA26" s="28" t="n"/>
      <c r="AB26" s="28" t="n"/>
      <c r="AC26" s="15">
        <f>U26+X26+AA26</f>
        <v/>
      </c>
      <c r="AD26" s="19">
        <f>S26-AC26</f>
        <v/>
      </c>
      <c r="AE26" s="20" t="inlineStr">
        <is>
          <t>DR2640100037</t>
        </is>
      </c>
      <c r="AF26" s="21" t="n">
        <v>1800003310</v>
      </c>
      <c r="AG26" s="22" t="inlineStr">
        <is>
          <t>27.08.2026</t>
        </is>
      </c>
    </row>
    <row r="27" ht="26.25" customHeight="1" s="77">
      <c r="A27" s="23" t="n">
        <v>8.199999999999999</v>
      </c>
      <c r="B27" s="24" t="inlineStr">
        <is>
          <t>Mix Scrap (Tower angles &amp; 0.2 ACSR Condutor pieces)</t>
        </is>
      </c>
      <c r="C27" s="25" t="n">
        <v>67000</v>
      </c>
      <c r="D27" s="26" t="n">
        <v>21978</v>
      </c>
      <c r="E27" s="26" t="inlineStr">
        <is>
          <t>MT</t>
        </is>
      </c>
      <c r="F27" s="26" t="n">
        <v>2036</v>
      </c>
      <c r="G27" s="24" t="inlineStr">
        <is>
          <t>M I SCRAP TRADERS</t>
        </is>
      </c>
      <c r="H27" s="27" t="n">
        <v>549400</v>
      </c>
      <c r="I27" s="27">
        <f>ROUND(H27*18%,0)</f>
        <v/>
      </c>
      <c r="J27" s="27">
        <f>+H27+I27</f>
        <v/>
      </c>
      <c r="K27" s="27">
        <f>ROUND((H27+I27)*2%,0)</f>
        <v/>
      </c>
      <c r="L27" s="28">
        <f>H27*0.1%</f>
        <v/>
      </c>
      <c r="M27" s="28">
        <f>H27*2.25%*118%</f>
        <v/>
      </c>
      <c r="N27" s="29">
        <f>H27*2.25%*2%</f>
        <v/>
      </c>
      <c r="O27" s="28">
        <f>M27-N27</f>
        <v/>
      </c>
      <c r="P27" s="28">
        <f>ROUND(O27+L27,0)</f>
        <v/>
      </c>
      <c r="Q27" s="30" t="n">
        <v>0.02</v>
      </c>
      <c r="R27" s="28">
        <f>ROUND(H27*Q27,0)</f>
        <v/>
      </c>
      <c r="S27" s="27">
        <f>ROUND(H27*117.65%-R27,0)</f>
        <v/>
      </c>
      <c r="T27" s="28">
        <f>ROUND(H27*25%,0)</f>
        <v/>
      </c>
      <c r="U27" s="31" t="n">
        <v>137350</v>
      </c>
      <c r="V27" s="28" t="inlineStr">
        <is>
          <t>14.08.2026</t>
        </is>
      </c>
      <c r="W27" s="28">
        <f>ROUND(H27*92.65%-R27,0)</f>
        <v/>
      </c>
      <c r="X27" s="28" t="n"/>
      <c r="Y27" s="28" t="n">
        <v>0</v>
      </c>
      <c r="Z27" s="28">
        <f>IF(OR(Y27="",Y27=0),H27*0.0118*CEILING((TODAY()-DATE(2026,8,22))/7,1),IF(DATE(VALUE(RIGHT(Y27,4)),VALUE(MID(Y27,4,2)),VALUE(LEFT(Y27,2)))&lt;=DATE(2026,8,24),0,H27*0.0118*CEILING((DATE(VALUE(RIGHT(Y27,4)),VALUE(MID(Y27,4,2)),VALUE(LEFT(Y27,2)))-DATE(2026,8,22))/7,1)))</f>
        <v/>
      </c>
      <c r="AA27" s="28" t="n"/>
      <c r="AB27" s="28" t="n"/>
      <c r="AC27" s="15">
        <f>U27+X27+AA27</f>
        <v/>
      </c>
      <c r="AD27" s="19">
        <f>S27-AC27</f>
        <v/>
      </c>
      <c r="AE27" s="20" t="n"/>
      <c r="AF27" s="21" t="n"/>
      <c r="AG27" s="22" t="n"/>
    </row>
    <row r="28" ht="14.25" customHeight="1" s="77">
      <c r="A28" s="23" t="n">
        <v>50</v>
      </c>
      <c r="B28" s="24" t="inlineStr">
        <is>
          <t>Scrap of empty oil Barrels</t>
        </is>
      </c>
      <c r="C28" s="25" t="n">
        <v>531</v>
      </c>
      <c r="D28" s="26" t="n">
        <v>21978</v>
      </c>
      <c r="E28" s="26" t="inlineStr">
        <is>
          <t>NO</t>
        </is>
      </c>
      <c r="F28" s="26" t="n">
        <v>2037</v>
      </c>
      <c r="G28" s="24" t="inlineStr">
        <is>
          <t>WATAN SCRAP TRADERS</t>
        </is>
      </c>
      <c r="H28" s="27" t="n">
        <v>26550</v>
      </c>
      <c r="I28" s="27">
        <f>ROUND(H28*18%,0)</f>
        <v/>
      </c>
      <c r="J28" s="27">
        <f>+H28+I28</f>
        <v/>
      </c>
      <c r="K28" s="27">
        <f>ROUND((H28+I28)*2%,0)</f>
        <v/>
      </c>
      <c r="L28" s="28">
        <f>H28*0.1%</f>
        <v/>
      </c>
      <c r="M28" s="28">
        <f>H28*2.25%*118%</f>
        <v/>
      </c>
      <c r="N28" s="29">
        <f>H28*2.25%*2%</f>
        <v/>
      </c>
      <c r="O28" s="28">
        <f>M28-N28</f>
        <v/>
      </c>
      <c r="P28" s="28">
        <f>ROUND(O28+L28,0)</f>
        <v/>
      </c>
      <c r="Q28" s="30" t="n">
        <v>0</v>
      </c>
      <c r="R28" s="28">
        <f>ROUND(H28*Q28,0)</f>
        <v/>
      </c>
      <c r="S28" s="27">
        <f>ROUND(H28*117.65%-R28,0)</f>
        <v/>
      </c>
      <c r="T28" s="28">
        <f>ROUND(H28*25%,0)</f>
        <v/>
      </c>
      <c r="U28" s="31" t="n">
        <v>6638</v>
      </c>
      <c r="V28" s="28" t="inlineStr">
        <is>
          <t>14.08.2026</t>
        </is>
      </c>
      <c r="W28" s="28">
        <f>ROUND(H28*92.65%-R28,0)</f>
        <v/>
      </c>
      <c r="X28" s="28" t="n">
        <v>24598</v>
      </c>
      <c r="Y28" s="28" t="inlineStr">
        <is>
          <t>21.08.2026</t>
        </is>
      </c>
      <c r="Z28" s="28">
        <f>IF(OR(Y28="",Y28=0),H28*0.0118*CEILING((TODAY()-DATE(2026,8,22))/7,1),IF(DATE(VALUE(RIGHT(Y28,4)),VALUE(MID(Y28,4,2)),VALUE(LEFT(Y28,2)))&lt;=DATE(2026,8,24),0,H28*0.0118*CEILING((DATE(VALUE(RIGHT(Y28,4)),VALUE(MID(Y28,4,2)),VALUE(LEFT(Y28,2)))-DATE(2026,8,22))/7,1)))</f>
        <v/>
      </c>
      <c r="AA28" s="28" t="n"/>
      <c r="AB28" s="28" t="n"/>
      <c r="AC28" s="15">
        <f>U28+X28+AA28</f>
        <v/>
      </c>
      <c r="AD28" s="19">
        <f>S28-AC28</f>
        <v/>
      </c>
      <c r="AE28" s="20" t="inlineStr">
        <is>
          <t>DR2640100043</t>
        </is>
      </c>
      <c r="AF28" s="21" t="n">
        <v>1800003318</v>
      </c>
      <c r="AG28" s="22" t="inlineStr">
        <is>
          <t>27.08.2026</t>
        </is>
      </c>
    </row>
    <row r="29" ht="14.25" customHeight="1" s="77">
      <c r="A29" s="23" t="n">
        <v>3</v>
      </c>
      <c r="B29" s="24" t="inlineStr">
        <is>
          <t>Scrap of 33 KV CT</t>
        </is>
      </c>
      <c r="C29" s="25" t="n">
        <v>90002</v>
      </c>
      <c r="D29" s="26" t="n">
        <v>21978</v>
      </c>
      <c r="E29" s="26" t="inlineStr">
        <is>
          <t>NO</t>
        </is>
      </c>
      <c r="F29" s="26" t="n">
        <v>2040</v>
      </c>
      <c r="G29" s="24" t="inlineStr">
        <is>
          <t>STERLING ENTERPRISES</t>
        </is>
      </c>
      <c r="H29" s="27" t="n">
        <v>270006</v>
      </c>
      <c r="I29" s="27">
        <f>ROUND(H29*18%,0)</f>
        <v/>
      </c>
      <c r="J29" s="27">
        <f>+H29+I29</f>
        <v/>
      </c>
      <c r="K29" s="27">
        <f>ROUND((H29+I29)*2%,0)</f>
        <v/>
      </c>
      <c r="L29" s="28">
        <f>H29*0.1%</f>
        <v/>
      </c>
      <c r="M29" s="28">
        <f>H29*2.25%*118%</f>
        <v/>
      </c>
      <c r="N29" s="29">
        <f>H29*2.25%*2%</f>
        <v/>
      </c>
      <c r="O29" s="28">
        <f>M29-N29</f>
        <v/>
      </c>
      <c r="P29" s="28">
        <f>ROUND(O29+L29,0)</f>
        <v/>
      </c>
      <c r="Q29" s="30" t="n">
        <v>0</v>
      </c>
      <c r="R29" s="28">
        <f>ROUND(H29*Q29,0)</f>
        <v/>
      </c>
      <c r="S29" s="27">
        <f>ROUND(H29*117.65%-R29,0)</f>
        <v/>
      </c>
      <c r="T29" s="28">
        <f>ROUND(H29*25%,0)</f>
        <v/>
      </c>
      <c r="U29" s="31" t="n">
        <v>67502</v>
      </c>
      <c r="V29" s="28" t="inlineStr">
        <is>
          <t>11.08.2026</t>
        </is>
      </c>
      <c r="W29" s="28">
        <f>ROUND(H29*92.65%-R29,0)</f>
        <v/>
      </c>
      <c r="X29" s="28" t="n"/>
      <c r="Y29" s="28" t="n">
        <v>0</v>
      </c>
      <c r="Z29" s="28">
        <f>IF(OR(Y29="",Y29=0),H29*0.0118*CEILING((TODAY()-DATE(2026,8,22))/7,1),IF(DATE(VALUE(RIGHT(Y29,4)),VALUE(MID(Y29,4,2)),VALUE(LEFT(Y29,2)))&lt;=DATE(2026,8,24),0,H29*0.0118*CEILING((DATE(VALUE(RIGHT(Y29,4)),VALUE(MID(Y29,4,2)),VALUE(LEFT(Y29,2)))-DATE(2026,8,22))/7,1)))</f>
        <v/>
      </c>
      <c r="AA29" s="28" t="n"/>
      <c r="AB29" s="28" t="n"/>
      <c r="AC29" s="15">
        <f>U29+X29+AA29</f>
        <v/>
      </c>
      <c r="AD29" s="19">
        <f>S29-AC29</f>
        <v/>
      </c>
      <c r="AE29" s="20" t="n"/>
      <c r="AF29" s="21" t="n"/>
      <c r="AG29" s="22" t="n"/>
    </row>
    <row r="30" ht="14.25" customHeight="1" s="77">
      <c r="A30" s="23" t="n">
        <v>5</v>
      </c>
      <c r="B30" s="24" t="inlineStr">
        <is>
          <t>Scrap of 132 KV CT</t>
        </is>
      </c>
      <c r="C30" s="25" t="n">
        <v>80000</v>
      </c>
      <c r="D30" s="26" t="n">
        <v>21979</v>
      </c>
      <c r="E30" s="26" t="inlineStr">
        <is>
          <t>NO</t>
        </is>
      </c>
      <c r="F30" s="26" t="n">
        <v>2043</v>
      </c>
      <c r="G30" s="24" t="inlineStr">
        <is>
          <t>NATIONAL ENTERPRISES</t>
        </is>
      </c>
      <c r="H30" s="27" t="n">
        <v>400000</v>
      </c>
      <c r="I30" s="27">
        <f>ROUND(H30*18%,0)</f>
        <v/>
      </c>
      <c r="J30" s="27">
        <f>+H30+I30</f>
        <v/>
      </c>
      <c r="K30" s="27">
        <f>ROUND((H30+I30)*2%,0)</f>
        <v/>
      </c>
      <c r="L30" s="28">
        <f>H30*0.1%</f>
        <v/>
      </c>
      <c r="M30" s="28">
        <f>H30*2.25%*118%</f>
        <v/>
      </c>
      <c r="N30" s="29">
        <f>H30*2.25%*2%</f>
        <v/>
      </c>
      <c r="O30" s="28">
        <f>M30-N30</f>
        <v/>
      </c>
      <c r="P30" s="28">
        <f>ROUND(O30+L30,0)</f>
        <v/>
      </c>
      <c r="Q30" s="30" t="n">
        <v>0</v>
      </c>
      <c r="R30" s="28">
        <f>ROUND(H30*Q30,0)</f>
        <v/>
      </c>
      <c r="S30" s="27">
        <f>ROUND(H30*117.65%-R30,0)</f>
        <v/>
      </c>
      <c r="T30" s="28">
        <f>ROUND(H30*25%,0)</f>
        <v/>
      </c>
      <c r="U30" s="31">
        <f>+T30</f>
        <v/>
      </c>
      <c r="V30" s="28" t="inlineStr">
        <is>
          <t>13.08.2026</t>
        </is>
      </c>
      <c r="W30" s="28">
        <f>ROUND(H30*92.65%-R30,0)</f>
        <v/>
      </c>
      <c r="X30" s="28" t="n">
        <v>370600</v>
      </c>
      <c r="Y30" s="28" t="inlineStr">
        <is>
          <t>24.08.2026</t>
        </is>
      </c>
      <c r="Z30" s="28">
        <f>IF(OR(Y30="",Y30=0),H30*0.0118*CEILING((TODAY()-DATE(2026,8,22))/7,1),IF(DATE(VALUE(RIGHT(Y30,4)),VALUE(MID(Y30,4,2)),VALUE(LEFT(Y30,2)))&lt;=DATE(2026,8,24),0,H30*0.0118*CEILING((DATE(VALUE(RIGHT(Y30,4)),VALUE(MID(Y30,4,2)),VALUE(LEFT(Y30,2)))-DATE(2026,8,22))/7,1)))</f>
        <v/>
      </c>
      <c r="AA30" s="28" t="n"/>
      <c r="AB30" s="28" t="n"/>
      <c r="AC30" s="15">
        <f>U30+X30+AA30</f>
        <v/>
      </c>
      <c r="AD30" s="19">
        <f>S30-AC30</f>
        <v/>
      </c>
      <c r="AE30" s="20" t="inlineStr">
        <is>
          <t>DR2640100038</t>
        </is>
      </c>
      <c r="AF30" s="21" t="n">
        <v>1800003311</v>
      </c>
      <c r="AG30" s="22" t="inlineStr">
        <is>
          <t>27.08.2026</t>
        </is>
      </c>
    </row>
    <row r="31" ht="14.25" customHeight="1" s="77">
      <c r="A31" s="23" t="n">
        <v>670</v>
      </c>
      <c r="B31" s="24" t="inlineStr">
        <is>
          <t>Scrap of AAAC Earth wire</t>
        </is>
      </c>
      <c r="C31" s="25" t="n">
        <v>309</v>
      </c>
      <c r="D31" s="26" t="n">
        <v>21979</v>
      </c>
      <c r="E31" s="26" t="inlineStr">
        <is>
          <t>KG</t>
        </is>
      </c>
      <c r="F31" s="26" t="n">
        <v>2046</v>
      </c>
      <c r="G31" s="24" t="inlineStr">
        <is>
          <t>SAHARA ENTERPRISES</t>
        </is>
      </c>
      <c r="H31" s="27" t="n">
        <v>207030</v>
      </c>
      <c r="I31" s="27">
        <f>ROUND(H31*18%,0)</f>
        <v/>
      </c>
      <c r="J31" s="27">
        <f>+H31+I31</f>
        <v/>
      </c>
      <c r="K31" s="27">
        <f>ROUND((H31+I31)*2%,0)</f>
        <v/>
      </c>
      <c r="L31" s="28">
        <f>H31*0.1%</f>
        <v/>
      </c>
      <c r="M31" s="28">
        <f>H31*2.25%*118%</f>
        <v/>
      </c>
      <c r="N31" s="29">
        <f>H31*2.25%*2%</f>
        <v/>
      </c>
      <c r="O31" s="28">
        <f>M31-N31</f>
        <v/>
      </c>
      <c r="P31" s="28">
        <f>ROUND(O31+L31,0)</f>
        <v/>
      </c>
      <c r="Q31" s="30" t="n">
        <v>0</v>
      </c>
      <c r="R31" s="28">
        <f>ROUND(H31*Q31,0)</f>
        <v/>
      </c>
      <c r="S31" s="27">
        <f>ROUND(H31*117.65%-R31,0)</f>
        <v/>
      </c>
      <c r="T31" s="28">
        <f>ROUND(H31*25%,0)</f>
        <v/>
      </c>
      <c r="U31" s="31" t="n">
        <v>51758</v>
      </c>
      <c r="V31" s="28" t="inlineStr">
        <is>
          <t>11.08.2026</t>
        </is>
      </c>
      <c r="W31" s="28">
        <f>ROUND(H31*92.65%-R31,0)</f>
        <v/>
      </c>
      <c r="X31" s="28" t="n">
        <v>191812</v>
      </c>
      <c r="Y31" s="28" t="inlineStr">
        <is>
          <t>21.08.2026</t>
        </is>
      </c>
      <c r="Z31" s="28">
        <f>IF(OR(Y31="",Y31=0),H31*0.0118*CEILING((TODAY()-DATE(2026,8,22))/7,1),IF(DATE(VALUE(RIGHT(Y31,4)),VALUE(MID(Y31,4,2)),VALUE(LEFT(Y31,2)))&lt;=DATE(2026,8,24),0,H31*0.0118*CEILING((DATE(VALUE(RIGHT(Y31,4)),VALUE(MID(Y31,4,2)),VALUE(LEFT(Y31,2)))-DATE(2026,8,22))/7,1)))</f>
        <v/>
      </c>
      <c r="AA31" s="28" t="n"/>
      <c r="AB31" s="28" t="n"/>
      <c r="AC31" s="15">
        <f>U31+X31+AA31</f>
        <v/>
      </c>
      <c r="AD31" s="19">
        <f>S31-AC31</f>
        <v/>
      </c>
      <c r="AE31" s="20" t="inlineStr">
        <is>
          <t>DR2640100041</t>
        </is>
      </c>
      <c r="AF31" s="21" t="n">
        <v>1800003316</v>
      </c>
      <c r="AG31" s="22" t="inlineStr">
        <is>
          <t>27.08.2026</t>
        </is>
      </c>
    </row>
    <row r="32" ht="14.25" customHeight="1" s="77">
      <c r="A32" s="23" t="n">
        <v>2</v>
      </c>
      <c r="B32" s="24" t="inlineStr">
        <is>
          <t>Scrap of 220 KV CT</t>
        </is>
      </c>
      <c r="C32" s="25" t="n">
        <v>80006</v>
      </c>
      <c r="D32" s="26" t="n">
        <v>21979</v>
      </c>
      <c r="E32" s="26" t="inlineStr">
        <is>
          <t>NO</t>
        </is>
      </c>
      <c r="F32" s="26" t="n">
        <v>2055</v>
      </c>
      <c r="G32" s="24" t="inlineStr">
        <is>
          <t>NATIONAL ENTERPRISES</t>
        </is>
      </c>
      <c r="H32" s="27" t="n">
        <v>160012</v>
      </c>
      <c r="I32" s="27">
        <f>ROUND(H32*18%,0)</f>
        <v/>
      </c>
      <c r="J32" s="27">
        <f>+H32+I32</f>
        <v/>
      </c>
      <c r="K32" s="27">
        <f>ROUND((H32+I32)*2%,0)</f>
        <v/>
      </c>
      <c r="L32" s="28">
        <f>H32*0.1%</f>
        <v/>
      </c>
      <c r="M32" s="28">
        <f>H32*2.25%*118%</f>
        <v/>
      </c>
      <c r="N32" s="29">
        <f>H32*2.25%*2%</f>
        <v/>
      </c>
      <c r="O32" s="28">
        <f>M32-N32</f>
        <v/>
      </c>
      <c r="P32" s="28">
        <f>ROUND(O32+L32,0)</f>
        <v/>
      </c>
      <c r="Q32" s="30" t="n">
        <v>0</v>
      </c>
      <c r="R32" s="28">
        <f>ROUND(H32*Q32,0)</f>
        <v/>
      </c>
      <c r="S32" s="27">
        <f>ROUND(H32*117.65%-R32,0)</f>
        <v/>
      </c>
      <c r="T32" s="28">
        <f>ROUND(H32*25%,0)</f>
        <v/>
      </c>
      <c r="U32" s="31">
        <f>+T32</f>
        <v/>
      </c>
      <c r="V32" s="28" t="inlineStr">
        <is>
          <t>13.08.2026</t>
        </is>
      </c>
      <c r="W32" s="28">
        <f>ROUND(H32*92.65%-R32,0)</f>
        <v/>
      </c>
      <c r="X32" s="28" t="n">
        <v>148251</v>
      </c>
      <c r="Y32" s="28" t="inlineStr">
        <is>
          <t>24.08.2026</t>
        </is>
      </c>
      <c r="Z32" s="28">
        <f>IF(OR(Y32="",Y32=0),H32*0.0118*CEILING((TODAY()-DATE(2026,8,22))/7,1),IF(DATE(VALUE(RIGHT(Y32,4)),VALUE(MID(Y32,4,2)),VALUE(LEFT(Y32,2)))&lt;=DATE(2026,8,24),0,H32*0.0118*CEILING((DATE(VALUE(RIGHT(Y32,4)),VALUE(MID(Y32,4,2)),VALUE(LEFT(Y32,2)))-DATE(2026,8,22))/7,1)))</f>
        <v/>
      </c>
      <c r="AA32" s="28" t="n"/>
      <c r="AB32" s="28" t="n"/>
      <c r="AC32" s="15">
        <f>U32+X32+AA32</f>
        <v/>
      </c>
      <c r="AD32" s="19">
        <f>S32-AC32</f>
        <v/>
      </c>
      <c r="AE32" s="20" t="inlineStr">
        <is>
          <t>DR2640100039</t>
        </is>
      </c>
      <c r="AF32" s="21" t="n">
        <v>1800003312</v>
      </c>
      <c r="AG32" s="22" t="inlineStr">
        <is>
          <t>27.08.2026</t>
        </is>
      </c>
    </row>
    <row r="33" ht="14.25" customHeight="1" s="77">
      <c r="A33" s="23" t="n">
        <v>1</v>
      </c>
      <c r="B33" s="24" t="inlineStr">
        <is>
          <t>Scrap of 33 KV GCB</t>
        </is>
      </c>
      <c r="C33" s="25" t="n">
        <v>29502</v>
      </c>
      <c r="D33" s="26" t="n">
        <v>21979</v>
      </c>
      <c r="E33" s="26" t="inlineStr">
        <is>
          <t>NO</t>
        </is>
      </c>
      <c r="F33" s="26" t="n">
        <v>2059</v>
      </c>
      <c r="G33" s="24" t="inlineStr">
        <is>
          <t>NATIONAL ENTERPRISES</t>
        </is>
      </c>
      <c r="H33" s="27" t="n">
        <v>29502</v>
      </c>
      <c r="I33" s="27">
        <f>ROUND(H33*18%,0)</f>
        <v/>
      </c>
      <c r="J33" s="27">
        <f>+H33+I33</f>
        <v/>
      </c>
      <c r="K33" s="27">
        <f>ROUND((H33+I33)*2%,0)</f>
        <v/>
      </c>
      <c r="L33" s="28">
        <f>H33*0.1%</f>
        <v/>
      </c>
      <c r="M33" s="28">
        <f>H33*2.25%*118%</f>
        <v/>
      </c>
      <c r="N33" s="29">
        <f>H33*2.25%*2%</f>
        <v/>
      </c>
      <c r="O33" s="28">
        <f>M33-N33</f>
        <v/>
      </c>
      <c r="P33" s="28">
        <f>ROUND(O33+L33,0)</f>
        <v/>
      </c>
      <c r="Q33" s="30" t="n">
        <v>0</v>
      </c>
      <c r="R33" s="28">
        <f>ROUND(H33*Q33,0)</f>
        <v/>
      </c>
      <c r="S33" s="27">
        <f>ROUND(H33*117.65%-R33,0)</f>
        <v/>
      </c>
      <c r="T33" s="28">
        <f>ROUND(H33*25%,0)</f>
        <v/>
      </c>
      <c r="U33" s="31">
        <f>+T33</f>
        <v/>
      </c>
      <c r="V33" s="28" t="inlineStr">
        <is>
          <t>13.08.2026</t>
        </is>
      </c>
      <c r="W33" s="28">
        <f>ROUND(H33*92.65%-R33,0)</f>
        <v/>
      </c>
      <c r="X33" s="28" t="n">
        <v>27332</v>
      </c>
      <c r="Y33" s="28" t="inlineStr">
        <is>
          <t>24.08.2026</t>
        </is>
      </c>
      <c r="Z33" s="28">
        <f>IF(OR(Y33="",Y33=0),H33*0.0118*CEILING((TODAY()-DATE(2026,8,22))/7,1),IF(DATE(VALUE(RIGHT(Y33,4)),VALUE(MID(Y33,4,2)),VALUE(LEFT(Y33,2)))&lt;=DATE(2026,8,24),0,H33*0.0118*CEILING((DATE(VALUE(RIGHT(Y33,4)),VALUE(MID(Y33,4,2)),VALUE(LEFT(Y33,2)))-DATE(2026,8,22))/7,1)))</f>
        <v/>
      </c>
      <c r="AA33" s="28" t="n"/>
      <c r="AB33" s="28" t="n"/>
      <c r="AC33" s="15">
        <f>U33+X33+AA33</f>
        <v/>
      </c>
      <c r="AD33" s="19">
        <f>S33-AC33</f>
        <v/>
      </c>
      <c r="AE33" s="20" t="inlineStr">
        <is>
          <t>DR2640100046</t>
        </is>
      </c>
      <c r="AF33" s="21" t="n">
        <v>1800003313</v>
      </c>
      <c r="AG33" s="22" t="inlineStr">
        <is>
          <t>27.08.2026</t>
        </is>
      </c>
    </row>
    <row r="34" ht="14.25" customHeight="1" s="77">
      <c r="A34" s="23" t="n">
        <v>30</v>
      </c>
      <c r="B34" s="24" t="inlineStr">
        <is>
          <t>Scrap of Empty oil Barrels</t>
        </is>
      </c>
      <c r="C34" s="25" t="n">
        <v>702</v>
      </c>
      <c r="D34" s="26" t="n">
        <v>21979</v>
      </c>
      <c r="E34" s="26" t="inlineStr">
        <is>
          <t>NO</t>
        </is>
      </c>
      <c r="F34" s="26" t="n">
        <v>2062</v>
      </c>
      <c r="G34" s="24" t="inlineStr">
        <is>
          <t>STERLING ENTERPRISES</t>
        </is>
      </c>
      <c r="H34" s="27" t="n">
        <v>21060</v>
      </c>
      <c r="I34" s="27">
        <f>ROUND(H34*18%,0)</f>
        <v/>
      </c>
      <c r="J34" s="27">
        <f>+H34+I34</f>
        <v/>
      </c>
      <c r="K34" s="27">
        <f>ROUND((H34+I34)*2%,0)</f>
        <v/>
      </c>
      <c r="L34" s="28">
        <f>H34*0.1%</f>
        <v/>
      </c>
      <c r="M34" s="28">
        <f>H34*2.25%*118%</f>
        <v/>
      </c>
      <c r="N34" s="29">
        <f>H34*2.25%*2%</f>
        <v/>
      </c>
      <c r="O34" s="28">
        <f>M34-N34</f>
        <v/>
      </c>
      <c r="P34" s="28">
        <f>ROUND(O34+L34,0)</f>
        <v/>
      </c>
      <c r="Q34" s="30" t="n">
        <v>0</v>
      </c>
      <c r="R34" s="28">
        <f>ROUND(H34*Q34,0)</f>
        <v/>
      </c>
      <c r="S34" s="27">
        <f>ROUND(H34*117.65%-R34,0)</f>
        <v/>
      </c>
      <c r="T34" s="28">
        <f>ROUND(H34*25%,0)</f>
        <v/>
      </c>
      <c r="U34" s="31" t="n">
        <v>5265</v>
      </c>
      <c r="V34" s="28" t="inlineStr">
        <is>
          <t>11.08.2026</t>
        </is>
      </c>
      <c r="W34" s="28">
        <f>ROUND(H34*92.65%-R34,0)</f>
        <v/>
      </c>
      <c r="X34" s="28" t="n">
        <v>19512</v>
      </c>
      <c r="Y34" s="28" t="inlineStr">
        <is>
          <t>11.08.2026</t>
        </is>
      </c>
      <c r="Z34" s="28">
        <f>IF(OR(Y34="",Y34=0),H34*0.0118*CEILING((TODAY()-DATE(2026,8,22))/7,1),IF(DATE(VALUE(RIGHT(Y34,4)),VALUE(MID(Y34,4,2)),VALUE(LEFT(Y34,2)))&lt;=DATE(2026,8,24),0,H34*0.0118*CEILING((DATE(VALUE(RIGHT(Y34,4)),VALUE(MID(Y34,4,2)),VALUE(LEFT(Y34,2)))-DATE(2026,8,22))/7,1)))</f>
        <v/>
      </c>
      <c r="AA34" s="28" t="n"/>
      <c r="AB34" s="28" t="n"/>
      <c r="AC34" s="15">
        <f>U34+X34+AA34</f>
        <v/>
      </c>
      <c r="AD34" s="19">
        <f>S34-AC34</f>
        <v/>
      </c>
      <c r="AE34" s="20" t="inlineStr">
        <is>
          <t>DR2640100022</t>
        </is>
      </c>
      <c r="AF34" s="21" t="n">
        <v>1800003161</v>
      </c>
      <c r="AG34" s="22" t="inlineStr">
        <is>
          <t>14.08.2026</t>
        </is>
      </c>
    </row>
    <row r="35" ht="14.25" customHeight="1" s="77">
      <c r="A35" s="23" t="n">
        <v>150</v>
      </c>
      <c r="B35" s="24" t="inlineStr">
        <is>
          <t>Scrap of empty oil drums</t>
        </is>
      </c>
      <c r="C35" s="25" t="n">
        <v>571</v>
      </c>
      <c r="D35" s="26" t="n">
        <v>21980</v>
      </c>
      <c r="E35" s="26" t="inlineStr">
        <is>
          <t>NO</t>
        </is>
      </c>
      <c r="F35" s="26" t="n">
        <v>2067</v>
      </c>
      <c r="G35" s="24" t="inlineStr">
        <is>
          <t>WATAN SCRAP TRADERS</t>
        </is>
      </c>
      <c r="H35" s="27" t="n">
        <v>85650</v>
      </c>
      <c r="I35" s="27">
        <f>ROUND(H35*18%,0)</f>
        <v/>
      </c>
      <c r="J35" s="27">
        <f>+H35+I35</f>
        <v/>
      </c>
      <c r="K35" s="27">
        <f>ROUND((H35+I35)*2%,0)</f>
        <v/>
      </c>
      <c r="L35" s="28">
        <f>H35*0.1%</f>
        <v/>
      </c>
      <c r="M35" s="28">
        <f>H35*2.25%*118%</f>
        <v/>
      </c>
      <c r="N35" s="29">
        <f>H35*2.25%*2%</f>
        <v/>
      </c>
      <c r="O35" s="28">
        <f>M35-N35</f>
        <v/>
      </c>
      <c r="P35" s="28">
        <f>ROUND(O35+L35,0)</f>
        <v/>
      </c>
      <c r="Q35" s="30" t="n">
        <v>0</v>
      </c>
      <c r="R35" s="28">
        <f>ROUND(H35*Q35,0)</f>
        <v/>
      </c>
      <c r="S35" s="27">
        <f>ROUND(H35*117.65%-R35,0)</f>
        <v/>
      </c>
      <c r="T35" s="28">
        <f>ROUND(H35*25%,0)</f>
        <v/>
      </c>
      <c r="U35" s="31" t="n">
        <v>21413</v>
      </c>
      <c r="V35" s="28" t="inlineStr">
        <is>
          <t>14.08.2026</t>
        </is>
      </c>
      <c r="W35" s="28">
        <f>ROUND(H35*92.65%-R35,0)</f>
        <v/>
      </c>
      <c r="X35" s="28" t="n">
        <v>79354</v>
      </c>
      <c r="Y35" s="28" t="inlineStr">
        <is>
          <t>20.08.2026</t>
        </is>
      </c>
      <c r="Z35" s="28">
        <f>IF(OR(Y35="",Y35=0),H35*0.0118*CEILING((TODAY()-DATE(2026,8,22))/7,1),IF(DATE(VALUE(RIGHT(Y35,4)),VALUE(MID(Y35,4,2)),VALUE(LEFT(Y35,2)))&lt;=DATE(2026,8,24),0,H35*0.0118*CEILING((DATE(VALUE(RIGHT(Y35,4)),VALUE(MID(Y35,4,2)),VALUE(LEFT(Y35,2)))-DATE(2026,8,22))/7,1)))</f>
        <v/>
      </c>
      <c r="AA35" s="28" t="n"/>
      <c r="AB35" s="28" t="n"/>
      <c r="AC35" s="15">
        <f>U35+X35+AA35</f>
        <v/>
      </c>
      <c r="AD35" s="19">
        <f>S35-AC35</f>
        <v/>
      </c>
      <c r="AE35" s="20" t="inlineStr">
        <is>
          <t>DR2640100027</t>
        </is>
      </c>
      <c r="AF35" s="21" t="n">
        <v>1800003248</v>
      </c>
      <c r="AG35" s="22" t="inlineStr">
        <is>
          <t>20.08.2026</t>
        </is>
      </c>
    </row>
    <row r="36" ht="14.25" customHeight="1" s="77">
      <c r="A36" s="23" t="n">
        <v>1</v>
      </c>
      <c r="B36" s="24" t="inlineStr">
        <is>
          <t>Scrap of 33 KV CB</t>
        </is>
      </c>
      <c r="C36" s="25" t="n">
        <v>54000</v>
      </c>
      <c r="D36" s="26" t="n">
        <v>21980</v>
      </c>
      <c r="E36" s="26" t="inlineStr">
        <is>
          <t>NO</t>
        </is>
      </c>
      <c r="F36" s="26" t="n">
        <v>2069</v>
      </c>
      <c r="G36" s="24" t="inlineStr">
        <is>
          <t>STERLING ENTERPRISES</t>
        </is>
      </c>
      <c r="H36" s="27" t="n">
        <v>54000</v>
      </c>
      <c r="I36" s="27">
        <f>ROUND(H36*18%,0)</f>
        <v/>
      </c>
      <c r="J36" s="27">
        <f>+H36+I36</f>
        <v/>
      </c>
      <c r="K36" s="27">
        <f>ROUND((H36+I36)*2%,0)</f>
        <v/>
      </c>
      <c r="L36" s="28">
        <f>H36*0.1%</f>
        <v/>
      </c>
      <c r="M36" s="28">
        <f>H36*2.25%*118%</f>
        <v/>
      </c>
      <c r="N36" s="29">
        <f>H36*2.25%*2%</f>
        <v/>
      </c>
      <c r="O36" s="28">
        <f>M36-N36</f>
        <v/>
      </c>
      <c r="P36" s="28">
        <f>ROUND(O36+L36,0)</f>
        <v/>
      </c>
      <c r="Q36" s="30" t="n">
        <v>0</v>
      </c>
      <c r="R36" s="28">
        <f>ROUND(H36*Q36,0)</f>
        <v/>
      </c>
      <c r="S36" s="27">
        <f>ROUND(H36*117.65%-R36,0)</f>
        <v/>
      </c>
      <c r="T36" s="28">
        <f>ROUND(H36*25%,0)</f>
        <v/>
      </c>
      <c r="U36" s="31" t="n">
        <v>13500</v>
      </c>
      <c r="V36" s="28" t="inlineStr">
        <is>
          <t>11.08.2026</t>
        </is>
      </c>
      <c r="W36" s="28">
        <f>ROUND(H36*92.65%-R36,0)</f>
        <v/>
      </c>
      <c r="X36" s="28" t="n"/>
      <c r="Y36" s="28" t="n">
        <v>0</v>
      </c>
      <c r="Z36" s="28">
        <f>IF(OR(Y36="",Y36=0),H36*0.0118*CEILING((TODAY()-DATE(2026,8,22))/7,1),IF(DATE(VALUE(RIGHT(Y36,4)),VALUE(MID(Y36,4,2)),VALUE(LEFT(Y36,2)))&lt;=DATE(2026,8,24),0,H36*0.0118*CEILING((DATE(VALUE(RIGHT(Y36,4)),VALUE(MID(Y36,4,2)),VALUE(LEFT(Y36,2)))-DATE(2026,8,22))/7,1)))</f>
        <v/>
      </c>
      <c r="AA36" s="28" t="n"/>
      <c r="AB36" s="28" t="n"/>
      <c r="AC36" s="15">
        <f>U36+X36+AA36</f>
        <v/>
      </c>
      <c r="AD36" s="19">
        <f>S36-AC36</f>
        <v/>
      </c>
      <c r="AE36" s="20" t="n"/>
      <c r="AF36" s="21" t="n"/>
      <c r="AG36" s="22" t="n"/>
    </row>
    <row r="37" ht="14.25" customHeight="1" s="77">
      <c r="A37" s="23" t="n">
        <v>3</v>
      </c>
      <c r="B37" s="24" t="inlineStr">
        <is>
          <t>Scrap of 66 KV Isolater</t>
        </is>
      </c>
      <c r="C37" s="25" t="n">
        <v>25001</v>
      </c>
      <c r="D37" s="26" t="n">
        <v>21980</v>
      </c>
      <c r="E37" s="26" t="inlineStr">
        <is>
          <t>NO</t>
        </is>
      </c>
      <c r="F37" s="26" t="n">
        <v>2071</v>
      </c>
      <c r="G37" s="24" t="inlineStr">
        <is>
          <t>NATIONAL ENTERPRISES</t>
        </is>
      </c>
      <c r="H37" s="27" t="n">
        <v>75003</v>
      </c>
      <c r="I37" s="27">
        <f>ROUND(H37*18%,0)</f>
        <v/>
      </c>
      <c r="J37" s="27">
        <f>+H37+I37</f>
        <v/>
      </c>
      <c r="K37" s="27">
        <f>ROUND((H37+I37)*2%,0)</f>
        <v/>
      </c>
      <c r="L37" s="28">
        <f>H37*0.1%</f>
        <v/>
      </c>
      <c r="M37" s="28">
        <f>H37*2.25%*118%</f>
        <v/>
      </c>
      <c r="N37" s="29">
        <f>H37*2.25%*2%</f>
        <v/>
      </c>
      <c r="O37" s="28">
        <f>M37-N37</f>
        <v/>
      </c>
      <c r="P37" s="28">
        <f>ROUND(O37+L37,0)</f>
        <v/>
      </c>
      <c r="Q37" s="30" t="n">
        <v>0</v>
      </c>
      <c r="R37" s="28">
        <f>ROUND(H37*Q37,0)</f>
        <v/>
      </c>
      <c r="S37" s="27">
        <f>ROUND(H37*117.65%-R37,0)</f>
        <v/>
      </c>
      <c r="T37" s="28">
        <f>ROUND(H37*25%,0)</f>
        <v/>
      </c>
      <c r="U37" s="31">
        <f>+T37</f>
        <v/>
      </c>
      <c r="V37" s="28" t="inlineStr">
        <is>
          <t>13.08.2026</t>
        </is>
      </c>
      <c r="W37" s="28">
        <f>ROUND(H37*92.65%-R37,0)</f>
        <v/>
      </c>
      <c r="X37" s="28" t="n">
        <v>69491</v>
      </c>
      <c r="Y37" s="28" t="inlineStr">
        <is>
          <t>24.08.2026</t>
        </is>
      </c>
      <c r="Z37" s="28">
        <f>IF(OR(Y37="",Y37=0),H37*0.0118*CEILING((TODAY()-DATE(2026,8,22))/7,1),IF(DATE(VALUE(RIGHT(Y37,4)),VALUE(MID(Y37,4,2)),VALUE(LEFT(Y37,2)))&lt;=DATE(2026,8,24),0,H37*0.0118*CEILING((DATE(VALUE(RIGHT(Y37,4)),VALUE(MID(Y37,4,2)),VALUE(LEFT(Y37,2)))-DATE(2026,8,22))/7,1)))</f>
        <v/>
      </c>
      <c r="AA37" s="28" t="n"/>
      <c r="AB37" s="28" t="n"/>
      <c r="AC37" s="15">
        <f>U37+X37+AA37</f>
        <v/>
      </c>
      <c r="AD37" s="19">
        <f>S37-AC37</f>
        <v/>
      </c>
      <c r="AE37" s="20" t="inlineStr">
        <is>
          <t>DR2640100040</t>
        </is>
      </c>
      <c r="AF37" s="21" t="n">
        <v>1800003314</v>
      </c>
      <c r="AG37" s="22" t="inlineStr">
        <is>
          <t>27.08.2026</t>
        </is>
      </c>
    </row>
    <row r="38" ht="14.25" customHeight="1" s="77">
      <c r="A38" s="23" t="n">
        <v>3</v>
      </c>
      <c r="B38" s="24" t="inlineStr">
        <is>
          <t>Scrap of 132 KV CT</t>
        </is>
      </c>
      <c r="C38" s="25" t="n">
        <v>70001</v>
      </c>
      <c r="D38" s="26" t="n">
        <v>21980</v>
      </c>
      <c r="E38" s="26" t="inlineStr">
        <is>
          <t>NO</t>
        </is>
      </c>
      <c r="F38" s="26" t="n">
        <v>2086</v>
      </c>
      <c r="G38" s="24" t="inlineStr">
        <is>
          <t>KASHYAP TRADING CO</t>
        </is>
      </c>
      <c r="H38" s="27" t="n">
        <v>210003</v>
      </c>
      <c r="I38" s="27">
        <f>ROUND(H38*18%,0)</f>
        <v/>
      </c>
      <c r="J38" s="27">
        <f>+H38+I38</f>
        <v/>
      </c>
      <c r="K38" s="27">
        <f>ROUND((H38+I38)*2%,0)</f>
        <v/>
      </c>
      <c r="L38" s="28">
        <f>H38*0.1%</f>
        <v/>
      </c>
      <c r="M38" s="28">
        <f>H38*2.25%*118%</f>
        <v/>
      </c>
      <c r="N38" s="29">
        <f>H38*2.25%*2%</f>
        <v/>
      </c>
      <c r="O38" s="28">
        <f>M38-N38</f>
        <v/>
      </c>
      <c r="P38" s="28">
        <f>ROUND(O38+L38,0)</f>
        <v/>
      </c>
      <c r="Q38" s="30" t="n">
        <v>0</v>
      </c>
      <c r="R38" s="28">
        <f>ROUND(H38*Q38,0)</f>
        <v/>
      </c>
      <c r="S38" s="27">
        <f>ROUND(H38*117.65%-R38,0)</f>
        <v/>
      </c>
      <c r="T38" s="28">
        <f>ROUND(H38*25%,0)</f>
        <v/>
      </c>
      <c r="U38" s="31" t="n">
        <v>52501</v>
      </c>
      <c r="V38" s="28" t="inlineStr">
        <is>
          <t>17.08.2026</t>
        </is>
      </c>
      <c r="W38" s="28">
        <f>ROUND(H38*92.65%-R38,0)</f>
        <v/>
      </c>
      <c r="X38" s="28" t="n">
        <v>194568</v>
      </c>
      <c r="Y38" s="28" t="inlineStr">
        <is>
          <t>17.08.2026</t>
        </is>
      </c>
      <c r="Z38" s="28">
        <f>IF(OR(Y38="",Y38=0),H38*0.0118*CEILING((TODAY()-DATE(2026,8,22))/7,1),IF(DATE(VALUE(RIGHT(Y38,4)),VALUE(MID(Y38,4,2)),VALUE(LEFT(Y38,2)))&lt;=DATE(2026,8,24),0,H38*0.0118*CEILING((DATE(VALUE(RIGHT(Y38,4)),VALUE(MID(Y38,4,2)),VALUE(LEFT(Y38,2)))-DATE(2026,8,22))/7,1)))</f>
        <v/>
      </c>
      <c r="AA38" s="28" t="n"/>
      <c r="AB38" s="28" t="n"/>
      <c r="AC38" s="15">
        <f>U38+X38+AA38</f>
        <v/>
      </c>
      <c r="AD38" s="19">
        <f>S38-AC38</f>
        <v/>
      </c>
      <c r="AE38" s="20" t="inlineStr">
        <is>
          <t>DR2640100025</t>
        </is>
      </c>
      <c r="AF38" s="21" t="n">
        <v>1800003226</v>
      </c>
      <c r="AG38" s="22" t="inlineStr">
        <is>
          <t>19.08.2026</t>
        </is>
      </c>
    </row>
    <row r="39" ht="14.25" customHeight="1" s="77">
      <c r="A39" s="23" t="n">
        <v>2</v>
      </c>
      <c r="B39" s="24" t="inlineStr">
        <is>
          <t>Scrap of 66 kv TBC C &amp; R Panel</t>
        </is>
      </c>
      <c r="C39" s="25" t="n">
        <v>15006</v>
      </c>
      <c r="D39" s="26" t="n">
        <v>21980</v>
      </c>
      <c r="E39" s="26" t="inlineStr">
        <is>
          <t>NO</t>
        </is>
      </c>
      <c r="F39" s="26" t="n">
        <v>2089</v>
      </c>
      <c r="G39" s="24" t="inlineStr">
        <is>
          <t>S M ENTERPRISES</t>
        </is>
      </c>
      <c r="H39" s="27" t="n">
        <v>30012</v>
      </c>
      <c r="I39" s="27">
        <f>ROUND(H39*18%,0)</f>
        <v/>
      </c>
      <c r="J39" s="27">
        <f>+H39+I39</f>
        <v/>
      </c>
      <c r="K39" s="27">
        <f>ROUND((H39+I39)*2%,0)</f>
        <v/>
      </c>
      <c r="L39" s="28">
        <f>H39*0.1%</f>
        <v/>
      </c>
      <c r="M39" s="28">
        <f>H39*2.25%*118%</f>
        <v/>
      </c>
      <c r="N39" s="29">
        <f>H39*2.25%*2%</f>
        <v/>
      </c>
      <c r="O39" s="28">
        <f>M39-N39</f>
        <v/>
      </c>
      <c r="P39" s="28">
        <f>ROUND(O39+L39,0)</f>
        <v/>
      </c>
      <c r="Q39" s="30" t="n">
        <v>0</v>
      </c>
      <c r="R39" s="28">
        <f>ROUND(H39*Q39,0)</f>
        <v/>
      </c>
      <c r="S39" s="27">
        <f>ROUND(H39*117.65%-R39,0)</f>
        <v/>
      </c>
      <c r="T39" s="28">
        <f>ROUND(H39*25%,0)</f>
        <v/>
      </c>
      <c r="U39" s="31" t="n">
        <v>7503</v>
      </c>
      <c r="V39" s="28" t="inlineStr">
        <is>
          <t>14.08.2026</t>
        </is>
      </c>
      <c r="W39" s="28">
        <f>ROUND(H39*92.65%-R39,0)</f>
        <v/>
      </c>
      <c r="X39" s="28" t="n">
        <v>27806</v>
      </c>
      <c r="Y39" s="28" t="inlineStr">
        <is>
          <t>01.09.2026</t>
        </is>
      </c>
      <c r="Z39" s="28">
        <f>IF(OR(Y39="",Y39=0),H39*0.0118*CEILING((TODAY()-DATE(2026,8,22))/7,1),IF(DATE(VALUE(RIGHT(Y39,4)),VALUE(MID(Y39,4,2)),VALUE(LEFT(Y39,2)))&lt;=DATE(2026,8,24),0,H39*0.0118*CEILING((DATE(VALUE(RIGHT(Y39,4)),VALUE(MID(Y39,4,2)),VALUE(LEFT(Y39,2)))-DATE(2026,8,22))/7,1)))</f>
        <v/>
      </c>
      <c r="AA39" s="28" t="n">
        <v>708</v>
      </c>
      <c r="AB39" s="28" t="inlineStr">
        <is>
          <t>01.09.2026</t>
        </is>
      </c>
      <c r="AC39" s="15">
        <f>U39+X39+AA39</f>
        <v/>
      </c>
      <c r="AD39" s="19">
        <f>S39-AC39</f>
        <v/>
      </c>
      <c r="AE39" s="20" t="n"/>
      <c r="AF39" s="21" t="n"/>
      <c r="AG39" s="22" t="n"/>
    </row>
    <row r="40" ht="15" customHeight="1" s="77">
      <c r="A40" s="32" t="n">
        <v>3</v>
      </c>
      <c r="B40" s="33" t="inlineStr">
        <is>
          <t>Scrap of 132 KV CT</t>
        </is>
      </c>
      <c r="C40" s="34" t="n">
        <v>40003</v>
      </c>
      <c r="D40" s="35" t="n">
        <v>21980</v>
      </c>
      <c r="E40" s="35" t="inlineStr">
        <is>
          <t>NO</t>
        </is>
      </c>
      <c r="F40" s="35" t="n">
        <v>2091</v>
      </c>
      <c r="G40" s="33" t="inlineStr">
        <is>
          <t>S M ENTERPRISES</t>
        </is>
      </c>
      <c r="H40" s="36" t="n">
        <v>120009</v>
      </c>
      <c r="I40" s="36">
        <f>ROUND(H40*18%,0)</f>
        <v/>
      </c>
      <c r="J40" s="36">
        <f>+H40+I40</f>
        <v/>
      </c>
      <c r="K40" s="36">
        <f>ROUND((H40+I40)*2%,0)</f>
        <v/>
      </c>
      <c r="L40" s="37">
        <f>H40*0.1%</f>
        <v/>
      </c>
      <c r="M40" s="37">
        <f>H40*2.25%*118%</f>
        <v/>
      </c>
      <c r="N40" s="38">
        <f>H40*2.25%*2%</f>
        <v/>
      </c>
      <c r="O40" s="37">
        <f>M40-N40</f>
        <v/>
      </c>
      <c r="P40" s="37">
        <f>ROUND(O40+L40,0)</f>
        <v/>
      </c>
      <c r="Q40" s="39" t="n">
        <v>0</v>
      </c>
      <c r="R40" s="37">
        <f>ROUND(H40*Q40,0)</f>
        <v/>
      </c>
      <c r="S40" s="36">
        <f>ROUND(H40*117.65%-R40,0)</f>
        <v/>
      </c>
      <c r="T40" s="37">
        <f>ROUND(H40*25%,0)</f>
        <v/>
      </c>
      <c r="U40" s="40" t="n">
        <v>30002</v>
      </c>
      <c r="V40" s="37" t="inlineStr">
        <is>
          <t>14.08.2026</t>
        </is>
      </c>
      <c r="W40" s="37">
        <f>ROUND(H40*92.65%-R40,0)</f>
        <v/>
      </c>
      <c r="X40" s="37" t="n">
        <v>111189</v>
      </c>
      <c r="Y40" s="37" t="inlineStr">
        <is>
          <t>01.09.2026</t>
        </is>
      </c>
      <c r="Z40" s="37">
        <f>IF(OR(Y40="",Y40=0),H40*0.0118*CEILING((TODAY()-DATE(2026,8,22))/7,1),IF(DATE(VALUE(RIGHT(Y40,4)),VALUE(MID(Y40,4,2)),VALUE(LEFT(Y40,2)))&lt;=DATE(2026,8,24),0,H40*0.0118*CEILING((DATE(VALUE(RIGHT(Y40,4)),VALUE(MID(Y40,4,2)),VALUE(LEFT(Y40,2)))-DATE(2026,8,22))/7,1)))</f>
        <v/>
      </c>
      <c r="AA40" s="37" t="n">
        <v>2832</v>
      </c>
      <c r="AB40" s="37" t="inlineStr">
        <is>
          <t>01.09.2026</t>
        </is>
      </c>
      <c r="AC40" s="15">
        <f>U40+X40+AA40</f>
        <v/>
      </c>
      <c r="AD40" s="19">
        <f>S40-AC40</f>
        <v/>
      </c>
      <c r="AE40" s="20" t="n"/>
      <c r="AF40" s="21" t="n"/>
      <c r="AG40" s="22" t="n"/>
    </row>
    <row r="41" ht="14.25" customHeight="1" s="77">
      <c r="A41" s="41" t="n"/>
      <c r="B41" s="42" t="n"/>
      <c r="C41" s="42" t="n"/>
      <c r="D41" s="42" t="n"/>
      <c r="E41" s="42" t="n"/>
      <c r="F41" s="42" t="n"/>
      <c r="G41" s="42" t="n"/>
      <c r="H41" s="43">
        <f>SUM(H4:H40)</f>
        <v/>
      </c>
      <c r="I41" s="43">
        <f>SUM(I4:I40)</f>
        <v/>
      </c>
      <c r="J41" s="43">
        <f>SUM(J4:J40)</f>
        <v/>
      </c>
      <c r="K41" s="43">
        <f>SUM(K4:K40)</f>
        <v/>
      </c>
      <c r="L41" s="43">
        <f>SUM(L4:L40)</f>
        <v/>
      </c>
      <c r="M41" s="43">
        <f>SUM(M4:M40)</f>
        <v/>
      </c>
      <c r="N41" s="43">
        <f>SUM(N4:N40)</f>
        <v/>
      </c>
      <c r="O41" s="43">
        <f>SUM(O4:O40)</f>
        <v/>
      </c>
      <c r="P41" s="43">
        <f>SUM(P4:P40)</f>
        <v/>
      </c>
      <c r="Q41" s="44" t="n"/>
      <c r="R41" s="44">
        <f>SUM(R4:R40)</f>
        <v/>
      </c>
      <c r="S41" s="43">
        <f>SUM(S4:S40)</f>
        <v/>
      </c>
      <c r="T41" s="43">
        <f>SUM(T4:T40)</f>
        <v/>
      </c>
      <c r="U41" s="43">
        <f>SUM(U4:U40)</f>
        <v/>
      </c>
      <c r="V41" s="44" t="n"/>
      <c r="W41" s="43">
        <f>SUM(W4:W40)</f>
        <v/>
      </c>
      <c r="X41" s="43">
        <f>SUM(X4:X40)</f>
        <v/>
      </c>
      <c r="Y41" s="44" t="n"/>
      <c r="Z41" s="44">
        <f>SUM(Z4:Z40)</f>
        <v/>
      </c>
      <c r="AA41" s="44">
        <f>SUM(AA4:AA40)</f>
        <v/>
      </c>
      <c r="AB41" s="44" t="n"/>
      <c r="AC41" s="44">
        <f>SUM(AC4:AC40)</f>
        <v/>
      </c>
      <c r="AD41" s="43">
        <f>SUM(AD4:AD40)</f>
        <v/>
      </c>
      <c r="AE41" s="42" t="n"/>
      <c r="AF41" s="42" t="n"/>
      <c r="AG41" s="45" t="n"/>
    </row>
    <row r="42" ht="15" customHeight="1" s="77">
      <c r="A42" s="46" t="n"/>
      <c r="B42" s="47" t="n"/>
      <c r="C42" s="47" t="n"/>
      <c r="D42" s="47" t="n"/>
      <c r="E42" s="47" t="n"/>
      <c r="F42" s="47" t="n"/>
      <c r="G42" s="47" t="n"/>
      <c r="H42" s="48">
        <f>+H41</f>
        <v/>
      </c>
      <c r="I42" s="48">
        <f>ROUND(H42*18%,0)</f>
        <v/>
      </c>
      <c r="J42" s="48">
        <f>+H42+I42</f>
        <v/>
      </c>
      <c r="K42" s="48">
        <f>ROUND((H42+I42)*2%,0)</f>
        <v/>
      </c>
      <c r="L42" s="49">
        <f>ROUND(H42*0.1%,0)</f>
        <v/>
      </c>
      <c r="M42" s="49">
        <f>ROUND(H42*2.25%*118%,0)</f>
        <v/>
      </c>
      <c r="N42" s="50">
        <f>ROUND(H42*2.25%*2%,0)</f>
        <v/>
      </c>
      <c r="O42" s="49">
        <f>ROUND(M42-N42,0)</f>
        <v/>
      </c>
      <c r="P42" s="49">
        <f>ROUND(O42+L42,0)</f>
        <v/>
      </c>
      <c r="Q42" s="49" t="n"/>
      <c r="R42" s="49">
        <f>+R41</f>
        <v/>
      </c>
      <c r="S42" s="48">
        <f>H42*117.65%-R42</f>
        <v/>
      </c>
      <c r="T42" s="51" t="n"/>
      <c r="U42" s="51">
        <f>+T41-U41</f>
        <v/>
      </c>
      <c r="V42" s="52" t="n"/>
      <c r="W42" s="53" t="n"/>
      <c r="X42" s="53">
        <f>+W41-X41</f>
        <v/>
      </c>
      <c r="Y42" s="52" t="n"/>
      <c r="Z42" s="52" t="n"/>
      <c r="AA42" s="52" t="n"/>
      <c r="AB42" s="52" t="n"/>
      <c r="AC42" s="52" t="n"/>
      <c r="AD42" s="52" t="n"/>
      <c r="AE42" s="47" t="n"/>
      <c r="AF42" s="47" t="n"/>
      <c r="AG42" s="54" t="n"/>
    </row>
    <row r="43" ht="14.25" customHeight="1" s="77">
      <c r="I43" s="55" t="n"/>
      <c r="J43" s="55" t="n"/>
      <c r="U43" s="56" t="inlineStr">
        <is>
          <t>Bal SD O/s</t>
        </is>
      </c>
      <c r="X43" s="57" t="inlineStr">
        <is>
          <t>Bal FP O/s</t>
        </is>
      </c>
    </row>
    <row r="44" ht="14.25" customHeight="1" s="77">
      <c r="U44" s="58" t="n"/>
    </row>
    <row r="46" ht="14.25" customHeight="1" s="77">
      <c r="K46" s="55" t="n"/>
    </row>
  </sheetData>
  <autoFilter ref="A3:AG43">
    <sortState ref="A4:AG43">
      <sortCondition ref="A4:A43"/>
    </sortState>
  </autoFilter>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B0F0"/>
    <outlinePr summaryBelow="1" summaryRight="1"/>
    <pageSetUpPr fitToPage="1"/>
  </sheetPr>
  <dimension ref="A1:CU54"/>
  <sheetViews>
    <sheetView showGridLines="0" tabSelected="1" workbookViewId="0">
      <pane xSplit="2" ySplit="5" topLeftCell="C6" activePane="bottomRight" state="frozen"/>
      <selection pane="topRight" activeCell="A1" sqref="A1"/>
      <selection pane="bottomLeft" activeCell="A1" sqref="A1"/>
      <selection pane="bottomRight" activeCell="C14" sqref="C14"/>
    </sheetView>
  </sheetViews>
  <sheetFormatPr baseColWidth="8" defaultRowHeight="15"/>
  <cols>
    <col width="14.85546875" bestFit="1" customWidth="1" style="77" min="1" max="1"/>
    <col width="10" customWidth="1" style="77" min="2" max="2"/>
    <col width="30" customWidth="1" style="77" min="3" max="3"/>
    <col outlineLevel="1" width="42" customWidth="1" style="77" min="4" max="4"/>
    <col outlineLevel="1" width="11.7109375" bestFit="1" customWidth="1" style="77" min="5" max="5"/>
    <col outlineLevel="1" width="12" bestFit="1" customWidth="1" style="77" min="6" max="6"/>
    <col outlineLevel="1" width="11" bestFit="1" customWidth="1" style="77" min="7" max="7"/>
    <col outlineLevel="1" width="8.85546875" bestFit="1" customWidth="1" style="77" min="8" max="8"/>
    <col width="10.28515625" bestFit="1" customWidth="1" style="77" min="9" max="9"/>
    <col outlineLevel="1" width="8.85546875" bestFit="1" customWidth="1" style="77" min="10" max="10"/>
    <col outlineLevel="1" width="13.42578125" customWidth="1" style="77" min="11" max="16"/>
    <col width="13" customWidth="1" style="77" min="12" max="12"/>
    <col width="13" customWidth="1" style="77" min="13" max="13"/>
    <col width="13" customWidth="1" style="77" min="14" max="14"/>
    <col width="13" customWidth="1" style="77" min="15" max="15"/>
    <col width="13" customWidth="1" style="77" min="16" max="16"/>
    <col width="13.42578125" customWidth="1" style="77" min="17" max="17"/>
    <col outlineLevel="1" width="13.42578125" customWidth="1" style="77" min="18" max="18"/>
    <col width="13.42578125" customWidth="1" style="77" min="19" max="20"/>
    <col width="13" customWidth="1" style="77" min="20" max="20"/>
    <col outlineLevel="1" width="13.42578125" customWidth="1" style="77" min="21" max="21"/>
    <col width="13.42578125" customWidth="1" style="77" min="22" max="34"/>
    <col width="13" customWidth="1" style="77" min="23" max="23"/>
    <col width="13" customWidth="1" style="77" min="24" max="24"/>
    <col width="13" customWidth="1" style="77" min="25" max="25"/>
    <col width="13" customWidth="1" style="77" min="26" max="26"/>
    <col width="13" customWidth="1" style="77" min="27" max="27"/>
    <col width="13" customWidth="1" style="77" min="28" max="28"/>
    <col width="13" customWidth="1" style="77" min="29" max="29"/>
    <col width="13" customWidth="1" style="77" min="30" max="30"/>
    <col width="13" customWidth="1" style="77" min="31" max="31"/>
    <col width="13" customWidth="1" style="77" min="32" max="32"/>
    <col width="13" customWidth="1" style="77" min="33" max="33"/>
    <col width="13" customWidth="1" style="77" min="34" max="34"/>
    <col width="13" customWidth="1" style="77" min="35" max="35"/>
    <col hidden="1" width="12" customWidth="1" style="77" min="37" max="99"/>
  </cols>
  <sheetData>
    <row r="1" ht="30" customHeight="1" s="77">
      <c r="A1" s="81" t="inlineStr">
        <is>
          <t>MSTC LIMITED  •  LIVE SEARCH   (results grouped by the value you typed, each group totalled, TOTAL MATCHED beneath them, the misses greyed in a REMAINING block, a GRAND TOTAL of both at the foot)</t>
        </is>
      </c>
    </row>
    <row r="2" ht="44.1" customHeight="1" s="77">
      <c r="A2" s="76" t="inlineStr">
        <is>
          <t>HOW TO USE  ▶  click the yellow box B3 and type - a lot number (1874), part of one (187), a buyer (NATIONAL), part of a buyer name, a lot name (COPPER).   •   WILDCARD / MATCH ANY - separate values with a comma or a slash:   1874, 1923, OMKAR   or   1874 / 1923    - and every lot containing ANY of them lights up.   •   COLUMN SEARCHES - type above any column header in row 4; comma or slash means ANY value in that column, * matches any text and ? matches one character.  Filters entered in different columns are combined as ALL.   •   FACETED / FILTERED - separate them with + or &amp;:   NATIONAL + COPPER   - and a lot lights up only if it matches EVERY facet.   •   the two mix:   OMKAR, STERLING + COPPER   = (OMKAR or STERLING) and COPPER.   Up to 8 values, empty ones ignored, spaces around a separator are fine.  •   THE RESULT IS GROUPED BY THE VALUE YOU TYPED: every value gets its own block of lots with a shaded ∑ total row beneath it, then a blue TOTAL MATCHED row adds every group up at once - the grand total of the rows your search actually hit, sitting right beneath them.  Under that a greyed REMAINING block holds the lots that did not match, with its own total, and the green GRAND TOTAL of both sits at the foot.  A lot matching two values is counted under the first one only, so TOTAL MATCHED + REMAINING always equals GRAND TOTAL, and with nothing typed the matched row is the whole list.   •   clear the box and all 37 come back in one ALL LOTS block.   •   cell F3 narrows what the text is looked for in (lot no. + buyer + name by default).   •   matching is contains, not case sensitive.   •   nothing here is typed in: every figure is a live link to Final Calculation Sheet.   •   columns AK..CU are hidden helpers.   •   use the +/- outline control above columns D:H to expand/collapse Lot Name through Rate under Buyer.   •   BLANK CELLS - type blank (or just press the spacebar) in the yellow cell above any column to show only the rows where that column is empty (brackets are optional, (blank) works the same; e.g. above LPP Received to list the lots with nothing received yet); nonblank or &lt;&gt; shows only the rows where it is filled. Case does not matter. Combines with other columns as ALL, and with comma-separated values in the same cell as ANY.   •   Also see the Buyer Groups sheet for the same lots grouped by buyer with subtotals.</t>
        </is>
      </c>
    </row>
    <row r="3" ht="30" customHeight="1" s="77">
      <c r="A3" s="59" t="inlineStr">
        <is>
          <t>🔍  SEARCH  ▸</t>
        </is>
      </c>
      <c r="B3" s="78" t="n"/>
      <c r="C3" s="82" t="n"/>
      <c r="D3" s="83" t="n"/>
      <c r="E3" s="60" t="inlineStr">
        <is>
          <t>SEARCH IN  ▸</t>
        </is>
      </c>
      <c r="F3" s="61" t="inlineStr">
        <is>
          <t>Lot No. + Buyer + Name</t>
        </is>
      </c>
      <c r="G3" s="60" t="inlineStr">
        <is>
          <t>MATCHES  ▸</t>
        </is>
      </c>
      <c r="H3" s="62">
        <f>SUM($AM$5:$AM$41)&amp;" of 37"</f>
        <v/>
      </c>
      <c r="I3" s="80">
        <f>IF(AND($B$3="",COUNTIF($A$4:$AI$4,"&lt;&gt;")=0),"◀ type in the yellow box B3 or a yellow cell above any header - a lot no., a buyer, a lot name... several values: comma or / = ANY of them, + or &amp; = ALL of them","matching "&amp;SUM($AM$5:$AM$41)&amp;" of 37 lots   •   search: "&amp;IF($B$3="","(column fields)",$B$3)&amp;"   •   in: "&amp;$F$3&amp;"   •   column fields are AND filters; grouped by the value typed, the misses greyed in REMAINING, TOTAL MATCHED totals the hits")</f>
        <v/>
      </c>
      <c r="AK3" s="63" t="inlineStr">
        <is>
          <t>the text this lot is searched in</t>
        </is>
      </c>
      <c r="AM3" s="63" t="inlineStr">
        <is>
          <t>1 = this lot matches the search box</t>
        </is>
      </c>
      <c r="AO3" s="63" t="inlineStr">
        <is>
          <t>the 'search in' list</t>
        </is>
      </c>
      <c r="AQ3" s="63" t="inlineStr">
        <is>
          <t>the box with &amp; -&gt; + and / -&gt; ,</t>
        </is>
      </c>
      <c r="AR3" t="inlineStr">
        <is>
          <t>term 1 - rows 4..9: text left, delimiter pos, the term, delimiter, running facet, facet no.</t>
        </is>
      </c>
    </row>
    <row r="4" ht="30" customHeight="1" s="77">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c r="AA4" s="61" t="n"/>
      <c r="AB4" s="61" t="n"/>
      <c r="AC4" s="61" t="n"/>
      <c r="AD4" s="61" t="n"/>
      <c r="AE4" s="61" t="n"/>
      <c r="AF4" s="61" t="n"/>
      <c r="AG4" s="61" t="n"/>
      <c r="AH4" s="61" t="n"/>
      <c r="AI4" s="61" t="n"/>
      <c r="AO4" t="inlineStr">
        <is>
          <t>Lot No. + Buyer + Name</t>
        </is>
      </c>
      <c r="AQ4">
        <f>SUBSTITUTE(SUBSTITUTE($B$3,"&amp;","+"),"/",",")</f>
        <v/>
      </c>
      <c r="AR4">
        <f>$AQ$4</f>
        <v/>
      </c>
      <c r="AS4">
        <f>IF(OR($AR$4="",$AR$5=99999),"",MID($AR$4,$AR$5+1,99999))</f>
        <v/>
      </c>
      <c r="AT4">
        <f>IF(OR($AS$4="",$AS$5=99999),"",MID($AS$4,$AS$5+1,99999))</f>
        <v/>
      </c>
      <c r="AU4">
        <f>IF(OR($AT$4="",$AT$5=99999),"",MID($AT$4,$AT$5+1,99999))</f>
        <v/>
      </c>
      <c r="AV4">
        <f>IF(OR($AU$4="",$AU$5=99999),"",MID($AU$4,$AU$5+1,99999))</f>
        <v/>
      </c>
      <c r="AW4">
        <f>IF(OR($AV$4="",$AV$5=99999),"",MID($AV$4,$AV$5+1,99999))</f>
        <v/>
      </c>
      <c r="AX4">
        <f>IF(OR($AW$4="",$AW$5=99999),"",MID($AW$4,$AW$5+1,99999))</f>
        <v/>
      </c>
      <c r="AY4">
        <f>IF(OR($AX$4="",$AX$5=99999),"",MID($AX$4,$AX$5+1,99999))</f>
        <v/>
      </c>
      <c r="BD4">
        <f>COUNTIF($AZ$5:$AZ$41,1)</f>
        <v/>
      </c>
      <c r="BE4" t="n">
        <v>5</v>
      </c>
      <c r="BF4">
        <f>IF($BD4=0,0,$BE4+$BD4)</f>
        <v/>
      </c>
      <c r="BG4">
        <f>IF($BD12=0,$BE12,$BF12+1)</f>
        <v/>
      </c>
    </row>
    <row r="5" ht="44.1" customHeight="1" s="77">
      <c r="A5" s="64" t="inlineStr">
        <is>
          <t>#</t>
        </is>
      </c>
      <c r="B5" s="65" t="inlineStr">
        <is>
          <t>Lot No.</t>
        </is>
      </c>
      <c r="C5" s="65" t="inlineStr">
        <is>
          <t>Buyer</t>
        </is>
      </c>
      <c r="D5" s="65" t="inlineStr">
        <is>
          <t>Lot Name</t>
        </is>
      </c>
      <c r="E5" s="65" t="inlineStr">
        <is>
          <t>Bid Sheet</t>
        </is>
      </c>
      <c r="F5" s="65" t="inlineStr">
        <is>
          <t>Quantity</t>
        </is>
      </c>
      <c r="G5" s="65" t="inlineStr">
        <is>
          <t>Unit</t>
        </is>
      </c>
      <c r="H5" s="65" t="inlineStr">
        <is>
          <t>Rate</t>
        </is>
      </c>
      <c r="I5" s="65" t="inlineStr">
        <is>
          <t>Mat. Value</t>
        </is>
      </c>
      <c r="J5" s="65" t="inlineStr">
        <is>
          <t>GST</t>
        </is>
      </c>
      <c r="K5" s="65" t="inlineStr">
        <is>
          <t>Mat. Value + GST</t>
        </is>
      </c>
      <c r="L5" s="65" t="inlineStr">
        <is>
          <t>TCS</t>
        </is>
      </c>
      <c r="M5" s="65" t="inlineStr">
        <is>
          <t>TDS u/s 194(O)</t>
        </is>
      </c>
      <c r="N5" s="65" t="inlineStr">
        <is>
          <t>Service Charge to MSTC</t>
        </is>
      </c>
      <c r="O5" s="65" t="inlineStr">
        <is>
          <t>TDS u/s 194(H)</t>
        </is>
      </c>
      <c r="P5" s="65" t="inlineStr">
        <is>
          <t>Net Service Charge (post TDS 194H)</t>
        </is>
      </c>
      <c r="Q5" s="65" t="inlineStr">
        <is>
          <t>Service charge to MSTC</t>
        </is>
      </c>
      <c r="R5" s="65" t="inlineStr">
        <is>
          <t>GST TDS Rate</t>
        </is>
      </c>
      <c r="S5" s="65" t="inlineStr">
        <is>
          <t>GST TDS</t>
        </is>
      </c>
      <c r="T5" s="65" t="inlineStr">
        <is>
          <t>Total Receivables in Cash</t>
        </is>
      </c>
      <c r="U5" s="65" t="inlineStr">
        <is>
          <t>Security Deposit (Expected)</t>
        </is>
      </c>
      <c r="V5" s="65" t="inlineStr">
        <is>
          <t>Security Deposit (Received)</t>
        </is>
      </c>
      <c r="W5" s="65" t="inlineStr">
        <is>
          <t>Date of Receipt (col V)</t>
        </is>
      </c>
      <c r="X5" s="65" t="inlineStr">
        <is>
          <t>Final Payment (Expected)</t>
        </is>
      </c>
      <c r="Y5" s="65" t="inlineStr">
        <is>
          <t>Final Payment (Received)</t>
        </is>
      </c>
      <c r="Z5" s="65" t="inlineStr">
        <is>
          <t>Date of Receipt (col Y)</t>
        </is>
      </c>
      <c r="AA5" s="65" t="inlineStr">
        <is>
          <t>LPP Expected</t>
        </is>
      </c>
      <c r="AB5" s="65" t="inlineStr">
        <is>
          <t>LPP Received</t>
        </is>
      </c>
      <c r="AC5" s="65" t="inlineStr">
        <is>
          <t>Date of Recepit of LPP</t>
        </is>
      </c>
      <c r="AD5" s="65" t="inlineStr">
        <is>
          <t>Total Received</t>
        </is>
      </c>
      <c r="AE5" s="65" t="inlineStr">
        <is>
          <t>Outstanding</t>
        </is>
      </c>
      <c r="AF5" s="65" t="inlineStr">
        <is>
          <t>Invoice No.</t>
        </is>
      </c>
      <c r="AG5" s="65" t="inlineStr">
        <is>
          <t>SAP Document</t>
        </is>
      </c>
      <c r="AH5" s="65" t="inlineStr">
        <is>
          <t>Doc./Invoice Date</t>
        </is>
      </c>
      <c r="AI5" s="66" t="inlineStr">
        <is>
          <t>Payment Status</t>
        </is>
      </c>
      <c r="AK5">
        <f>IF($F$3="Lot No.",'Final Calculation Sheet'!$F$4,IF($F$3="Buyer",'Final Calculation Sheet'!$G$4,IF($F$3="Lot Name",'Final Calculation Sheet'!$B$4,IF($F$3="Bid Sheet",'Final Calculation Sheet'!$D$4,IF($F$3="Unit",'Final Calculation Sheet'!$E$4,'Final Calculation Sheet'!$F$4&amp;" "&amp;'Final Calculation Sheet'!$G$4&amp;" "&amp;'Final Calculation Sheet'!$B$4)))))</f>
        <v/>
      </c>
      <c r="AM5">
        <f>IF(COUNTIF($BM5:$CU5,0)&gt;0,0,IF($B$3="",1,IF(AND(IF(COUNTIF($AR$9:$AY$9,1)=0,TRUE,SUMPRODUCT(($AR$9:$AY$9=1)*($AR$6:$AY$6&lt;&gt;"")*ISNUMBER(SEARCH($AR$6:$AY$6,$AK5)))&gt;0),IF(COUNTIF($AR$9:$AY$9,2)=0,TRUE,SUMPRODUCT(($AR$9:$AY$9=2)*($AR$6:$AY$6&lt;&gt;"")*ISNUMBER(SEARCH($AR$6:$AY$6,$AK5)))&gt;0),IF(COUNTIF($AR$9:$AY$9,3)=0,TRUE,SUMPRODUCT(($AR$9:$AY$9=3)*($AR$6:$AY$6&lt;&gt;"")*ISNUMBER(SEARCH($AR$6:$AY$6,$AK5)))&gt;0),IF(COUNTIF($AR$9:$AY$9,4)=0,TRUE,SUMPRODUCT(($AR$9:$AY$9=4)*($AR$6:$AY$6&lt;&gt;"")*ISNUMBER(SEARCH($AR$6:$AY$6,$AK5)))&gt;0),IF(COUNTIF($AR$9:$AY$9,5)=0,TRUE,SUMPRODUCT(($AR$9:$AY$9=5)*($AR$6:$AY$6&lt;&gt;"")*ISNUMBER(SEARCH($AR$6:$AY$6,$AK5)))&gt;0),IF(COUNTIF($AR$9:$AY$9,6)=0,TRUE,SUMPRODUCT(($AR$9:$AY$9=6)*($AR$6:$AY$6&lt;&gt;"")*ISNUMBER(SEARCH($AR$6:$AY$6,$AK5)))&gt;0),IF(COUNTIF($AR$9:$AY$9,7)=0,TRUE,SUMPRODUCT(($AR$9:$AY$9=7)*($AR$6:$AY$6&lt;&gt;"")*ISNUMBER(SEARCH($AR$6:$AY$6,$AK5)))&gt;0),IF(COUNTIF($AR$9:$AY$9,8)=0,TRUE,SUMPRODUCT(($AR$9:$AY$9=8)*($AR$6:$AY$6&lt;&gt;"")*ISNUMBER(SEARCH($AR$6:$AY$6,$AK5)))&gt;0)),1,0)))</f>
        <v/>
      </c>
      <c r="AO5" t="inlineStr">
        <is>
          <t>Lot No.</t>
        </is>
      </c>
      <c r="AR5">
        <f>IF($AR$4="",99999,MIN(IFERROR(FIND(",",$AR$4),99999),IFERROR(FIND("+",$AR$4),99999)))</f>
        <v/>
      </c>
      <c r="AS5">
        <f>IF($AS$4="",99999,MIN(IFERROR(FIND(",",$AS$4),99999),IFERROR(FIND("+",$AS$4),99999)))</f>
        <v/>
      </c>
      <c r="AT5">
        <f>IF($AT$4="",99999,MIN(IFERROR(FIND(",",$AT$4),99999),IFERROR(FIND("+",$AT$4),99999)))</f>
        <v/>
      </c>
      <c r="AU5">
        <f>IF($AU$4="",99999,MIN(IFERROR(FIND(",",$AU$4),99999),IFERROR(FIND("+",$AU$4),99999)))</f>
        <v/>
      </c>
      <c r="AV5">
        <f>IF($AV$4="",99999,MIN(IFERROR(FIND(",",$AV$4),99999),IFERROR(FIND("+",$AV$4),99999)))</f>
        <v/>
      </c>
      <c r="AW5">
        <f>IF($AW$4="",99999,MIN(IFERROR(FIND(",",$AW$4),99999),IFERROR(FIND("+",$AW$4),99999)))</f>
        <v/>
      </c>
      <c r="AX5">
        <f>IF($AX$4="",99999,MIN(IFERROR(FIND(",",$AX$4),99999),IFERROR(FIND("+",$AX$4),99999)))</f>
        <v/>
      </c>
      <c r="AY5">
        <f>IF($AY$4="",99999,MIN(IFERROR(FIND(",",$AY$4),99999),IFERROR(FIND("+",$AY$4),99999)))</f>
        <v/>
      </c>
      <c r="AZ5">
        <f>IF($B$3="",IF(COUNTIF($A$4:$AI$4,"&lt;&gt;")=0,9,IF($AM5=1,9,10)),IF($AM5=0,10,IF(AND($AR$6&lt;&gt;"",ISNUMBER(SEARCH($AR$6,$AK5))),1,IF(AND($AS$6&lt;&gt;"",ISNUMBER(SEARCH($AS$6,$AK5))),2,IF(AND($AT$6&lt;&gt;"",ISNUMBER(SEARCH($AT$6,$AK5))),3,IF(AND($AU$6&lt;&gt;"",ISNUMBER(SEARCH($AU$6,$AK5))),4,IF(AND($AV$6&lt;&gt;"",ISNUMBER(SEARCH($AV$6,$AK5))),5,IF(AND($AW$6&lt;&gt;"",ISNUMBER(SEARCH($AW$6,$AK5))),6,IF(AND($AX$6&lt;&gt;"",ISNUMBER(SEARCH($AX$6,$AK5))),7,IF(AND($AY$6&lt;&gt;"",ISNUMBER(SEARCH($AY$6,$AK5))),8,0))))))))))</f>
        <v/>
      </c>
      <c r="BA5">
        <f>SUMPRODUCT(($AZ$5:$AZ$41=$AZ5)*($BC$5:$BC$41&lt;$BC5))+1</f>
        <v/>
      </c>
      <c r="BB5">
        <f>IF(INDEX($BF$4:$BF$13,$AZ5)=0,0,INDEX($BE$4:$BE$13,$AZ5)+$BA5-1)</f>
        <v/>
      </c>
      <c r="BC5" t="n">
        <v>4</v>
      </c>
      <c r="BD5">
        <f>COUNTIF($AZ$5:$AZ$41,2)</f>
        <v/>
      </c>
      <c r="BE5">
        <f>IF($BD4=0,$BE4,$BF4+1)</f>
        <v/>
      </c>
      <c r="BF5">
        <f>IF($BD5=0,0,$BE5+$BD5)</f>
        <v/>
      </c>
      <c r="BG5">
        <f>IF($BD13=0,$BE13,$BF13+1)</f>
        <v/>
      </c>
      <c r="BH5">
        <f>IFERROR(MATCH(5,$BF$4:$BF$13,0),0)</f>
        <v/>
      </c>
      <c r="BI5">
        <f>IF(5=$BG$5,1,0)</f>
        <v/>
      </c>
      <c r="BJ5">
        <f>IF(OR($BH5&gt;0,$BI5=1,$BL5=1),0,IFERROR(INDEX($BC$5:$BC$41,MATCH(5,$BB$5:$BB$41,0)),0))</f>
        <v/>
      </c>
      <c r="BK5">
        <f>IF($BJ5&gt;0,IF(INDEX($AZ$5:$AZ$41,MATCH(5,$BB$5:$BB$41,0))=10,1,0),IF($BH5=10,1,0))</f>
        <v/>
      </c>
      <c r="BL5">
        <f>IF(5=$BG$4,1,0)</f>
        <v/>
      </c>
      <c r="BM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5">
        <f>IF($B$4="",1,--(OR(SUMPRODUCT(--(TRIM(MID(SUBSTITUTE(SUBSTITUTE($B$4,"/",","),",",REPT(" ",99)),(ROW($1:$8)-1)*99+1,99))&lt;&gt;""),--ISNUMBER(SEARCH(TRIM(MID(SUBSTITUTE(SUBSTITUTE($B$4,"/",","),",",REPT(" ",99)),(ROW($1:$8)-1)*99+1,99)),IFERROR(('Final Calculation Sheet'!$F$4)&amp;"",""))))&gt;0,AND(ISNUMBER(SEARCH("blank",$B$4)),NOT(ISNUMBER(SEARCH("nonblank",$B$4))),IFERROR(('Final Calculation Sheet'!$F$4)&amp;"","")=""),AND(OR(ISNUMBER(SEARCH("nonblank",$B$4)),ISNUMBER(SEARCH("&lt;&gt;",$B$4))),IFERROR(('Final Calculation Sheet'!$F$4)&amp;"","")&lt;&gt;""),AND(TRIM($B$4)="",IFERROR(('Final Calculation Sheet'!$F$4)&amp;"","")=""))))</f>
        <v/>
      </c>
      <c r="BO5">
        <f>IF($C$4="",1,--(OR(SUMPRODUCT(--(TRIM(MID(SUBSTITUTE(SUBSTITUTE($C$4,"/",","),",",REPT(" ",99)),(ROW($1:$8)-1)*99+1,99))&lt;&gt;""),--ISNUMBER(SEARCH(TRIM(MID(SUBSTITUTE(SUBSTITUTE($C$4,"/",","),",",REPT(" ",99)),(ROW($1:$8)-1)*99+1,99)),IFERROR(('Final Calculation Sheet'!$G$4)&amp;"",""))))&gt;0,AND(ISNUMBER(SEARCH("blank",$C$4)),NOT(ISNUMBER(SEARCH("nonblank",$C$4))),IFERROR(('Final Calculation Sheet'!$G$4)&amp;"","")=""),AND(OR(ISNUMBER(SEARCH("nonblank",$C$4)),ISNUMBER(SEARCH("&lt;&gt;",$C$4))),IFERROR(('Final Calculation Sheet'!$G$4)&amp;"","")&lt;&gt;""),AND(TRIM($C$4)="",IFERROR(('Final Calculation Sheet'!$G$4)&amp;"","")=""))))</f>
        <v/>
      </c>
      <c r="BP5">
        <f>IF($D$4="",1,--(OR(SUMPRODUCT(--(TRIM(MID(SUBSTITUTE(SUBSTITUTE($D$4,"/",","),",",REPT(" ",99)),(ROW($1:$8)-1)*99+1,99))&lt;&gt;""),--ISNUMBER(SEARCH(TRIM(MID(SUBSTITUTE(SUBSTITUTE($D$4,"/",","),",",REPT(" ",99)),(ROW($1:$8)-1)*99+1,99)),IFERROR(('Final Calculation Sheet'!$B$4)&amp;"",""))))&gt;0,AND(ISNUMBER(SEARCH("blank",$D$4)),NOT(ISNUMBER(SEARCH("nonblank",$D$4))),IFERROR(('Final Calculation Sheet'!$B$4)&amp;"","")=""),AND(OR(ISNUMBER(SEARCH("nonblank",$D$4)),ISNUMBER(SEARCH("&lt;&gt;",$D$4))),IFERROR(('Final Calculation Sheet'!$B$4)&amp;"","")&lt;&gt;""),AND(TRIM($D$4)="",IFERROR(('Final Calculation Sheet'!$B$4)&amp;"","")=""))))</f>
        <v/>
      </c>
      <c r="BQ5">
        <f>IF($E$4="",1,--(OR(SUMPRODUCT(--(TRIM(MID(SUBSTITUTE(SUBSTITUTE($E$4,"/",","),",",REPT(" ",99)),(ROW($1:$8)-1)*99+1,99))&lt;&gt;""),--ISNUMBER(SEARCH(TRIM(MID(SUBSTITUTE(SUBSTITUTE($E$4,"/",","),",",REPT(" ",99)),(ROW($1:$8)-1)*99+1,99)),IFERROR(('Final Calculation Sheet'!$D$4)&amp;"",""))))&gt;0,AND(ISNUMBER(SEARCH("blank",$E$4)),NOT(ISNUMBER(SEARCH("nonblank",$E$4))),IFERROR(('Final Calculation Sheet'!$D$4)&amp;"","")=""),AND(OR(ISNUMBER(SEARCH("nonblank",$E$4)),ISNUMBER(SEARCH("&lt;&gt;",$E$4))),IFERROR(('Final Calculation Sheet'!$D$4)&amp;"","")&lt;&gt;""),AND(TRIM($E$4)="",IFERROR(('Final Calculation Sheet'!$D$4)&amp;"","")=""))))</f>
        <v/>
      </c>
      <c r="BR5">
        <f>IF($F$4="",1,--(OR(SUMPRODUCT(--(TRIM(MID(SUBSTITUTE(SUBSTITUTE($F$4,"/",","),",",REPT(" ",99)),(ROW($1:$8)-1)*99+1,99))&lt;&gt;""),--ISNUMBER(SEARCH(TRIM(MID(SUBSTITUTE(SUBSTITUTE($F$4,"/",","),",",REPT(" ",99)),(ROW($1:$8)-1)*99+1,99)),IFERROR(('Final Calculation Sheet'!$A$4)&amp;"",""))))&gt;0,AND(ISNUMBER(SEARCH("blank",$F$4)),NOT(ISNUMBER(SEARCH("nonblank",$F$4))),IFERROR(('Final Calculation Sheet'!$A$4)&amp;"","")=""),AND(OR(ISNUMBER(SEARCH("nonblank",$F$4)),ISNUMBER(SEARCH("&lt;&gt;",$F$4))),IFERROR(('Final Calculation Sheet'!$A$4)&amp;"","")&lt;&gt;""),AND(TRIM($F$4)="",IFERROR(('Final Calculation Sheet'!$A$4)&amp;"","")=""))))</f>
        <v/>
      </c>
      <c r="BS5">
        <f>IF($G$4="",1,--(OR(SUMPRODUCT(--(TRIM(MID(SUBSTITUTE(SUBSTITUTE($G$4,"/",","),",",REPT(" ",99)),(ROW($1:$8)-1)*99+1,99))&lt;&gt;""),--ISNUMBER(SEARCH(TRIM(MID(SUBSTITUTE(SUBSTITUTE($G$4,"/",","),",",REPT(" ",99)),(ROW($1:$8)-1)*99+1,99)),IFERROR(('Final Calculation Sheet'!$E$4)&amp;"",""))))&gt;0,AND(ISNUMBER(SEARCH("blank",$G$4)),NOT(ISNUMBER(SEARCH("nonblank",$G$4))),IFERROR(('Final Calculation Sheet'!$E$4)&amp;"","")=""),AND(OR(ISNUMBER(SEARCH("nonblank",$G$4)),ISNUMBER(SEARCH("&lt;&gt;",$G$4))),IFERROR(('Final Calculation Sheet'!$E$4)&amp;"","")&lt;&gt;""),AND(TRIM($G$4)="",IFERROR(('Final Calculation Sheet'!$E$4)&amp;"","")=""))))</f>
        <v/>
      </c>
      <c r="BT5">
        <f>IF($H$4="",1,--(OR(SUMPRODUCT(--(TRIM(MID(SUBSTITUTE(SUBSTITUTE($H$4,"/",","),",",REPT(" ",99)),(ROW($1:$8)-1)*99+1,99))&lt;&gt;""),--ISNUMBER(SEARCH(TRIM(MID(SUBSTITUTE(SUBSTITUTE($H$4,"/",","),",",REPT(" ",99)),(ROW($1:$8)-1)*99+1,99)),IFERROR(('Final Calculation Sheet'!$C$4)&amp;"",""))))&gt;0,AND(ISNUMBER(SEARCH("blank",$H$4)),NOT(ISNUMBER(SEARCH("nonblank",$H$4))),IFERROR(('Final Calculation Sheet'!$C$4)&amp;"","")=""),AND(OR(ISNUMBER(SEARCH("nonblank",$H$4)),ISNUMBER(SEARCH("&lt;&gt;",$H$4))),IFERROR(('Final Calculation Sheet'!$C$4)&amp;"","")&lt;&gt;""),AND(TRIM($H$4)="",IFERROR(('Final Calculation Sheet'!$C$4)&amp;"","")=""))))</f>
        <v/>
      </c>
      <c r="BU5">
        <f>IF($I$4="",1,--(OR(SUMPRODUCT(--(TRIM(MID(SUBSTITUTE(SUBSTITUTE($I$4,"/",","),",",REPT(" ",99)),(ROW($1:$8)-1)*99+1,99))&lt;&gt;""),--ISNUMBER(SEARCH(TRIM(MID(SUBSTITUTE(SUBSTITUTE($I$4,"/",","),",",REPT(" ",99)),(ROW($1:$8)-1)*99+1,99)),IFERROR(('Final Calculation Sheet'!$H$4)&amp;"",""))))&gt;0,AND(ISNUMBER(SEARCH("blank",$I$4)),NOT(ISNUMBER(SEARCH("nonblank",$I$4))),IFERROR(('Final Calculation Sheet'!$H$4)&amp;"","")=""),AND(OR(ISNUMBER(SEARCH("nonblank",$I$4)),ISNUMBER(SEARCH("&lt;&gt;",$I$4))),IFERROR(('Final Calculation Sheet'!$H$4)&amp;"","")&lt;&gt;""),AND(TRIM($I$4)="",IFERROR(('Final Calculation Sheet'!$H$4)&amp;"","")=""))))</f>
        <v/>
      </c>
      <c r="BV5">
        <f>IF($J$4="",1,--(OR(SUMPRODUCT(--(TRIM(MID(SUBSTITUTE(SUBSTITUTE($J$4,"/",","),",",REPT(" ",99)),(ROW($1:$8)-1)*99+1,99))&lt;&gt;""),--ISNUMBER(SEARCH(TRIM(MID(SUBSTITUTE(SUBSTITUTE($J$4,"/",","),",",REPT(" ",99)),(ROW($1:$8)-1)*99+1,99)),IFERROR(('Final Calculation Sheet'!$I$4)&amp;"",""))))&gt;0,AND(ISNUMBER(SEARCH("blank",$J$4)),NOT(ISNUMBER(SEARCH("nonblank",$J$4))),IFERROR(('Final Calculation Sheet'!$I$4)&amp;"","")=""),AND(OR(ISNUMBER(SEARCH("nonblank",$J$4)),ISNUMBER(SEARCH("&lt;&gt;",$J$4))),IFERROR(('Final Calculation Sheet'!$I$4)&amp;"","")&lt;&gt;""),AND(TRIM($J$4)="",IFERROR(('Final Calculation Sheet'!$I$4)&amp;"","")=""))))</f>
        <v/>
      </c>
      <c r="BW5">
        <f>IF($K$4="",1,--(OR(SUMPRODUCT(--(TRIM(MID(SUBSTITUTE(SUBSTITUTE($K$4,"/",","),",",REPT(" ",99)),(ROW($1:$8)-1)*99+1,99))&lt;&gt;""),--ISNUMBER(SEARCH(TRIM(MID(SUBSTITUTE(SUBSTITUTE($K$4,"/",","),",",REPT(" ",99)),(ROW($1:$8)-1)*99+1,99)),IFERROR(('Final Calculation Sheet'!$J$4)&amp;"",""))))&gt;0,AND(ISNUMBER(SEARCH("blank",$K$4)),NOT(ISNUMBER(SEARCH("nonblank",$K$4))),IFERROR(('Final Calculation Sheet'!$J$4)&amp;"","")=""),AND(OR(ISNUMBER(SEARCH("nonblank",$K$4)),ISNUMBER(SEARCH("&lt;&gt;",$K$4))),IFERROR(('Final Calculation Sheet'!$J$4)&amp;"","")&lt;&gt;""),AND(TRIM($K$4)="",IFERROR(('Final Calculation Sheet'!$J$4)&amp;"","")=""))))</f>
        <v/>
      </c>
      <c r="BX5">
        <f>IF($L$4="",1,--(OR(SUMPRODUCT(--(TRIM(MID(SUBSTITUTE(SUBSTITUTE($L$4,"/",","),",",REPT(" ",99)),(ROW($1:$8)-1)*99+1,99))&lt;&gt;""),--ISNUMBER(SEARCH(TRIM(MID(SUBSTITUTE(SUBSTITUTE($L$4,"/",","),",",REPT(" ",99)),(ROW($1:$8)-1)*99+1,99)),IFERROR(('Final Calculation Sheet'!$K$4)&amp;"",""))))&gt;0,AND(ISNUMBER(SEARCH("blank",$L$4)),NOT(ISNUMBER(SEARCH("nonblank",$L$4))),IFERROR(('Final Calculation Sheet'!$K$4)&amp;"","")=""),AND(OR(ISNUMBER(SEARCH("nonblank",$L$4)),ISNUMBER(SEARCH("&lt;&gt;",$L$4))),IFERROR(('Final Calculation Sheet'!$K$4)&amp;"","")&lt;&gt;""),AND(TRIM($L$4)="",IFERROR(('Final Calculation Sheet'!$K$4)&amp;"","")=""))))</f>
        <v/>
      </c>
      <c r="BY5">
        <f>IF($M$4="",1,--(OR(SUMPRODUCT(--(TRIM(MID(SUBSTITUTE(SUBSTITUTE($M$4,"/",","),",",REPT(" ",99)),(ROW($1:$8)-1)*99+1,99))&lt;&gt;""),--ISNUMBER(SEARCH(TRIM(MID(SUBSTITUTE(SUBSTITUTE($M$4,"/",","),",",REPT(" ",99)),(ROW($1:$8)-1)*99+1,99)),IFERROR(('Final Calculation Sheet'!$L$4)&amp;"",""))))&gt;0,AND(ISNUMBER(SEARCH("blank",$M$4)),NOT(ISNUMBER(SEARCH("nonblank",$M$4))),IFERROR(('Final Calculation Sheet'!$L$4)&amp;"","")=""),AND(OR(ISNUMBER(SEARCH("nonblank",$M$4)),ISNUMBER(SEARCH("&lt;&gt;",$M$4))),IFERROR(('Final Calculation Sheet'!$L$4)&amp;"","")&lt;&gt;""),AND(TRIM($M$4)="",IFERROR(('Final Calculation Sheet'!$L$4)&amp;"","")=""))))</f>
        <v/>
      </c>
      <c r="BZ5">
        <f>IF($N$4="",1,--(OR(SUMPRODUCT(--(TRIM(MID(SUBSTITUTE(SUBSTITUTE($N$4,"/",","),",",REPT(" ",99)),(ROW($1:$8)-1)*99+1,99))&lt;&gt;""),--ISNUMBER(SEARCH(TRIM(MID(SUBSTITUTE(SUBSTITUTE($N$4,"/",","),",",REPT(" ",99)),(ROW($1:$8)-1)*99+1,99)),IFERROR(('Final Calculation Sheet'!$M$4)&amp;"",""))))&gt;0,AND(ISNUMBER(SEARCH("blank",$N$4)),NOT(ISNUMBER(SEARCH("nonblank",$N$4))),IFERROR(('Final Calculation Sheet'!$M$4)&amp;"","")=""),AND(OR(ISNUMBER(SEARCH("nonblank",$N$4)),ISNUMBER(SEARCH("&lt;&gt;",$N$4))),IFERROR(('Final Calculation Sheet'!$M$4)&amp;"","")&lt;&gt;""),AND(TRIM($N$4)="",IFERROR(('Final Calculation Sheet'!$M$4)&amp;"","")=""))))</f>
        <v/>
      </c>
      <c r="CA5">
        <f>IF($O$4="",1,--(OR(SUMPRODUCT(--(TRIM(MID(SUBSTITUTE(SUBSTITUTE($O$4,"/",","),",",REPT(" ",99)),(ROW($1:$8)-1)*99+1,99))&lt;&gt;""),--ISNUMBER(SEARCH(TRIM(MID(SUBSTITUTE(SUBSTITUTE($O$4,"/",","),",",REPT(" ",99)),(ROW($1:$8)-1)*99+1,99)),IFERROR(('Final Calculation Sheet'!$N$4)&amp;"",""))))&gt;0,AND(ISNUMBER(SEARCH("blank",$O$4)),NOT(ISNUMBER(SEARCH("nonblank",$O$4))),IFERROR(('Final Calculation Sheet'!$N$4)&amp;"","")=""),AND(OR(ISNUMBER(SEARCH("nonblank",$O$4)),ISNUMBER(SEARCH("&lt;&gt;",$O$4))),IFERROR(('Final Calculation Sheet'!$N$4)&amp;"","")&lt;&gt;""),AND(TRIM($O$4)="",IFERROR(('Final Calculation Sheet'!$N$4)&amp;"","")=""))))</f>
        <v/>
      </c>
      <c r="CB5">
        <f>IF($P$4="",1,--(OR(SUMPRODUCT(--(TRIM(MID(SUBSTITUTE(SUBSTITUTE($P$4,"/",","),",",REPT(" ",99)),(ROW($1:$8)-1)*99+1,99))&lt;&gt;""),--ISNUMBER(SEARCH(TRIM(MID(SUBSTITUTE(SUBSTITUTE($P$4,"/",","),",",REPT(" ",99)),(ROW($1:$8)-1)*99+1,99)),IFERROR(('Final Calculation Sheet'!$O$4)&amp;"",""))))&gt;0,AND(ISNUMBER(SEARCH("blank",$P$4)),NOT(ISNUMBER(SEARCH("nonblank",$P$4))),IFERROR(('Final Calculation Sheet'!$O$4)&amp;"","")=""),AND(OR(ISNUMBER(SEARCH("nonblank",$P$4)),ISNUMBER(SEARCH("&lt;&gt;",$P$4))),IFERROR(('Final Calculation Sheet'!$O$4)&amp;"","")&lt;&gt;""),AND(TRIM($P$4)="",IFERROR(('Final Calculation Sheet'!$O$4)&amp;"","")=""))))</f>
        <v/>
      </c>
      <c r="CC5">
        <f>IF($Q$4="",1,--(OR(SUMPRODUCT(--(TRIM(MID(SUBSTITUTE(SUBSTITUTE($Q$4,"/",","),",",REPT(" ",99)),(ROW($1:$8)-1)*99+1,99))&lt;&gt;""),--ISNUMBER(SEARCH(TRIM(MID(SUBSTITUTE(SUBSTITUTE($Q$4,"/",","),",",REPT(" ",99)),(ROW($1:$8)-1)*99+1,99)),IFERROR(('Final Calculation Sheet'!$P$4)&amp;"",""))))&gt;0,AND(ISNUMBER(SEARCH("blank",$Q$4)),NOT(ISNUMBER(SEARCH("nonblank",$Q$4))),IFERROR(('Final Calculation Sheet'!$P$4)&amp;"","")=""),AND(OR(ISNUMBER(SEARCH("nonblank",$Q$4)),ISNUMBER(SEARCH("&lt;&gt;",$Q$4))),IFERROR(('Final Calculation Sheet'!$P$4)&amp;"","")&lt;&gt;""),AND(TRIM($Q$4)="",IFERROR(('Final Calculation Sheet'!$P$4)&amp;"","")=""))))</f>
        <v/>
      </c>
      <c r="CD5">
        <f>IF($R$4="",1,--(OR(SUMPRODUCT(--(TRIM(MID(SUBSTITUTE(SUBSTITUTE($R$4,"/",","),",",REPT(" ",99)),(ROW($1:$8)-1)*99+1,99))&lt;&gt;""),--ISNUMBER(SEARCH(TRIM(MID(SUBSTITUTE(SUBSTITUTE($R$4,"/",","),",",REPT(" ",99)),(ROW($1:$8)-1)*99+1,99)),IFERROR(('Final Calculation Sheet'!$Q$4)&amp;"",""))))&gt;0,AND(ISNUMBER(SEARCH("blank",$R$4)),NOT(ISNUMBER(SEARCH("nonblank",$R$4))),IFERROR(('Final Calculation Sheet'!$Q$4)&amp;"","")=""),AND(OR(ISNUMBER(SEARCH("nonblank",$R$4)),ISNUMBER(SEARCH("&lt;&gt;",$R$4))),IFERROR(('Final Calculation Sheet'!$Q$4)&amp;"","")&lt;&gt;""),AND(TRIM($R$4)="",IFERROR(('Final Calculation Sheet'!$Q$4)&amp;"","")=""))))</f>
        <v/>
      </c>
      <c r="CE5">
        <f>IF($S$4="",1,--(OR(SUMPRODUCT(--(TRIM(MID(SUBSTITUTE(SUBSTITUTE($S$4,"/",","),",",REPT(" ",99)),(ROW($1:$8)-1)*99+1,99))&lt;&gt;""),--ISNUMBER(SEARCH(TRIM(MID(SUBSTITUTE(SUBSTITUTE($S$4,"/",","),",",REPT(" ",99)),(ROW($1:$8)-1)*99+1,99)),IFERROR(('Final Calculation Sheet'!$R$4)&amp;"",""))))&gt;0,AND(ISNUMBER(SEARCH("blank",$S$4)),NOT(ISNUMBER(SEARCH("nonblank",$S$4))),IFERROR(('Final Calculation Sheet'!$R$4)&amp;"","")=""),AND(OR(ISNUMBER(SEARCH("nonblank",$S$4)),ISNUMBER(SEARCH("&lt;&gt;",$S$4))),IFERROR(('Final Calculation Sheet'!$R$4)&amp;"","")&lt;&gt;""),AND(TRIM($S$4)="",IFERROR(('Final Calculation Sheet'!$R$4)&amp;"","")=""))))</f>
        <v/>
      </c>
      <c r="CF5">
        <f>IF($T$4="",1,--(OR(SUMPRODUCT(--(TRIM(MID(SUBSTITUTE(SUBSTITUTE($T$4,"/",","),",",REPT(" ",99)),(ROW($1:$8)-1)*99+1,99))&lt;&gt;""),--ISNUMBER(SEARCH(TRIM(MID(SUBSTITUTE(SUBSTITUTE($T$4,"/",","),",",REPT(" ",99)),(ROW($1:$8)-1)*99+1,99)),IFERROR(('Final Calculation Sheet'!$S$4)&amp;"",""))))&gt;0,AND(ISNUMBER(SEARCH("blank",$T$4)),NOT(ISNUMBER(SEARCH("nonblank",$T$4))),IFERROR(('Final Calculation Sheet'!$S$4)&amp;"","")=""),AND(OR(ISNUMBER(SEARCH("nonblank",$T$4)),ISNUMBER(SEARCH("&lt;&gt;",$T$4))),IFERROR(('Final Calculation Sheet'!$S$4)&amp;"","")&lt;&gt;""),AND(TRIM($T$4)="",IFERROR(('Final Calculation Sheet'!$S$4)&amp;"","")=""))))</f>
        <v/>
      </c>
      <c r="CG5">
        <f>IF($U$4="",1,--(OR(SUMPRODUCT(--(TRIM(MID(SUBSTITUTE(SUBSTITUTE($U$4,"/",","),",",REPT(" ",99)),(ROW($1:$8)-1)*99+1,99))&lt;&gt;""),--ISNUMBER(SEARCH(TRIM(MID(SUBSTITUTE(SUBSTITUTE($U$4,"/",","),",",REPT(" ",99)),(ROW($1:$8)-1)*99+1,99)),IFERROR(('Final Calculation Sheet'!$T$4)&amp;"",""))))&gt;0,AND(ISNUMBER(SEARCH("blank",$U$4)),NOT(ISNUMBER(SEARCH("nonblank",$U$4))),IFERROR(('Final Calculation Sheet'!$T$4)&amp;"","")=""),AND(OR(ISNUMBER(SEARCH("nonblank",$U$4)),ISNUMBER(SEARCH("&lt;&gt;",$U$4))),IFERROR(('Final Calculation Sheet'!$T$4)&amp;"","")&lt;&gt;""),AND(TRIM($U$4)="",IFERROR(('Final Calculation Sheet'!$T$4)&amp;"","")=""))))</f>
        <v/>
      </c>
      <c r="CH5">
        <f>IF($V$4="",1,--(OR(SUMPRODUCT(--(TRIM(MID(SUBSTITUTE(SUBSTITUTE($V$4,"/",","),",",REPT(" ",99)),(ROW($1:$8)-1)*99+1,99))&lt;&gt;""),--ISNUMBER(SEARCH(TRIM(MID(SUBSTITUTE(SUBSTITUTE($V$4,"/",","),",",REPT(" ",99)),(ROW($1:$8)-1)*99+1,99)),IFERROR(('Final Calculation Sheet'!$U$4)&amp;"",""))))&gt;0,AND(ISNUMBER(SEARCH("blank",$V$4)),NOT(ISNUMBER(SEARCH("nonblank",$V$4))),IFERROR(('Final Calculation Sheet'!$U$4)&amp;"","")=""),AND(OR(ISNUMBER(SEARCH("nonblank",$V$4)),ISNUMBER(SEARCH("&lt;&gt;",$V$4))),IFERROR(('Final Calculation Sheet'!$U$4)&amp;"","")&lt;&gt;""),AND(TRIM($V$4)="",IFERROR(('Final Calculation Sheet'!$U$4)&amp;"","")=""))))</f>
        <v/>
      </c>
      <c r="CI5">
        <f>IF($W$4="",1,--(OR(SUMPRODUCT(--(TRIM(MID(SUBSTITUTE(SUBSTITUTE($W$4,"/",","),",",REPT(" ",99)),(ROW($1:$8)-1)*99+1,99))&lt;&gt;""),--ISNUMBER(SEARCH(TRIM(MID(SUBSTITUTE(SUBSTITUTE($W$4,"/",","),",",REPT(" ",99)),(ROW($1:$8)-1)*99+1,99)),IFERROR(('Final Calculation Sheet'!$V$4)&amp;"",""))))&gt;0,AND(ISNUMBER(SEARCH("blank",$W$4)),NOT(ISNUMBER(SEARCH("nonblank",$W$4))),IFERROR(('Final Calculation Sheet'!$V$4)&amp;"","")=""),AND(OR(ISNUMBER(SEARCH("nonblank",$W$4)),ISNUMBER(SEARCH("&lt;&gt;",$W$4))),IFERROR(('Final Calculation Sheet'!$V$4)&amp;"","")&lt;&gt;""),AND(TRIM($W$4)="",IFERROR(('Final Calculation Sheet'!$V$4)&amp;"","")=""))))</f>
        <v/>
      </c>
      <c r="CJ5">
        <f>IF($X$4="",1,--(OR(SUMPRODUCT(--(TRIM(MID(SUBSTITUTE(SUBSTITUTE($X$4,"/",","),",",REPT(" ",99)),(ROW($1:$8)-1)*99+1,99))&lt;&gt;""),--ISNUMBER(SEARCH(TRIM(MID(SUBSTITUTE(SUBSTITUTE($X$4,"/",","),",",REPT(" ",99)),(ROW($1:$8)-1)*99+1,99)),IFERROR(('Final Calculation Sheet'!$W$4)&amp;"",""))))&gt;0,AND(ISNUMBER(SEARCH("blank",$X$4)),NOT(ISNUMBER(SEARCH("nonblank",$X$4))),IFERROR(('Final Calculation Sheet'!$W$4)&amp;"","")=""),AND(OR(ISNUMBER(SEARCH("nonblank",$X$4)),ISNUMBER(SEARCH("&lt;&gt;",$X$4))),IFERROR(('Final Calculation Sheet'!$W$4)&amp;"","")&lt;&gt;""),AND(TRIM($X$4)="",IFERROR(('Final Calculation Sheet'!$W$4)&amp;"","")=""))))</f>
        <v/>
      </c>
      <c r="CK5">
        <f>IF($Y$4="",1,--(OR(SUMPRODUCT(--(TRIM(MID(SUBSTITUTE(SUBSTITUTE($Y$4,"/",","),",",REPT(" ",99)),(ROW($1:$8)-1)*99+1,99))&lt;&gt;""),--ISNUMBER(SEARCH(TRIM(MID(SUBSTITUTE(SUBSTITUTE($Y$4,"/",","),",",REPT(" ",99)),(ROW($1:$8)-1)*99+1,99)),IFERROR(('Final Calculation Sheet'!$X$4)&amp;"",""))))&gt;0,AND(ISNUMBER(SEARCH("blank",$Y$4)),NOT(ISNUMBER(SEARCH("nonblank",$Y$4))),IFERROR(('Final Calculation Sheet'!$X$4)&amp;"","")=""),AND(OR(ISNUMBER(SEARCH("nonblank",$Y$4)),ISNUMBER(SEARCH("&lt;&gt;",$Y$4))),IFERROR(('Final Calculation Sheet'!$X$4)&amp;"","")&lt;&gt;""),AND(TRIM($Y$4)="",IFERROR(('Final Calculation Sheet'!$X$4)&amp;"","")=""))))</f>
        <v/>
      </c>
      <c r="CL5">
        <f>IF($Z$4="",1,--(OR(SUMPRODUCT(--(TRIM(MID(SUBSTITUTE(SUBSTITUTE($Z$4,"/",","),",",REPT(" ",99)),(ROW($1:$8)-1)*99+1,99))&lt;&gt;""),--ISNUMBER(SEARCH(TRIM(MID(SUBSTITUTE(SUBSTITUTE($Z$4,"/",","),",",REPT(" ",99)),(ROW($1:$8)-1)*99+1,99)),IFERROR(('Final Calculation Sheet'!$Y$4)&amp;"",""))))&gt;0,AND(ISNUMBER(SEARCH("blank",$Z$4)),NOT(ISNUMBER(SEARCH("nonblank",$Z$4))),IFERROR(('Final Calculation Sheet'!$Y$4)&amp;"","")=""),AND(OR(ISNUMBER(SEARCH("nonblank",$Z$4)),ISNUMBER(SEARCH("&lt;&gt;",$Z$4))),IFERROR(('Final Calculation Sheet'!$Y$4)&amp;"","")&lt;&gt;""),AND(TRIM($Z$4)="",IFERROR(('Final Calculation Sheet'!$Y$4)&amp;"","")=""))))</f>
        <v/>
      </c>
      <c r="CM5">
        <f>IF($AA$4="",1,--(OR(SUMPRODUCT(--(TRIM(MID(SUBSTITUTE(SUBSTITUTE($AA$4,"/",","),",",REPT(" ",99)),(ROW($1:$8)-1)*99+1,99))&lt;&gt;""),--ISNUMBER(SEARCH(TRIM(MID(SUBSTITUTE(SUBSTITUTE($AA$4,"/",","),",",REPT(" ",99)),(ROW($1:$8)-1)*99+1,99)),IFERROR(('Final Calculation Sheet'!$Z$4)&amp;"",""))))&gt;0,AND(ISNUMBER(SEARCH("blank",$AA$4)),NOT(ISNUMBER(SEARCH("nonblank",$AA$4))),IFERROR(('Final Calculation Sheet'!$Z$4)&amp;"","")=""),AND(OR(ISNUMBER(SEARCH("nonblank",$AA$4)),ISNUMBER(SEARCH("&lt;&gt;",$AA$4))),IFERROR(('Final Calculation Sheet'!$Z$4)&amp;"","")&lt;&gt;""),AND(TRIM($AA$4)="",IFERROR(('Final Calculation Sheet'!$Z$4)&amp;"","")=""))))</f>
        <v/>
      </c>
      <c r="CN5">
        <f>IF($AB$4="",1,--(OR(SUMPRODUCT(--(TRIM(MID(SUBSTITUTE(SUBSTITUTE($AB$4,"/",","),",",REPT(" ",99)),(ROW($1:$8)-1)*99+1,99))&lt;&gt;""),--ISNUMBER(SEARCH(TRIM(MID(SUBSTITUTE(SUBSTITUTE($AB$4,"/",","),",",REPT(" ",99)),(ROW($1:$8)-1)*99+1,99)),IFERROR(('Final Calculation Sheet'!$AA$4)&amp;"",""))))&gt;0,AND(ISNUMBER(SEARCH("blank",$AB$4)),NOT(ISNUMBER(SEARCH("nonblank",$AB$4))),IFERROR(('Final Calculation Sheet'!$AA$4)&amp;"","")=""),AND(OR(ISNUMBER(SEARCH("nonblank",$AB$4)),ISNUMBER(SEARCH("&lt;&gt;",$AB$4))),IFERROR(('Final Calculation Sheet'!$AA$4)&amp;"","")&lt;&gt;""),AND(TRIM($AB$4)="",IFERROR(('Final Calculation Sheet'!$AA$4)&amp;"","")=""))))</f>
        <v/>
      </c>
      <c r="CO5">
        <f>IF($AC$4="",1,--(OR(SUMPRODUCT(--(TRIM(MID(SUBSTITUTE(SUBSTITUTE($AC$4,"/",","),",",REPT(" ",99)),(ROW($1:$8)-1)*99+1,99))&lt;&gt;""),--ISNUMBER(SEARCH(TRIM(MID(SUBSTITUTE(SUBSTITUTE($AC$4,"/",","),",",REPT(" ",99)),(ROW($1:$8)-1)*99+1,99)),IFERROR(('Final Calculation Sheet'!$AB$4)&amp;"",""))))&gt;0,AND(ISNUMBER(SEARCH("blank",$AC$4)),NOT(ISNUMBER(SEARCH("nonblank",$AC$4))),IFERROR(('Final Calculation Sheet'!$AB$4)&amp;"","")=""),AND(OR(ISNUMBER(SEARCH("nonblank",$AC$4)),ISNUMBER(SEARCH("&lt;&gt;",$AC$4))),IFERROR(('Final Calculation Sheet'!$AB$4)&amp;"","")&lt;&gt;""),AND(TRIM($AC$4)="",IFERROR(('Final Calculation Sheet'!$AB$4)&amp;"","")=""))))</f>
        <v/>
      </c>
      <c r="CP5">
        <f>IF($AD$4="",1,--(OR(SUMPRODUCT(--(TRIM(MID(SUBSTITUTE(SUBSTITUTE($AD$4,"/",","),",",REPT(" ",99)),(ROW($1:$8)-1)*99+1,99))&lt;&gt;""),--ISNUMBER(SEARCH(TRIM(MID(SUBSTITUTE(SUBSTITUTE($AD$4,"/",","),",",REPT(" ",99)),(ROW($1:$8)-1)*99+1,99)),IFERROR(('Final Calculation Sheet'!$AC$4)&amp;"",""))))&gt;0,AND(ISNUMBER(SEARCH("blank",$AD$4)),NOT(ISNUMBER(SEARCH("nonblank",$AD$4))),IFERROR(('Final Calculation Sheet'!$AC$4)&amp;"","")=""),AND(OR(ISNUMBER(SEARCH("nonblank",$AD$4)),ISNUMBER(SEARCH("&lt;&gt;",$AD$4))),IFERROR(('Final Calculation Sheet'!$AC$4)&amp;"","")&lt;&gt;""),AND(TRIM($AD$4)="",IFERROR(('Final Calculation Sheet'!$AC$4)&amp;"","")=""))))</f>
        <v/>
      </c>
      <c r="CQ5">
        <f>IF($AE$4="",1,--(OR(SUMPRODUCT(--(TRIM(MID(SUBSTITUTE(SUBSTITUTE($AE$4,"/",","),",",REPT(" ",99)),(ROW($1:$8)-1)*99+1,99))&lt;&gt;""),--ISNUMBER(SEARCH(TRIM(MID(SUBSTITUTE(SUBSTITUTE($AE$4,"/",","),",",REPT(" ",99)),(ROW($1:$8)-1)*99+1,99)),IFERROR(('Final Calculation Sheet'!$AD$4)&amp;"",""))))&gt;0,AND(ISNUMBER(SEARCH("blank",$AE$4)),NOT(ISNUMBER(SEARCH("nonblank",$AE$4))),IFERROR(('Final Calculation Sheet'!$AD$4)&amp;"","")=""),AND(OR(ISNUMBER(SEARCH("nonblank",$AE$4)),ISNUMBER(SEARCH("&lt;&gt;",$AE$4))),IFERROR(('Final Calculation Sheet'!$AD$4)&amp;"","")&lt;&gt;""),AND(TRIM($AE$4)="",IFERROR(('Final Calculation Sheet'!$AD$4)&amp;"","")=""))))</f>
        <v/>
      </c>
      <c r="CR5">
        <f>IF($AF$4="",1,--(OR(SUMPRODUCT(--(TRIM(MID(SUBSTITUTE(SUBSTITUTE($AF$4,"/",","),",",REPT(" ",99)),(ROW($1:$8)-1)*99+1,99))&lt;&gt;""),--ISNUMBER(SEARCH(TRIM(MID(SUBSTITUTE(SUBSTITUTE($AF$4,"/",","),",",REPT(" ",99)),(ROW($1:$8)-1)*99+1,99)),IFERROR(('Final Calculation Sheet'!$AE$4)&amp;"",""))))&gt;0,AND(ISNUMBER(SEARCH("blank",$AF$4)),NOT(ISNUMBER(SEARCH("nonblank",$AF$4))),IFERROR(('Final Calculation Sheet'!$AE$4)&amp;"","")=""),AND(OR(ISNUMBER(SEARCH("nonblank",$AF$4)),ISNUMBER(SEARCH("&lt;&gt;",$AF$4))),IFERROR(('Final Calculation Sheet'!$AE$4)&amp;"","")&lt;&gt;""),AND(TRIM($AF$4)="",IFERROR(('Final Calculation Sheet'!$AE$4)&amp;"","")=""))))</f>
        <v/>
      </c>
      <c r="CS5">
        <f>IF($AG$4="",1,--(OR(SUMPRODUCT(--(TRIM(MID(SUBSTITUTE(SUBSTITUTE($AG$4,"/",","),",",REPT(" ",99)),(ROW($1:$8)-1)*99+1,99))&lt;&gt;""),--ISNUMBER(SEARCH(TRIM(MID(SUBSTITUTE(SUBSTITUTE($AG$4,"/",","),",",REPT(" ",99)),(ROW($1:$8)-1)*99+1,99)),IFERROR(('Final Calculation Sheet'!$AF$4)&amp;"",""))))&gt;0,AND(ISNUMBER(SEARCH("blank",$AG$4)),NOT(ISNUMBER(SEARCH("nonblank",$AG$4))),IFERROR(('Final Calculation Sheet'!$AF$4)&amp;"","")=""),AND(OR(ISNUMBER(SEARCH("nonblank",$AG$4)),ISNUMBER(SEARCH("&lt;&gt;",$AG$4))),IFERROR(('Final Calculation Sheet'!$AF$4)&amp;"","")&lt;&gt;""),AND(TRIM($AG$4)="",IFERROR(('Final Calculation Sheet'!$AF$4)&amp;"","")=""))))</f>
        <v/>
      </c>
      <c r="CT5">
        <f>IF($AH$4="",1,--(OR(SUMPRODUCT(--(TRIM(MID(SUBSTITUTE(SUBSTITUTE($AH$4,"/",","),",",REPT(" ",99)),(ROW($1:$8)-1)*99+1,99))&lt;&gt;""),--ISNUMBER(SEARCH(TRIM(MID(SUBSTITUTE(SUBSTITUTE($AH$4,"/",","),",",REPT(" ",99)),(ROW($1:$8)-1)*99+1,99)),IFERROR(('Final Calculation Sheet'!$AG$4)&amp;"",""))))&gt;0,AND(ISNUMBER(SEARCH("blank",$AH$4)),NOT(ISNUMBER(SEARCH("nonblank",$AH$4))),IFERROR(('Final Calculation Sheet'!$AG$4)&amp;"","")=""),AND(OR(ISNUMBER(SEARCH("nonblank",$AH$4)),ISNUMBER(SEARCH("&lt;&gt;",$AH$4))),IFERROR(('Final Calculation Sheet'!$AG$4)&amp;"","")&lt;&gt;""),AND(TRIM($AH$4)="",IFERROR(('Final Calculation Sheet'!$AG$4)&amp;"","")=""))))</f>
        <v/>
      </c>
      <c r="CU5">
        <f>IF($AI$4="",1,--(OR(SUMPRODUCT(--(TRIM(MID(SUBSTITUTE(SUBSTITUTE($AI$4,"/",","),",",REPT(" ",99)),(ROW($1:$8)-1)*99+1,99))&lt;&gt;""),--ISNUMBER(SEARCH(TRIM(MID(SUBSTITUTE(SUBSTITUTE($AI$4,"/",","),",",REPT(" ",99)),(ROW($1:$8)-1)*99+1,99)),IFERROR((IF('Final Calculation Sheet'!$AD$4&lt;=0,"SETTLED","OUTSTANDING"))&amp;"",""))))&gt;0,AND(ISNUMBER(SEARCH("blank",$AI$4)),NOT(ISNUMBER(SEARCH("nonblank",$AI$4))),IFERROR((IF('Final Calculation Sheet'!$AD$4&lt;=0,"SETTLED","OUTSTANDING"))&amp;"","")=""),AND(OR(ISNUMBER(SEARCH("nonblank",$AI$4)),ISNUMBER(SEARCH("&lt;&gt;",$AI$4))),IFERROR((IF('Final Calculation Sheet'!$AD$4&lt;=0,"SETTLED","OUTSTANDING"))&amp;"","")&lt;&gt;""),AND(TRIM($AI$4)="",IFERROR((IF('Final Calculation Sheet'!$AD$4&lt;=0,"SETTLED","OUTSTANDING"))&amp;"","")=""))))</f>
        <v/>
      </c>
    </row>
    <row r="6" ht="15" customHeight="1" s="77">
      <c r="A6" s="67">
        <f>IF($BJ5&gt;0,INDEX($BA$5:$BA$41,MATCH(5,$BB$5:$BB$41,0)),IF(OR($BI5=1,$BL5=1,$BH5&gt;0),"∑",""))</f>
        <v/>
      </c>
      <c r="B6" s="68">
        <f>IF($BJ5&gt;0,IF(INDEX('Final Calculation Sheet'!$F$4:$F$40,$BJ5-3)="","",INDEX('Final Calculation Sheet'!$F$4:$F$40,$BJ5-3)),"")</f>
        <v/>
      </c>
      <c r="C6" s="68">
        <f>IF($BJ5&gt;0,IF(INDEX('Final Calculation Sheet'!$G$4:$G$40,$BJ5-3)="","",INDEX('Final Calculation Sheet'!$G$4:$G$40,$BJ5-3)),IF(OR($BI5=1,$BL5=1,$BH5&gt;0),IF($BI5=1,37,IF($BL5=1,37-INDEX($BD$4:$BD$13,10),INDEX($BD$4:$BD$13,$BH5)))&amp;" lot(s)",""))</f>
        <v/>
      </c>
      <c r="D6" s="69">
        <f>IF($BJ5&gt;0,IF(INDEX('Final Calculation Sheet'!$B$4:$B$40,$BJ5-3)="","",INDEX('Final Calculation Sheet'!$B$4:$B$40,$BJ5-3)),IF(OR($BI5=1,$BL5=1,$BH5&gt;0),IF($BI5=1,"GRAND TOTAL  —  matching + remaining",IF($BL5=1,"TOTAL MATCHED  —  every group together",IF($BH5=10,"REMAINING  —  did not match the search",IF($BH5=9,IF(COUNTIF($A$4:$AI$4,"&lt;&gt;")&gt;0,"FILTERED LOTS  —  column fields","ALL LOTS  —  nothing typed in the box"),"GROUP "&amp;$BH5&amp;" TOTAL  —  lots matching  "&amp;INDEX($AR$6:$AY$6,$BH5))))),""))</f>
        <v/>
      </c>
      <c r="E6" s="69">
        <f>IF($BJ5&gt;0,IF(INDEX('Final Calculation Sheet'!$D$4:$D$40,$BJ5-3)="","",INDEX('Final Calculation Sheet'!$D$4:$D$40,$BJ5-3)),IF(OR($BI5=1,$BL5=1,$BH5&gt;0),"–",""))</f>
        <v/>
      </c>
      <c r="F6" s="69">
        <f>IF($BJ5&gt;0,IF(INDEX('Final Calculation Sheet'!$A$4:$A$40,$BJ5-3)="","",INDEX('Final Calculation Sheet'!$A$4:$A$40,$BJ5-3)),IF(OR($BI5=1,$BL5=1,$BH5&gt;0),IF($BI5=1,SUM('Final Calculation Sheet'!$A$4:$A$40),IF($BL5=1,SUM('Final Calculation Sheet'!$A$4:$A$40)-SUMIFS('Final Calculation Sheet'!$A$4:$A$40,$AZ$5:$AZ$41,10),SUMIFS('Final Calculation Sheet'!$A$4:$A$40,$AZ$5:$AZ$41,$BH5))),""))</f>
        <v/>
      </c>
      <c r="G6" s="69">
        <f>IF($BJ5&gt;0,IF(INDEX('Final Calculation Sheet'!$E$4:$E$40,$BJ5-3)="","",INDEX('Final Calculation Sheet'!$E$4:$E$40,$BJ5-3)),IF(OR($BI5=1,$BL5=1,$BH5&gt;0),"–",""))</f>
        <v/>
      </c>
      <c r="H6" s="70">
        <f>IF($BJ5&gt;0,IF(INDEX('Final Calculation Sheet'!$C$4:$C$40,$BJ5-3)="","",INDEX('Final Calculation Sheet'!$C$4:$C$40,$BJ5-3)),IF(OR($BI5=1,$BL5=1,$BH5&gt;0),"–",""))</f>
        <v/>
      </c>
      <c r="I6" s="70">
        <f>IF($BJ5&gt;0,IF(INDEX('Final Calculation Sheet'!$H$4:$H$40,$BJ5-3)="","",INDEX('Final Calculation Sheet'!$H$4:$H$40,$BJ5-3)),IF(OR($BI5=1,$BL5=1,$BH5&gt;0),IF($BI5=1,SUM('Final Calculation Sheet'!$H$4:$H$40),IF($BL5=1,SUM('Final Calculation Sheet'!$H$4:$H$40)-SUMIFS('Final Calculation Sheet'!$H$4:$H$40,$AZ$5:$AZ$41,10),SUMIFS('Final Calculation Sheet'!$H$4:$H$40,$AZ$5:$AZ$41,$BH5))),""))</f>
        <v/>
      </c>
      <c r="J6" s="70">
        <f>IF($BJ5&gt;0,IF(INDEX('Final Calculation Sheet'!$I$4:$I$40,$BJ5-3)="","",INDEX('Final Calculation Sheet'!$I$4:$I$40,$BJ5-3)),IF(OR($BI5=1,$BL5=1,$BH5&gt;0),IF($BI5=1,SUM('Final Calculation Sheet'!$I$4:$I$40),IF($BL5=1,SUM('Final Calculation Sheet'!$I$4:$I$40)-SUMIFS('Final Calculation Sheet'!$I$4:$I$40,$AZ$5:$AZ$41,10),SUMIFS('Final Calculation Sheet'!$I$4:$I$40,$AZ$5:$AZ$41,$BH5))),""))</f>
        <v/>
      </c>
      <c r="K6" s="70">
        <f>IF($BJ5&gt;0,IF(INDEX('Final Calculation Sheet'!$J$4:$J$40,$BJ5-3)="","",INDEX('Final Calculation Sheet'!$J$4:$J$40,$BJ5-3)),IF(OR($BI5=1,$BL5=1,$BH5&gt;0),IF($BI5=1,SUM('Final Calculation Sheet'!$J$4:$J$40),IF($BL5=1,SUM('Final Calculation Sheet'!$J$4:$J$40)-SUMIFS('Final Calculation Sheet'!$J$4:$J$40,$AZ$5:$AZ$41,10),SUMIFS('Final Calculation Sheet'!$J$4:$J$40,$AZ$5:$AZ$41,$BH5))),""))</f>
        <v/>
      </c>
      <c r="L6" s="70">
        <f>IF($BJ5&gt;0,IF(INDEX('Final Calculation Sheet'!$K$4:$K$40,$BJ5-3)="","",INDEX('Final Calculation Sheet'!$K$4:$K$40,$BJ5-3)),IF(OR($BI5=1,$BL5=1,$BH5&gt;0),IF($BI5=1,SUM('Final Calculation Sheet'!$K$4:$K$40),IF($BL5=1,SUM('Final Calculation Sheet'!$K$4:$K$40)-SUMIFS('Final Calculation Sheet'!$K$4:$K$40,$AZ$5:$AZ$41,10),SUMIFS('Final Calculation Sheet'!$K$4:$K$40,$AZ$5:$AZ$41,$BH5))),""))</f>
        <v/>
      </c>
      <c r="M6" s="70">
        <f>IF($BJ5&gt;0,IF(INDEX('Final Calculation Sheet'!$L$4:$L$40,$BJ5-3)="","",INDEX('Final Calculation Sheet'!$L$4:$L$40,$BJ5-3)),IF(OR($BI5=1,$BL5=1,$BH5&gt;0),IF($BI5=1,SUM('Final Calculation Sheet'!$L$4:$L$40),IF($BL5=1,SUM('Final Calculation Sheet'!$L$4:$L$40)-SUMIFS('Final Calculation Sheet'!$L$4:$L$40,$AZ$5:$AZ$41,10),SUMIFS('Final Calculation Sheet'!$L$4:$L$40,$AZ$5:$AZ$41,$BH5))),""))</f>
        <v/>
      </c>
      <c r="N6" s="70">
        <f>IF($BJ5&gt;0,IF(INDEX('Final Calculation Sheet'!$M$4:$M$40,$BJ5-3)="","",INDEX('Final Calculation Sheet'!$M$4:$M$40,$BJ5-3)),IF(OR($BI5=1,$BL5=1,$BH5&gt;0),IF($BI5=1,SUM('Final Calculation Sheet'!$M$4:$M$40),IF($BL5=1,SUM('Final Calculation Sheet'!$M$4:$M$40)-SUMIFS('Final Calculation Sheet'!$M$4:$M$40,$AZ$5:$AZ$41,10),SUMIFS('Final Calculation Sheet'!$M$4:$M$40,$AZ$5:$AZ$41,$BH5))),""))</f>
        <v/>
      </c>
      <c r="O6" s="71">
        <f>IF($BJ5&gt;0,IF(INDEX('Final Calculation Sheet'!$N$4:$N$40,$BJ5-3)="","",INDEX('Final Calculation Sheet'!$N$4:$N$40,$BJ5-3)),IF(OR($BI5=1,$BL5=1,$BH5&gt;0),IF($BI5=1,SUM('Final Calculation Sheet'!$N$4:$N$40),IF($BL5=1,SUM('Final Calculation Sheet'!$N$4:$N$40)-SUMIFS('Final Calculation Sheet'!$N$4:$N$40,$AZ$5:$AZ$41,10),SUMIFS('Final Calculation Sheet'!$N$4:$N$40,$AZ$5:$AZ$41,$BH5))),""))</f>
        <v/>
      </c>
      <c r="P6" s="70">
        <f>IF($BJ5&gt;0,IF(INDEX('Final Calculation Sheet'!$O$4:$O$40,$BJ5-3)="","",INDEX('Final Calculation Sheet'!$O$4:$O$40,$BJ5-3)),IF(OR($BI5=1,$BL5=1,$BH5&gt;0),IF($BI5=1,SUM('Final Calculation Sheet'!$O$4:$O$40),IF($BL5=1,SUM('Final Calculation Sheet'!$O$4:$O$40)-SUMIFS('Final Calculation Sheet'!$O$4:$O$40,$AZ$5:$AZ$41,10),SUMIFS('Final Calculation Sheet'!$O$4:$O$40,$AZ$5:$AZ$41,$BH5))),""))</f>
        <v/>
      </c>
      <c r="Q6" s="70">
        <f>IF($BJ5&gt;0,IF(INDEX('Final Calculation Sheet'!$P$4:$P$40,$BJ5-3)="","",INDEX('Final Calculation Sheet'!$P$4:$P$40,$BJ5-3)),IF(OR($BI5=1,$BL5=1,$BH5&gt;0),IF($BI5=1,SUM('Final Calculation Sheet'!$P$4:$P$40),IF($BL5=1,SUM('Final Calculation Sheet'!$P$4:$P$40)-SUMIFS('Final Calculation Sheet'!$P$4:$P$40,$AZ$5:$AZ$41,10),SUMIFS('Final Calculation Sheet'!$P$4:$P$40,$AZ$5:$AZ$41,$BH5))),""))</f>
        <v/>
      </c>
      <c r="R6" s="72">
        <f>IF($BJ5&gt;0,IF(INDEX('Final Calculation Sheet'!$Q$4:$Q$40,$BJ5-3)="","",INDEX('Final Calculation Sheet'!$Q$4:$Q$40,$BJ5-3)),IF(OR($BI5=1,$BL5=1,$BH5&gt;0),"–",""))</f>
        <v/>
      </c>
      <c r="S6" s="70">
        <f>IF($BJ5&gt;0,IF(INDEX('Final Calculation Sheet'!$R$4:$R$40,$BJ5-3)="","",INDEX('Final Calculation Sheet'!$R$4:$R$40,$BJ5-3)),IF(OR($BI5=1,$BL5=1,$BH5&gt;0),IF($BI5=1,SUM('Final Calculation Sheet'!$R$4:$R$40),IF($BL5=1,SUM('Final Calculation Sheet'!$R$4:$R$40)-SUMIFS('Final Calculation Sheet'!$R$4:$R$40,$AZ$5:$AZ$41,10),SUMIFS('Final Calculation Sheet'!$R$4:$R$40,$AZ$5:$AZ$41,$BH5))),""))</f>
        <v/>
      </c>
      <c r="T6" s="70">
        <f>IF($BJ5&gt;0,IF(INDEX('Final Calculation Sheet'!$S$4:$S$40,$BJ5-3)="","",INDEX('Final Calculation Sheet'!$S$4:$S$40,$BJ5-3)),IF(OR($BI5=1,$BL5=1,$BH5&gt;0),IF($BI5=1,SUM('Final Calculation Sheet'!$S$4:$S$40),IF($BL5=1,SUM('Final Calculation Sheet'!$S$4:$S$40)-SUMIFS('Final Calculation Sheet'!$S$4:$S$40,$AZ$5:$AZ$41,10),SUMIFS('Final Calculation Sheet'!$S$4:$S$40,$AZ$5:$AZ$41,$BH5))),""))</f>
        <v/>
      </c>
      <c r="U6" s="70">
        <f>IF($BJ5&gt;0,IF(INDEX('Final Calculation Sheet'!$T$4:$T$40,$BJ5-3)="","",INDEX('Final Calculation Sheet'!$T$4:$T$40,$BJ5-3)),IF(OR($BI5=1,$BL5=1,$BH5&gt;0),IF($BI5=1,SUM('Final Calculation Sheet'!$T$4:$T$40),IF($BL5=1,SUM('Final Calculation Sheet'!$T$4:$T$40)-SUMIFS('Final Calculation Sheet'!$T$4:$T$40,$AZ$5:$AZ$41,10),SUMIFS('Final Calculation Sheet'!$T$4:$T$40,$AZ$5:$AZ$41,$BH5))),""))</f>
        <v/>
      </c>
      <c r="V6" s="73">
        <f>IF($BJ5&gt;0,IF(INDEX('Final Calculation Sheet'!$U$4:$U$40,$BJ5-3)="","",INDEX('Final Calculation Sheet'!$U$4:$U$40,$BJ5-3)),IF(OR($BI5=1,$BL5=1,$BH5&gt;0),IF($BI5=1,SUM('Final Calculation Sheet'!$U$4:$U$40),IF($BL5=1,SUM('Final Calculation Sheet'!$U$4:$U$40)-SUMIFS('Final Calculation Sheet'!$U$4:$U$40,$AZ$5:$AZ$41,10),SUMIFS('Final Calculation Sheet'!$U$4:$U$40,$AZ$5:$AZ$41,$BH5))),""))</f>
        <v/>
      </c>
      <c r="W6" s="70">
        <f>IF($BJ5&gt;0,IF(INDEX('Final Calculation Sheet'!$V$4:$V$40,$BJ5-3)="","",INDEX('Final Calculation Sheet'!$V$4:$V$40,$BJ5-3)),IF(OR($BI5=1,$BL5=1,$BH5&gt;0),"–",""))</f>
        <v/>
      </c>
      <c r="X6" s="70">
        <f>IF($BJ5&gt;0,IF(INDEX('Final Calculation Sheet'!$W$4:$W$40,$BJ5-3)="","",INDEX('Final Calculation Sheet'!$W$4:$W$40,$BJ5-3)),IF(OR($BI5=1,$BL5=1,$BH5&gt;0),IF($BI5=1,SUM('Final Calculation Sheet'!$W$4:$W$40),IF($BL5=1,SUM('Final Calculation Sheet'!$W$4:$W$40)-SUMIFS('Final Calculation Sheet'!$W$4:$W$40,$AZ$5:$AZ$41,10),SUMIFS('Final Calculation Sheet'!$W$4:$W$40,$AZ$5:$AZ$41,$BH5))),""))</f>
        <v/>
      </c>
      <c r="Y6" s="70">
        <f>IF($BJ5&gt;0,IF(INDEX('Final Calculation Sheet'!$X$4:$X$40,$BJ5-3)="","",INDEX('Final Calculation Sheet'!$X$4:$X$40,$BJ5-3)),IF(OR($BI5=1,$BL5=1,$BH5&gt;0),IF($BI5=1,SUM('Final Calculation Sheet'!$X$4:$X$40),IF($BL5=1,SUM('Final Calculation Sheet'!$X$4:$X$40)-SUMIFS('Final Calculation Sheet'!$X$4:$X$40,$AZ$5:$AZ$41,10),SUMIFS('Final Calculation Sheet'!$X$4:$X$40,$AZ$5:$AZ$41,$BH5))),""))</f>
        <v/>
      </c>
      <c r="Z6" s="70">
        <f>IF($BJ5&gt;0,IF(INDEX('Final Calculation Sheet'!$Y$4:$Y$40,$BJ5-3)="","",INDEX('Final Calculation Sheet'!$Y$4:$Y$40,$BJ5-3)),IF(OR($BI5=1,$BL5=1,$BH5&gt;0),"–",""))</f>
        <v/>
      </c>
      <c r="AA6" s="70">
        <f>IF($BJ5&gt;0,IF(INDEX('Final Calculation Sheet'!$Z$4:$Z$40,$BJ5-3)="","",INDEX('Final Calculation Sheet'!$Z$4:$Z$40,$BJ5-3)),IF(OR($BI5=1,$BL5=1,$BH5&gt;0),IF($BI5=1,SUM('Final Calculation Sheet'!$Z$4:$Z$40),IF($BL5=1,SUM('Final Calculation Sheet'!$Z$4:$Z$40)-SUMIFS('Final Calculation Sheet'!$Z$4:$Z$40,$AZ$5:$AZ$41,10),SUMIFS('Final Calculation Sheet'!$Z$4:$Z$40,$AZ$5:$AZ$41,$BH5))),""))</f>
        <v/>
      </c>
      <c r="AB6" s="70">
        <f>IF($BJ5&gt;0,IF(INDEX('Final Calculation Sheet'!$AA$4:$AA$40,$BJ5-3)="","",INDEX('Final Calculation Sheet'!$AA$4:$AA$40,$BJ5-3)),IF(OR($BI5=1,$BL5=1,$BH5&gt;0),IF($BI5=1,SUM('Final Calculation Sheet'!$AA$4:$AA$40),IF($BL5=1,SUM('Final Calculation Sheet'!$AA$4:$AA$40)-SUMIFS('Final Calculation Sheet'!$AA$4:$AA$40,$AZ$5:$AZ$41,10),SUMIFS('Final Calculation Sheet'!$AA$4:$AA$40,$AZ$5:$AZ$41,$BH5))),""))</f>
        <v/>
      </c>
      <c r="AC6" s="70">
        <f>IF($BJ5&gt;0,IF(INDEX('Final Calculation Sheet'!$AB$4:$AB$40,$BJ5-3)="","",INDEX('Final Calculation Sheet'!$AB$4:$AB$40,$BJ5-3)),IF(OR($BI5=1,$BL5=1,$BH5&gt;0),"–",""))</f>
        <v/>
      </c>
      <c r="AD6" s="70">
        <f>IF($BJ5&gt;0,IF(INDEX('Final Calculation Sheet'!$AC$4:$AC$40,$BJ5-3)="","",INDEX('Final Calculation Sheet'!$AC$4:$AC$40,$BJ5-3)),IF(OR($BI5=1,$BL5=1,$BH5&gt;0),IF($BI5=1,SUM('Final Calculation Sheet'!$AC$4:$AC$40),IF($BL5=1,SUM('Final Calculation Sheet'!$AC$4:$AC$40)-SUMIFS('Final Calculation Sheet'!$AC$4:$AC$40,$AZ$5:$AZ$41,10),SUMIFS('Final Calculation Sheet'!$AC$4:$AC$40,$AZ$5:$AZ$41,$BH5))),""))</f>
        <v/>
      </c>
      <c r="AE6" s="70">
        <f>IF($BJ5&gt;0,IF(INDEX('Final Calculation Sheet'!$AD$4:$AD$40,$BJ5-3)="","",INDEX('Final Calculation Sheet'!$AD$4:$AD$40,$BJ5-3)),IF(OR($BI5=1,$BL5=1,$BH5&gt;0),IF($BI5=1,SUM('Final Calculation Sheet'!$AD$4:$AD$40),IF($BL5=1,SUM('Final Calculation Sheet'!$AD$4:$AD$40)-SUMIFS('Final Calculation Sheet'!$AD$4:$AD$40,$AZ$5:$AZ$41,10),SUMIFS('Final Calculation Sheet'!$AD$4:$AD$40,$AZ$5:$AZ$41,$BH5))),""))</f>
        <v/>
      </c>
      <c r="AF6" s="70">
        <f>IF($BJ5&gt;0,IF(INDEX('Final Calculation Sheet'!$AE$4:$AE$40,$BJ5-3)="","",INDEX('Final Calculation Sheet'!$AE$4:$AE$40,$BJ5-3)),IF(OR($BI5=1,$BL5=1,$BH5&gt;0),"–",""))</f>
        <v/>
      </c>
      <c r="AG6" s="74">
        <f>IF($BJ5&gt;0,IF(INDEX('Final Calculation Sheet'!$AF$4:$AF$40,$BJ5-3)="","",INDEX('Final Calculation Sheet'!$AF$4:$AF$40,$BJ5-3)),IF(OR($BI5=1,$BL5=1,$BH5&gt;0),"–",""))</f>
        <v/>
      </c>
      <c r="AH6" s="70">
        <f>IF($BJ5&gt;0,IF(INDEX('Final Calculation Sheet'!$AG$4:$AG$40,$BJ5-3)="","",INDEX('Final Calculation Sheet'!$AG$4:$AG$40,$BJ5-3)),IF(OR($BI5=1,$BL5=1,$BH5&gt;0),"–",""))</f>
        <v/>
      </c>
      <c r="AI6" s="75">
        <f>IF($BJ5&gt;0,IF(INDEX('Final Calculation Sheet'!$AD$4:$AD$40,$BJ5-3)="","",IF(INDEX('Final Calculation Sheet'!$AD$4:$AD$40,$BJ5-3)&lt;=0,"SETTLED","OUTSTANDING")),IF(OR($BI5=1,$BL5=1,$BH5&gt;0),IF(IF($BI5=1,SUM('Final Calculation Sheet'!$AD$4:$AD$40),IF($BL5=1,SUM('Final Calculation Sheet'!$AD$4:$AD$40)-SUMIFS('Final Calculation Sheet'!$AD$4:$AD$40,$AZ$5:$AZ$41,10),SUMIFS('Final Calculation Sheet'!$AD$4:$AD$40,$AZ$5:$AZ$41,$BH5)))&lt;=0,"ALL SETTLED","OUTSTANDING"),""))</f>
        <v/>
      </c>
      <c r="AK6">
        <f>IF($F$3="Lot No.",'Final Calculation Sheet'!$F$5,IF($F$3="Buyer",'Final Calculation Sheet'!$G$5,IF($F$3="Lot Name",'Final Calculation Sheet'!$B$5,IF($F$3="Bid Sheet",'Final Calculation Sheet'!$D$5,IF($F$3="Unit",'Final Calculation Sheet'!$E$5,'Final Calculation Sheet'!$F$5&amp;" "&amp;'Final Calculation Sheet'!$G$5&amp;" "&amp;'Final Calculation Sheet'!$B$5)))))</f>
        <v/>
      </c>
      <c r="AM6">
        <f>IF(COUNTIF($BM6:$CU6,0)&gt;0,0,IF($B$3="",1,IF(AND(IF(COUNTIF($AR$9:$AY$9,1)=0,TRUE,SUMPRODUCT(($AR$9:$AY$9=1)*($AR$6:$AY$6&lt;&gt;"")*ISNUMBER(SEARCH($AR$6:$AY$6,$AK6)))&gt;0),IF(COUNTIF($AR$9:$AY$9,2)=0,TRUE,SUMPRODUCT(($AR$9:$AY$9=2)*($AR$6:$AY$6&lt;&gt;"")*ISNUMBER(SEARCH($AR$6:$AY$6,$AK6)))&gt;0),IF(COUNTIF($AR$9:$AY$9,3)=0,TRUE,SUMPRODUCT(($AR$9:$AY$9=3)*($AR$6:$AY$6&lt;&gt;"")*ISNUMBER(SEARCH($AR$6:$AY$6,$AK6)))&gt;0),IF(COUNTIF($AR$9:$AY$9,4)=0,TRUE,SUMPRODUCT(($AR$9:$AY$9=4)*($AR$6:$AY$6&lt;&gt;"")*ISNUMBER(SEARCH($AR$6:$AY$6,$AK6)))&gt;0),IF(COUNTIF($AR$9:$AY$9,5)=0,TRUE,SUMPRODUCT(($AR$9:$AY$9=5)*($AR$6:$AY$6&lt;&gt;"")*ISNUMBER(SEARCH($AR$6:$AY$6,$AK6)))&gt;0),IF(COUNTIF($AR$9:$AY$9,6)=0,TRUE,SUMPRODUCT(($AR$9:$AY$9=6)*($AR$6:$AY$6&lt;&gt;"")*ISNUMBER(SEARCH($AR$6:$AY$6,$AK6)))&gt;0),IF(COUNTIF($AR$9:$AY$9,7)=0,TRUE,SUMPRODUCT(($AR$9:$AY$9=7)*($AR$6:$AY$6&lt;&gt;"")*ISNUMBER(SEARCH($AR$6:$AY$6,$AK6)))&gt;0),IF(COUNTIF($AR$9:$AY$9,8)=0,TRUE,SUMPRODUCT(($AR$9:$AY$9=8)*($AR$6:$AY$6&lt;&gt;"")*ISNUMBER(SEARCH($AR$6:$AY$6,$AK6)))&gt;0)),1,0)))</f>
        <v/>
      </c>
      <c r="AO6" t="inlineStr">
        <is>
          <t>Buyer</t>
        </is>
      </c>
      <c r="AR6">
        <f>IF($AR$4="","",IF($AR$5=99999,TRIM($AR$4),TRIM(LEFT($AR$4,$AR$5-1))))</f>
        <v/>
      </c>
      <c r="AS6">
        <f>IF($AS$4="","",IF($AS$5=99999,TRIM($AS$4),TRIM(LEFT($AS$4,$AS$5-1))))</f>
        <v/>
      </c>
      <c r="AT6">
        <f>IF($AT$4="","",IF($AT$5=99999,TRIM($AT$4),TRIM(LEFT($AT$4,$AT$5-1))))</f>
        <v/>
      </c>
      <c r="AU6">
        <f>IF($AU$4="","",IF($AU$5=99999,TRIM($AU$4),TRIM(LEFT($AU$4,$AU$5-1))))</f>
        <v/>
      </c>
      <c r="AV6">
        <f>IF($AV$4="","",IF($AV$5=99999,TRIM($AV$4),TRIM(LEFT($AV$4,$AV$5-1))))</f>
        <v/>
      </c>
      <c r="AW6">
        <f>IF($AW$4="","",IF($AW$5=99999,TRIM($AW$4),TRIM(LEFT($AW$4,$AW$5-1))))</f>
        <v/>
      </c>
      <c r="AX6">
        <f>IF($AX$4="","",IF($AX$5=99999,TRIM($AX$4),TRIM(LEFT($AX$4,$AX$5-1))))</f>
        <v/>
      </c>
      <c r="AY6">
        <f>IF($AY$4="","",IF($AY$5=99999,TRIM($AY$4),TRIM(LEFT($AY$4,$AY$5-1))))</f>
        <v/>
      </c>
      <c r="AZ6">
        <f>IF($B$3="",IF(COUNTIF($A$4:$AI$4,"&lt;&gt;")=0,9,IF($AM6=1,9,10)),IF($AM6=0,10,IF(AND($AR$6&lt;&gt;"",ISNUMBER(SEARCH($AR$6,$AK6))),1,IF(AND($AS$6&lt;&gt;"",ISNUMBER(SEARCH($AS$6,$AK6))),2,IF(AND($AT$6&lt;&gt;"",ISNUMBER(SEARCH($AT$6,$AK6))),3,IF(AND($AU$6&lt;&gt;"",ISNUMBER(SEARCH($AU$6,$AK6))),4,IF(AND($AV$6&lt;&gt;"",ISNUMBER(SEARCH($AV$6,$AK6))),5,IF(AND($AW$6&lt;&gt;"",ISNUMBER(SEARCH($AW$6,$AK6))),6,IF(AND($AX$6&lt;&gt;"",ISNUMBER(SEARCH($AX$6,$AK6))),7,IF(AND($AY$6&lt;&gt;"",ISNUMBER(SEARCH($AY$6,$AK6))),8,0))))))))))</f>
        <v/>
      </c>
      <c r="BA6">
        <f>SUMPRODUCT(($AZ$5:$AZ$41=$AZ6)*($BC$5:$BC$41&lt;$BC6))+1</f>
        <v/>
      </c>
      <c r="BB6">
        <f>IF(INDEX($BF$4:$BF$13,$AZ6)=0,0,INDEX($BE$4:$BE$13,$AZ6)+$BA6-1)</f>
        <v/>
      </c>
      <c r="BC6" t="n">
        <v>5</v>
      </c>
      <c r="BD6">
        <f>COUNTIF($AZ$5:$AZ$41,3)</f>
        <v/>
      </c>
      <c r="BE6">
        <f>IF($BD5=0,$BE5,$BF5+1)</f>
        <v/>
      </c>
      <c r="BF6">
        <f>IF($BD6=0,0,$BE6+$BD6)</f>
        <v/>
      </c>
      <c r="BH6">
        <f>IFERROR(MATCH(6,$BF$4:$BF$13,0),0)</f>
        <v/>
      </c>
      <c r="BI6">
        <f>IF(6=$BG$5,1,0)</f>
        <v/>
      </c>
      <c r="BJ6">
        <f>IF(OR($BH6&gt;0,$BI6=1,$BL6=1),0,IFERROR(INDEX($BC$5:$BC$41,MATCH(6,$BB$5:$BB$41,0)),0))</f>
        <v/>
      </c>
      <c r="BK6">
        <f>IF($BJ6&gt;0,IF(INDEX($AZ$5:$AZ$41,MATCH(6,$BB$5:$BB$41,0))=10,1,0),IF($BH6=10,1,0))</f>
        <v/>
      </c>
      <c r="BL6">
        <f>IF(6=$BG$4,1,0)</f>
        <v/>
      </c>
      <c r="BM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6">
        <f>IF($B$4="",1,--(OR(SUMPRODUCT(--(TRIM(MID(SUBSTITUTE(SUBSTITUTE($B$4,"/",","),",",REPT(" ",99)),(ROW($1:$8)-1)*99+1,99))&lt;&gt;""),--ISNUMBER(SEARCH(TRIM(MID(SUBSTITUTE(SUBSTITUTE($B$4,"/",","),",",REPT(" ",99)),(ROW($1:$8)-1)*99+1,99)),IFERROR(('Final Calculation Sheet'!$F$5)&amp;"",""))))&gt;0,AND(ISNUMBER(SEARCH("blank",$B$4)),NOT(ISNUMBER(SEARCH("nonblank",$B$4))),IFERROR(('Final Calculation Sheet'!$F$5)&amp;"","")=""),AND(OR(ISNUMBER(SEARCH("nonblank",$B$4)),ISNUMBER(SEARCH("&lt;&gt;",$B$4))),IFERROR(('Final Calculation Sheet'!$F$5)&amp;"","")&lt;&gt;""),AND(TRIM($B$4)="",IFERROR(('Final Calculation Sheet'!$F$5)&amp;"","")=""))))</f>
        <v/>
      </c>
      <c r="BO6">
        <f>IF($C$4="",1,--(OR(SUMPRODUCT(--(TRIM(MID(SUBSTITUTE(SUBSTITUTE($C$4,"/",","),",",REPT(" ",99)),(ROW($1:$8)-1)*99+1,99))&lt;&gt;""),--ISNUMBER(SEARCH(TRIM(MID(SUBSTITUTE(SUBSTITUTE($C$4,"/",","),",",REPT(" ",99)),(ROW($1:$8)-1)*99+1,99)),IFERROR(('Final Calculation Sheet'!$G$5)&amp;"",""))))&gt;0,AND(ISNUMBER(SEARCH("blank",$C$4)),NOT(ISNUMBER(SEARCH("nonblank",$C$4))),IFERROR(('Final Calculation Sheet'!$G$5)&amp;"","")=""),AND(OR(ISNUMBER(SEARCH("nonblank",$C$4)),ISNUMBER(SEARCH("&lt;&gt;",$C$4))),IFERROR(('Final Calculation Sheet'!$G$5)&amp;"","")&lt;&gt;""),AND(TRIM($C$4)="",IFERROR(('Final Calculation Sheet'!$G$5)&amp;"","")=""))))</f>
        <v/>
      </c>
      <c r="BP6">
        <f>IF($D$4="",1,--(OR(SUMPRODUCT(--(TRIM(MID(SUBSTITUTE(SUBSTITUTE($D$4,"/",","),",",REPT(" ",99)),(ROW($1:$8)-1)*99+1,99))&lt;&gt;""),--ISNUMBER(SEARCH(TRIM(MID(SUBSTITUTE(SUBSTITUTE($D$4,"/",","),",",REPT(" ",99)),(ROW($1:$8)-1)*99+1,99)),IFERROR(('Final Calculation Sheet'!$B$5)&amp;"",""))))&gt;0,AND(ISNUMBER(SEARCH("blank",$D$4)),NOT(ISNUMBER(SEARCH("nonblank",$D$4))),IFERROR(('Final Calculation Sheet'!$B$5)&amp;"","")=""),AND(OR(ISNUMBER(SEARCH("nonblank",$D$4)),ISNUMBER(SEARCH("&lt;&gt;",$D$4))),IFERROR(('Final Calculation Sheet'!$B$5)&amp;"","")&lt;&gt;""),AND(TRIM($D$4)="",IFERROR(('Final Calculation Sheet'!$B$5)&amp;"","")=""))))</f>
        <v/>
      </c>
      <c r="BQ6">
        <f>IF($E$4="",1,--(OR(SUMPRODUCT(--(TRIM(MID(SUBSTITUTE(SUBSTITUTE($E$4,"/",","),",",REPT(" ",99)),(ROW($1:$8)-1)*99+1,99))&lt;&gt;""),--ISNUMBER(SEARCH(TRIM(MID(SUBSTITUTE(SUBSTITUTE($E$4,"/",","),",",REPT(" ",99)),(ROW($1:$8)-1)*99+1,99)),IFERROR(('Final Calculation Sheet'!$D$5)&amp;"",""))))&gt;0,AND(ISNUMBER(SEARCH("blank",$E$4)),NOT(ISNUMBER(SEARCH("nonblank",$E$4))),IFERROR(('Final Calculation Sheet'!$D$5)&amp;"","")=""),AND(OR(ISNUMBER(SEARCH("nonblank",$E$4)),ISNUMBER(SEARCH("&lt;&gt;",$E$4))),IFERROR(('Final Calculation Sheet'!$D$5)&amp;"","")&lt;&gt;""),AND(TRIM($E$4)="",IFERROR(('Final Calculation Sheet'!$D$5)&amp;"","")=""))))</f>
        <v/>
      </c>
      <c r="BR6">
        <f>IF($F$4="",1,--(OR(SUMPRODUCT(--(TRIM(MID(SUBSTITUTE(SUBSTITUTE($F$4,"/",","),",",REPT(" ",99)),(ROW($1:$8)-1)*99+1,99))&lt;&gt;""),--ISNUMBER(SEARCH(TRIM(MID(SUBSTITUTE(SUBSTITUTE($F$4,"/",","),",",REPT(" ",99)),(ROW($1:$8)-1)*99+1,99)),IFERROR(('Final Calculation Sheet'!$A$5)&amp;"",""))))&gt;0,AND(ISNUMBER(SEARCH("blank",$F$4)),NOT(ISNUMBER(SEARCH("nonblank",$F$4))),IFERROR(('Final Calculation Sheet'!$A$5)&amp;"","")=""),AND(OR(ISNUMBER(SEARCH("nonblank",$F$4)),ISNUMBER(SEARCH("&lt;&gt;",$F$4))),IFERROR(('Final Calculation Sheet'!$A$5)&amp;"","")&lt;&gt;""),AND(TRIM($F$4)="",IFERROR(('Final Calculation Sheet'!$A$5)&amp;"","")=""))))</f>
        <v/>
      </c>
      <c r="BS6">
        <f>IF($G$4="",1,--(OR(SUMPRODUCT(--(TRIM(MID(SUBSTITUTE(SUBSTITUTE($G$4,"/",","),",",REPT(" ",99)),(ROW($1:$8)-1)*99+1,99))&lt;&gt;""),--ISNUMBER(SEARCH(TRIM(MID(SUBSTITUTE(SUBSTITUTE($G$4,"/",","),",",REPT(" ",99)),(ROW($1:$8)-1)*99+1,99)),IFERROR(('Final Calculation Sheet'!$E$5)&amp;"",""))))&gt;0,AND(ISNUMBER(SEARCH("blank",$G$4)),NOT(ISNUMBER(SEARCH("nonblank",$G$4))),IFERROR(('Final Calculation Sheet'!$E$5)&amp;"","")=""),AND(OR(ISNUMBER(SEARCH("nonblank",$G$4)),ISNUMBER(SEARCH("&lt;&gt;",$G$4))),IFERROR(('Final Calculation Sheet'!$E$5)&amp;"","")&lt;&gt;""),AND(TRIM($G$4)="",IFERROR(('Final Calculation Sheet'!$E$5)&amp;"","")=""))))</f>
        <v/>
      </c>
      <c r="BT6">
        <f>IF($H$4="",1,--(OR(SUMPRODUCT(--(TRIM(MID(SUBSTITUTE(SUBSTITUTE($H$4,"/",","),",",REPT(" ",99)),(ROW($1:$8)-1)*99+1,99))&lt;&gt;""),--ISNUMBER(SEARCH(TRIM(MID(SUBSTITUTE(SUBSTITUTE($H$4,"/",","),",",REPT(" ",99)),(ROW($1:$8)-1)*99+1,99)),IFERROR(('Final Calculation Sheet'!$C$5)&amp;"",""))))&gt;0,AND(ISNUMBER(SEARCH("blank",$H$4)),NOT(ISNUMBER(SEARCH("nonblank",$H$4))),IFERROR(('Final Calculation Sheet'!$C$5)&amp;"","")=""),AND(OR(ISNUMBER(SEARCH("nonblank",$H$4)),ISNUMBER(SEARCH("&lt;&gt;",$H$4))),IFERROR(('Final Calculation Sheet'!$C$5)&amp;"","")&lt;&gt;""),AND(TRIM($H$4)="",IFERROR(('Final Calculation Sheet'!$C$5)&amp;"","")=""))))</f>
        <v/>
      </c>
      <c r="BU6">
        <f>IF($I$4="",1,--(OR(SUMPRODUCT(--(TRIM(MID(SUBSTITUTE(SUBSTITUTE($I$4,"/",","),",",REPT(" ",99)),(ROW($1:$8)-1)*99+1,99))&lt;&gt;""),--ISNUMBER(SEARCH(TRIM(MID(SUBSTITUTE(SUBSTITUTE($I$4,"/",","),",",REPT(" ",99)),(ROW($1:$8)-1)*99+1,99)),IFERROR(('Final Calculation Sheet'!$H$5)&amp;"",""))))&gt;0,AND(ISNUMBER(SEARCH("blank",$I$4)),NOT(ISNUMBER(SEARCH("nonblank",$I$4))),IFERROR(('Final Calculation Sheet'!$H$5)&amp;"","")=""),AND(OR(ISNUMBER(SEARCH("nonblank",$I$4)),ISNUMBER(SEARCH("&lt;&gt;",$I$4))),IFERROR(('Final Calculation Sheet'!$H$5)&amp;"","")&lt;&gt;""),AND(TRIM($I$4)="",IFERROR(('Final Calculation Sheet'!$H$5)&amp;"","")=""))))</f>
        <v/>
      </c>
      <c r="BV6">
        <f>IF($J$4="",1,--(OR(SUMPRODUCT(--(TRIM(MID(SUBSTITUTE(SUBSTITUTE($J$4,"/",","),",",REPT(" ",99)),(ROW($1:$8)-1)*99+1,99))&lt;&gt;""),--ISNUMBER(SEARCH(TRIM(MID(SUBSTITUTE(SUBSTITUTE($J$4,"/",","),",",REPT(" ",99)),(ROW($1:$8)-1)*99+1,99)),IFERROR(('Final Calculation Sheet'!$I$5)&amp;"",""))))&gt;0,AND(ISNUMBER(SEARCH("blank",$J$4)),NOT(ISNUMBER(SEARCH("nonblank",$J$4))),IFERROR(('Final Calculation Sheet'!$I$5)&amp;"","")=""),AND(OR(ISNUMBER(SEARCH("nonblank",$J$4)),ISNUMBER(SEARCH("&lt;&gt;",$J$4))),IFERROR(('Final Calculation Sheet'!$I$5)&amp;"","")&lt;&gt;""),AND(TRIM($J$4)="",IFERROR(('Final Calculation Sheet'!$I$5)&amp;"","")=""))))</f>
        <v/>
      </c>
      <c r="BW6">
        <f>IF($K$4="",1,--(OR(SUMPRODUCT(--(TRIM(MID(SUBSTITUTE(SUBSTITUTE($K$4,"/",","),",",REPT(" ",99)),(ROW($1:$8)-1)*99+1,99))&lt;&gt;""),--ISNUMBER(SEARCH(TRIM(MID(SUBSTITUTE(SUBSTITUTE($K$4,"/",","),",",REPT(" ",99)),(ROW($1:$8)-1)*99+1,99)),IFERROR(('Final Calculation Sheet'!$J$5)&amp;"",""))))&gt;0,AND(ISNUMBER(SEARCH("blank",$K$4)),NOT(ISNUMBER(SEARCH("nonblank",$K$4))),IFERROR(('Final Calculation Sheet'!$J$5)&amp;"","")=""),AND(OR(ISNUMBER(SEARCH("nonblank",$K$4)),ISNUMBER(SEARCH("&lt;&gt;",$K$4))),IFERROR(('Final Calculation Sheet'!$J$5)&amp;"","")&lt;&gt;""),AND(TRIM($K$4)="",IFERROR(('Final Calculation Sheet'!$J$5)&amp;"","")=""))))</f>
        <v/>
      </c>
      <c r="BX6">
        <f>IF($L$4="",1,--(OR(SUMPRODUCT(--(TRIM(MID(SUBSTITUTE(SUBSTITUTE($L$4,"/",","),",",REPT(" ",99)),(ROW($1:$8)-1)*99+1,99))&lt;&gt;""),--ISNUMBER(SEARCH(TRIM(MID(SUBSTITUTE(SUBSTITUTE($L$4,"/",","),",",REPT(" ",99)),(ROW($1:$8)-1)*99+1,99)),IFERROR(('Final Calculation Sheet'!$K$5)&amp;"",""))))&gt;0,AND(ISNUMBER(SEARCH("blank",$L$4)),NOT(ISNUMBER(SEARCH("nonblank",$L$4))),IFERROR(('Final Calculation Sheet'!$K$5)&amp;"","")=""),AND(OR(ISNUMBER(SEARCH("nonblank",$L$4)),ISNUMBER(SEARCH("&lt;&gt;",$L$4))),IFERROR(('Final Calculation Sheet'!$K$5)&amp;"","")&lt;&gt;""),AND(TRIM($L$4)="",IFERROR(('Final Calculation Sheet'!$K$5)&amp;"","")=""))))</f>
        <v/>
      </c>
      <c r="BY6">
        <f>IF($M$4="",1,--(OR(SUMPRODUCT(--(TRIM(MID(SUBSTITUTE(SUBSTITUTE($M$4,"/",","),",",REPT(" ",99)),(ROW($1:$8)-1)*99+1,99))&lt;&gt;""),--ISNUMBER(SEARCH(TRIM(MID(SUBSTITUTE(SUBSTITUTE($M$4,"/",","),",",REPT(" ",99)),(ROW($1:$8)-1)*99+1,99)),IFERROR(('Final Calculation Sheet'!$L$5)&amp;"",""))))&gt;0,AND(ISNUMBER(SEARCH("blank",$M$4)),NOT(ISNUMBER(SEARCH("nonblank",$M$4))),IFERROR(('Final Calculation Sheet'!$L$5)&amp;"","")=""),AND(OR(ISNUMBER(SEARCH("nonblank",$M$4)),ISNUMBER(SEARCH("&lt;&gt;",$M$4))),IFERROR(('Final Calculation Sheet'!$L$5)&amp;"","")&lt;&gt;""),AND(TRIM($M$4)="",IFERROR(('Final Calculation Sheet'!$L$5)&amp;"","")=""))))</f>
        <v/>
      </c>
      <c r="BZ6">
        <f>IF($N$4="",1,--(OR(SUMPRODUCT(--(TRIM(MID(SUBSTITUTE(SUBSTITUTE($N$4,"/",","),",",REPT(" ",99)),(ROW($1:$8)-1)*99+1,99))&lt;&gt;""),--ISNUMBER(SEARCH(TRIM(MID(SUBSTITUTE(SUBSTITUTE($N$4,"/",","),",",REPT(" ",99)),(ROW($1:$8)-1)*99+1,99)),IFERROR(('Final Calculation Sheet'!$M$5)&amp;"",""))))&gt;0,AND(ISNUMBER(SEARCH("blank",$N$4)),NOT(ISNUMBER(SEARCH("nonblank",$N$4))),IFERROR(('Final Calculation Sheet'!$M$5)&amp;"","")=""),AND(OR(ISNUMBER(SEARCH("nonblank",$N$4)),ISNUMBER(SEARCH("&lt;&gt;",$N$4))),IFERROR(('Final Calculation Sheet'!$M$5)&amp;"","")&lt;&gt;""),AND(TRIM($N$4)="",IFERROR(('Final Calculation Sheet'!$M$5)&amp;"","")=""))))</f>
        <v/>
      </c>
      <c r="CA6">
        <f>IF($O$4="",1,--(OR(SUMPRODUCT(--(TRIM(MID(SUBSTITUTE(SUBSTITUTE($O$4,"/",","),",",REPT(" ",99)),(ROW($1:$8)-1)*99+1,99))&lt;&gt;""),--ISNUMBER(SEARCH(TRIM(MID(SUBSTITUTE(SUBSTITUTE($O$4,"/",","),",",REPT(" ",99)),(ROW($1:$8)-1)*99+1,99)),IFERROR(('Final Calculation Sheet'!$N$5)&amp;"",""))))&gt;0,AND(ISNUMBER(SEARCH("blank",$O$4)),NOT(ISNUMBER(SEARCH("nonblank",$O$4))),IFERROR(('Final Calculation Sheet'!$N$5)&amp;"","")=""),AND(OR(ISNUMBER(SEARCH("nonblank",$O$4)),ISNUMBER(SEARCH("&lt;&gt;",$O$4))),IFERROR(('Final Calculation Sheet'!$N$5)&amp;"","")&lt;&gt;""),AND(TRIM($O$4)="",IFERROR(('Final Calculation Sheet'!$N$5)&amp;"","")=""))))</f>
        <v/>
      </c>
      <c r="CB6">
        <f>IF($P$4="",1,--(OR(SUMPRODUCT(--(TRIM(MID(SUBSTITUTE(SUBSTITUTE($P$4,"/",","),",",REPT(" ",99)),(ROW($1:$8)-1)*99+1,99))&lt;&gt;""),--ISNUMBER(SEARCH(TRIM(MID(SUBSTITUTE(SUBSTITUTE($P$4,"/",","),",",REPT(" ",99)),(ROW($1:$8)-1)*99+1,99)),IFERROR(('Final Calculation Sheet'!$O$5)&amp;"",""))))&gt;0,AND(ISNUMBER(SEARCH("blank",$P$4)),NOT(ISNUMBER(SEARCH("nonblank",$P$4))),IFERROR(('Final Calculation Sheet'!$O$5)&amp;"","")=""),AND(OR(ISNUMBER(SEARCH("nonblank",$P$4)),ISNUMBER(SEARCH("&lt;&gt;",$P$4))),IFERROR(('Final Calculation Sheet'!$O$5)&amp;"","")&lt;&gt;""),AND(TRIM($P$4)="",IFERROR(('Final Calculation Sheet'!$O$5)&amp;"","")=""))))</f>
        <v/>
      </c>
      <c r="CC6">
        <f>IF($Q$4="",1,--(OR(SUMPRODUCT(--(TRIM(MID(SUBSTITUTE(SUBSTITUTE($Q$4,"/",","),",",REPT(" ",99)),(ROW($1:$8)-1)*99+1,99))&lt;&gt;""),--ISNUMBER(SEARCH(TRIM(MID(SUBSTITUTE(SUBSTITUTE($Q$4,"/",","),",",REPT(" ",99)),(ROW($1:$8)-1)*99+1,99)),IFERROR(('Final Calculation Sheet'!$P$5)&amp;"",""))))&gt;0,AND(ISNUMBER(SEARCH("blank",$Q$4)),NOT(ISNUMBER(SEARCH("nonblank",$Q$4))),IFERROR(('Final Calculation Sheet'!$P$5)&amp;"","")=""),AND(OR(ISNUMBER(SEARCH("nonblank",$Q$4)),ISNUMBER(SEARCH("&lt;&gt;",$Q$4))),IFERROR(('Final Calculation Sheet'!$P$5)&amp;"","")&lt;&gt;""),AND(TRIM($Q$4)="",IFERROR(('Final Calculation Sheet'!$P$5)&amp;"","")=""))))</f>
        <v/>
      </c>
      <c r="CD6">
        <f>IF($R$4="",1,--(OR(SUMPRODUCT(--(TRIM(MID(SUBSTITUTE(SUBSTITUTE($R$4,"/",","),",",REPT(" ",99)),(ROW($1:$8)-1)*99+1,99))&lt;&gt;""),--ISNUMBER(SEARCH(TRIM(MID(SUBSTITUTE(SUBSTITUTE($R$4,"/",","),",",REPT(" ",99)),(ROW($1:$8)-1)*99+1,99)),IFERROR(('Final Calculation Sheet'!$Q$5)&amp;"",""))))&gt;0,AND(ISNUMBER(SEARCH("blank",$R$4)),NOT(ISNUMBER(SEARCH("nonblank",$R$4))),IFERROR(('Final Calculation Sheet'!$Q$5)&amp;"","")=""),AND(OR(ISNUMBER(SEARCH("nonblank",$R$4)),ISNUMBER(SEARCH("&lt;&gt;",$R$4))),IFERROR(('Final Calculation Sheet'!$Q$5)&amp;"","")&lt;&gt;""),AND(TRIM($R$4)="",IFERROR(('Final Calculation Sheet'!$Q$5)&amp;"","")=""))))</f>
        <v/>
      </c>
      <c r="CE6">
        <f>IF($S$4="",1,--(OR(SUMPRODUCT(--(TRIM(MID(SUBSTITUTE(SUBSTITUTE($S$4,"/",","),",",REPT(" ",99)),(ROW($1:$8)-1)*99+1,99))&lt;&gt;""),--ISNUMBER(SEARCH(TRIM(MID(SUBSTITUTE(SUBSTITUTE($S$4,"/",","),",",REPT(" ",99)),(ROW($1:$8)-1)*99+1,99)),IFERROR(('Final Calculation Sheet'!$R$5)&amp;"",""))))&gt;0,AND(ISNUMBER(SEARCH("blank",$S$4)),NOT(ISNUMBER(SEARCH("nonblank",$S$4))),IFERROR(('Final Calculation Sheet'!$R$5)&amp;"","")=""),AND(OR(ISNUMBER(SEARCH("nonblank",$S$4)),ISNUMBER(SEARCH("&lt;&gt;",$S$4))),IFERROR(('Final Calculation Sheet'!$R$5)&amp;"","")&lt;&gt;""),AND(TRIM($S$4)="",IFERROR(('Final Calculation Sheet'!$R$5)&amp;"","")=""))))</f>
        <v/>
      </c>
      <c r="CF6">
        <f>IF($T$4="",1,--(OR(SUMPRODUCT(--(TRIM(MID(SUBSTITUTE(SUBSTITUTE($T$4,"/",","),",",REPT(" ",99)),(ROW($1:$8)-1)*99+1,99))&lt;&gt;""),--ISNUMBER(SEARCH(TRIM(MID(SUBSTITUTE(SUBSTITUTE($T$4,"/",","),",",REPT(" ",99)),(ROW($1:$8)-1)*99+1,99)),IFERROR(('Final Calculation Sheet'!$S$5)&amp;"",""))))&gt;0,AND(ISNUMBER(SEARCH("blank",$T$4)),NOT(ISNUMBER(SEARCH("nonblank",$T$4))),IFERROR(('Final Calculation Sheet'!$S$5)&amp;"","")=""),AND(OR(ISNUMBER(SEARCH("nonblank",$T$4)),ISNUMBER(SEARCH("&lt;&gt;",$T$4))),IFERROR(('Final Calculation Sheet'!$S$5)&amp;"","")&lt;&gt;""),AND(TRIM($T$4)="",IFERROR(('Final Calculation Sheet'!$S$5)&amp;"","")=""))))</f>
        <v/>
      </c>
      <c r="CG6">
        <f>IF($U$4="",1,--(OR(SUMPRODUCT(--(TRIM(MID(SUBSTITUTE(SUBSTITUTE($U$4,"/",","),",",REPT(" ",99)),(ROW($1:$8)-1)*99+1,99))&lt;&gt;""),--ISNUMBER(SEARCH(TRIM(MID(SUBSTITUTE(SUBSTITUTE($U$4,"/",","),",",REPT(" ",99)),(ROW($1:$8)-1)*99+1,99)),IFERROR(('Final Calculation Sheet'!$T$5)&amp;"",""))))&gt;0,AND(ISNUMBER(SEARCH("blank",$U$4)),NOT(ISNUMBER(SEARCH("nonblank",$U$4))),IFERROR(('Final Calculation Sheet'!$T$5)&amp;"","")=""),AND(OR(ISNUMBER(SEARCH("nonblank",$U$4)),ISNUMBER(SEARCH("&lt;&gt;",$U$4))),IFERROR(('Final Calculation Sheet'!$T$5)&amp;"","")&lt;&gt;""),AND(TRIM($U$4)="",IFERROR(('Final Calculation Sheet'!$T$5)&amp;"","")=""))))</f>
        <v/>
      </c>
      <c r="CH6">
        <f>IF($V$4="",1,--(OR(SUMPRODUCT(--(TRIM(MID(SUBSTITUTE(SUBSTITUTE($V$4,"/",","),",",REPT(" ",99)),(ROW($1:$8)-1)*99+1,99))&lt;&gt;""),--ISNUMBER(SEARCH(TRIM(MID(SUBSTITUTE(SUBSTITUTE($V$4,"/",","),",",REPT(" ",99)),(ROW($1:$8)-1)*99+1,99)),IFERROR(('Final Calculation Sheet'!$U$5)&amp;"",""))))&gt;0,AND(ISNUMBER(SEARCH("blank",$V$4)),NOT(ISNUMBER(SEARCH("nonblank",$V$4))),IFERROR(('Final Calculation Sheet'!$U$5)&amp;"","")=""),AND(OR(ISNUMBER(SEARCH("nonblank",$V$4)),ISNUMBER(SEARCH("&lt;&gt;",$V$4))),IFERROR(('Final Calculation Sheet'!$U$5)&amp;"","")&lt;&gt;""),AND(TRIM($V$4)="",IFERROR(('Final Calculation Sheet'!$U$5)&amp;"","")=""))))</f>
        <v/>
      </c>
      <c r="CI6">
        <f>IF($W$4="",1,--(OR(SUMPRODUCT(--(TRIM(MID(SUBSTITUTE(SUBSTITUTE($W$4,"/",","),",",REPT(" ",99)),(ROW($1:$8)-1)*99+1,99))&lt;&gt;""),--ISNUMBER(SEARCH(TRIM(MID(SUBSTITUTE(SUBSTITUTE($W$4,"/",","),",",REPT(" ",99)),(ROW($1:$8)-1)*99+1,99)),IFERROR(('Final Calculation Sheet'!$V$5)&amp;"",""))))&gt;0,AND(ISNUMBER(SEARCH("blank",$W$4)),NOT(ISNUMBER(SEARCH("nonblank",$W$4))),IFERROR(('Final Calculation Sheet'!$V$5)&amp;"","")=""),AND(OR(ISNUMBER(SEARCH("nonblank",$W$4)),ISNUMBER(SEARCH("&lt;&gt;",$W$4))),IFERROR(('Final Calculation Sheet'!$V$5)&amp;"","")&lt;&gt;""),AND(TRIM($W$4)="",IFERROR(('Final Calculation Sheet'!$V$5)&amp;"","")=""))))</f>
        <v/>
      </c>
      <c r="CJ6">
        <f>IF($X$4="",1,--(OR(SUMPRODUCT(--(TRIM(MID(SUBSTITUTE(SUBSTITUTE($X$4,"/",","),",",REPT(" ",99)),(ROW($1:$8)-1)*99+1,99))&lt;&gt;""),--ISNUMBER(SEARCH(TRIM(MID(SUBSTITUTE(SUBSTITUTE($X$4,"/",","),",",REPT(" ",99)),(ROW($1:$8)-1)*99+1,99)),IFERROR(('Final Calculation Sheet'!$W$5)&amp;"",""))))&gt;0,AND(ISNUMBER(SEARCH("blank",$X$4)),NOT(ISNUMBER(SEARCH("nonblank",$X$4))),IFERROR(('Final Calculation Sheet'!$W$5)&amp;"","")=""),AND(OR(ISNUMBER(SEARCH("nonblank",$X$4)),ISNUMBER(SEARCH("&lt;&gt;",$X$4))),IFERROR(('Final Calculation Sheet'!$W$5)&amp;"","")&lt;&gt;""),AND(TRIM($X$4)="",IFERROR(('Final Calculation Sheet'!$W$5)&amp;"","")=""))))</f>
        <v/>
      </c>
      <c r="CK6">
        <f>IF($Y$4="",1,--(OR(SUMPRODUCT(--(TRIM(MID(SUBSTITUTE(SUBSTITUTE($Y$4,"/",","),",",REPT(" ",99)),(ROW($1:$8)-1)*99+1,99))&lt;&gt;""),--ISNUMBER(SEARCH(TRIM(MID(SUBSTITUTE(SUBSTITUTE($Y$4,"/",","),",",REPT(" ",99)),(ROW($1:$8)-1)*99+1,99)),IFERROR(('Final Calculation Sheet'!$X$5)&amp;"",""))))&gt;0,AND(ISNUMBER(SEARCH("blank",$Y$4)),NOT(ISNUMBER(SEARCH("nonblank",$Y$4))),IFERROR(('Final Calculation Sheet'!$X$5)&amp;"","")=""),AND(OR(ISNUMBER(SEARCH("nonblank",$Y$4)),ISNUMBER(SEARCH("&lt;&gt;",$Y$4))),IFERROR(('Final Calculation Sheet'!$X$5)&amp;"","")&lt;&gt;""),AND(TRIM($Y$4)="",IFERROR(('Final Calculation Sheet'!$X$5)&amp;"","")=""))))</f>
        <v/>
      </c>
      <c r="CL6">
        <f>IF($Z$4="",1,--(OR(SUMPRODUCT(--(TRIM(MID(SUBSTITUTE(SUBSTITUTE($Z$4,"/",","),",",REPT(" ",99)),(ROW($1:$8)-1)*99+1,99))&lt;&gt;""),--ISNUMBER(SEARCH(TRIM(MID(SUBSTITUTE(SUBSTITUTE($Z$4,"/",","),",",REPT(" ",99)),(ROW($1:$8)-1)*99+1,99)),IFERROR(('Final Calculation Sheet'!$Y$5)&amp;"",""))))&gt;0,AND(ISNUMBER(SEARCH("blank",$Z$4)),NOT(ISNUMBER(SEARCH("nonblank",$Z$4))),IFERROR(('Final Calculation Sheet'!$Y$5)&amp;"","")=""),AND(OR(ISNUMBER(SEARCH("nonblank",$Z$4)),ISNUMBER(SEARCH("&lt;&gt;",$Z$4))),IFERROR(('Final Calculation Sheet'!$Y$5)&amp;"","")&lt;&gt;""),AND(TRIM($Z$4)="",IFERROR(('Final Calculation Sheet'!$Y$5)&amp;"","")=""))))</f>
        <v/>
      </c>
      <c r="CM6">
        <f>IF($AA$4="",1,--(OR(SUMPRODUCT(--(TRIM(MID(SUBSTITUTE(SUBSTITUTE($AA$4,"/",","),",",REPT(" ",99)),(ROW($1:$8)-1)*99+1,99))&lt;&gt;""),--ISNUMBER(SEARCH(TRIM(MID(SUBSTITUTE(SUBSTITUTE($AA$4,"/",","),",",REPT(" ",99)),(ROW($1:$8)-1)*99+1,99)),IFERROR(('Final Calculation Sheet'!$Z$5)&amp;"",""))))&gt;0,AND(ISNUMBER(SEARCH("blank",$AA$4)),NOT(ISNUMBER(SEARCH("nonblank",$AA$4))),IFERROR(('Final Calculation Sheet'!$Z$5)&amp;"","")=""),AND(OR(ISNUMBER(SEARCH("nonblank",$AA$4)),ISNUMBER(SEARCH("&lt;&gt;",$AA$4))),IFERROR(('Final Calculation Sheet'!$Z$5)&amp;"","")&lt;&gt;""),AND(TRIM($AA$4)="",IFERROR(('Final Calculation Sheet'!$Z$5)&amp;"","")=""))))</f>
        <v/>
      </c>
      <c r="CN6">
        <f>IF($AB$4="",1,--(OR(SUMPRODUCT(--(TRIM(MID(SUBSTITUTE(SUBSTITUTE($AB$4,"/",","),",",REPT(" ",99)),(ROW($1:$8)-1)*99+1,99))&lt;&gt;""),--ISNUMBER(SEARCH(TRIM(MID(SUBSTITUTE(SUBSTITUTE($AB$4,"/",","),",",REPT(" ",99)),(ROW($1:$8)-1)*99+1,99)),IFERROR(('Final Calculation Sheet'!$AA$5)&amp;"",""))))&gt;0,AND(ISNUMBER(SEARCH("blank",$AB$4)),NOT(ISNUMBER(SEARCH("nonblank",$AB$4))),IFERROR(('Final Calculation Sheet'!$AA$5)&amp;"","")=""),AND(OR(ISNUMBER(SEARCH("nonblank",$AB$4)),ISNUMBER(SEARCH("&lt;&gt;",$AB$4))),IFERROR(('Final Calculation Sheet'!$AA$5)&amp;"","")&lt;&gt;""),AND(TRIM($AB$4)="",IFERROR(('Final Calculation Sheet'!$AA$5)&amp;"","")=""))))</f>
        <v/>
      </c>
      <c r="CO6">
        <f>IF($AC$4="",1,--(OR(SUMPRODUCT(--(TRIM(MID(SUBSTITUTE(SUBSTITUTE($AC$4,"/",","),",",REPT(" ",99)),(ROW($1:$8)-1)*99+1,99))&lt;&gt;""),--ISNUMBER(SEARCH(TRIM(MID(SUBSTITUTE(SUBSTITUTE($AC$4,"/",","),",",REPT(" ",99)),(ROW($1:$8)-1)*99+1,99)),IFERROR(('Final Calculation Sheet'!$AB$5)&amp;"",""))))&gt;0,AND(ISNUMBER(SEARCH("blank",$AC$4)),NOT(ISNUMBER(SEARCH("nonblank",$AC$4))),IFERROR(('Final Calculation Sheet'!$AB$5)&amp;"","")=""),AND(OR(ISNUMBER(SEARCH("nonblank",$AC$4)),ISNUMBER(SEARCH("&lt;&gt;",$AC$4))),IFERROR(('Final Calculation Sheet'!$AB$5)&amp;"","")&lt;&gt;""),AND(TRIM($AC$4)="",IFERROR(('Final Calculation Sheet'!$AB$5)&amp;"","")=""))))</f>
        <v/>
      </c>
      <c r="CP6">
        <f>IF($AD$4="",1,--(OR(SUMPRODUCT(--(TRIM(MID(SUBSTITUTE(SUBSTITUTE($AD$4,"/",","),",",REPT(" ",99)),(ROW($1:$8)-1)*99+1,99))&lt;&gt;""),--ISNUMBER(SEARCH(TRIM(MID(SUBSTITUTE(SUBSTITUTE($AD$4,"/",","),",",REPT(" ",99)),(ROW($1:$8)-1)*99+1,99)),IFERROR(('Final Calculation Sheet'!$AC$5)&amp;"",""))))&gt;0,AND(ISNUMBER(SEARCH("blank",$AD$4)),NOT(ISNUMBER(SEARCH("nonblank",$AD$4))),IFERROR(('Final Calculation Sheet'!$AC$5)&amp;"","")=""),AND(OR(ISNUMBER(SEARCH("nonblank",$AD$4)),ISNUMBER(SEARCH("&lt;&gt;",$AD$4))),IFERROR(('Final Calculation Sheet'!$AC$5)&amp;"","")&lt;&gt;""),AND(TRIM($AD$4)="",IFERROR(('Final Calculation Sheet'!$AC$5)&amp;"","")=""))))</f>
        <v/>
      </c>
      <c r="CQ6">
        <f>IF($AE$4="",1,--(OR(SUMPRODUCT(--(TRIM(MID(SUBSTITUTE(SUBSTITUTE($AE$4,"/",","),",",REPT(" ",99)),(ROW($1:$8)-1)*99+1,99))&lt;&gt;""),--ISNUMBER(SEARCH(TRIM(MID(SUBSTITUTE(SUBSTITUTE($AE$4,"/",","),",",REPT(" ",99)),(ROW($1:$8)-1)*99+1,99)),IFERROR(('Final Calculation Sheet'!$AD$5)&amp;"",""))))&gt;0,AND(ISNUMBER(SEARCH("blank",$AE$4)),NOT(ISNUMBER(SEARCH("nonblank",$AE$4))),IFERROR(('Final Calculation Sheet'!$AD$5)&amp;"","")=""),AND(OR(ISNUMBER(SEARCH("nonblank",$AE$4)),ISNUMBER(SEARCH("&lt;&gt;",$AE$4))),IFERROR(('Final Calculation Sheet'!$AD$5)&amp;"","")&lt;&gt;""),AND(TRIM($AE$4)="",IFERROR(('Final Calculation Sheet'!$AD$5)&amp;"","")=""))))</f>
        <v/>
      </c>
      <c r="CR6">
        <f>IF($AF$4="",1,--(OR(SUMPRODUCT(--(TRIM(MID(SUBSTITUTE(SUBSTITUTE($AF$4,"/",","),",",REPT(" ",99)),(ROW($1:$8)-1)*99+1,99))&lt;&gt;""),--ISNUMBER(SEARCH(TRIM(MID(SUBSTITUTE(SUBSTITUTE($AF$4,"/",","),",",REPT(" ",99)),(ROW($1:$8)-1)*99+1,99)),IFERROR(('Final Calculation Sheet'!$AE$5)&amp;"",""))))&gt;0,AND(ISNUMBER(SEARCH("blank",$AF$4)),NOT(ISNUMBER(SEARCH("nonblank",$AF$4))),IFERROR(('Final Calculation Sheet'!$AE$5)&amp;"","")=""),AND(OR(ISNUMBER(SEARCH("nonblank",$AF$4)),ISNUMBER(SEARCH("&lt;&gt;",$AF$4))),IFERROR(('Final Calculation Sheet'!$AE$5)&amp;"","")&lt;&gt;""),AND(TRIM($AF$4)="",IFERROR(('Final Calculation Sheet'!$AE$5)&amp;"","")=""))))</f>
        <v/>
      </c>
      <c r="CS6">
        <f>IF($AG$4="",1,--(OR(SUMPRODUCT(--(TRIM(MID(SUBSTITUTE(SUBSTITUTE($AG$4,"/",","),",",REPT(" ",99)),(ROW($1:$8)-1)*99+1,99))&lt;&gt;""),--ISNUMBER(SEARCH(TRIM(MID(SUBSTITUTE(SUBSTITUTE($AG$4,"/",","),",",REPT(" ",99)),(ROW($1:$8)-1)*99+1,99)),IFERROR(('Final Calculation Sheet'!$AF$5)&amp;"",""))))&gt;0,AND(ISNUMBER(SEARCH("blank",$AG$4)),NOT(ISNUMBER(SEARCH("nonblank",$AG$4))),IFERROR(('Final Calculation Sheet'!$AF$5)&amp;"","")=""),AND(OR(ISNUMBER(SEARCH("nonblank",$AG$4)),ISNUMBER(SEARCH("&lt;&gt;",$AG$4))),IFERROR(('Final Calculation Sheet'!$AF$5)&amp;"","")&lt;&gt;""),AND(TRIM($AG$4)="",IFERROR(('Final Calculation Sheet'!$AF$5)&amp;"","")=""))))</f>
        <v/>
      </c>
      <c r="CT6">
        <f>IF($AH$4="",1,--(OR(SUMPRODUCT(--(TRIM(MID(SUBSTITUTE(SUBSTITUTE($AH$4,"/",","),",",REPT(" ",99)),(ROW($1:$8)-1)*99+1,99))&lt;&gt;""),--ISNUMBER(SEARCH(TRIM(MID(SUBSTITUTE(SUBSTITUTE($AH$4,"/",","),",",REPT(" ",99)),(ROW($1:$8)-1)*99+1,99)),IFERROR(('Final Calculation Sheet'!$AG$5)&amp;"",""))))&gt;0,AND(ISNUMBER(SEARCH("blank",$AH$4)),NOT(ISNUMBER(SEARCH("nonblank",$AH$4))),IFERROR(('Final Calculation Sheet'!$AG$5)&amp;"","")=""),AND(OR(ISNUMBER(SEARCH("nonblank",$AH$4)),ISNUMBER(SEARCH("&lt;&gt;",$AH$4))),IFERROR(('Final Calculation Sheet'!$AG$5)&amp;"","")&lt;&gt;""),AND(TRIM($AH$4)="",IFERROR(('Final Calculation Sheet'!$AG$5)&amp;"","")=""))))</f>
        <v/>
      </c>
      <c r="CU6">
        <f>IF($AI$4="",1,--(OR(SUMPRODUCT(--(TRIM(MID(SUBSTITUTE(SUBSTITUTE($AI$4,"/",","),",",REPT(" ",99)),(ROW($1:$8)-1)*99+1,99))&lt;&gt;""),--ISNUMBER(SEARCH(TRIM(MID(SUBSTITUTE(SUBSTITUTE($AI$4,"/",","),",",REPT(" ",99)),(ROW($1:$8)-1)*99+1,99)),IFERROR((IF('Final Calculation Sheet'!$AD$5&lt;=0,"SETTLED","OUTSTANDING"))&amp;"",""))))&gt;0,AND(ISNUMBER(SEARCH("blank",$AI$4)),NOT(ISNUMBER(SEARCH("nonblank",$AI$4))),IFERROR((IF('Final Calculation Sheet'!$AD$5&lt;=0,"SETTLED","OUTSTANDING"))&amp;"","")=""),AND(OR(ISNUMBER(SEARCH("nonblank",$AI$4)),ISNUMBER(SEARCH("&lt;&gt;",$AI$4))),IFERROR((IF('Final Calculation Sheet'!$AD$5&lt;=0,"SETTLED","OUTSTANDING"))&amp;"","")&lt;&gt;""),AND(TRIM($AI$4)="",IFERROR((IF('Final Calculation Sheet'!$AD$5&lt;=0,"SETTLED","OUTSTANDING"))&amp;"","")=""))))</f>
        <v/>
      </c>
    </row>
    <row r="7" ht="15" customHeight="1" s="77">
      <c r="A7" s="67">
        <f>IF($BJ6&gt;0,INDEX($BA$5:$BA$41,MATCH(6,$BB$5:$BB$41,0)),IF(OR($BI6=1,$BL6=1,$BH6&gt;0),"∑",""))</f>
        <v/>
      </c>
      <c r="B7" s="68">
        <f>IF($BJ6&gt;0,IF(INDEX('Final Calculation Sheet'!$F$4:$F$40,$BJ6-3)="","",INDEX('Final Calculation Sheet'!$F$4:$F$40,$BJ6-3)),"")</f>
        <v/>
      </c>
      <c r="C7" s="68">
        <f>IF($BJ6&gt;0,IF(INDEX('Final Calculation Sheet'!$G$4:$G$40,$BJ6-3)="","",INDEX('Final Calculation Sheet'!$G$4:$G$40,$BJ6-3)),IF(OR($BI6=1,$BL6=1,$BH6&gt;0),IF($BI6=1,37,IF($BL6=1,37-INDEX($BD$4:$BD$13,10),INDEX($BD$4:$BD$13,$BH6)))&amp;" lot(s)",""))</f>
        <v/>
      </c>
      <c r="D7" s="69">
        <f>IF($BJ6&gt;0,IF(INDEX('Final Calculation Sheet'!$B$4:$B$40,$BJ6-3)="","",INDEX('Final Calculation Sheet'!$B$4:$B$40,$BJ6-3)),IF(OR($BI6=1,$BL6=1,$BH6&gt;0),IF($BI6=1,"GRAND TOTAL  —  matching + remaining",IF($BL6=1,"TOTAL MATCHED  —  every group together",IF($BH6=10,"REMAINING  —  did not match the search",IF($BH6=9,IF(COUNTIF($A$4:$AI$4,"&lt;&gt;")&gt;0,"FILTERED LOTS  —  column fields","ALL LOTS  —  nothing typed in the box"),"GROUP "&amp;$BH6&amp;" TOTAL  —  lots matching  "&amp;INDEX($AR$6:$AY$6,$BH6))))),""))</f>
        <v/>
      </c>
      <c r="E7" s="69">
        <f>IF($BJ6&gt;0,IF(INDEX('Final Calculation Sheet'!$D$4:$D$40,$BJ6-3)="","",INDEX('Final Calculation Sheet'!$D$4:$D$40,$BJ6-3)),IF(OR($BI6=1,$BL6=1,$BH6&gt;0),"–",""))</f>
        <v/>
      </c>
      <c r="F7" s="69">
        <f>IF($BJ6&gt;0,IF(INDEX('Final Calculation Sheet'!$A$4:$A$40,$BJ6-3)="","",INDEX('Final Calculation Sheet'!$A$4:$A$40,$BJ6-3)),IF(OR($BI6=1,$BL6=1,$BH6&gt;0),IF($BI6=1,SUM('Final Calculation Sheet'!$A$4:$A$40),IF($BL6=1,SUM('Final Calculation Sheet'!$A$4:$A$40)-SUMIFS('Final Calculation Sheet'!$A$4:$A$40,$AZ$5:$AZ$41,10),SUMIFS('Final Calculation Sheet'!$A$4:$A$40,$AZ$5:$AZ$41,$BH6))),""))</f>
        <v/>
      </c>
      <c r="G7" s="69">
        <f>IF($BJ6&gt;0,IF(INDEX('Final Calculation Sheet'!$E$4:$E$40,$BJ6-3)="","",INDEX('Final Calculation Sheet'!$E$4:$E$40,$BJ6-3)),IF(OR($BI6=1,$BL6=1,$BH6&gt;0),"–",""))</f>
        <v/>
      </c>
      <c r="H7" s="70">
        <f>IF($BJ6&gt;0,IF(INDEX('Final Calculation Sheet'!$C$4:$C$40,$BJ6-3)="","",INDEX('Final Calculation Sheet'!$C$4:$C$40,$BJ6-3)),IF(OR($BI6=1,$BL6=1,$BH6&gt;0),"–",""))</f>
        <v/>
      </c>
      <c r="I7" s="70">
        <f>IF($BJ6&gt;0,IF(INDEX('Final Calculation Sheet'!$H$4:$H$40,$BJ6-3)="","",INDEX('Final Calculation Sheet'!$H$4:$H$40,$BJ6-3)),IF(OR($BI6=1,$BL6=1,$BH6&gt;0),IF($BI6=1,SUM('Final Calculation Sheet'!$H$4:$H$40),IF($BL6=1,SUM('Final Calculation Sheet'!$H$4:$H$40)-SUMIFS('Final Calculation Sheet'!$H$4:$H$40,$AZ$5:$AZ$41,10),SUMIFS('Final Calculation Sheet'!$H$4:$H$40,$AZ$5:$AZ$41,$BH6))),""))</f>
        <v/>
      </c>
      <c r="J7" s="70">
        <f>IF($BJ6&gt;0,IF(INDEX('Final Calculation Sheet'!$I$4:$I$40,$BJ6-3)="","",INDEX('Final Calculation Sheet'!$I$4:$I$40,$BJ6-3)),IF(OR($BI6=1,$BL6=1,$BH6&gt;0),IF($BI6=1,SUM('Final Calculation Sheet'!$I$4:$I$40),IF($BL6=1,SUM('Final Calculation Sheet'!$I$4:$I$40)-SUMIFS('Final Calculation Sheet'!$I$4:$I$40,$AZ$5:$AZ$41,10),SUMIFS('Final Calculation Sheet'!$I$4:$I$40,$AZ$5:$AZ$41,$BH6))),""))</f>
        <v/>
      </c>
      <c r="K7" s="70">
        <f>IF($BJ6&gt;0,IF(INDEX('Final Calculation Sheet'!$J$4:$J$40,$BJ6-3)="","",INDEX('Final Calculation Sheet'!$J$4:$J$40,$BJ6-3)),IF(OR($BI6=1,$BL6=1,$BH6&gt;0),IF($BI6=1,SUM('Final Calculation Sheet'!$J$4:$J$40),IF($BL6=1,SUM('Final Calculation Sheet'!$J$4:$J$40)-SUMIFS('Final Calculation Sheet'!$J$4:$J$40,$AZ$5:$AZ$41,10),SUMIFS('Final Calculation Sheet'!$J$4:$J$40,$AZ$5:$AZ$41,$BH6))),""))</f>
        <v/>
      </c>
      <c r="L7" s="70">
        <f>IF($BJ6&gt;0,IF(INDEX('Final Calculation Sheet'!$K$4:$K$40,$BJ6-3)="","",INDEX('Final Calculation Sheet'!$K$4:$K$40,$BJ6-3)),IF(OR($BI6=1,$BL6=1,$BH6&gt;0),IF($BI6=1,SUM('Final Calculation Sheet'!$K$4:$K$40),IF($BL6=1,SUM('Final Calculation Sheet'!$K$4:$K$40)-SUMIFS('Final Calculation Sheet'!$K$4:$K$40,$AZ$5:$AZ$41,10),SUMIFS('Final Calculation Sheet'!$K$4:$K$40,$AZ$5:$AZ$41,$BH6))),""))</f>
        <v/>
      </c>
      <c r="M7" s="70">
        <f>IF($BJ6&gt;0,IF(INDEX('Final Calculation Sheet'!$L$4:$L$40,$BJ6-3)="","",INDEX('Final Calculation Sheet'!$L$4:$L$40,$BJ6-3)),IF(OR($BI6=1,$BL6=1,$BH6&gt;0),IF($BI6=1,SUM('Final Calculation Sheet'!$L$4:$L$40),IF($BL6=1,SUM('Final Calculation Sheet'!$L$4:$L$40)-SUMIFS('Final Calculation Sheet'!$L$4:$L$40,$AZ$5:$AZ$41,10),SUMIFS('Final Calculation Sheet'!$L$4:$L$40,$AZ$5:$AZ$41,$BH6))),""))</f>
        <v/>
      </c>
      <c r="N7" s="70">
        <f>IF($BJ6&gt;0,IF(INDEX('Final Calculation Sheet'!$M$4:$M$40,$BJ6-3)="","",INDEX('Final Calculation Sheet'!$M$4:$M$40,$BJ6-3)),IF(OR($BI6=1,$BL6=1,$BH6&gt;0),IF($BI6=1,SUM('Final Calculation Sheet'!$M$4:$M$40),IF($BL6=1,SUM('Final Calculation Sheet'!$M$4:$M$40)-SUMIFS('Final Calculation Sheet'!$M$4:$M$40,$AZ$5:$AZ$41,10),SUMIFS('Final Calculation Sheet'!$M$4:$M$40,$AZ$5:$AZ$41,$BH6))),""))</f>
        <v/>
      </c>
      <c r="O7" s="71">
        <f>IF($BJ6&gt;0,IF(INDEX('Final Calculation Sheet'!$N$4:$N$40,$BJ6-3)="","",INDEX('Final Calculation Sheet'!$N$4:$N$40,$BJ6-3)),IF(OR($BI6=1,$BL6=1,$BH6&gt;0),IF($BI6=1,SUM('Final Calculation Sheet'!$N$4:$N$40),IF($BL6=1,SUM('Final Calculation Sheet'!$N$4:$N$40)-SUMIFS('Final Calculation Sheet'!$N$4:$N$40,$AZ$5:$AZ$41,10),SUMIFS('Final Calculation Sheet'!$N$4:$N$40,$AZ$5:$AZ$41,$BH6))),""))</f>
        <v/>
      </c>
      <c r="P7" s="70">
        <f>IF($BJ6&gt;0,IF(INDEX('Final Calculation Sheet'!$O$4:$O$40,$BJ6-3)="","",INDEX('Final Calculation Sheet'!$O$4:$O$40,$BJ6-3)),IF(OR($BI6=1,$BL6=1,$BH6&gt;0),IF($BI6=1,SUM('Final Calculation Sheet'!$O$4:$O$40),IF($BL6=1,SUM('Final Calculation Sheet'!$O$4:$O$40)-SUMIFS('Final Calculation Sheet'!$O$4:$O$40,$AZ$5:$AZ$41,10),SUMIFS('Final Calculation Sheet'!$O$4:$O$40,$AZ$5:$AZ$41,$BH6))),""))</f>
        <v/>
      </c>
      <c r="Q7" s="70">
        <f>IF($BJ6&gt;0,IF(INDEX('Final Calculation Sheet'!$P$4:$P$40,$BJ6-3)="","",INDEX('Final Calculation Sheet'!$P$4:$P$40,$BJ6-3)),IF(OR($BI6=1,$BL6=1,$BH6&gt;0),IF($BI6=1,SUM('Final Calculation Sheet'!$P$4:$P$40),IF($BL6=1,SUM('Final Calculation Sheet'!$P$4:$P$40)-SUMIFS('Final Calculation Sheet'!$P$4:$P$40,$AZ$5:$AZ$41,10),SUMIFS('Final Calculation Sheet'!$P$4:$P$40,$AZ$5:$AZ$41,$BH6))),""))</f>
        <v/>
      </c>
      <c r="R7" s="72">
        <f>IF($BJ6&gt;0,IF(INDEX('Final Calculation Sheet'!$Q$4:$Q$40,$BJ6-3)="","",INDEX('Final Calculation Sheet'!$Q$4:$Q$40,$BJ6-3)),IF(OR($BI6=1,$BL6=1,$BH6&gt;0),"–",""))</f>
        <v/>
      </c>
      <c r="S7" s="70">
        <f>IF($BJ6&gt;0,IF(INDEX('Final Calculation Sheet'!$R$4:$R$40,$BJ6-3)="","",INDEX('Final Calculation Sheet'!$R$4:$R$40,$BJ6-3)),IF(OR($BI6=1,$BL6=1,$BH6&gt;0),IF($BI6=1,SUM('Final Calculation Sheet'!$R$4:$R$40),IF($BL6=1,SUM('Final Calculation Sheet'!$R$4:$R$40)-SUMIFS('Final Calculation Sheet'!$R$4:$R$40,$AZ$5:$AZ$41,10),SUMIFS('Final Calculation Sheet'!$R$4:$R$40,$AZ$5:$AZ$41,$BH6))),""))</f>
        <v/>
      </c>
      <c r="T7" s="70">
        <f>IF($BJ6&gt;0,IF(INDEX('Final Calculation Sheet'!$S$4:$S$40,$BJ6-3)="","",INDEX('Final Calculation Sheet'!$S$4:$S$40,$BJ6-3)),IF(OR($BI6=1,$BL6=1,$BH6&gt;0),IF($BI6=1,SUM('Final Calculation Sheet'!$S$4:$S$40),IF($BL6=1,SUM('Final Calculation Sheet'!$S$4:$S$40)-SUMIFS('Final Calculation Sheet'!$S$4:$S$40,$AZ$5:$AZ$41,10),SUMIFS('Final Calculation Sheet'!$S$4:$S$40,$AZ$5:$AZ$41,$BH6))),""))</f>
        <v/>
      </c>
      <c r="U7" s="70">
        <f>IF($BJ6&gt;0,IF(INDEX('Final Calculation Sheet'!$T$4:$T$40,$BJ6-3)="","",INDEX('Final Calculation Sheet'!$T$4:$T$40,$BJ6-3)),IF(OR($BI6=1,$BL6=1,$BH6&gt;0),IF($BI6=1,SUM('Final Calculation Sheet'!$T$4:$T$40),IF($BL6=1,SUM('Final Calculation Sheet'!$T$4:$T$40)-SUMIFS('Final Calculation Sheet'!$T$4:$T$40,$AZ$5:$AZ$41,10),SUMIFS('Final Calculation Sheet'!$T$4:$T$40,$AZ$5:$AZ$41,$BH6))),""))</f>
        <v/>
      </c>
      <c r="V7" s="73">
        <f>IF($BJ6&gt;0,IF(INDEX('Final Calculation Sheet'!$U$4:$U$40,$BJ6-3)="","",INDEX('Final Calculation Sheet'!$U$4:$U$40,$BJ6-3)),IF(OR($BI6=1,$BL6=1,$BH6&gt;0),IF($BI6=1,SUM('Final Calculation Sheet'!$U$4:$U$40),IF($BL6=1,SUM('Final Calculation Sheet'!$U$4:$U$40)-SUMIFS('Final Calculation Sheet'!$U$4:$U$40,$AZ$5:$AZ$41,10),SUMIFS('Final Calculation Sheet'!$U$4:$U$40,$AZ$5:$AZ$41,$BH6))),""))</f>
        <v/>
      </c>
      <c r="W7" s="70">
        <f>IF($BJ6&gt;0,IF(INDEX('Final Calculation Sheet'!$V$4:$V$40,$BJ6-3)="","",INDEX('Final Calculation Sheet'!$V$4:$V$40,$BJ6-3)),IF(OR($BI6=1,$BL6=1,$BH6&gt;0),"–",""))</f>
        <v/>
      </c>
      <c r="X7" s="70">
        <f>IF($BJ6&gt;0,IF(INDEX('Final Calculation Sheet'!$W$4:$W$40,$BJ6-3)="","",INDEX('Final Calculation Sheet'!$W$4:$W$40,$BJ6-3)),IF(OR($BI6=1,$BL6=1,$BH6&gt;0),IF($BI6=1,SUM('Final Calculation Sheet'!$W$4:$W$40),IF($BL6=1,SUM('Final Calculation Sheet'!$W$4:$W$40)-SUMIFS('Final Calculation Sheet'!$W$4:$W$40,$AZ$5:$AZ$41,10),SUMIFS('Final Calculation Sheet'!$W$4:$W$40,$AZ$5:$AZ$41,$BH6))),""))</f>
        <v/>
      </c>
      <c r="Y7" s="70">
        <f>IF($BJ6&gt;0,IF(INDEX('Final Calculation Sheet'!$X$4:$X$40,$BJ6-3)="","",INDEX('Final Calculation Sheet'!$X$4:$X$40,$BJ6-3)),IF(OR($BI6=1,$BL6=1,$BH6&gt;0),IF($BI6=1,SUM('Final Calculation Sheet'!$X$4:$X$40),IF($BL6=1,SUM('Final Calculation Sheet'!$X$4:$X$40)-SUMIFS('Final Calculation Sheet'!$X$4:$X$40,$AZ$5:$AZ$41,10),SUMIFS('Final Calculation Sheet'!$X$4:$X$40,$AZ$5:$AZ$41,$BH6))),""))</f>
        <v/>
      </c>
      <c r="Z7" s="70">
        <f>IF($BJ6&gt;0,IF(INDEX('Final Calculation Sheet'!$Y$4:$Y$40,$BJ6-3)="","",INDEX('Final Calculation Sheet'!$Y$4:$Y$40,$BJ6-3)),IF(OR($BI6=1,$BL6=1,$BH6&gt;0),"–",""))</f>
        <v/>
      </c>
      <c r="AA7" s="70">
        <f>IF($BJ6&gt;0,IF(INDEX('Final Calculation Sheet'!$Z$4:$Z$40,$BJ6-3)="","",INDEX('Final Calculation Sheet'!$Z$4:$Z$40,$BJ6-3)),IF(OR($BI6=1,$BL6=1,$BH6&gt;0),IF($BI6=1,SUM('Final Calculation Sheet'!$Z$4:$Z$40),IF($BL6=1,SUM('Final Calculation Sheet'!$Z$4:$Z$40)-SUMIFS('Final Calculation Sheet'!$Z$4:$Z$40,$AZ$5:$AZ$41,10),SUMIFS('Final Calculation Sheet'!$Z$4:$Z$40,$AZ$5:$AZ$41,$BH6))),""))</f>
        <v/>
      </c>
      <c r="AB7" s="70">
        <f>IF($BJ6&gt;0,IF(INDEX('Final Calculation Sheet'!$AA$4:$AA$40,$BJ6-3)="","",INDEX('Final Calculation Sheet'!$AA$4:$AA$40,$BJ6-3)),IF(OR($BI6=1,$BL6=1,$BH6&gt;0),IF($BI6=1,SUM('Final Calculation Sheet'!$AA$4:$AA$40),IF($BL6=1,SUM('Final Calculation Sheet'!$AA$4:$AA$40)-SUMIFS('Final Calculation Sheet'!$AA$4:$AA$40,$AZ$5:$AZ$41,10),SUMIFS('Final Calculation Sheet'!$AA$4:$AA$40,$AZ$5:$AZ$41,$BH6))),""))</f>
        <v/>
      </c>
      <c r="AC7" s="70">
        <f>IF($BJ6&gt;0,IF(INDEX('Final Calculation Sheet'!$AB$4:$AB$40,$BJ6-3)="","",INDEX('Final Calculation Sheet'!$AB$4:$AB$40,$BJ6-3)),IF(OR($BI6=1,$BL6=1,$BH6&gt;0),"–",""))</f>
        <v/>
      </c>
      <c r="AD7" s="70">
        <f>IF($BJ6&gt;0,IF(INDEX('Final Calculation Sheet'!$AC$4:$AC$40,$BJ6-3)="","",INDEX('Final Calculation Sheet'!$AC$4:$AC$40,$BJ6-3)),IF(OR($BI6=1,$BL6=1,$BH6&gt;0),IF($BI6=1,SUM('Final Calculation Sheet'!$AC$4:$AC$40),IF($BL6=1,SUM('Final Calculation Sheet'!$AC$4:$AC$40)-SUMIFS('Final Calculation Sheet'!$AC$4:$AC$40,$AZ$5:$AZ$41,10),SUMIFS('Final Calculation Sheet'!$AC$4:$AC$40,$AZ$5:$AZ$41,$BH6))),""))</f>
        <v/>
      </c>
      <c r="AE7" s="70">
        <f>IF($BJ6&gt;0,IF(INDEX('Final Calculation Sheet'!$AD$4:$AD$40,$BJ6-3)="","",INDEX('Final Calculation Sheet'!$AD$4:$AD$40,$BJ6-3)),IF(OR($BI6=1,$BL6=1,$BH6&gt;0),IF($BI6=1,SUM('Final Calculation Sheet'!$AD$4:$AD$40),IF($BL6=1,SUM('Final Calculation Sheet'!$AD$4:$AD$40)-SUMIFS('Final Calculation Sheet'!$AD$4:$AD$40,$AZ$5:$AZ$41,10),SUMIFS('Final Calculation Sheet'!$AD$4:$AD$40,$AZ$5:$AZ$41,$BH6))),""))</f>
        <v/>
      </c>
      <c r="AF7" s="70">
        <f>IF($BJ6&gt;0,IF(INDEX('Final Calculation Sheet'!$AE$4:$AE$40,$BJ6-3)="","",INDEX('Final Calculation Sheet'!$AE$4:$AE$40,$BJ6-3)),IF(OR($BI6=1,$BL6=1,$BH6&gt;0),"–",""))</f>
        <v/>
      </c>
      <c r="AG7" s="74">
        <f>IF($BJ6&gt;0,IF(INDEX('Final Calculation Sheet'!$AF$4:$AF$40,$BJ6-3)="","",INDEX('Final Calculation Sheet'!$AF$4:$AF$40,$BJ6-3)),IF(OR($BI6=1,$BL6=1,$BH6&gt;0),"–",""))</f>
        <v/>
      </c>
      <c r="AH7" s="70">
        <f>IF($BJ6&gt;0,IF(INDEX('Final Calculation Sheet'!$AG$4:$AG$40,$BJ6-3)="","",INDEX('Final Calculation Sheet'!$AG$4:$AG$40,$BJ6-3)),IF(OR($BI6=1,$BL6=1,$BH6&gt;0),"–",""))</f>
        <v/>
      </c>
      <c r="AI7" s="75">
        <f>IF($BJ6&gt;0,IF(INDEX('Final Calculation Sheet'!$AD$4:$AD$40,$BJ6-3)="","",IF(INDEX('Final Calculation Sheet'!$AD$4:$AD$40,$BJ6-3)&lt;=0,"SETTLED","OUTSTANDING")),IF(OR($BI6=1,$BL6=1,$BH6&gt;0),IF(IF($BI6=1,SUM('Final Calculation Sheet'!$AD$4:$AD$40),IF($BL6=1,SUM('Final Calculation Sheet'!$AD$4:$AD$40)-SUMIFS('Final Calculation Sheet'!$AD$4:$AD$40,$AZ$5:$AZ$41,10),SUMIFS('Final Calculation Sheet'!$AD$4:$AD$40,$AZ$5:$AZ$41,$BH6)))&lt;=0,"ALL SETTLED","OUTSTANDING"),""))</f>
        <v/>
      </c>
      <c r="AK7">
        <f>IF($F$3="Lot No.",'Final Calculation Sheet'!$F$6,IF($F$3="Buyer",'Final Calculation Sheet'!$G$6,IF($F$3="Lot Name",'Final Calculation Sheet'!$B$6,IF($F$3="Bid Sheet",'Final Calculation Sheet'!$D$6,IF($F$3="Unit",'Final Calculation Sheet'!$E$6,'Final Calculation Sheet'!$F$6&amp;" "&amp;'Final Calculation Sheet'!$G$6&amp;" "&amp;'Final Calculation Sheet'!$B$6)))))</f>
        <v/>
      </c>
      <c r="AM7">
        <f>IF(COUNTIF($BM7:$CU7,0)&gt;0,0,IF($B$3="",1,IF(AND(IF(COUNTIF($AR$9:$AY$9,1)=0,TRUE,SUMPRODUCT(($AR$9:$AY$9=1)*($AR$6:$AY$6&lt;&gt;"")*ISNUMBER(SEARCH($AR$6:$AY$6,$AK7)))&gt;0),IF(COUNTIF($AR$9:$AY$9,2)=0,TRUE,SUMPRODUCT(($AR$9:$AY$9=2)*($AR$6:$AY$6&lt;&gt;"")*ISNUMBER(SEARCH($AR$6:$AY$6,$AK7)))&gt;0),IF(COUNTIF($AR$9:$AY$9,3)=0,TRUE,SUMPRODUCT(($AR$9:$AY$9=3)*($AR$6:$AY$6&lt;&gt;"")*ISNUMBER(SEARCH($AR$6:$AY$6,$AK7)))&gt;0),IF(COUNTIF($AR$9:$AY$9,4)=0,TRUE,SUMPRODUCT(($AR$9:$AY$9=4)*($AR$6:$AY$6&lt;&gt;"")*ISNUMBER(SEARCH($AR$6:$AY$6,$AK7)))&gt;0),IF(COUNTIF($AR$9:$AY$9,5)=0,TRUE,SUMPRODUCT(($AR$9:$AY$9=5)*($AR$6:$AY$6&lt;&gt;"")*ISNUMBER(SEARCH($AR$6:$AY$6,$AK7)))&gt;0),IF(COUNTIF($AR$9:$AY$9,6)=0,TRUE,SUMPRODUCT(($AR$9:$AY$9=6)*($AR$6:$AY$6&lt;&gt;"")*ISNUMBER(SEARCH($AR$6:$AY$6,$AK7)))&gt;0),IF(COUNTIF($AR$9:$AY$9,7)=0,TRUE,SUMPRODUCT(($AR$9:$AY$9=7)*($AR$6:$AY$6&lt;&gt;"")*ISNUMBER(SEARCH($AR$6:$AY$6,$AK7)))&gt;0),IF(COUNTIF($AR$9:$AY$9,8)=0,TRUE,SUMPRODUCT(($AR$9:$AY$9=8)*($AR$6:$AY$6&lt;&gt;"")*ISNUMBER(SEARCH($AR$6:$AY$6,$AK7)))&gt;0)),1,0)))</f>
        <v/>
      </c>
      <c r="AO7" t="inlineStr">
        <is>
          <t>Lot Name</t>
        </is>
      </c>
      <c r="AR7">
        <f>IF($AR$4="","",IF($AR$5=99999,"",MID($AR$4,$AR$5,1)))</f>
        <v/>
      </c>
      <c r="AS7">
        <f>IF($AS$4="","",IF($AS$5=99999,"",MID($AS$4,$AS$5,1)))</f>
        <v/>
      </c>
      <c r="AT7">
        <f>IF($AT$4="","",IF($AT$5=99999,"",MID($AT$4,$AT$5,1)))</f>
        <v/>
      </c>
      <c r="AU7">
        <f>IF($AU$4="","",IF($AU$5=99999,"",MID($AU$4,$AU$5,1)))</f>
        <v/>
      </c>
      <c r="AV7">
        <f>IF($AV$4="","",IF($AV$5=99999,"",MID($AV$4,$AV$5,1)))</f>
        <v/>
      </c>
      <c r="AW7">
        <f>IF($AW$4="","",IF($AW$5=99999,"",MID($AW$4,$AW$5,1)))</f>
        <v/>
      </c>
      <c r="AX7">
        <f>IF($AX$4="","",IF($AX$5=99999,"",MID($AX$4,$AX$5,1)))</f>
        <v/>
      </c>
      <c r="AY7">
        <f>IF($AY$4="","",IF($AY$5=99999,"",MID($AY$4,$AY$5,1)))</f>
        <v/>
      </c>
      <c r="AZ7">
        <f>IF($B$3="",IF(COUNTIF($A$4:$AI$4,"&lt;&gt;")=0,9,IF($AM7=1,9,10)),IF($AM7=0,10,IF(AND($AR$6&lt;&gt;"",ISNUMBER(SEARCH($AR$6,$AK7))),1,IF(AND($AS$6&lt;&gt;"",ISNUMBER(SEARCH($AS$6,$AK7))),2,IF(AND($AT$6&lt;&gt;"",ISNUMBER(SEARCH($AT$6,$AK7))),3,IF(AND($AU$6&lt;&gt;"",ISNUMBER(SEARCH($AU$6,$AK7))),4,IF(AND($AV$6&lt;&gt;"",ISNUMBER(SEARCH($AV$6,$AK7))),5,IF(AND($AW$6&lt;&gt;"",ISNUMBER(SEARCH($AW$6,$AK7))),6,IF(AND($AX$6&lt;&gt;"",ISNUMBER(SEARCH($AX$6,$AK7))),7,IF(AND($AY$6&lt;&gt;"",ISNUMBER(SEARCH($AY$6,$AK7))),8,0))))))))))</f>
        <v/>
      </c>
      <c r="BA7">
        <f>SUMPRODUCT(($AZ$5:$AZ$41=$AZ7)*($BC$5:$BC$41&lt;$BC7))+1</f>
        <v/>
      </c>
      <c r="BB7">
        <f>IF(INDEX($BF$4:$BF$13,$AZ7)=0,0,INDEX($BE$4:$BE$13,$AZ7)+$BA7-1)</f>
        <v/>
      </c>
      <c r="BC7" t="n">
        <v>6</v>
      </c>
      <c r="BD7">
        <f>COUNTIF($AZ$5:$AZ$41,4)</f>
        <v/>
      </c>
      <c r="BE7">
        <f>IF($BD6=0,$BE6,$BF6+1)</f>
        <v/>
      </c>
      <c r="BF7">
        <f>IF($BD7=0,0,$BE7+$BD7)</f>
        <v/>
      </c>
      <c r="BH7">
        <f>IFERROR(MATCH(7,$BF$4:$BF$13,0),0)</f>
        <v/>
      </c>
      <c r="BI7">
        <f>IF(7=$BG$5,1,0)</f>
        <v/>
      </c>
      <c r="BJ7">
        <f>IF(OR($BH7&gt;0,$BI7=1,$BL7=1),0,IFERROR(INDEX($BC$5:$BC$41,MATCH(7,$BB$5:$BB$41,0)),0))</f>
        <v/>
      </c>
      <c r="BK7">
        <f>IF($BJ7&gt;0,IF(INDEX($AZ$5:$AZ$41,MATCH(7,$BB$5:$BB$41,0))=10,1,0),IF($BH7=10,1,0))</f>
        <v/>
      </c>
      <c r="BL7">
        <f>IF(7=$BG$4,1,0)</f>
        <v/>
      </c>
      <c r="BM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7">
        <f>IF($B$4="",1,--(OR(SUMPRODUCT(--(TRIM(MID(SUBSTITUTE(SUBSTITUTE($B$4,"/",","),",",REPT(" ",99)),(ROW($1:$8)-1)*99+1,99))&lt;&gt;""),--ISNUMBER(SEARCH(TRIM(MID(SUBSTITUTE(SUBSTITUTE($B$4,"/",","),",",REPT(" ",99)),(ROW($1:$8)-1)*99+1,99)),IFERROR(('Final Calculation Sheet'!$F$6)&amp;"",""))))&gt;0,AND(ISNUMBER(SEARCH("blank",$B$4)),NOT(ISNUMBER(SEARCH("nonblank",$B$4))),IFERROR(('Final Calculation Sheet'!$F$6)&amp;"","")=""),AND(OR(ISNUMBER(SEARCH("nonblank",$B$4)),ISNUMBER(SEARCH("&lt;&gt;",$B$4))),IFERROR(('Final Calculation Sheet'!$F$6)&amp;"","")&lt;&gt;""),AND(TRIM($B$4)="",IFERROR(('Final Calculation Sheet'!$F$6)&amp;"","")=""))))</f>
        <v/>
      </c>
      <c r="BO7">
        <f>IF($C$4="",1,--(OR(SUMPRODUCT(--(TRIM(MID(SUBSTITUTE(SUBSTITUTE($C$4,"/",","),",",REPT(" ",99)),(ROW($1:$8)-1)*99+1,99))&lt;&gt;""),--ISNUMBER(SEARCH(TRIM(MID(SUBSTITUTE(SUBSTITUTE($C$4,"/",","),",",REPT(" ",99)),(ROW($1:$8)-1)*99+1,99)),IFERROR(('Final Calculation Sheet'!$G$6)&amp;"",""))))&gt;0,AND(ISNUMBER(SEARCH("blank",$C$4)),NOT(ISNUMBER(SEARCH("nonblank",$C$4))),IFERROR(('Final Calculation Sheet'!$G$6)&amp;"","")=""),AND(OR(ISNUMBER(SEARCH("nonblank",$C$4)),ISNUMBER(SEARCH("&lt;&gt;",$C$4))),IFERROR(('Final Calculation Sheet'!$G$6)&amp;"","")&lt;&gt;""),AND(TRIM($C$4)="",IFERROR(('Final Calculation Sheet'!$G$6)&amp;"","")=""))))</f>
        <v/>
      </c>
      <c r="BP7">
        <f>IF($D$4="",1,--(OR(SUMPRODUCT(--(TRIM(MID(SUBSTITUTE(SUBSTITUTE($D$4,"/",","),",",REPT(" ",99)),(ROW($1:$8)-1)*99+1,99))&lt;&gt;""),--ISNUMBER(SEARCH(TRIM(MID(SUBSTITUTE(SUBSTITUTE($D$4,"/",","),",",REPT(" ",99)),(ROW($1:$8)-1)*99+1,99)),IFERROR(('Final Calculation Sheet'!$B$6)&amp;"",""))))&gt;0,AND(ISNUMBER(SEARCH("blank",$D$4)),NOT(ISNUMBER(SEARCH("nonblank",$D$4))),IFERROR(('Final Calculation Sheet'!$B$6)&amp;"","")=""),AND(OR(ISNUMBER(SEARCH("nonblank",$D$4)),ISNUMBER(SEARCH("&lt;&gt;",$D$4))),IFERROR(('Final Calculation Sheet'!$B$6)&amp;"","")&lt;&gt;""),AND(TRIM($D$4)="",IFERROR(('Final Calculation Sheet'!$B$6)&amp;"","")=""))))</f>
        <v/>
      </c>
      <c r="BQ7">
        <f>IF($E$4="",1,--(OR(SUMPRODUCT(--(TRIM(MID(SUBSTITUTE(SUBSTITUTE($E$4,"/",","),",",REPT(" ",99)),(ROW($1:$8)-1)*99+1,99))&lt;&gt;""),--ISNUMBER(SEARCH(TRIM(MID(SUBSTITUTE(SUBSTITUTE($E$4,"/",","),",",REPT(" ",99)),(ROW($1:$8)-1)*99+1,99)),IFERROR(('Final Calculation Sheet'!$D$6)&amp;"",""))))&gt;0,AND(ISNUMBER(SEARCH("blank",$E$4)),NOT(ISNUMBER(SEARCH("nonblank",$E$4))),IFERROR(('Final Calculation Sheet'!$D$6)&amp;"","")=""),AND(OR(ISNUMBER(SEARCH("nonblank",$E$4)),ISNUMBER(SEARCH("&lt;&gt;",$E$4))),IFERROR(('Final Calculation Sheet'!$D$6)&amp;"","")&lt;&gt;""),AND(TRIM($E$4)="",IFERROR(('Final Calculation Sheet'!$D$6)&amp;"","")=""))))</f>
        <v/>
      </c>
      <c r="BR7">
        <f>IF($F$4="",1,--(OR(SUMPRODUCT(--(TRIM(MID(SUBSTITUTE(SUBSTITUTE($F$4,"/",","),",",REPT(" ",99)),(ROW($1:$8)-1)*99+1,99))&lt;&gt;""),--ISNUMBER(SEARCH(TRIM(MID(SUBSTITUTE(SUBSTITUTE($F$4,"/",","),",",REPT(" ",99)),(ROW($1:$8)-1)*99+1,99)),IFERROR(('Final Calculation Sheet'!$A$6)&amp;"",""))))&gt;0,AND(ISNUMBER(SEARCH("blank",$F$4)),NOT(ISNUMBER(SEARCH("nonblank",$F$4))),IFERROR(('Final Calculation Sheet'!$A$6)&amp;"","")=""),AND(OR(ISNUMBER(SEARCH("nonblank",$F$4)),ISNUMBER(SEARCH("&lt;&gt;",$F$4))),IFERROR(('Final Calculation Sheet'!$A$6)&amp;"","")&lt;&gt;""),AND(TRIM($F$4)="",IFERROR(('Final Calculation Sheet'!$A$6)&amp;"","")=""))))</f>
        <v/>
      </c>
      <c r="BS7">
        <f>IF($G$4="",1,--(OR(SUMPRODUCT(--(TRIM(MID(SUBSTITUTE(SUBSTITUTE($G$4,"/",","),",",REPT(" ",99)),(ROW($1:$8)-1)*99+1,99))&lt;&gt;""),--ISNUMBER(SEARCH(TRIM(MID(SUBSTITUTE(SUBSTITUTE($G$4,"/",","),",",REPT(" ",99)),(ROW($1:$8)-1)*99+1,99)),IFERROR(('Final Calculation Sheet'!$E$6)&amp;"",""))))&gt;0,AND(ISNUMBER(SEARCH("blank",$G$4)),NOT(ISNUMBER(SEARCH("nonblank",$G$4))),IFERROR(('Final Calculation Sheet'!$E$6)&amp;"","")=""),AND(OR(ISNUMBER(SEARCH("nonblank",$G$4)),ISNUMBER(SEARCH("&lt;&gt;",$G$4))),IFERROR(('Final Calculation Sheet'!$E$6)&amp;"","")&lt;&gt;""),AND(TRIM($G$4)="",IFERROR(('Final Calculation Sheet'!$E$6)&amp;"","")=""))))</f>
        <v/>
      </c>
      <c r="BT7">
        <f>IF($H$4="",1,--(OR(SUMPRODUCT(--(TRIM(MID(SUBSTITUTE(SUBSTITUTE($H$4,"/",","),",",REPT(" ",99)),(ROW($1:$8)-1)*99+1,99))&lt;&gt;""),--ISNUMBER(SEARCH(TRIM(MID(SUBSTITUTE(SUBSTITUTE($H$4,"/",","),",",REPT(" ",99)),(ROW($1:$8)-1)*99+1,99)),IFERROR(('Final Calculation Sheet'!$C$6)&amp;"",""))))&gt;0,AND(ISNUMBER(SEARCH("blank",$H$4)),NOT(ISNUMBER(SEARCH("nonblank",$H$4))),IFERROR(('Final Calculation Sheet'!$C$6)&amp;"","")=""),AND(OR(ISNUMBER(SEARCH("nonblank",$H$4)),ISNUMBER(SEARCH("&lt;&gt;",$H$4))),IFERROR(('Final Calculation Sheet'!$C$6)&amp;"","")&lt;&gt;""),AND(TRIM($H$4)="",IFERROR(('Final Calculation Sheet'!$C$6)&amp;"","")=""))))</f>
        <v/>
      </c>
      <c r="BU7">
        <f>IF($I$4="",1,--(OR(SUMPRODUCT(--(TRIM(MID(SUBSTITUTE(SUBSTITUTE($I$4,"/",","),",",REPT(" ",99)),(ROW($1:$8)-1)*99+1,99))&lt;&gt;""),--ISNUMBER(SEARCH(TRIM(MID(SUBSTITUTE(SUBSTITUTE($I$4,"/",","),",",REPT(" ",99)),(ROW($1:$8)-1)*99+1,99)),IFERROR(('Final Calculation Sheet'!$H$6)&amp;"",""))))&gt;0,AND(ISNUMBER(SEARCH("blank",$I$4)),NOT(ISNUMBER(SEARCH("nonblank",$I$4))),IFERROR(('Final Calculation Sheet'!$H$6)&amp;"","")=""),AND(OR(ISNUMBER(SEARCH("nonblank",$I$4)),ISNUMBER(SEARCH("&lt;&gt;",$I$4))),IFERROR(('Final Calculation Sheet'!$H$6)&amp;"","")&lt;&gt;""),AND(TRIM($I$4)="",IFERROR(('Final Calculation Sheet'!$H$6)&amp;"","")=""))))</f>
        <v/>
      </c>
      <c r="BV7">
        <f>IF($J$4="",1,--(OR(SUMPRODUCT(--(TRIM(MID(SUBSTITUTE(SUBSTITUTE($J$4,"/",","),",",REPT(" ",99)),(ROW($1:$8)-1)*99+1,99))&lt;&gt;""),--ISNUMBER(SEARCH(TRIM(MID(SUBSTITUTE(SUBSTITUTE($J$4,"/",","),",",REPT(" ",99)),(ROW($1:$8)-1)*99+1,99)),IFERROR(('Final Calculation Sheet'!$I$6)&amp;"",""))))&gt;0,AND(ISNUMBER(SEARCH("blank",$J$4)),NOT(ISNUMBER(SEARCH("nonblank",$J$4))),IFERROR(('Final Calculation Sheet'!$I$6)&amp;"","")=""),AND(OR(ISNUMBER(SEARCH("nonblank",$J$4)),ISNUMBER(SEARCH("&lt;&gt;",$J$4))),IFERROR(('Final Calculation Sheet'!$I$6)&amp;"","")&lt;&gt;""),AND(TRIM($J$4)="",IFERROR(('Final Calculation Sheet'!$I$6)&amp;"","")=""))))</f>
        <v/>
      </c>
      <c r="BW7">
        <f>IF($K$4="",1,--(OR(SUMPRODUCT(--(TRIM(MID(SUBSTITUTE(SUBSTITUTE($K$4,"/",","),",",REPT(" ",99)),(ROW($1:$8)-1)*99+1,99))&lt;&gt;""),--ISNUMBER(SEARCH(TRIM(MID(SUBSTITUTE(SUBSTITUTE($K$4,"/",","),",",REPT(" ",99)),(ROW($1:$8)-1)*99+1,99)),IFERROR(('Final Calculation Sheet'!$J$6)&amp;"",""))))&gt;0,AND(ISNUMBER(SEARCH("blank",$K$4)),NOT(ISNUMBER(SEARCH("nonblank",$K$4))),IFERROR(('Final Calculation Sheet'!$J$6)&amp;"","")=""),AND(OR(ISNUMBER(SEARCH("nonblank",$K$4)),ISNUMBER(SEARCH("&lt;&gt;",$K$4))),IFERROR(('Final Calculation Sheet'!$J$6)&amp;"","")&lt;&gt;""),AND(TRIM($K$4)="",IFERROR(('Final Calculation Sheet'!$J$6)&amp;"","")=""))))</f>
        <v/>
      </c>
      <c r="BX7">
        <f>IF($L$4="",1,--(OR(SUMPRODUCT(--(TRIM(MID(SUBSTITUTE(SUBSTITUTE($L$4,"/",","),",",REPT(" ",99)),(ROW($1:$8)-1)*99+1,99))&lt;&gt;""),--ISNUMBER(SEARCH(TRIM(MID(SUBSTITUTE(SUBSTITUTE($L$4,"/",","),",",REPT(" ",99)),(ROW($1:$8)-1)*99+1,99)),IFERROR(('Final Calculation Sheet'!$K$6)&amp;"",""))))&gt;0,AND(ISNUMBER(SEARCH("blank",$L$4)),NOT(ISNUMBER(SEARCH("nonblank",$L$4))),IFERROR(('Final Calculation Sheet'!$K$6)&amp;"","")=""),AND(OR(ISNUMBER(SEARCH("nonblank",$L$4)),ISNUMBER(SEARCH("&lt;&gt;",$L$4))),IFERROR(('Final Calculation Sheet'!$K$6)&amp;"","")&lt;&gt;""),AND(TRIM($L$4)="",IFERROR(('Final Calculation Sheet'!$K$6)&amp;"","")=""))))</f>
        <v/>
      </c>
      <c r="BY7">
        <f>IF($M$4="",1,--(OR(SUMPRODUCT(--(TRIM(MID(SUBSTITUTE(SUBSTITUTE($M$4,"/",","),",",REPT(" ",99)),(ROW($1:$8)-1)*99+1,99))&lt;&gt;""),--ISNUMBER(SEARCH(TRIM(MID(SUBSTITUTE(SUBSTITUTE($M$4,"/",","),",",REPT(" ",99)),(ROW($1:$8)-1)*99+1,99)),IFERROR(('Final Calculation Sheet'!$L$6)&amp;"",""))))&gt;0,AND(ISNUMBER(SEARCH("blank",$M$4)),NOT(ISNUMBER(SEARCH("nonblank",$M$4))),IFERROR(('Final Calculation Sheet'!$L$6)&amp;"","")=""),AND(OR(ISNUMBER(SEARCH("nonblank",$M$4)),ISNUMBER(SEARCH("&lt;&gt;",$M$4))),IFERROR(('Final Calculation Sheet'!$L$6)&amp;"","")&lt;&gt;""),AND(TRIM($M$4)="",IFERROR(('Final Calculation Sheet'!$L$6)&amp;"","")=""))))</f>
        <v/>
      </c>
      <c r="BZ7">
        <f>IF($N$4="",1,--(OR(SUMPRODUCT(--(TRIM(MID(SUBSTITUTE(SUBSTITUTE($N$4,"/",","),",",REPT(" ",99)),(ROW($1:$8)-1)*99+1,99))&lt;&gt;""),--ISNUMBER(SEARCH(TRIM(MID(SUBSTITUTE(SUBSTITUTE($N$4,"/",","),",",REPT(" ",99)),(ROW($1:$8)-1)*99+1,99)),IFERROR(('Final Calculation Sheet'!$M$6)&amp;"",""))))&gt;0,AND(ISNUMBER(SEARCH("blank",$N$4)),NOT(ISNUMBER(SEARCH("nonblank",$N$4))),IFERROR(('Final Calculation Sheet'!$M$6)&amp;"","")=""),AND(OR(ISNUMBER(SEARCH("nonblank",$N$4)),ISNUMBER(SEARCH("&lt;&gt;",$N$4))),IFERROR(('Final Calculation Sheet'!$M$6)&amp;"","")&lt;&gt;""),AND(TRIM($N$4)="",IFERROR(('Final Calculation Sheet'!$M$6)&amp;"","")=""))))</f>
        <v/>
      </c>
      <c r="CA7">
        <f>IF($O$4="",1,--(OR(SUMPRODUCT(--(TRIM(MID(SUBSTITUTE(SUBSTITUTE($O$4,"/",","),",",REPT(" ",99)),(ROW($1:$8)-1)*99+1,99))&lt;&gt;""),--ISNUMBER(SEARCH(TRIM(MID(SUBSTITUTE(SUBSTITUTE($O$4,"/",","),",",REPT(" ",99)),(ROW($1:$8)-1)*99+1,99)),IFERROR(('Final Calculation Sheet'!$N$6)&amp;"",""))))&gt;0,AND(ISNUMBER(SEARCH("blank",$O$4)),NOT(ISNUMBER(SEARCH("nonblank",$O$4))),IFERROR(('Final Calculation Sheet'!$N$6)&amp;"","")=""),AND(OR(ISNUMBER(SEARCH("nonblank",$O$4)),ISNUMBER(SEARCH("&lt;&gt;",$O$4))),IFERROR(('Final Calculation Sheet'!$N$6)&amp;"","")&lt;&gt;""),AND(TRIM($O$4)="",IFERROR(('Final Calculation Sheet'!$N$6)&amp;"","")=""))))</f>
        <v/>
      </c>
      <c r="CB7">
        <f>IF($P$4="",1,--(OR(SUMPRODUCT(--(TRIM(MID(SUBSTITUTE(SUBSTITUTE($P$4,"/",","),",",REPT(" ",99)),(ROW($1:$8)-1)*99+1,99))&lt;&gt;""),--ISNUMBER(SEARCH(TRIM(MID(SUBSTITUTE(SUBSTITUTE($P$4,"/",","),",",REPT(" ",99)),(ROW($1:$8)-1)*99+1,99)),IFERROR(('Final Calculation Sheet'!$O$6)&amp;"",""))))&gt;0,AND(ISNUMBER(SEARCH("blank",$P$4)),NOT(ISNUMBER(SEARCH("nonblank",$P$4))),IFERROR(('Final Calculation Sheet'!$O$6)&amp;"","")=""),AND(OR(ISNUMBER(SEARCH("nonblank",$P$4)),ISNUMBER(SEARCH("&lt;&gt;",$P$4))),IFERROR(('Final Calculation Sheet'!$O$6)&amp;"","")&lt;&gt;""),AND(TRIM($P$4)="",IFERROR(('Final Calculation Sheet'!$O$6)&amp;"","")=""))))</f>
        <v/>
      </c>
      <c r="CC7">
        <f>IF($Q$4="",1,--(OR(SUMPRODUCT(--(TRIM(MID(SUBSTITUTE(SUBSTITUTE($Q$4,"/",","),",",REPT(" ",99)),(ROW($1:$8)-1)*99+1,99))&lt;&gt;""),--ISNUMBER(SEARCH(TRIM(MID(SUBSTITUTE(SUBSTITUTE($Q$4,"/",","),",",REPT(" ",99)),(ROW($1:$8)-1)*99+1,99)),IFERROR(('Final Calculation Sheet'!$P$6)&amp;"",""))))&gt;0,AND(ISNUMBER(SEARCH("blank",$Q$4)),NOT(ISNUMBER(SEARCH("nonblank",$Q$4))),IFERROR(('Final Calculation Sheet'!$P$6)&amp;"","")=""),AND(OR(ISNUMBER(SEARCH("nonblank",$Q$4)),ISNUMBER(SEARCH("&lt;&gt;",$Q$4))),IFERROR(('Final Calculation Sheet'!$P$6)&amp;"","")&lt;&gt;""),AND(TRIM($Q$4)="",IFERROR(('Final Calculation Sheet'!$P$6)&amp;"","")=""))))</f>
        <v/>
      </c>
      <c r="CD7">
        <f>IF($R$4="",1,--(OR(SUMPRODUCT(--(TRIM(MID(SUBSTITUTE(SUBSTITUTE($R$4,"/",","),",",REPT(" ",99)),(ROW($1:$8)-1)*99+1,99))&lt;&gt;""),--ISNUMBER(SEARCH(TRIM(MID(SUBSTITUTE(SUBSTITUTE($R$4,"/",","),",",REPT(" ",99)),(ROW($1:$8)-1)*99+1,99)),IFERROR(('Final Calculation Sheet'!$Q$6)&amp;"",""))))&gt;0,AND(ISNUMBER(SEARCH("blank",$R$4)),NOT(ISNUMBER(SEARCH("nonblank",$R$4))),IFERROR(('Final Calculation Sheet'!$Q$6)&amp;"","")=""),AND(OR(ISNUMBER(SEARCH("nonblank",$R$4)),ISNUMBER(SEARCH("&lt;&gt;",$R$4))),IFERROR(('Final Calculation Sheet'!$Q$6)&amp;"","")&lt;&gt;""),AND(TRIM($R$4)="",IFERROR(('Final Calculation Sheet'!$Q$6)&amp;"","")=""))))</f>
        <v/>
      </c>
      <c r="CE7">
        <f>IF($S$4="",1,--(OR(SUMPRODUCT(--(TRIM(MID(SUBSTITUTE(SUBSTITUTE($S$4,"/",","),",",REPT(" ",99)),(ROW($1:$8)-1)*99+1,99))&lt;&gt;""),--ISNUMBER(SEARCH(TRIM(MID(SUBSTITUTE(SUBSTITUTE($S$4,"/",","),",",REPT(" ",99)),(ROW($1:$8)-1)*99+1,99)),IFERROR(('Final Calculation Sheet'!$R$6)&amp;"",""))))&gt;0,AND(ISNUMBER(SEARCH("blank",$S$4)),NOT(ISNUMBER(SEARCH("nonblank",$S$4))),IFERROR(('Final Calculation Sheet'!$R$6)&amp;"","")=""),AND(OR(ISNUMBER(SEARCH("nonblank",$S$4)),ISNUMBER(SEARCH("&lt;&gt;",$S$4))),IFERROR(('Final Calculation Sheet'!$R$6)&amp;"","")&lt;&gt;""),AND(TRIM($S$4)="",IFERROR(('Final Calculation Sheet'!$R$6)&amp;"","")=""))))</f>
        <v/>
      </c>
      <c r="CF7">
        <f>IF($T$4="",1,--(OR(SUMPRODUCT(--(TRIM(MID(SUBSTITUTE(SUBSTITUTE($T$4,"/",","),",",REPT(" ",99)),(ROW($1:$8)-1)*99+1,99))&lt;&gt;""),--ISNUMBER(SEARCH(TRIM(MID(SUBSTITUTE(SUBSTITUTE($T$4,"/",","),",",REPT(" ",99)),(ROW($1:$8)-1)*99+1,99)),IFERROR(('Final Calculation Sheet'!$S$6)&amp;"",""))))&gt;0,AND(ISNUMBER(SEARCH("blank",$T$4)),NOT(ISNUMBER(SEARCH("nonblank",$T$4))),IFERROR(('Final Calculation Sheet'!$S$6)&amp;"","")=""),AND(OR(ISNUMBER(SEARCH("nonblank",$T$4)),ISNUMBER(SEARCH("&lt;&gt;",$T$4))),IFERROR(('Final Calculation Sheet'!$S$6)&amp;"","")&lt;&gt;""),AND(TRIM($T$4)="",IFERROR(('Final Calculation Sheet'!$S$6)&amp;"","")=""))))</f>
        <v/>
      </c>
      <c r="CG7">
        <f>IF($U$4="",1,--(OR(SUMPRODUCT(--(TRIM(MID(SUBSTITUTE(SUBSTITUTE($U$4,"/",","),",",REPT(" ",99)),(ROW($1:$8)-1)*99+1,99))&lt;&gt;""),--ISNUMBER(SEARCH(TRIM(MID(SUBSTITUTE(SUBSTITUTE($U$4,"/",","),",",REPT(" ",99)),(ROW($1:$8)-1)*99+1,99)),IFERROR(('Final Calculation Sheet'!$T$6)&amp;"",""))))&gt;0,AND(ISNUMBER(SEARCH("blank",$U$4)),NOT(ISNUMBER(SEARCH("nonblank",$U$4))),IFERROR(('Final Calculation Sheet'!$T$6)&amp;"","")=""),AND(OR(ISNUMBER(SEARCH("nonblank",$U$4)),ISNUMBER(SEARCH("&lt;&gt;",$U$4))),IFERROR(('Final Calculation Sheet'!$T$6)&amp;"","")&lt;&gt;""),AND(TRIM($U$4)="",IFERROR(('Final Calculation Sheet'!$T$6)&amp;"","")=""))))</f>
        <v/>
      </c>
      <c r="CH7">
        <f>IF($V$4="",1,--(OR(SUMPRODUCT(--(TRIM(MID(SUBSTITUTE(SUBSTITUTE($V$4,"/",","),",",REPT(" ",99)),(ROW($1:$8)-1)*99+1,99))&lt;&gt;""),--ISNUMBER(SEARCH(TRIM(MID(SUBSTITUTE(SUBSTITUTE($V$4,"/",","),",",REPT(" ",99)),(ROW($1:$8)-1)*99+1,99)),IFERROR(('Final Calculation Sheet'!$U$6)&amp;"",""))))&gt;0,AND(ISNUMBER(SEARCH("blank",$V$4)),NOT(ISNUMBER(SEARCH("nonblank",$V$4))),IFERROR(('Final Calculation Sheet'!$U$6)&amp;"","")=""),AND(OR(ISNUMBER(SEARCH("nonblank",$V$4)),ISNUMBER(SEARCH("&lt;&gt;",$V$4))),IFERROR(('Final Calculation Sheet'!$U$6)&amp;"","")&lt;&gt;""),AND(TRIM($V$4)="",IFERROR(('Final Calculation Sheet'!$U$6)&amp;"","")=""))))</f>
        <v/>
      </c>
      <c r="CI7">
        <f>IF($W$4="",1,--(OR(SUMPRODUCT(--(TRIM(MID(SUBSTITUTE(SUBSTITUTE($W$4,"/",","),",",REPT(" ",99)),(ROW($1:$8)-1)*99+1,99))&lt;&gt;""),--ISNUMBER(SEARCH(TRIM(MID(SUBSTITUTE(SUBSTITUTE($W$4,"/",","),",",REPT(" ",99)),(ROW($1:$8)-1)*99+1,99)),IFERROR(('Final Calculation Sheet'!$V$6)&amp;"",""))))&gt;0,AND(ISNUMBER(SEARCH("blank",$W$4)),NOT(ISNUMBER(SEARCH("nonblank",$W$4))),IFERROR(('Final Calculation Sheet'!$V$6)&amp;"","")=""),AND(OR(ISNUMBER(SEARCH("nonblank",$W$4)),ISNUMBER(SEARCH("&lt;&gt;",$W$4))),IFERROR(('Final Calculation Sheet'!$V$6)&amp;"","")&lt;&gt;""),AND(TRIM($W$4)="",IFERROR(('Final Calculation Sheet'!$V$6)&amp;"","")=""))))</f>
        <v/>
      </c>
      <c r="CJ7">
        <f>IF($X$4="",1,--(OR(SUMPRODUCT(--(TRIM(MID(SUBSTITUTE(SUBSTITUTE($X$4,"/",","),",",REPT(" ",99)),(ROW($1:$8)-1)*99+1,99))&lt;&gt;""),--ISNUMBER(SEARCH(TRIM(MID(SUBSTITUTE(SUBSTITUTE($X$4,"/",","),",",REPT(" ",99)),(ROW($1:$8)-1)*99+1,99)),IFERROR(('Final Calculation Sheet'!$W$6)&amp;"",""))))&gt;0,AND(ISNUMBER(SEARCH("blank",$X$4)),NOT(ISNUMBER(SEARCH("nonblank",$X$4))),IFERROR(('Final Calculation Sheet'!$W$6)&amp;"","")=""),AND(OR(ISNUMBER(SEARCH("nonblank",$X$4)),ISNUMBER(SEARCH("&lt;&gt;",$X$4))),IFERROR(('Final Calculation Sheet'!$W$6)&amp;"","")&lt;&gt;""),AND(TRIM($X$4)="",IFERROR(('Final Calculation Sheet'!$W$6)&amp;"","")=""))))</f>
        <v/>
      </c>
      <c r="CK7">
        <f>IF($Y$4="",1,--(OR(SUMPRODUCT(--(TRIM(MID(SUBSTITUTE(SUBSTITUTE($Y$4,"/",","),",",REPT(" ",99)),(ROW($1:$8)-1)*99+1,99))&lt;&gt;""),--ISNUMBER(SEARCH(TRIM(MID(SUBSTITUTE(SUBSTITUTE($Y$4,"/",","),",",REPT(" ",99)),(ROW($1:$8)-1)*99+1,99)),IFERROR(('Final Calculation Sheet'!$X$6)&amp;"",""))))&gt;0,AND(ISNUMBER(SEARCH("blank",$Y$4)),NOT(ISNUMBER(SEARCH("nonblank",$Y$4))),IFERROR(('Final Calculation Sheet'!$X$6)&amp;"","")=""),AND(OR(ISNUMBER(SEARCH("nonblank",$Y$4)),ISNUMBER(SEARCH("&lt;&gt;",$Y$4))),IFERROR(('Final Calculation Sheet'!$X$6)&amp;"","")&lt;&gt;""),AND(TRIM($Y$4)="",IFERROR(('Final Calculation Sheet'!$X$6)&amp;"","")=""))))</f>
        <v/>
      </c>
      <c r="CL7">
        <f>IF($Z$4="",1,--(OR(SUMPRODUCT(--(TRIM(MID(SUBSTITUTE(SUBSTITUTE($Z$4,"/",","),",",REPT(" ",99)),(ROW($1:$8)-1)*99+1,99))&lt;&gt;""),--ISNUMBER(SEARCH(TRIM(MID(SUBSTITUTE(SUBSTITUTE($Z$4,"/",","),",",REPT(" ",99)),(ROW($1:$8)-1)*99+1,99)),IFERROR(('Final Calculation Sheet'!$Y$6)&amp;"",""))))&gt;0,AND(ISNUMBER(SEARCH("blank",$Z$4)),NOT(ISNUMBER(SEARCH("nonblank",$Z$4))),IFERROR(('Final Calculation Sheet'!$Y$6)&amp;"","")=""),AND(OR(ISNUMBER(SEARCH("nonblank",$Z$4)),ISNUMBER(SEARCH("&lt;&gt;",$Z$4))),IFERROR(('Final Calculation Sheet'!$Y$6)&amp;"","")&lt;&gt;""),AND(TRIM($Z$4)="",IFERROR(('Final Calculation Sheet'!$Y$6)&amp;"","")=""))))</f>
        <v/>
      </c>
      <c r="CM7">
        <f>IF($AA$4="",1,--(OR(SUMPRODUCT(--(TRIM(MID(SUBSTITUTE(SUBSTITUTE($AA$4,"/",","),",",REPT(" ",99)),(ROW($1:$8)-1)*99+1,99))&lt;&gt;""),--ISNUMBER(SEARCH(TRIM(MID(SUBSTITUTE(SUBSTITUTE($AA$4,"/",","),",",REPT(" ",99)),(ROW($1:$8)-1)*99+1,99)),IFERROR(('Final Calculation Sheet'!$Z$6)&amp;"",""))))&gt;0,AND(ISNUMBER(SEARCH("blank",$AA$4)),NOT(ISNUMBER(SEARCH("nonblank",$AA$4))),IFERROR(('Final Calculation Sheet'!$Z$6)&amp;"","")=""),AND(OR(ISNUMBER(SEARCH("nonblank",$AA$4)),ISNUMBER(SEARCH("&lt;&gt;",$AA$4))),IFERROR(('Final Calculation Sheet'!$Z$6)&amp;"","")&lt;&gt;""),AND(TRIM($AA$4)="",IFERROR(('Final Calculation Sheet'!$Z$6)&amp;"","")=""))))</f>
        <v/>
      </c>
      <c r="CN7">
        <f>IF($AB$4="",1,--(OR(SUMPRODUCT(--(TRIM(MID(SUBSTITUTE(SUBSTITUTE($AB$4,"/",","),",",REPT(" ",99)),(ROW($1:$8)-1)*99+1,99))&lt;&gt;""),--ISNUMBER(SEARCH(TRIM(MID(SUBSTITUTE(SUBSTITUTE($AB$4,"/",","),",",REPT(" ",99)),(ROW($1:$8)-1)*99+1,99)),IFERROR(('Final Calculation Sheet'!$AA$6)&amp;"",""))))&gt;0,AND(ISNUMBER(SEARCH("blank",$AB$4)),NOT(ISNUMBER(SEARCH("nonblank",$AB$4))),IFERROR(('Final Calculation Sheet'!$AA$6)&amp;"","")=""),AND(OR(ISNUMBER(SEARCH("nonblank",$AB$4)),ISNUMBER(SEARCH("&lt;&gt;",$AB$4))),IFERROR(('Final Calculation Sheet'!$AA$6)&amp;"","")&lt;&gt;""),AND(TRIM($AB$4)="",IFERROR(('Final Calculation Sheet'!$AA$6)&amp;"","")=""))))</f>
        <v/>
      </c>
      <c r="CO7">
        <f>IF($AC$4="",1,--(OR(SUMPRODUCT(--(TRIM(MID(SUBSTITUTE(SUBSTITUTE($AC$4,"/",","),",",REPT(" ",99)),(ROW($1:$8)-1)*99+1,99))&lt;&gt;""),--ISNUMBER(SEARCH(TRIM(MID(SUBSTITUTE(SUBSTITUTE($AC$4,"/",","),",",REPT(" ",99)),(ROW($1:$8)-1)*99+1,99)),IFERROR(('Final Calculation Sheet'!$AB$6)&amp;"",""))))&gt;0,AND(ISNUMBER(SEARCH("blank",$AC$4)),NOT(ISNUMBER(SEARCH("nonblank",$AC$4))),IFERROR(('Final Calculation Sheet'!$AB$6)&amp;"","")=""),AND(OR(ISNUMBER(SEARCH("nonblank",$AC$4)),ISNUMBER(SEARCH("&lt;&gt;",$AC$4))),IFERROR(('Final Calculation Sheet'!$AB$6)&amp;"","")&lt;&gt;""),AND(TRIM($AC$4)="",IFERROR(('Final Calculation Sheet'!$AB$6)&amp;"","")=""))))</f>
        <v/>
      </c>
      <c r="CP7">
        <f>IF($AD$4="",1,--(OR(SUMPRODUCT(--(TRIM(MID(SUBSTITUTE(SUBSTITUTE($AD$4,"/",","),",",REPT(" ",99)),(ROW($1:$8)-1)*99+1,99))&lt;&gt;""),--ISNUMBER(SEARCH(TRIM(MID(SUBSTITUTE(SUBSTITUTE($AD$4,"/",","),",",REPT(" ",99)),(ROW($1:$8)-1)*99+1,99)),IFERROR(('Final Calculation Sheet'!$AC$6)&amp;"",""))))&gt;0,AND(ISNUMBER(SEARCH("blank",$AD$4)),NOT(ISNUMBER(SEARCH("nonblank",$AD$4))),IFERROR(('Final Calculation Sheet'!$AC$6)&amp;"","")=""),AND(OR(ISNUMBER(SEARCH("nonblank",$AD$4)),ISNUMBER(SEARCH("&lt;&gt;",$AD$4))),IFERROR(('Final Calculation Sheet'!$AC$6)&amp;"","")&lt;&gt;""),AND(TRIM($AD$4)="",IFERROR(('Final Calculation Sheet'!$AC$6)&amp;"","")=""))))</f>
        <v/>
      </c>
      <c r="CQ7">
        <f>IF($AE$4="",1,--(OR(SUMPRODUCT(--(TRIM(MID(SUBSTITUTE(SUBSTITUTE($AE$4,"/",","),",",REPT(" ",99)),(ROW($1:$8)-1)*99+1,99))&lt;&gt;""),--ISNUMBER(SEARCH(TRIM(MID(SUBSTITUTE(SUBSTITUTE($AE$4,"/",","),",",REPT(" ",99)),(ROW($1:$8)-1)*99+1,99)),IFERROR(('Final Calculation Sheet'!$AD$6)&amp;"",""))))&gt;0,AND(ISNUMBER(SEARCH("blank",$AE$4)),NOT(ISNUMBER(SEARCH("nonblank",$AE$4))),IFERROR(('Final Calculation Sheet'!$AD$6)&amp;"","")=""),AND(OR(ISNUMBER(SEARCH("nonblank",$AE$4)),ISNUMBER(SEARCH("&lt;&gt;",$AE$4))),IFERROR(('Final Calculation Sheet'!$AD$6)&amp;"","")&lt;&gt;""),AND(TRIM($AE$4)="",IFERROR(('Final Calculation Sheet'!$AD$6)&amp;"","")=""))))</f>
        <v/>
      </c>
      <c r="CR7">
        <f>IF($AF$4="",1,--(OR(SUMPRODUCT(--(TRIM(MID(SUBSTITUTE(SUBSTITUTE($AF$4,"/",","),",",REPT(" ",99)),(ROW($1:$8)-1)*99+1,99))&lt;&gt;""),--ISNUMBER(SEARCH(TRIM(MID(SUBSTITUTE(SUBSTITUTE($AF$4,"/",","),",",REPT(" ",99)),(ROW($1:$8)-1)*99+1,99)),IFERROR(('Final Calculation Sheet'!$AE$6)&amp;"",""))))&gt;0,AND(ISNUMBER(SEARCH("blank",$AF$4)),NOT(ISNUMBER(SEARCH("nonblank",$AF$4))),IFERROR(('Final Calculation Sheet'!$AE$6)&amp;"","")=""),AND(OR(ISNUMBER(SEARCH("nonblank",$AF$4)),ISNUMBER(SEARCH("&lt;&gt;",$AF$4))),IFERROR(('Final Calculation Sheet'!$AE$6)&amp;"","")&lt;&gt;""),AND(TRIM($AF$4)="",IFERROR(('Final Calculation Sheet'!$AE$6)&amp;"","")=""))))</f>
        <v/>
      </c>
      <c r="CS7">
        <f>IF($AG$4="",1,--(OR(SUMPRODUCT(--(TRIM(MID(SUBSTITUTE(SUBSTITUTE($AG$4,"/",","),",",REPT(" ",99)),(ROW($1:$8)-1)*99+1,99))&lt;&gt;""),--ISNUMBER(SEARCH(TRIM(MID(SUBSTITUTE(SUBSTITUTE($AG$4,"/",","),",",REPT(" ",99)),(ROW($1:$8)-1)*99+1,99)),IFERROR(('Final Calculation Sheet'!$AF$6)&amp;"",""))))&gt;0,AND(ISNUMBER(SEARCH("blank",$AG$4)),NOT(ISNUMBER(SEARCH("nonblank",$AG$4))),IFERROR(('Final Calculation Sheet'!$AF$6)&amp;"","")=""),AND(OR(ISNUMBER(SEARCH("nonblank",$AG$4)),ISNUMBER(SEARCH("&lt;&gt;",$AG$4))),IFERROR(('Final Calculation Sheet'!$AF$6)&amp;"","")&lt;&gt;""),AND(TRIM($AG$4)="",IFERROR(('Final Calculation Sheet'!$AF$6)&amp;"","")=""))))</f>
        <v/>
      </c>
      <c r="CT7">
        <f>IF($AH$4="",1,--(OR(SUMPRODUCT(--(TRIM(MID(SUBSTITUTE(SUBSTITUTE($AH$4,"/",","),",",REPT(" ",99)),(ROW($1:$8)-1)*99+1,99))&lt;&gt;""),--ISNUMBER(SEARCH(TRIM(MID(SUBSTITUTE(SUBSTITUTE($AH$4,"/",","),",",REPT(" ",99)),(ROW($1:$8)-1)*99+1,99)),IFERROR(('Final Calculation Sheet'!$AG$6)&amp;"",""))))&gt;0,AND(ISNUMBER(SEARCH("blank",$AH$4)),NOT(ISNUMBER(SEARCH("nonblank",$AH$4))),IFERROR(('Final Calculation Sheet'!$AG$6)&amp;"","")=""),AND(OR(ISNUMBER(SEARCH("nonblank",$AH$4)),ISNUMBER(SEARCH("&lt;&gt;",$AH$4))),IFERROR(('Final Calculation Sheet'!$AG$6)&amp;"","")&lt;&gt;""),AND(TRIM($AH$4)="",IFERROR(('Final Calculation Sheet'!$AG$6)&amp;"","")=""))))</f>
        <v/>
      </c>
      <c r="CU7">
        <f>IF($AI$4="",1,--(OR(SUMPRODUCT(--(TRIM(MID(SUBSTITUTE(SUBSTITUTE($AI$4,"/",","),",",REPT(" ",99)),(ROW($1:$8)-1)*99+1,99))&lt;&gt;""),--ISNUMBER(SEARCH(TRIM(MID(SUBSTITUTE(SUBSTITUTE($AI$4,"/",","),",",REPT(" ",99)),(ROW($1:$8)-1)*99+1,99)),IFERROR((IF('Final Calculation Sheet'!$AD$6&lt;=0,"SETTLED","OUTSTANDING"))&amp;"",""))))&gt;0,AND(ISNUMBER(SEARCH("blank",$AI$4)),NOT(ISNUMBER(SEARCH("nonblank",$AI$4))),IFERROR((IF('Final Calculation Sheet'!$AD$6&lt;=0,"SETTLED","OUTSTANDING"))&amp;"","")=""),AND(OR(ISNUMBER(SEARCH("nonblank",$AI$4)),ISNUMBER(SEARCH("&lt;&gt;",$AI$4))),IFERROR((IF('Final Calculation Sheet'!$AD$6&lt;=0,"SETTLED","OUTSTANDING"))&amp;"","")&lt;&gt;""),AND(TRIM($AI$4)="",IFERROR((IF('Final Calculation Sheet'!$AD$6&lt;=0,"SETTLED","OUTSTANDING"))&amp;"","")=""))))</f>
        <v/>
      </c>
    </row>
    <row r="8" ht="15" customHeight="1" s="77">
      <c r="A8" s="67">
        <f>IF($BJ7&gt;0,INDEX($BA$5:$BA$41,MATCH(7,$BB$5:$BB$41,0)),IF(OR($BI7=1,$BL7=1,$BH7&gt;0),"∑",""))</f>
        <v/>
      </c>
      <c r="B8" s="68">
        <f>IF($BJ7&gt;0,IF(INDEX('Final Calculation Sheet'!$F$4:$F$40,$BJ7-3)="","",INDEX('Final Calculation Sheet'!$F$4:$F$40,$BJ7-3)),"")</f>
        <v/>
      </c>
      <c r="C8" s="68">
        <f>IF($BJ7&gt;0,IF(INDEX('Final Calculation Sheet'!$G$4:$G$40,$BJ7-3)="","",INDEX('Final Calculation Sheet'!$G$4:$G$40,$BJ7-3)),IF(OR($BI7=1,$BL7=1,$BH7&gt;0),IF($BI7=1,37,IF($BL7=1,37-INDEX($BD$4:$BD$13,10),INDEX($BD$4:$BD$13,$BH7)))&amp;" lot(s)",""))</f>
        <v/>
      </c>
      <c r="D8" s="69">
        <f>IF($BJ7&gt;0,IF(INDEX('Final Calculation Sheet'!$B$4:$B$40,$BJ7-3)="","",INDEX('Final Calculation Sheet'!$B$4:$B$40,$BJ7-3)),IF(OR($BI7=1,$BL7=1,$BH7&gt;0),IF($BI7=1,"GRAND TOTAL  —  matching + remaining",IF($BL7=1,"TOTAL MATCHED  —  every group together",IF($BH7=10,"REMAINING  —  did not match the search",IF($BH7=9,IF(COUNTIF($A$4:$AI$4,"&lt;&gt;")&gt;0,"FILTERED LOTS  —  column fields","ALL LOTS  —  nothing typed in the box"),"GROUP "&amp;$BH7&amp;" TOTAL  —  lots matching  "&amp;INDEX($AR$6:$AY$6,$BH7))))),""))</f>
        <v/>
      </c>
      <c r="E8" s="69">
        <f>IF($BJ7&gt;0,IF(INDEX('Final Calculation Sheet'!$D$4:$D$40,$BJ7-3)="","",INDEX('Final Calculation Sheet'!$D$4:$D$40,$BJ7-3)),IF(OR($BI7=1,$BL7=1,$BH7&gt;0),"–",""))</f>
        <v/>
      </c>
      <c r="F8" s="69">
        <f>IF($BJ7&gt;0,IF(INDEX('Final Calculation Sheet'!$A$4:$A$40,$BJ7-3)="","",INDEX('Final Calculation Sheet'!$A$4:$A$40,$BJ7-3)),IF(OR($BI7=1,$BL7=1,$BH7&gt;0),IF($BI7=1,SUM('Final Calculation Sheet'!$A$4:$A$40),IF($BL7=1,SUM('Final Calculation Sheet'!$A$4:$A$40)-SUMIFS('Final Calculation Sheet'!$A$4:$A$40,$AZ$5:$AZ$41,10),SUMIFS('Final Calculation Sheet'!$A$4:$A$40,$AZ$5:$AZ$41,$BH7))),""))</f>
        <v/>
      </c>
      <c r="G8" s="69">
        <f>IF($BJ7&gt;0,IF(INDEX('Final Calculation Sheet'!$E$4:$E$40,$BJ7-3)="","",INDEX('Final Calculation Sheet'!$E$4:$E$40,$BJ7-3)),IF(OR($BI7=1,$BL7=1,$BH7&gt;0),"–",""))</f>
        <v/>
      </c>
      <c r="H8" s="70">
        <f>IF($BJ7&gt;0,IF(INDEX('Final Calculation Sheet'!$C$4:$C$40,$BJ7-3)="","",INDEX('Final Calculation Sheet'!$C$4:$C$40,$BJ7-3)),IF(OR($BI7=1,$BL7=1,$BH7&gt;0),"–",""))</f>
        <v/>
      </c>
      <c r="I8" s="70">
        <f>IF($BJ7&gt;0,IF(INDEX('Final Calculation Sheet'!$H$4:$H$40,$BJ7-3)="","",INDEX('Final Calculation Sheet'!$H$4:$H$40,$BJ7-3)),IF(OR($BI7=1,$BL7=1,$BH7&gt;0),IF($BI7=1,SUM('Final Calculation Sheet'!$H$4:$H$40),IF($BL7=1,SUM('Final Calculation Sheet'!$H$4:$H$40)-SUMIFS('Final Calculation Sheet'!$H$4:$H$40,$AZ$5:$AZ$41,10),SUMIFS('Final Calculation Sheet'!$H$4:$H$40,$AZ$5:$AZ$41,$BH7))),""))</f>
        <v/>
      </c>
      <c r="J8" s="70">
        <f>IF($BJ7&gt;0,IF(INDEX('Final Calculation Sheet'!$I$4:$I$40,$BJ7-3)="","",INDEX('Final Calculation Sheet'!$I$4:$I$40,$BJ7-3)),IF(OR($BI7=1,$BL7=1,$BH7&gt;0),IF($BI7=1,SUM('Final Calculation Sheet'!$I$4:$I$40),IF($BL7=1,SUM('Final Calculation Sheet'!$I$4:$I$40)-SUMIFS('Final Calculation Sheet'!$I$4:$I$40,$AZ$5:$AZ$41,10),SUMIFS('Final Calculation Sheet'!$I$4:$I$40,$AZ$5:$AZ$41,$BH7))),""))</f>
        <v/>
      </c>
      <c r="K8" s="70">
        <f>IF($BJ7&gt;0,IF(INDEX('Final Calculation Sheet'!$J$4:$J$40,$BJ7-3)="","",INDEX('Final Calculation Sheet'!$J$4:$J$40,$BJ7-3)),IF(OR($BI7=1,$BL7=1,$BH7&gt;0),IF($BI7=1,SUM('Final Calculation Sheet'!$J$4:$J$40),IF($BL7=1,SUM('Final Calculation Sheet'!$J$4:$J$40)-SUMIFS('Final Calculation Sheet'!$J$4:$J$40,$AZ$5:$AZ$41,10),SUMIFS('Final Calculation Sheet'!$J$4:$J$40,$AZ$5:$AZ$41,$BH7))),""))</f>
        <v/>
      </c>
      <c r="L8" s="70">
        <f>IF($BJ7&gt;0,IF(INDEX('Final Calculation Sheet'!$K$4:$K$40,$BJ7-3)="","",INDEX('Final Calculation Sheet'!$K$4:$K$40,$BJ7-3)),IF(OR($BI7=1,$BL7=1,$BH7&gt;0),IF($BI7=1,SUM('Final Calculation Sheet'!$K$4:$K$40),IF($BL7=1,SUM('Final Calculation Sheet'!$K$4:$K$40)-SUMIFS('Final Calculation Sheet'!$K$4:$K$40,$AZ$5:$AZ$41,10),SUMIFS('Final Calculation Sheet'!$K$4:$K$40,$AZ$5:$AZ$41,$BH7))),""))</f>
        <v/>
      </c>
      <c r="M8" s="70">
        <f>IF($BJ7&gt;0,IF(INDEX('Final Calculation Sheet'!$L$4:$L$40,$BJ7-3)="","",INDEX('Final Calculation Sheet'!$L$4:$L$40,$BJ7-3)),IF(OR($BI7=1,$BL7=1,$BH7&gt;0),IF($BI7=1,SUM('Final Calculation Sheet'!$L$4:$L$40),IF($BL7=1,SUM('Final Calculation Sheet'!$L$4:$L$40)-SUMIFS('Final Calculation Sheet'!$L$4:$L$40,$AZ$5:$AZ$41,10),SUMIFS('Final Calculation Sheet'!$L$4:$L$40,$AZ$5:$AZ$41,$BH7))),""))</f>
        <v/>
      </c>
      <c r="N8" s="70">
        <f>IF($BJ7&gt;0,IF(INDEX('Final Calculation Sheet'!$M$4:$M$40,$BJ7-3)="","",INDEX('Final Calculation Sheet'!$M$4:$M$40,$BJ7-3)),IF(OR($BI7=1,$BL7=1,$BH7&gt;0),IF($BI7=1,SUM('Final Calculation Sheet'!$M$4:$M$40),IF($BL7=1,SUM('Final Calculation Sheet'!$M$4:$M$40)-SUMIFS('Final Calculation Sheet'!$M$4:$M$40,$AZ$5:$AZ$41,10),SUMIFS('Final Calculation Sheet'!$M$4:$M$40,$AZ$5:$AZ$41,$BH7))),""))</f>
        <v/>
      </c>
      <c r="O8" s="71">
        <f>IF($BJ7&gt;0,IF(INDEX('Final Calculation Sheet'!$N$4:$N$40,$BJ7-3)="","",INDEX('Final Calculation Sheet'!$N$4:$N$40,$BJ7-3)),IF(OR($BI7=1,$BL7=1,$BH7&gt;0),IF($BI7=1,SUM('Final Calculation Sheet'!$N$4:$N$40),IF($BL7=1,SUM('Final Calculation Sheet'!$N$4:$N$40)-SUMIFS('Final Calculation Sheet'!$N$4:$N$40,$AZ$5:$AZ$41,10),SUMIFS('Final Calculation Sheet'!$N$4:$N$40,$AZ$5:$AZ$41,$BH7))),""))</f>
        <v/>
      </c>
      <c r="P8" s="70">
        <f>IF($BJ7&gt;0,IF(INDEX('Final Calculation Sheet'!$O$4:$O$40,$BJ7-3)="","",INDEX('Final Calculation Sheet'!$O$4:$O$40,$BJ7-3)),IF(OR($BI7=1,$BL7=1,$BH7&gt;0),IF($BI7=1,SUM('Final Calculation Sheet'!$O$4:$O$40),IF($BL7=1,SUM('Final Calculation Sheet'!$O$4:$O$40)-SUMIFS('Final Calculation Sheet'!$O$4:$O$40,$AZ$5:$AZ$41,10),SUMIFS('Final Calculation Sheet'!$O$4:$O$40,$AZ$5:$AZ$41,$BH7))),""))</f>
        <v/>
      </c>
      <c r="Q8" s="70">
        <f>IF($BJ7&gt;0,IF(INDEX('Final Calculation Sheet'!$P$4:$P$40,$BJ7-3)="","",INDEX('Final Calculation Sheet'!$P$4:$P$40,$BJ7-3)),IF(OR($BI7=1,$BL7=1,$BH7&gt;0),IF($BI7=1,SUM('Final Calculation Sheet'!$P$4:$P$40),IF($BL7=1,SUM('Final Calculation Sheet'!$P$4:$P$40)-SUMIFS('Final Calculation Sheet'!$P$4:$P$40,$AZ$5:$AZ$41,10),SUMIFS('Final Calculation Sheet'!$P$4:$P$40,$AZ$5:$AZ$41,$BH7))),""))</f>
        <v/>
      </c>
      <c r="R8" s="72">
        <f>IF($BJ7&gt;0,IF(INDEX('Final Calculation Sheet'!$Q$4:$Q$40,$BJ7-3)="","",INDEX('Final Calculation Sheet'!$Q$4:$Q$40,$BJ7-3)),IF(OR($BI7=1,$BL7=1,$BH7&gt;0),"–",""))</f>
        <v/>
      </c>
      <c r="S8" s="70">
        <f>IF($BJ7&gt;0,IF(INDEX('Final Calculation Sheet'!$R$4:$R$40,$BJ7-3)="","",INDEX('Final Calculation Sheet'!$R$4:$R$40,$BJ7-3)),IF(OR($BI7=1,$BL7=1,$BH7&gt;0),IF($BI7=1,SUM('Final Calculation Sheet'!$R$4:$R$40),IF($BL7=1,SUM('Final Calculation Sheet'!$R$4:$R$40)-SUMIFS('Final Calculation Sheet'!$R$4:$R$40,$AZ$5:$AZ$41,10),SUMIFS('Final Calculation Sheet'!$R$4:$R$40,$AZ$5:$AZ$41,$BH7))),""))</f>
        <v/>
      </c>
      <c r="T8" s="70">
        <f>IF($BJ7&gt;0,IF(INDEX('Final Calculation Sheet'!$S$4:$S$40,$BJ7-3)="","",INDEX('Final Calculation Sheet'!$S$4:$S$40,$BJ7-3)),IF(OR($BI7=1,$BL7=1,$BH7&gt;0),IF($BI7=1,SUM('Final Calculation Sheet'!$S$4:$S$40),IF($BL7=1,SUM('Final Calculation Sheet'!$S$4:$S$40)-SUMIFS('Final Calculation Sheet'!$S$4:$S$40,$AZ$5:$AZ$41,10),SUMIFS('Final Calculation Sheet'!$S$4:$S$40,$AZ$5:$AZ$41,$BH7))),""))</f>
        <v/>
      </c>
      <c r="U8" s="70">
        <f>IF($BJ7&gt;0,IF(INDEX('Final Calculation Sheet'!$T$4:$T$40,$BJ7-3)="","",INDEX('Final Calculation Sheet'!$T$4:$T$40,$BJ7-3)),IF(OR($BI7=1,$BL7=1,$BH7&gt;0),IF($BI7=1,SUM('Final Calculation Sheet'!$T$4:$T$40),IF($BL7=1,SUM('Final Calculation Sheet'!$T$4:$T$40)-SUMIFS('Final Calculation Sheet'!$T$4:$T$40,$AZ$5:$AZ$41,10),SUMIFS('Final Calculation Sheet'!$T$4:$T$40,$AZ$5:$AZ$41,$BH7))),""))</f>
        <v/>
      </c>
      <c r="V8" s="73">
        <f>IF($BJ7&gt;0,IF(INDEX('Final Calculation Sheet'!$U$4:$U$40,$BJ7-3)="","",INDEX('Final Calculation Sheet'!$U$4:$U$40,$BJ7-3)),IF(OR($BI7=1,$BL7=1,$BH7&gt;0),IF($BI7=1,SUM('Final Calculation Sheet'!$U$4:$U$40),IF($BL7=1,SUM('Final Calculation Sheet'!$U$4:$U$40)-SUMIFS('Final Calculation Sheet'!$U$4:$U$40,$AZ$5:$AZ$41,10),SUMIFS('Final Calculation Sheet'!$U$4:$U$40,$AZ$5:$AZ$41,$BH7))),""))</f>
        <v/>
      </c>
      <c r="W8" s="70">
        <f>IF($BJ7&gt;0,IF(INDEX('Final Calculation Sheet'!$V$4:$V$40,$BJ7-3)="","",INDEX('Final Calculation Sheet'!$V$4:$V$40,$BJ7-3)),IF(OR($BI7=1,$BL7=1,$BH7&gt;0),"–",""))</f>
        <v/>
      </c>
      <c r="X8" s="70">
        <f>IF($BJ7&gt;0,IF(INDEX('Final Calculation Sheet'!$W$4:$W$40,$BJ7-3)="","",INDEX('Final Calculation Sheet'!$W$4:$W$40,$BJ7-3)),IF(OR($BI7=1,$BL7=1,$BH7&gt;0),IF($BI7=1,SUM('Final Calculation Sheet'!$W$4:$W$40),IF($BL7=1,SUM('Final Calculation Sheet'!$W$4:$W$40)-SUMIFS('Final Calculation Sheet'!$W$4:$W$40,$AZ$5:$AZ$41,10),SUMIFS('Final Calculation Sheet'!$W$4:$W$40,$AZ$5:$AZ$41,$BH7))),""))</f>
        <v/>
      </c>
      <c r="Y8" s="70">
        <f>IF($BJ7&gt;0,IF(INDEX('Final Calculation Sheet'!$X$4:$X$40,$BJ7-3)="","",INDEX('Final Calculation Sheet'!$X$4:$X$40,$BJ7-3)),IF(OR($BI7=1,$BL7=1,$BH7&gt;0),IF($BI7=1,SUM('Final Calculation Sheet'!$X$4:$X$40),IF($BL7=1,SUM('Final Calculation Sheet'!$X$4:$X$40)-SUMIFS('Final Calculation Sheet'!$X$4:$X$40,$AZ$5:$AZ$41,10),SUMIFS('Final Calculation Sheet'!$X$4:$X$40,$AZ$5:$AZ$41,$BH7))),""))</f>
        <v/>
      </c>
      <c r="Z8" s="70">
        <f>IF($BJ7&gt;0,IF(INDEX('Final Calculation Sheet'!$Y$4:$Y$40,$BJ7-3)="","",INDEX('Final Calculation Sheet'!$Y$4:$Y$40,$BJ7-3)),IF(OR($BI7=1,$BL7=1,$BH7&gt;0),"–",""))</f>
        <v/>
      </c>
      <c r="AA8" s="70">
        <f>IF($BJ7&gt;0,IF(INDEX('Final Calculation Sheet'!$Z$4:$Z$40,$BJ7-3)="","",INDEX('Final Calculation Sheet'!$Z$4:$Z$40,$BJ7-3)),IF(OR($BI7=1,$BL7=1,$BH7&gt;0),IF($BI7=1,SUM('Final Calculation Sheet'!$Z$4:$Z$40),IF($BL7=1,SUM('Final Calculation Sheet'!$Z$4:$Z$40)-SUMIFS('Final Calculation Sheet'!$Z$4:$Z$40,$AZ$5:$AZ$41,10),SUMIFS('Final Calculation Sheet'!$Z$4:$Z$40,$AZ$5:$AZ$41,$BH7))),""))</f>
        <v/>
      </c>
      <c r="AB8" s="70">
        <f>IF($BJ7&gt;0,IF(INDEX('Final Calculation Sheet'!$AA$4:$AA$40,$BJ7-3)="","",INDEX('Final Calculation Sheet'!$AA$4:$AA$40,$BJ7-3)),IF(OR($BI7=1,$BL7=1,$BH7&gt;0),IF($BI7=1,SUM('Final Calculation Sheet'!$AA$4:$AA$40),IF($BL7=1,SUM('Final Calculation Sheet'!$AA$4:$AA$40)-SUMIFS('Final Calculation Sheet'!$AA$4:$AA$40,$AZ$5:$AZ$41,10),SUMIFS('Final Calculation Sheet'!$AA$4:$AA$40,$AZ$5:$AZ$41,$BH7))),""))</f>
        <v/>
      </c>
      <c r="AC8" s="70">
        <f>IF($BJ7&gt;0,IF(INDEX('Final Calculation Sheet'!$AB$4:$AB$40,$BJ7-3)="","",INDEX('Final Calculation Sheet'!$AB$4:$AB$40,$BJ7-3)),IF(OR($BI7=1,$BL7=1,$BH7&gt;0),"–",""))</f>
        <v/>
      </c>
      <c r="AD8" s="70">
        <f>IF($BJ7&gt;0,IF(INDEX('Final Calculation Sheet'!$AC$4:$AC$40,$BJ7-3)="","",INDEX('Final Calculation Sheet'!$AC$4:$AC$40,$BJ7-3)),IF(OR($BI7=1,$BL7=1,$BH7&gt;0),IF($BI7=1,SUM('Final Calculation Sheet'!$AC$4:$AC$40),IF($BL7=1,SUM('Final Calculation Sheet'!$AC$4:$AC$40)-SUMIFS('Final Calculation Sheet'!$AC$4:$AC$40,$AZ$5:$AZ$41,10),SUMIFS('Final Calculation Sheet'!$AC$4:$AC$40,$AZ$5:$AZ$41,$BH7))),""))</f>
        <v/>
      </c>
      <c r="AE8" s="70">
        <f>IF($BJ7&gt;0,IF(INDEX('Final Calculation Sheet'!$AD$4:$AD$40,$BJ7-3)="","",INDEX('Final Calculation Sheet'!$AD$4:$AD$40,$BJ7-3)),IF(OR($BI7=1,$BL7=1,$BH7&gt;0),IF($BI7=1,SUM('Final Calculation Sheet'!$AD$4:$AD$40),IF($BL7=1,SUM('Final Calculation Sheet'!$AD$4:$AD$40)-SUMIFS('Final Calculation Sheet'!$AD$4:$AD$40,$AZ$5:$AZ$41,10),SUMIFS('Final Calculation Sheet'!$AD$4:$AD$40,$AZ$5:$AZ$41,$BH7))),""))</f>
        <v/>
      </c>
      <c r="AF8" s="70">
        <f>IF($BJ7&gt;0,IF(INDEX('Final Calculation Sheet'!$AE$4:$AE$40,$BJ7-3)="","",INDEX('Final Calculation Sheet'!$AE$4:$AE$40,$BJ7-3)),IF(OR($BI7=1,$BL7=1,$BH7&gt;0),"–",""))</f>
        <v/>
      </c>
      <c r="AG8" s="74">
        <f>IF($BJ7&gt;0,IF(INDEX('Final Calculation Sheet'!$AF$4:$AF$40,$BJ7-3)="","",INDEX('Final Calculation Sheet'!$AF$4:$AF$40,$BJ7-3)),IF(OR($BI7=1,$BL7=1,$BH7&gt;0),"–",""))</f>
        <v/>
      </c>
      <c r="AH8" s="70">
        <f>IF($BJ7&gt;0,IF(INDEX('Final Calculation Sheet'!$AG$4:$AG$40,$BJ7-3)="","",INDEX('Final Calculation Sheet'!$AG$4:$AG$40,$BJ7-3)),IF(OR($BI7=1,$BL7=1,$BH7&gt;0),"–",""))</f>
        <v/>
      </c>
      <c r="AI8" s="75">
        <f>IF($BJ7&gt;0,IF(INDEX('Final Calculation Sheet'!$AD$4:$AD$40,$BJ7-3)="","",IF(INDEX('Final Calculation Sheet'!$AD$4:$AD$40,$BJ7-3)&lt;=0,"SETTLED","OUTSTANDING")),IF(OR($BI7=1,$BL7=1,$BH7&gt;0),IF(IF($BI7=1,SUM('Final Calculation Sheet'!$AD$4:$AD$40),IF($BL7=1,SUM('Final Calculation Sheet'!$AD$4:$AD$40)-SUMIFS('Final Calculation Sheet'!$AD$4:$AD$40,$AZ$5:$AZ$41,10),SUMIFS('Final Calculation Sheet'!$AD$4:$AD$40,$AZ$5:$AZ$41,$BH7)))&lt;=0,"ALL SETTLED","OUTSTANDING"),""))</f>
        <v/>
      </c>
      <c r="AK8">
        <f>IF($F$3="Lot No.",'Final Calculation Sheet'!$F$7,IF($F$3="Buyer",'Final Calculation Sheet'!$G$7,IF($F$3="Lot Name",'Final Calculation Sheet'!$B$7,IF($F$3="Bid Sheet",'Final Calculation Sheet'!$D$7,IF($F$3="Unit",'Final Calculation Sheet'!$E$7,'Final Calculation Sheet'!$F$7&amp;" "&amp;'Final Calculation Sheet'!$G$7&amp;" "&amp;'Final Calculation Sheet'!$B$7)))))</f>
        <v/>
      </c>
      <c r="AM8">
        <f>IF(COUNTIF($BM8:$CU8,0)&gt;0,0,IF($B$3="",1,IF(AND(IF(COUNTIF($AR$9:$AY$9,1)=0,TRUE,SUMPRODUCT(($AR$9:$AY$9=1)*($AR$6:$AY$6&lt;&gt;"")*ISNUMBER(SEARCH($AR$6:$AY$6,$AK8)))&gt;0),IF(COUNTIF($AR$9:$AY$9,2)=0,TRUE,SUMPRODUCT(($AR$9:$AY$9=2)*($AR$6:$AY$6&lt;&gt;"")*ISNUMBER(SEARCH($AR$6:$AY$6,$AK8)))&gt;0),IF(COUNTIF($AR$9:$AY$9,3)=0,TRUE,SUMPRODUCT(($AR$9:$AY$9=3)*($AR$6:$AY$6&lt;&gt;"")*ISNUMBER(SEARCH($AR$6:$AY$6,$AK8)))&gt;0),IF(COUNTIF($AR$9:$AY$9,4)=0,TRUE,SUMPRODUCT(($AR$9:$AY$9=4)*($AR$6:$AY$6&lt;&gt;"")*ISNUMBER(SEARCH($AR$6:$AY$6,$AK8)))&gt;0),IF(COUNTIF($AR$9:$AY$9,5)=0,TRUE,SUMPRODUCT(($AR$9:$AY$9=5)*($AR$6:$AY$6&lt;&gt;"")*ISNUMBER(SEARCH($AR$6:$AY$6,$AK8)))&gt;0),IF(COUNTIF($AR$9:$AY$9,6)=0,TRUE,SUMPRODUCT(($AR$9:$AY$9=6)*($AR$6:$AY$6&lt;&gt;"")*ISNUMBER(SEARCH($AR$6:$AY$6,$AK8)))&gt;0),IF(COUNTIF($AR$9:$AY$9,7)=0,TRUE,SUMPRODUCT(($AR$9:$AY$9=7)*($AR$6:$AY$6&lt;&gt;"")*ISNUMBER(SEARCH($AR$6:$AY$6,$AK8)))&gt;0),IF(COUNTIF($AR$9:$AY$9,8)=0,TRUE,SUMPRODUCT(($AR$9:$AY$9=8)*($AR$6:$AY$6&lt;&gt;"")*ISNUMBER(SEARCH($AR$6:$AY$6,$AK8)))&gt;0)),1,0)))</f>
        <v/>
      </c>
      <c r="AO8" t="inlineStr">
        <is>
          <t>Bid Sheet</t>
        </is>
      </c>
      <c r="AR8" t="n">
        <v>1</v>
      </c>
      <c r="AS8">
        <f>IF($AR$7="+",$AR$8+1,$AR$8)</f>
        <v/>
      </c>
      <c r="AT8">
        <f>IF($AS$7="+",$AS$8+1,$AS$8)</f>
        <v/>
      </c>
      <c r="AU8">
        <f>IF($AT$7="+",$AT$8+1,$AT$8)</f>
        <v/>
      </c>
      <c r="AV8">
        <f>IF($AU$7="+",$AU$8+1,$AU$8)</f>
        <v/>
      </c>
      <c r="AW8">
        <f>IF($AV$7="+",$AV$8+1,$AV$8)</f>
        <v/>
      </c>
      <c r="AX8">
        <f>IF($AW$7="+",$AW$8+1,$AW$8)</f>
        <v/>
      </c>
      <c r="AY8">
        <f>IF($AX$7="+",$AX$8+1,$AX$8)</f>
        <v/>
      </c>
      <c r="AZ8">
        <f>IF($B$3="",IF(COUNTIF($A$4:$AI$4,"&lt;&gt;")=0,9,IF($AM8=1,9,10)),IF($AM8=0,10,IF(AND($AR$6&lt;&gt;"",ISNUMBER(SEARCH($AR$6,$AK8))),1,IF(AND($AS$6&lt;&gt;"",ISNUMBER(SEARCH($AS$6,$AK8))),2,IF(AND($AT$6&lt;&gt;"",ISNUMBER(SEARCH($AT$6,$AK8))),3,IF(AND($AU$6&lt;&gt;"",ISNUMBER(SEARCH($AU$6,$AK8))),4,IF(AND($AV$6&lt;&gt;"",ISNUMBER(SEARCH($AV$6,$AK8))),5,IF(AND($AW$6&lt;&gt;"",ISNUMBER(SEARCH($AW$6,$AK8))),6,IF(AND($AX$6&lt;&gt;"",ISNUMBER(SEARCH($AX$6,$AK8))),7,IF(AND($AY$6&lt;&gt;"",ISNUMBER(SEARCH($AY$6,$AK8))),8,0))))))))))</f>
        <v/>
      </c>
      <c r="BA8">
        <f>SUMPRODUCT(($AZ$5:$AZ$41=$AZ8)*($BC$5:$BC$41&lt;$BC8))+1</f>
        <v/>
      </c>
      <c r="BB8">
        <f>IF(INDEX($BF$4:$BF$13,$AZ8)=0,0,INDEX($BE$4:$BE$13,$AZ8)+$BA8-1)</f>
        <v/>
      </c>
      <c r="BC8" t="n">
        <v>7</v>
      </c>
      <c r="BD8">
        <f>COUNTIF($AZ$5:$AZ$41,5)</f>
        <v/>
      </c>
      <c r="BE8">
        <f>IF($BD7=0,$BE7,$BF7+1)</f>
        <v/>
      </c>
      <c r="BF8">
        <f>IF($BD8=0,0,$BE8+$BD8)</f>
        <v/>
      </c>
      <c r="BH8">
        <f>IFERROR(MATCH(8,$BF$4:$BF$13,0),0)</f>
        <v/>
      </c>
      <c r="BI8">
        <f>IF(8=$BG$5,1,0)</f>
        <v/>
      </c>
      <c r="BJ8">
        <f>IF(OR($BH8&gt;0,$BI8=1,$BL8=1),0,IFERROR(INDEX($BC$5:$BC$41,MATCH(8,$BB$5:$BB$41,0)),0))</f>
        <v/>
      </c>
      <c r="BK8">
        <f>IF($BJ8&gt;0,IF(INDEX($AZ$5:$AZ$41,MATCH(8,$BB$5:$BB$41,0))=10,1,0),IF($BH8=10,1,0))</f>
        <v/>
      </c>
      <c r="BL8">
        <f>IF(8=$BG$4,1,0)</f>
        <v/>
      </c>
      <c r="BM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8">
        <f>IF($B$4="",1,--(OR(SUMPRODUCT(--(TRIM(MID(SUBSTITUTE(SUBSTITUTE($B$4,"/",","),",",REPT(" ",99)),(ROW($1:$8)-1)*99+1,99))&lt;&gt;""),--ISNUMBER(SEARCH(TRIM(MID(SUBSTITUTE(SUBSTITUTE($B$4,"/",","),",",REPT(" ",99)),(ROW($1:$8)-1)*99+1,99)),IFERROR(('Final Calculation Sheet'!$F$7)&amp;"",""))))&gt;0,AND(ISNUMBER(SEARCH("blank",$B$4)),NOT(ISNUMBER(SEARCH("nonblank",$B$4))),IFERROR(('Final Calculation Sheet'!$F$7)&amp;"","")=""),AND(OR(ISNUMBER(SEARCH("nonblank",$B$4)),ISNUMBER(SEARCH("&lt;&gt;",$B$4))),IFERROR(('Final Calculation Sheet'!$F$7)&amp;"","")&lt;&gt;""),AND(TRIM($B$4)="",IFERROR(('Final Calculation Sheet'!$F$7)&amp;"","")=""))))</f>
        <v/>
      </c>
      <c r="BO8">
        <f>IF($C$4="",1,--(OR(SUMPRODUCT(--(TRIM(MID(SUBSTITUTE(SUBSTITUTE($C$4,"/",","),",",REPT(" ",99)),(ROW($1:$8)-1)*99+1,99))&lt;&gt;""),--ISNUMBER(SEARCH(TRIM(MID(SUBSTITUTE(SUBSTITUTE($C$4,"/",","),",",REPT(" ",99)),(ROW($1:$8)-1)*99+1,99)),IFERROR(('Final Calculation Sheet'!$G$7)&amp;"",""))))&gt;0,AND(ISNUMBER(SEARCH("blank",$C$4)),NOT(ISNUMBER(SEARCH("nonblank",$C$4))),IFERROR(('Final Calculation Sheet'!$G$7)&amp;"","")=""),AND(OR(ISNUMBER(SEARCH("nonblank",$C$4)),ISNUMBER(SEARCH("&lt;&gt;",$C$4))),IFERROR(('Final Calculation Sheet'!$G$7)&amp;"","")&lt;&gt;""),AND(TRIM($C$4)="",IFERROR(('Final Calculation Sheet'!$G$7)&amp;"","")=""))))</f>
        <v/>
      </c>
      <c r="BP8">
        <f>IF($D$4="",1,--(OR(SUMPRODUCT(--(TRIM(MID(SUBSTITUTE(SUBSTITUTE($D$4,"/",","),",",REPT(" ",99)),(ROW($1:$8)-1)*99+1,99))&lt;&gt;""),--ISNUMBER(SEARCH(TRIM(MID(SUBSTITUTE(SUBSTITUTE($D$4,"/",","),",",REPT(" ",99)),(ROW($1:$8)-1)*99+1,99)),IFERROR(('Final Calculation Sheet'!$B$7)&amp;"",""))))&gt;0,AND(ISNUMBER(SEARCH("blank",$D$4)),NOT(ISNUMBER(SEARCH("nonblank",$D$4))),IFERROR(('Final Calculation Sheet'!$B$7)&amp;"","")=""),AND(OR(ISNUMBER(SEARCH("nonblank",$D$4)),ISNUMBER(SEARCH("&lt;&gt;",$D$4))),IFERROR(('Final Calculation Sheet'!$B$7)&amp;"","")&lt;&gt;""),AND(TRIM($D$4)="",IFERROR(('Final Calculation Sheet'!$B$7)&amp;"","")=""))))</f>
        <v/>
      </c>
      <c r="BQ8">
        <f>IF($E$4="",1,--(OR(SUMPRODUCT(--(TRIM(MID(SUBSTITUTE(SUBSTITUTE($E$4,"/",","),",",REPT(" ",99)),(ROW($1:$8)-1)*99+1,99))&lt;&gt;""),--ISNUMBER(SEARCH(TRIM(MID(SUBSTITUTE(SUBSTITUTE($E$4,"/",","),",",REPT(" ",99)),(ROW($1:$8)-1)*99+1,99)),IFERROR(('Final Calculation Sheet'!$D$7)&amp;"",""))))&gt;0,AND(ISNUMBER(SEARCH("blank",$E$4)),NOT(ISNUMBER(SEARCH("nonblank",$E$4))),IFERROR(('Final Calculation Sheet'!$D$7)&amp;"","")=""),AND(OR(ISNUMBER(SEARCH("nonblank",$E$4)),ISNUMBER(SEARCH("&lt;&gt;",$E$4))),IFERROR(('Final Calculation Sheet'!$D$7)&amp;"","")&lt;&gt;""),AND(TRIM($E$4)="",IFERROR(('Final Calculation Sheet'!$D$7)&amp;"","")=""))))</f>
        <v/>
      </c>
      <c r="BR8">
        <f>IF($F$4="",1,--(OR(SUMPRODUCT(--(TRIM(MID(SUBSTITUTE(SUBSTITUTE($F$4,"/",","),",",REPT(" ",99)),(ROW($1:$8)-1)*99+1,99))&lt;&gt;""),--ISNUMBER(SEARCH(TRIM(MID(SUBSTITUTE(SUBSTITUTE($F$4,"/",","),",",REPT(" ",99)),(ROW($1:$8)-1)*99+1,99)),IFERROR(('Final Calculation Sheet'!$A$7)&amp;"",""))))&gt;0,AND(ISNUMBER(SEARCH("blank",$F$4)),NOT(ISNUMBER(SEARCH("nonblank",$F$4))),IFERROR(('Final Calculation Sheet'!$A$7)&amp;"","")=""),AND(OR(ISNUMBER(SEARCH("nonblank",$F$4)),ISNUMBER(SEARCH("&lt;&gt;",$F$4))),IFERROR(('Final Calculation Sheet'!$A$7)&amp;"","")&lt;&gt;""),AND(TRIM($F$4)="",IFERROR(('Final Calculation Sheet'!$A$7)&amp;"","")=""))))</f>
        <v/>
      </c>
      <c r="BS8">
        <f>IF($G$4="",1,--(OR(SUMPRODUCT(--(TRIM(MID(SUBSTITUTE(SUBSTITUTE($G$4,"/",","),",",REPT(" ",99)),(ROW($1:$8)-1)*99+1,99))&lt;&gt;""),--ISNUMBER(SEARCH(TRIM(MID(SUBSTITUTE(SUBSTITUTE($G$4,"/",","),",",REPT(" ",99)),(ROW($1:$8)-1)*99+1,99)),IFERROR(('Final Calculation Sheet'!$E$7)&amp;"",""))))&gt;0,AND(ISNUMBER(SEARCH("blank",$G$4)),NOT(ISNUMBER(SEARCH("nonblank",$G$4))),IFERROR(('Final Calculation Sheet'!$E$7)&amp;"","")=""),AND(OR(ISNUMBER(SEARCH("nonblank",$G$4)),ISNUMBER(SEARCH("&lt;&gt;",$G$4))),IFERROR(('Final Calculation Sheet'!$E$7)&amp;"","")&lt;&gt;""),AND(TRIM($G$4)="",IFERROR(('Final Calculation Sheet'!$E$7)&amp;"","")=""))))</f>
        <v/>
      </c>
      <c r="BT8">
        <f>IF($H$4="",1,--(OR(SUMPRODUCT(--(TRIM(MID(SUBSTITUTE(SUBSTITUTE($H$4,"/",","),",",REPT(" ",99)),(ROW($1:$8)-1)*99+1,99))&lt;&gt;""),--ISNUMBER(SEARCH(TRIM(MID(SUBSTITUTE(SUBSTITUTE($H$4,"/",","),",",REPT(" ",99)),(ROW($1:$8)-1)*99+1,99)),IFERROR(('Final Calculation Sheet'!$C$7)&amp;"",""))))&gt;0,AND(ISNUMBER(SEARCH("blank",$H$4)),NOT(ISNUMBER(SEARCH("nonblank",$H$4))),IFERROR(('Final Calculation Sheet'!$C$7)&amp;"","")=""),AND(OR(ISNUMBER(SEARCH("nonblank",$H$4)),ISNUMBER(SEARCH("&lt;&gt;",$H$4))),IFERROR(('Final Calculation Sheet'!$C$7)&amp;"","")&lt;&gt;""),AND(TRIM($H$4)="",IFERROR(('Final Calculation Sheet'!$C$7)&amp;"","")=""))))</f>
        <v/>
      </c>
      <c r="BU8">
        <f>IF($I$4="",1,--(OR(SUMPRODUCT(--(TRIM(MID(SUBSTITUTE(SUBSTITUTE($I$4,"/",","),",",REPT(" ",99)),(ROW($1:$8)-1)*99+1,99))&lt;&gt;""),--ISNUMBER(SEARCH(TRIM(MID(SUBSTITUTE(SUBSTITUTE($I$4,"/",","),",",REPT(" ",99)),(ROW($1:$8)-1)*99+1,99)),IFERROR(('Final Calculation Sheet'!$H$7)&amp;"",""))))&gt;0,AND(ISNUMBER(SEARCH("blank",$I$4)),NOT(ISNUMBER(SEARCH("nonblank",$I$4))),IFERROR(('Final Calculation Sheet'!$H$7)&amp;"","")=""),AND(OR(ISNUMBER(SEARCH("nonblank",$I$4)),ISNUMBER(SEARCH("&lt;&gt;",$I$4))),IFERROR(('Final Calculation Sheet'!$H$7)&amp;"","")&lt;&gt;""),AND(TRIM($I$4)="",IFERROR(('Final Calculation Sheet'!$H$7)&amp;"","")=""))))</f>
        <v/>
      </c>
      <c r="BV8">
        <f>IF($J$4="",1,--(OR(SUMPRODUCT(--(TRIM(MID(SUBSTITUTE(SUBSTITUTE($J$4,"/",","),",",REPT(" ",99)),(ROW($1:$8)-1)*99+1,99))&lt;&gt;""),--ISNUMBER(SEARCH(TRIM(MID(SUBSTITUTE(SUBSTITUTE($J$4,"/",","),",",REPT(" ",99)),(ROW($1:$8)-1)*99+1,99)),IFERROR(('Final Calculation Sheet'!$I$7)&amp;"",""))))&gt;0,AND(ISNUMBER(SEARCH("blank",$J$4)),NOT(ISNUMBER(SEARCH("nonblank",$J$4))),IFERROR(('Final Calculation Sheet'!$I$7)&amp;"","")=""),AND(OR(ISNUMBER(SEARCH("nonblank",$J$4)),ISNUMBER(SEARCH("&lt;&gt;",$J$4))),IFERROR(('Final Calculation Sheet'!$I$7)&amp;"","")&lt;&gt;""),AND(TRIM($J$4)="",IFERROR(('Final Calculation Sheet'!$I$7)&amp;"","")=""))))</f>
        <v/>
      </c>
      <c r="BW8">
        <f>IF($K$4="",1,--(OR(SUMPRODUCT(--(TRIM(MID(SUBSTITUTE(SUBSTITUTE($K$4,"/",","),",",REPT(" ",99)),(ROW($1:$8)-1)*99+1,99))&lt;&gt;""),--ISNUMBER(SEARCH(TRIM(MID(SUBSTITUTE(SUBSTITUTE($K$4,"/",","),",",REPT(" ",99)),(ROW($1:$8)-1)*99+1,99)),IFERROR(('Final Calculation Sheet'!$J$7)&amp;"",""))))&gt;0,AND(ISNUMBER(SEARCH("blank",$K$4)),NOT(ISNUMBER(SEARCH("nonblank",$K$4))),IFERROR(('Final Calculation Sheet'!$J$7)&amp;"","")=""),AND(OR(ISNUMBER(SEARCH("nonblank",$K$4)),ISNUMBER(SEARCH("&lt;&gt;",$K$4))),IFERROR(('Final Calculation Sheet'!$J$7)&amp;"","")&lt;&gt;""),AND(TRIM($K$4)="",IFERROR(('Final Calculation Sheet'!$J$7)&amp;"","")=""))))</f>
        <v/>
      </c>
      <c r="BX8">
        <f>IF($L$4="",1,--(OR(SUMPRODUCT(--(TRIM(MID(SUBSTITUTE(SUBSTITUTE($L$4,"/",","),",",REPT(" ",99)),(ROW($1:$8)-1)*99+1,99))&lt;&gt;""),--ISNUMBER(SEARCH(TRIM(MID(SUBSTITUTE(SUBSTITUTE($L$4,"/",","),",",REPT(" ",99)),(ROW($1:$8)-1)*99+1,99)),IFERROR(('Final Calculation Sheet'!$K$7)&amp;"",""))))&gt;0,AND(ISNUMBER(SEARCH("blank",$L$4)),NOT(ISNUMBER(SEARCH("nonblank",$L$4))),IFERROR(('Final Calculation Sheet'!$K$7)&amp;"","")=""),AND(OR(ISNUMBER(SEARCH("nonblank",$L$4)),ISNUMBER(SEARCH("&lt;&gt;",$L$4))),IFERROR(('Final Calculation Sheet'!$K$7)&amp;"","")&lt;&gt;""),AND(TRIM($L$4)="",IFERROR(('Final Calculation Sheet'!$K$7)&amp;"","")=""))))</f>
        <v/>
      </c>
      <c r="BY8">
        <f>IF($M$4="",1,--(OR(SUMPRODUCT(--(TRIM(MID(SUBSTITUTE(SUBSTITUTE($M$4,"/",","),",",REPT(" ",99)),(ROW($1:$8)-1)*99+1,99))&lt;&gt;""),--ISNUMBER(SEARCH(TRIM(MID(SUBSTITUTE(SUBSTITUTE($M$4,"/",","),",",REPT(" ",99)),(ROW($1:$8)-1)*99+1,99)),IFERROR(('Final Calculation Sheet'!$L$7)&amp;"",""))))&gt;0,AND(ISNUMBER(SEARCH("blank",$M$4)),NOT(ISNUMBER(SEARCH("nonblank",$M$4))),IFERROR(('Final Calculation Sheet'!$L$7)&amp;"","")=""),AND(OR(ISNUMBER(SEARCH("nonblank",$M$4)),ISNUMBER(SEARCH("&lt;&gt;",$M$4))),IFERROR(('Final Calculation Sheet'!$L$7)&amp;"","")&lt;&gt;""),AND(TRIM($M$4)="",IFERROR(('Final Calculation Sheet'!$L$7)&amp;"","")=""))))</f>
        <v/>
      </c>
      <c r="BZ8">
        <f>IF($N$4="",1,--(OR(SUMPRODUCT(--(TRIM(MID(SUBSTITUTE(SUBSTITUTE($N$4,"/",","),",",REPT(" ",99)),(ROW($1:$8)-1)*99+1,99))&lt;&gt;""),--ISNUMBER(SEARCH(TRIM(MID(SUBSTITUTE(SUBSTITUTE($N$4,"/",","),",",REPT(" ",99)),(ROW($1:$8)-1)*99+1,99)),IFERROR(('Final Calculation Sheet'!$M$7)&amp;"",""))))&gt;0,AND(ISNUMBER(SEARCH("blank",$N$4)),NOT(ISNUMBER(SEARCH("nonblank",$N$4))),IFERROR(('Final Calculation Sheet'!$M$7)&amp;"","")=""),AND(OR(ISNUMBER(SEARCH("nonblank",$N$4)),ISNUMBER(SEARCH("&lt;&gt;",$N$4))),IFERROR(('Final Calculation Sheet'!$M$7)&amp;"","")&lt;&gt;""),AND(TRIM($N$4)="",IFERROR(('Final Calculation Sheet'!$M$7)&amp;"","")=""))))</f>
        <v/>
      </c>
      <c r="CA8">
        <f>IF($O$4="",1,--(OR(SUMPRODUCT(--(TRIM(MID(SUBSTITUTE(SUBSTITUTE($O$4,"/",","),",",REPT(" ",99)),(ROW($1:$8)-1)*99+1,99))&lt;&gt;""),--ISNUMBER(SEARCH(TRIM(MID(SUBSTITUTE(SUBSTITUTE($O$4,"/",","),",",REPT(" ",99)),(ROW($1:$8)-1)*99+1,99)),IFERROR(('Final Calculation Sheet'!$N$7)&amp;"",""))))&gt;0,AND(ISNUMBER(SEARCH("blank",$O$4)),NOT(ISNUMBER(SEARCH("nonblank",$O$4))),IFERROR(('Final Calculation Sheet'!$N$7)&amp;"","")=""),AND(OR(ISNUMBER(SEARCH("nonblank",$O$4)),ISNUMBER(SEARCH("&lt;&gt;",$O$4))),IFERROR(('Final Calculation Sheet'!$N$7)&amp;"","")&lt;&gt;""),AND(TRIM($O$4)="",IFERROR(('Final Calculation Sheet'!$N$7)&amp;"","")=""))))</f>
        <v/>
      </c>
      <c r="CB8">
        <f>IF($P$4="",1,--(OR(SUMPRODUCT(--(TRIM(MID(SUBSTITUTE(SUBSTITUTE($P$4,"/",","),",",REPT(" ",99)),(ROW($1:$8)-1)*99+1,99))&lt;&gt;""),--ISNUMBER(SEARCH(TRIM(MID(SUBSTITUTE(SUBSTITUTE($P$4,"/",","),",",REPT(" ",99)),(ROW($1:$8)-1)*99+1,99)),IFERROR(('Final Calculation Sheet'!$O$7)&amp;"",""))))&gt;0,AND(ISNUMBER(SEARCH("blank",$P$4)),NOT(ISNUMBER(SEARCH("nonblank",$P$4))),IFERROR(('Final Calculation Sheet'!$O$7)&amp;"","")=""),AND(OR(ISNUMBER(SEARCH("nonblank",$P$4)),ISNUMBER(SEARCH("&lt;&gt;",$P$4))),IFERROR(('Final Calculation Sheet'!$O$7)&amp;"","")&lt;&gt;""),AND(TRIM($P$4)="",IFERROR(('Final Calculation Sheet'!$O$7)&amp;"","")=""))))</f>
        <v/>
      </c>
      <c r="CC8">
        <f>IF($Q$4="",1,--(OR(SUMPRODUCT(--(TRIM(MID(SUBSTITUTE(SUBSTITUTE($Q$4,"/",","),",",REPT(" ",99)),(ROW($1:$8)-1)*99+1,99))&lt;&gt;""),--ISNUMBER(SEARCH(TRIM(MID(SUBSTITUTE(SUBSTITUTE($Q$4,"/",","),",",REPT(" ",99)),(ROW($1:$8)-1)*99+1,99)),IFERROR(('Final Calculation Sheet'!$P$7)&amp;"",""))))&gt;0,AND(ISNUMBER(SEARCH("blank",$Q$4)),NOT(ISNUMBER(SEARCH("nonblank",$Q$4))),IFERROR(('Final Calculation Sheet'!$P$7)&amp;"","")=""),AND(OR(ISNUMBER(SEARCH("nonblank",$Q$4)),ISNUMBER(SEARCH("&lt;&gt;",$Q$4))),IFERROR(('Final Calculation Sheet'!$P$7)&amp;"","")&lt;&gt;""),AND(TRIM($Q$4)="",IFERROR(('Final Calculation Sheet'!$P$7)&amp;"","")=""))))</f>
        <v/>
      </c>
      <c r="CD8">
        <f>IF($R$4="",1,--(OR(SUMPRODUCT(--(TRIM(MID(SUBSTITUTE(SUBSTITUTE($R$4,"/",","),",",REPT(" ",99)),(ROW($1:$8)-1)*99+1,99))&lt;&gt;""),--ISNUMBER(SEARCH(TRIM(MID(SUBSTITUTE(SUBSTITUTE($R$4,"/",","),",",REPT(" ",99)),(ROW($1:$8)-1)*99+1,99)),IFERROR(('Final Calculation Sheet'!$Q$7)&amp;"",""))))&gt;0,AND(ISNUMBER(SEARCH("blank",$R$4)),NOT(ISNUMBER(SEARCH("nonblank",$R$4))),IFERROR(('Final Calculation Sheet'!$Q$7)&amp;"","")=""),AND(OR(ISNUMBER(SEARCH("nonblank",$R$4)),ISNUMBER(SEARCH("&lt;&gt;",$R$4))),IFERROR(('Final Calculation Sheet'!$Q$7)&amp;"","")&lt;&gt;""),AND(TRIM($R$4)="",IFERROR(('Final Calculation Sheet'!$Q$7)&amp;"","")=""))))</f>
        <v/>
      </c>
      <c r="CE8">
        <f>IF($S$4="",1,--(OR(SUMPRODUCT(--(TRIM(MID(SUBSTITUTE(SUBSTITUTE($S$4,"/",","),",",REPT(" ",99)),(ROW($1:$8)-1)*99+1,99))&lt;&gt;""),--ISNUMBER(SEARCH(TRIM(MID(SUBSTITUTE(SUBSTITUTE($S$4,"/",","),",",REPT(" ",99)),(ROW($1:$8)-1)*99+1,99)),IFERROR(('Final Calculation Sheet'!$R$7)&amp;"",""))))&gt;0,AND(ISNUMBER(SEARCH("blank",$S$4)),NOT(ISNUMBER(SEARCH("nonblank",$S$4))),IFERROR(('Final Calculation Sheet'!$R$7)&amp;"","")=""),AND(OR(ISNUMBER(SEARCH("nonblank",$S$4)),ISNUMBER(SEARCH("&lt;&gt;",$S$4))),IFERROR(('Final Calculation Sheet'!$R$7)&amp;"","")&lt;&gt;""),AND(TRIM($S$4)="",IFERROR(('Final Calculation Sheet'!$R$7)&amp;"","")=""))))</f>
        <v/>
      </c>
      <c r="CF8">
        <f>IF($T$4="",1,--(OR(SUMPRODUCT(--(TRIM(MID(SUBSTITUTE(SUBSTITUTE($T$4,"/",","),",",REPT(" ",99)),(ROW($1:$8)-1)*99+1,99))&lt;&gt;""),--ISNUMBER(SEARCH(TRIM(MID(SUBSTITUTE(SUBSTITUTE($T$4,"/",","),",",REPT(" ",99)),(ROW($1:$8)-1)*99+1,99)),IFERROR(('Final Calculation Sheet'!$S$7)&amp;"",""))))&gt;0,AND(ISNUMBER(SEARCH("blank",$T$4)),NOT(ISNUMBER(SEARCH("nonblank",$T$4))),IFERROR(('Final Calculation Sheet'!$S$7)&amp;"","")=""),AND(OR(ISNUMBER(SEARCH("nonblank",$T$4)),ISNUMBER(SEARCH("&lt;&gt;",$T$4))),IFERROR(('Final Calculation Sheet'!$S$7)&amp;"","")&lt;&gt;""),AND(TRIM($T$4)="",IFERROR(('Final Calculation Sheet'!$S$7)&amp;"","")=""))))</f>
        <v/>
      </c>
      <c r="CG8">
        <f>IF($U$4="",1,--(OR(SUMPRODUCT(--(TRIM(MID(SUBSTITUTE(SUBSTITUTE($U$4,"/",","),",",REPT(" ",99)),(ROW($1:$8)-1)*99+1,99))&lt;&gt;""),--ISNUMBER(SEARCH(TRIM(MID(SUBSTITUTE(SUBSTITUTE($U$4,"/",","),",",REPT(" ",99)),(ROW($1:$8)-1)*99+1,99)),IFERROR(('Final Calculation Sheet'!$T$7)&amp;"",""))))&gt;0,AND(ISNUMBER(SEARCH("blank",$U$4)),NOT(ISNUMBER(SEARCH("nonblank",$U$4))),IFERROR(('Final Calculation Sheet'!$T$7)&amp;"","")=""),AND(OR(ISNUMBER(SEARCH("nonblank",$U$4)),ISNUMBER(SEARCH("&lt;&gt;",$U$4))),IFERROR(('Final Calculation Sheet'!$T$7)&amp;"","")&lt;&gt;""),AND(TRIM($U$4)="",IFERROR(('Final Calculation Sheet'!$T$7)&amp;"","")=""))))</f>
        <v/>
      </c>
      <c r="CH8">
        <f>IF($V$4="",1,--(OR(SUMPRODUCT(--(TRIM(MID(SUBSTITUTE(SUBSTITUTE($V$4,"/",","),",",REPT(" ",99)),(ROW($1:$8)-1)*99+1,99))&lt;&gt;""),--ISNUMBER(SEARCH(TRIM(MID(SUBSTITUTE(SUBSTITUTE($V$4,"/",","),",",REPT(" ",99)),(ROW($1:$8)-1)*99+1,99)),IFERROR(('Final Calculation Sheet'!$U$7)&amp;"",""))))&gt;0,AND(ISNUMBER(SEARCH("blank",$V$4)),NOT(ISNUMBER(SEARCH("nonblank",$V$4))),IFERROR(('Final Calculation Sheet'!$U$7)&amp;"","")=""),AND(OR(ISNUMBER(SEARCH("nonblank",$V$4)),ISNUMBER(SEARCH("&lt;&gt;",$V$4))),IFERROR(('Final Calculation Sheet'!$U$7)&amp;"","")&lt;&gt;""),AND(TRIM($V$4)="",IFERROR(('Final Calculation Sheet'!$U$7)&amp;"","")=""))))</f>
        <v/>
      </c>
      <c r="CI8">
        <f>IF($W$4="",1,--(OR(SUMPRODUCT(--(TRIM(MID(SUBSTITUTE(SUBSTITUTE($W$4,"/",","),",",REPT(" ",99)),(ROW($1:$8)-1)*99+1,99))&lt;&gt;""),--ISNUMBER(SEARCH(TRIM(MID(SUBSTITUTE(SUBSTITUTE($W$4,"/",","),",",REPT(" ",99)),(ROW($1:$8)-1)*99+1,99)),IFERROR(('Final Calculation Sheet'!$V$7)&amp;"",""))))&gt;0,AND(ISNUMBER(SEARCH("blank",$W$4)),NOT(ISNUMBER(SEARCH("nonblank",$W$4))),IFERROR(('Final Calculation Sheet'!$V$7)&amp;"","")=""),AND(OR(ISNUMBER(SEARCH("nonblank",$W$4)),ISNUMBER(SEARCH("&lt;&gt;",$W$4))),IFERROR(('Final Calculation Sheet'!$V$7)&amp;"","")&lt;&gt;""),AND(TRIM($W$4)="",IFERROR(('Final Calculation Sheet'!$V$7)&amp;"","")=""))))</f>
        <v/>
      </c>
      <c r="CJ8">
        <f>IF($X$4="",1,--(OR(SUMPRODUCT(--(TRIM(MID(SUBSTITUTE(SUBSTITUTE($X$4,"/",","),",",REPT(" ",99)),(ROW($1:$8)-1)*99+1,99))&lt;&gt;""),--ISNUMBER(SEARCH(TRIM(MID(SUBSTITUTE(SUBSTITUTE($X$4,"/",","),",",REPT(" ",99)),(ROW($1:$8)-1)*99+1,99)),IFERROR(('Final Calculation Sheet'!$W$7)&amp;"",""))))&gt;0,AND(ISNUMBER(SEARCH("blank",$X$4)),NOT(ISNUMBER(SEARCH("nonblank",$X$4))),IFERROR(('Final Calculation Sheet'!$W$7)&amp;"","")=""),AND(OR(ISNUMBER(SEARCH("nonblank",$X$4)),ISNUMBER(SEARCH("&lt;&gt;",$X$4))),IFERROR(('Final Calculation Sheet'!$W$7)&amp;"","")&lt;&gt;""),AND(TRIM($X$4)="",IFERROR(('Final Calculation Sheet'!$W$7)&amp;"","")=""))))</f>
        <v/>
      </c>
      <c r="CK8">
        <f>IF($Y$4="",1,--(OR(SUMPRODUCT(--(TRIM(MID(SUBSTITUTE(SUBSTITUTE($Y$4,"/",","),",",REPT(" ",99)),(ROW($1:$8)-1)*99+1,99))&lt;&gt;""),--ISNUMBER(SEARCH(TRIM(MID(SUBSTITUTE(SUBSTITUTE($Y$4,"/",","),",",REPT(" ",99)),(ROW($1:$8)-1)*99+1,99)),IFERROR(('Final Calculation Sheet'!$X$7)&amp;"",""))))&gt;0,AND(ISNUMBER(SEARCH("blank",$Y$4)),NOT(ISNUMBER(SEARCH("nonblank",$Y$4))),IFERROR(('Final Calculation Sheet'!$X$7)&amp;"","")=""),AND(OR(ISNUMBER(SEARCH("nonblank",$Y$4)),ISNUMBER(SEARCH("&lt;&gt;",$Y$4))),IFERROR(('Final Calculation Sheet'!$X$7)&amp;"","")&lt;&gt;""),AND(TRIM($Y$4)="",IFERROR(('Final Calculation Sheet'!$X$7)&amp;"","")=""))))</f>
        <v/>
      </c>
      <c r="CL8">
        <f>IF($Z$4="",1,--(OR(SUMPRODUCT(--(TRIM(MID(SUBSTITUTE(SUBSTITUTE($Z$4,"/",","),",",REPT(" ",99)),(ROW($1:$8)-1)*99+1,99))&lt;&gt;""),--ISNUMBER(SEARCH(TRIM(MID(SUBSTITUTE(SUBSTITUTE($Z$4,"/",","),",",REPT(" ",99)),(ROW($1:$8)-1)*99+1,99)),IFERROR(('Final Calculation Sheet'!$Y$7)&amp;"",""))))&gt;0,AND(ISNUMBER(SEARCH("blank",$Z$4)),NOT(ISNUMBER(SEARCH("nonblank",$Z$4))),IFERROR(('Final Calculation Sheet'!$Y$7)&amp;"","")=""),AND(OR(ISNUMBER(SEARCH("nonblank",$Z$4)),ISNUMBER(SEARCH("&lt;&gt;",$Z$4))),IFERROR(('Final Calculation Sheet'!$Y$7)&amp;"","")&lt;&gt;""),AND(TRIM($Z$4)="",IFERROR(('Final Calculation Sheet'!$Y$7)&amp;"","")=""))))</f>
        <v/>
      </c>
      <c r="CM8">
        <f>IF($AA$4="",1,--(OR(SUMPRODUCT(--(TRIM(MID(SUBSTITUTE(SUBSTITUTE($AA$4,"/",","),",",REPT(" ",99)),(ROW($1:$8)-1)*99+1,99))&lt;&gt;""),--ISNUMBER(SEARCH(TRIM(MID(SUBSTITUTE(SUBSTITUTE($AA$4,"/",","),",",REPT(" ",99)),(ROW($1:$8)-1)*99+1,99)),IFERROR(('Final Calculation Sheet'!$Z$7)&amp;"",""))))&gt;0,AND(ISNUMBER(SEARCH("blank",$AA$4)),NOT(ISNUMBER(SEARCH("nonblank",$AA$4))),IFERROR(('Final Calculation Sheet'!$Z$7)&amp;"","")=""),AND(OR(ISNUMBER(SEARCH("nonblank",$AA$4)),ISNUMBER(SEARCH("&lt;&gt;",$AA$4))),IFERROR(('Final Calculation Sheet'!$Z$7)&amp;"","")&lt;&gt;""),AND(TRIM($AA$4)="",IFERROR(('Final Calculation Sheet'!$Z$7)&amp;"","")=""))))</f>
        <v/>
      </c>
      <c r="CN8">
        <f>IF($AB$4="",1,--(OR(SUMPRODUCT(--(TRIM(MID(SUBSTITUTE(SUBSTITUTE($AB$4,"/",","),",",REPT(" ",99)),(ROW($1:$8)-1)*99+1,99))&lt;&gt;""),--ISNUMBER(SEARCH(TRIM(MID(SUBSTITUTE(SUBSTITUTE($AB$4,"/",","),",",REPT(" ",99)),(ROW($1:$8)-1)*99+1,99)),IFERROR(('Final Calculation Sheet'!$AA$7)&amp;"",""))))&gt;0,AND(ISNUMBER(SEARCH("blank",$AB$4)),NOT(ISNUMBER(SEARCH("nonblank",$AB$4))),IFERROR(('Final Calculation Sheet'!$AA$7)&amp;"","")=""),AND(OR(ISNUMBER(SEARCH("nonblank",$AB$4)),ISNUMBER(SEARCH("&lt;&gt;",$AB$4))),IFERROR(('Final Calculation Sheet'!$AA$7)&amp;"","")&lt;&gt;""),AND(TRIM($AB$4)="",IFERROR(('Final Calculation Sheet'!$AA$7)&amp;"","")=""))))</f>
        <v/>
      </c>
      <c r="CO8">
        <f>IF($AC$4="",1,--(OR(SUMPRODUCT(--(TRIM(MID(SUBSTITUTE(SUBSTITUTE($AC$4,"/",","),",",REPT(" ",99)),(ROW($1:$8)-1)*99+1,99))&lt;&gt;""),--ISNUMBER(SEARCH(TRIM(MID(SUBSTITUTE(SUBSTITUTE($AC$4,"/",","),",",REPT(" ",99)),(ROW($1:$8)-1)*99+1,99)),IFERROR(('Final Calculation Sheet'!$AB$7)&amp;"",""))))&gt;0,AND(ISNUMBER(SEARCH("blank",$AC$4)),NOT(ISNUMBER(SEARCH("nonblank",$AC$4))),IFERROR(('Final Calculation Sheet'!$AB$7)&amp;"","")=""),AND(OR(ISNUMBER(SEARCH("nonblank",$AC$4)),ISNUMBER(SEARCH("&lt;&gt;",$AC$4))),IFERROR(('Final Calculation Sheet'!$AB$7)&amp;"","")&lt;&gt;""),AND(TRIM($AC$4)="",IFERROR(('Final Calculation Sheet'!$AB$7)&amp;"","")=""))))</f>
        <v/>
      </c>
      <c r="CP8">
        <f>IF($AD$4="",1,--(OR(SUMPRODUCT(--(TRIM(MID(SUBSTITUTE(SUBSTITUTE($AD$4,"/",","),",",REPT(" ",99)),(ROW($1:$8)-1)*99+1,99))&lt;&gt;""),--ISNUMBER(SEARCH(TRIM(MID(SUBSTITUTE(SUBSTITUTE($AD$4,"/",","),",",REPT(" ",99)),(ROW($1:$8)-1)*99+1,99)),IFERROR(('Final Calculation Sheet'!$AC$7)&amp;"",""))))&gt;0,AND(ISNUMBER(SEARCH("blank",$AD$4)),NOT(ISNUMBER(SEARCH("nonblank",$AD$4))),IFERROR(('Final Calculation Sheet'!$AC$7)&amp;"","")=""),AND(OR(ISNUMBER(SEARCH("nonblank",$AD$4)),ISNUMBER(SEARCH("&lt;&gt;",$AD$4))),IFERROR(('Final Calculation Sheet'!$AC$7)&amp;"","")&lt;&gt;""),AND(TRIM($AD$4)="",IFERROR(('Final Calculation Sheet'!$AC$7)&amp;"","")=""))))</f>
        <v/>
      </c>
      <c r="CQ8">
        <f>IF($AE$4="",1,--(OR(SUMPRODUCT(--(TRIM(MID(SUBSTITUTE(SUBSTITUTE($AE$4,"/",","),",",REPT(" ",99)),(ROW($1:$8)-1)*99+1,99))&lt;&gt;""),--ISNUMBER(SEARCH(TRIM(MID(SUBSTITUTE(SUBSTITUTE($AE$4,"/",","),",",REPT(" ",99)),(ROW($1:$8)-1)*99+1,99)),IFERROR(('Final Calculation Sheet'!$AD$7)&amp;"",""))))&gt;0,AND(ISNUMBER(SEARCH("blank",$AE$4)),NOT(ISNUMBER(SEARCH("nonblank",$AE$4))),IFERROR(('Final Calculation Sheet'!$AD$7)&amp;"","")=""),AND(OR(ISNUMBER(SEARCH("nonblank",$AE$4)),ISNUMBER(SEARCH("&lt;&gt;",$AE$4))),IFERROR(('Final Calculation Sheet'!$AD$7)&amp;"","")&lt;&gt;""),AND(TRIM($AE$4)="",IFERROR(('Final Calculation Sheet'!$AD$7)&amp;"","")=""))))</f>
        <v/>
      </c>
      <c r="CR8">
        <f>IF($AF$4="",1,--(OR(SUMPRODUCT(--(TRIM(MID(SUBSTITUTE(SUBSTITUTE($AF$4,"/",","),",",REPT(" ",99)),(ROW($1:$8)-1)*99+1,99))&lt;&gt;""),--ISNUMBER(SEARCH(TRIM(MID(SUBSTITUTE(SUBSTITUTE($AF$4,"/",","),",",REPT(" ",99)),(ROW($1:$8)-1)*99+1,99)),IFERROR(('Final Calculation Sheet'!$AE$7)&amp;"",""))))&gt;0,AND(ISNUMBER(SEARCH("blank",$AF$4)),NOT(ISNUMBER(SEARCH("nonblank",$AF$4))),IFERROR(('Final Calculation Sheet'!$AE$7)&amp;"","")=""),AND(OR(ISNUMBER(SEARCH("nonblank",$AF$4)),ISNUMBER(SEARCH("&lt;&gt;",$AF$4))),IFERROR(('Final Calculation Sheet'!$AE$7)&amp;"","")&lt;&gt;""),AND(TRIM($AF$4)="",IFERROR(('Final Calculation Sheet'!$AE$7)&amp;"","")=""))))</f>
        <v/>
      </c>
      <c r="CS8">
        <f>IF($AG$4="",1,--(OR(SUMPRODUCT(--(TRIM(MID(SUBSTITUTE(SUBSTITUTE($AG$4,"/",","),",",REPT(" ",99)),(ROW($1:$8)-1)*99+1,99))&lt;&gt;""),--ISNUMBER(SEARCH(TRIM(MID(SUBSTITUTE(SUBSTITUTE($AG$4,"/",","),",",REPT(" ",99)),(ROW($1:$8)-1)*99+1,99)),IFERROR(('Final Calculation Sheet'!$AF$7)&amp;"",""))))&gt;0,AND(ISNUMBER(SEARCH("blank",$AG$4)),NOT(ISNUMBER(SEARCH("nonblank",$AG$4))),IFERROR(('Final Calculation Sheet'!$AF$7)&amp;"","")=""),AND(OR(ISNUMBER(SEARCH("nonblank",$AG$4)),ISNUMBER(SEARCH("&lt;&gt;",$AG$4))),IFERROR(('Final Calculation Sheet'!$AF$7)&amp;"","")&lt;&gt;""),AND(TRIM($AG$4)="",IFERROR(('Final Calculation Sheet'!$AF$7)&amp;"","")=""))))</f>
        <v/>
      </c>
      <c r="CT8">
        <f>IF($AH$4="",1,--(OR(SUMPRODUCT(--(TRIM(MID(SUBSTITUTE(SUBSTITUTE($AH$4,"/",","),",",REPT(" ",99)),(ROW($1:$8)-1)*99+1,99))&lt;&gt;""),--ISNUMBER(SEARCH(TRIM(MID(SUBSTITUTE(SUBSTITUTE($AH$4,"/",","),",",REPT(" ",99)),(ROW($1:$8)-1)*99+1,99)),IFERROR(('Final Calculation Sheet'!$AG$7)&amp;"",""))))&gt;0,AND(ISNUMBER(SEARCH("blank",$AH$4)),NOT(ISNUMBER(SEARCH("nonblank",$AH$4))),IFERROR(('Final Calculation Sheet'!$AG$7)&amp;"","")=""),AND(OR(ISNUMBER(SEARCH("nonblank",$AH$4)),ISNUMBER(SEARCH("&lt;&gt;",$AH$4))),IFERROR(('Final Calculation Sheet'!$AG$7)&amp;"","")&lt;&gt;""),AND(TRIM($AH$4)="",IFERROR(('Final Calculation Sheet'!$AG$7)&amp;"","")=""))))</f>
        <v/>
      </c>
      <c r="CU8">
        <f>IF($AI$4="",1,--(OR(SUMPRODUCT(--(TRIM(MID(SUBSTITUTE(SUBSTITUTE($AI$4,"/",","),",",REPT(" ",99)),(ROW($1:$8)-1)*99+1,99))&lt;&gt;""),--ISNUMBER(SEARCH(TRIM(MID(SUBSTITUTE(SUBSTITUTE($AI$4,"/",","),",",REPT(" ",99)),(ROW($1:$8)-1)*99+1,99)),IFERROR((IF('Final Calculation Sheet'!$AD$7&lt;=0,"SETTLED","OUTSTANDING"))&amp;"",""))))&gt;0,AND(ISNUMBER(SEARCH("blank",$AI$4)),NOT(ISNUMBER(SEARCH("nonblank",$AI$4))),IFERROR((IF('Final Calculation Sheet'!$AD$7&lt;=0,"SETTLED","OUTSTANDING"))&amp;"","")=""),AND(OR(ISNUMBER(SEARCH("nonblank",$AI$4)),ISNUMBER(SEARCH("&lt;&gt;",$AI$4))),IFERROR((IF('Final Calculation Sheet'!$AD$7&lt;=0,"SETTLED","OUTSTANDING"))&amp;"","")&lt;&gt;""),AND(TRIM($AI$4)="",IFERROR((IF('Final Calculation Sheet'!$AD$7&lt;=0,"SETTLED","OUTSTANDING"))&amp;"","")=""))))</f>
        <v/>
      </c>
    </row>
    <row r="9" ht="15" customHeight="1" s="77">
      <c r="A9" s="67">
        <f>IF($BJ8&gt;0,INDEX($BA$5:$BA$41,MATCH(8,$BB$5:$BB$41,0)),IF(OR($BI8=1,$BL8=1,$BH8&gt;0),"∑",""))</f>
        <v/>
      </c>
      <c r="B9" s="68">
        <f>IF($BJ8&gt;0,IF(INDEX('Final Calculation Sheet'!$F$4:$F$40,$BJ8-3)="","",INDEX('Final Calculation Sheet'!$F$4:$F$40,$BJ8-3)),"")</f>
        <v/>
      </c>
      <c r="C9" s="68">
        <f>IF($BJ8&gt;0,IF(INDEX('Final Calculation Sheet'!$G$4:$G$40,$BJ8-3)="","",INDEX('Final Calculation Sheet'!$G$4:$G$40,$BJ8-3)),IF(OR($BI8=1,$BL8=1,$BH8&gt;0),IF($BI8=1,37,IF($BL8=1,37-INDEX($BD$4:$BD$13,10),INDEX($BD$4:$BD$13,$BH8)))&amp;" lot(s)",""))</f>
        <v/>
      </c>
      <c r="D9" s="69">
        <f>IF($BJ8&gt;0,IF(INDEX('Final Calculation Sheet'!$B$4:$B$40,$BJ8-3)="","",INDEX('Final Calculation Sheet'!$B$4:$B$40,$BJ8-3)),IF(OR($BI8=1,$BL8=1,$BH8&gt;0),IF($BI8=1,"GRAND TOTAL  —  matching + remaining",IF($BL8=1,"TOTAL MATCHED  —  every group together",IF($BH8=10,"REMAINING  —  did not match the search",IF($BH8=9,IF(COUNTIF($A$4:$AI$4,"&lt;&gt;")&gt;0,"FILTERED LOTS  —  column fields","ALL LOTS  —  nothing typed in the box"),"GROUP "&amp;$BH8&amp;" TOTAL  —  lots matching  "&amp;INDEX($AR$6:$AY$6,$BH8))))),""))</f>
        <v/>
      </c>
      <c r="E9" s="69">
        <f>IF($BJ8&gt;0,IF(INDEX('Final Calculation Sheet'!$D$4:$D$40,$BJ8-3)="","",INDEX('Final Calculation Sheet'!$D$4:$D$40,$BJ8-3)),IF(OR($BI8=1,$BL8=1,$BH8&gt;0),"–",""))</f>
        <v/>
      </c>
      <c r="F9" s="69">
        <f>IF($BJ8&gt;0,IF(INDEX('Final Calculation Sheet'!$A$4:$A$40,$BJ8-3)="","",INDEX('Final Calculation Sheet'!$A$4:$A$40,$BJ8-3)),IF(OR($BI8=1,$BL8=1,$BH8&gt;0),IF($BI8=1,SUM('Final Calculation Sheet'!$A$4:$A$40),IF($BL8=1,SUM('Final Calculation Sheet'!$A$4:$A$40)-SUMIFS('Final Calculation Sheet'!$A$4:$A$40,$AZ$5:$AZ$41,10),SUMIFS('Final Calculation Sheet'!$A$4:$A$40,$AZ$5:$AZ$41,$BH8))),""))</f>
        <v/>
      </c>
      <c r="G9" s="69">
        <f>IF($BJ8&gt;0,IF(INDEX('Final Calculation Sheet'!$E$4:$E$40,$BJ8-3)="","",INDEX('Final Calculation Sheet'!$E$4:$E$40,$BJ8-3)),IF(OR($BI8=1,$BL8=1,$BH8&gt;0),"–",""))</f>
        <v/>
      </c>
      <c r="H9" s="70">
        <f>IF($BJ8&gt;0,IF(INDEX('Final Calculation Sheet'!$C$4:$C$40,$BJ8-3)="","",INDEX('Final Calculation Sheet'!$C$4:$C$40,$BJ8-3)),IF(OR($BI8=1,$BL8=1,$BH8&gt;0),"–",""))</f>
        <v/>
      </c>
      <c r="I9" s="70">
        <f>IF($BJ8&gt;0,IF(INDEX('Final Calculation Sheet'!$H$4:$H$40,$BJ8-3)="","",INDEX('Final Calculation Sheet'!$H$4:$H$40,$BJ8-3)),IF(OR($BI8=1,$BL8=1,$BH8&gt;0),IF($BI8=1,SUM('Final Calculation Sheet'!$H$4:$H$40),IF($BL8=1,SUM('Final Calculation Sheet'!$H$4:$H$40)-SUMIFS('Final Calculation Sheet'!$H$4:$H$40,$AZ$5:$AZ$41,10),SUMIFS('Final Calculation Sheet'!$H$4:$H$40,$AZ$5:$AZ$41,$BH8))),""))</f>
        <v/>
      </c>
      <c r="J9" s="70">
        <f>IF($BJ8&gt;0,IF(INDEX('Final Calculation Sheet'!$I$4:$I$40,$BJ8-3)="","",INDEX('Final Calculation Sheet'!$I$4:$I$40,$BJ8-3)),IF(OR($BI8=1,$BL8=1,$BH8&gt;0),IF($BI8=1,SUM('Final Calculation Sheet'!$I$4:$I$40),IF($BL8=1,SUM('Final Calculation Sheet'!$I$4:$I$40)-SUMIFS('Final Calculation Sheet'!$I$4:$I$40,$AZ$5:$AZ$41,10),SUMIFS('Final Calculation Sheet'!$I$4:$I$40,$AZ$5:$AZ$41,$BH8))),""))</f>
        <v/>
      </c>
      <c r="K9" s="70">
        <f>IF($BJ8&gt;0,IF(INDEX('Final Calculation Sheet'!$J$4:$J$40,$BJ8-3)="","",INDEX('Final Calculation Sheet'!$J$4:$J$40,$BJ8-3)),IF(OR($BI8=1,$BL8=1,$BH8&gt;0),IF($BI8=1,SUM('Final Calculation Sheet'!$J$4:$J$40),IF($BL8=1,SUM('Final Calculation Sheet'!$J$4:$J$40)-SUMIFS('Final Calculation Sheet'!$J$4:$J$40,$AZ$5:$AZ$41,10),SUMIFS('Final Calculation Sheet'!$J$4:$J$40,$AZ$5:$AZ$41,$BH8))),""))</f>
        <v/>
      </c>
      <c r="L9" s="70">
        <f>IF($BJ8&gt;0,IF(INDEX('Final Calculation Sheet'!$K$4:$K$40,$BJ8-3)="","",INDEX('Final Calculation Sheet'!$K$4:$K$40,$BJ8-3)),IF(OR($BI8=1,$BL8=1,$BH8&gt;0),IF($BI8=1,SUM('Final Calculation Sheet'!$K$4:$K$40),IF($BL8=1,SUM('Final Calculation Sheet'!$K$4:$K$40)-SUMIFS('Final Calculation Sheet'!$K$4:$K$40,$AZ$5:$AZ$41,10),SUMIFS('Final Calculation Sheet'!$K$4:$K$40,$AZ$5:$AZ$41,$BH8))),""))</f>
        <v/>
      </c>
      <c r="M9" s="70">
        <f>IF($BJ8&gt;0,IF(INDEX('Final Calculation Sheet'!$L$4:$L$40,$BJ8-3)="","",INDEX('Final Calculation Sheet'!$L$4:$L$40,$BJ8-3)),IF(OR($BI8=1,$BL8=1,$BH8&gt;0),IF($BI8=1,SUM('Final Calculation Sheet'!$L$4:$L$40),IF($BL8=1,SUM('Final Calculation Sheet'!$L$4:$L$40)-SUMIFS('Final Calculation Sheet'!$L$4:$L$40,$AZ$5:$AZ$41,10),SUMIFS('Final Calculation Sheet'!$L$4:$L$40,$AZ$5:$AZ$41,$BH8))),""))</f>
        <v/>
      </c>
      <c r="N9" s="70">
        <f>IF($BJ8&gt;0,IF(INDEX('Final Calculation Sheet'!$M$4:$M$40,$BJ8-3)="","",INDEX('Final Calculation Sheet'!$M$4:$M$40,$BJ8-3)),IF(OR($BI8=1,$BL8=1,$BH8&gt;0),IF($BI8=1,SUM('Final Calculation Sheet'!$M$4:$M$40),IF($BL8=1,SUM('Final Calculation Sheet'!$M$4:$M$40)-SUMIFS('Final Calculation Sheet'!$M$4:$M$40,$AZ$5:$AZ$41,10),SUMIFS('Final Calculation Sheet'!$M$4:$M$40,$AZ$5:$AZ$41,$BH8))),""))</f>
        <v/>
      </c>
      <c r="O9" s="71">
        <f>IF($BJ8&gt;0,IF(INDEX('Final Calculation Sheet'!$N$4:$N$40,$BJ8-3)="","",INDEX('Final Calculation Sheet'!$N$4:$N$40,$BJ8-3)),IF(OR($BI8=1,$BL8=1,$BH8&gt;0),IF($BI8=1,SUM('Final Calculation Sheet'!$N$4:$N$40),IF($BL8=1,SUM('Final Calculation Sheet'!$N$4:$N$40)-SUMIFS('Final Calculation Sheet'!$N$4:$N$40,$AZ$5:$AZ$41,10),SUMIFS('Final Calculation Sheet'!$N$4:$N$40,$AZ$5:$AZ$41,$BH8))),""))</f>
        <v/>
      </c>
      <c r="P9" s="70">
        <f>IF($BJ8&gt;0,IF(INDEX('Final Calculation Sheet'!$O$4:$O$40,$BJ8-3)="","",INDEX('Final Calculation Sheet'!$O$4:$O$40,$BJ8-3)),IF(OR($BI8=1,$BL8=1,$BH8&gt;0),IF($BI8=1,SUM('Final Calculation Sheet'!$O$4:$O$40),IF($BL8=1,SUM('Final Calculation Sheet'!$O$4:$O$40)-SUMIFS('Final Calculation Sheet'!$O$4:$O$40,$AZ$5:$AZ$41,10),SUMIFS('Final Calculation Sheet'!$O$4:$O$40,$AZ$5:$AZ$41,$BH8))),""))</f>
        <v/>
      </c>
      <c r="Q9" s="70">
        <f>IF($BJ8&gt;0,IF(INDEX('Final Calculation Sheet'!$P$4:$P$40,$BJ8-3)="","",INDEX('Final Calculation Sheet'!$P$4:$P$40,$BJ8-3)),IF(OR($BI8=1,$BL8=1,$BH8&gt;0),IF($BI8=1,SUM('Final Calculation Sheet'!$P$4:$P$40),IF($BL8=1,SUM('Final Calculation Sheet'!$P$4:$P$40)-SUMIFS('Final Calculation Sheet'!$P$4:$P$40,$AZ$5:$AZ$41,10),SUMIFS('Final Calculation Sheet'!$P$4:$P$40,$AZ$5:$AZ$41,$BH8))),""))</f>
        <v/>
      </c>
      <c r="R9" s="72">
        <f>IF($BJ8&gt;0,IF(INDEX('Final Calculation Sheet'!$Q$4:$Q$40,$BJ8-3)="","",INDEX('Final Calculation Sheet'!$Q$4:$Q$40,$BJ8-3)),IF(OR($BI8=1,$BL8=1,$BH8&gt;0),"–",""))</f>
        <v/>
      </c>
      <c r="S9" s="70">
        <f>IF($BJ8&gt;0,IF(INDEX('Final Calculation Sheet'!$R$4:$R$40,$BJ8-3)="","",INDEX('Final Calculation Sheet'!$R$4:$R$40,$BJ8-3)),IF(OR($BI8=1,$BL8=1,$BH8&gt;0),IF($BI8=1,SUM('Final Calculation Sheet'!$R$4:$R$40),IF($BL8=1,SUM('Final Calculation Sheet'!$R$4:$R$40)-SUMIFS('Final Calculation Sheet'!$R$4:$R$40,$AZ$5:$AZ$41,10),SUMIFS('Final Calculation Sheet'!$R$4:$R$40,$AZ$5:$AZ$41,$BH8))),""))</f>
        <v/>
      </c>
      <c r="T9" s="70">
        <f>IF($BJ8&gt;0,IF(INDEX('Final Calculation Sheet'!$S$4:$S$40,$BJ8-3)="","",INDEX('Final Calculation Sheet'!$S$4:$S$40,$BJ8-3)),IF(OR($BI8=1,$BL8=1,$BH8&gt;0),IF($BI8=1,SUM('Final Calculation Sheet'!$S$4:$S$40),IF($BL8=1,SUM('Final Calculation Sheet'!$S$4:$S$40)-SUMIFS('Final Calculation Sheet'!$S$4:$S$40,$AZ$5:$AZ$41,10),SUMIFS('Final Calculation Sheet'!$S$4:$S$40,$AZ$5:$AZ$41,$BH8))),""))</f>
        <v/>
      </c>
      <c r="U9" s="70">
        <f>IF($BJ8&gt;0,IF(INDEX('Final Calculation Sheet'!$T$4:$T$40,$BJ8-3)="","",INDEX('Final Calculation Sheet'!$T$4:$T$40,$BJ8-3)),IF(OR($BI8=1,$BL8=1,$BH8&gt;0),IF($BI8=1,SUM('Final Calculation Sheet'!$T$4:$T$40),IF($BL8=1,SUM('Final Calculation Sheet'!$T$4:$T$40)-SUMIFS('Final Calculation Sheet'!$T$4:$T$40,$AZ$5:$AZ$41,10),SUMIFS('Final Calculation Sheet'!$T$4:$T$40,$AZ$5:$AZ$41,$BH8))),""))</f>
        <v/>
      </c>
      <c r="V9" s="73">
        <f>IF($BJ8&gt;0,IF(INDEX('Final Calculation Sheet'!$U$4:$U$40,$BJ8-3)="","",INDEX('Final Calculation Sheet'!$U$4:$U$40,$BJ8-3)),IF(OR($BI8=1,$BL8=1,$BH8&gt;0),IF($BI8=1,SUM('Final Calculation Sheet'!$U$4:$U$40),IF($BL8=1,SUM('Final Calculation Sheet'!$U$4:$U$40)-SUMIFS('Final Calculation Sheet'!$U$4:$U$40,$AZ$5:$AZ$41,10),SUMIFS('Final Calculation Sheet'!$U$4:$U$40,$AZ$5:$AZ$41,$BH8))),""))</f>
        <v/>
      </c>
      <c r="W9" s="70">
        <f>IF($BJ8&gt;0,IF(INDEX('Final Calculation Sheet'!$V$4:$V$40,$BJ8-3)="","",INDEX('Final Calculation Sheet'!$V$4:$V$40,$BJ8-3)),IF(OR($BI8=1,$BL8=1,$BH8&gt;0),"–",""))</f>
        <v/>
      </c>
      <c r="X9" s="70">
        <f>IF($BJ8&gt;0,IF(INDEX('Final Calculation Sheet'!$W$4:$W$40,$BJ8-3)="","",INDEX('Final Calculation Sheet'!$W$4:$W$40,$BJ8-3)),IF(OR($BI8=1,$BL8=1,$BH8&gt;0),IF($BI8=1,SUM('Final Calculation Sheet'!$W$4:$W$40),IF($BL8=1,SUM('Final Calculation Sheet'!$W$4:$W$40)-SUMIFS('Final Calculation Sheet'!$W$4:$W$40,$AZ$5:$AZ$41,10),SUMIFS('Final Calculation Sheet'!$W$4:$W$40,$AZ$5:$AZ$41,$BH8))),""))</f>
        <v/>
      </c>
      <c r="Y9" s="70">
        <f>IF($BJ8&gt;0,IF(INDEX('Final Calculation Sheet'!$X$4:$X$40,$BJ8-3)="","",INDEX('Final Calculation Sheet'!$X$4:$X$40,$BJ8-3)),IF(OR($BI8=1,$BL8=1,$BH8&gt;0),IF($BI8=1,SUM('Final Calculation Sheet'!$X$4:$X$40),IF($BL8=1,SUM('Final Calculation Sheet'!$X$4:$X$40)-SUMIFS('Final Calculation Sheet'!$X$4:$X$40,$AZ$5:$AZ$41,10),SUMIFS('Final Calculation Sheet'!$X$4:$X$40,$AZ$5:$AZ$41,$BH8))),""))</f>
        <v/>
      </c>
      <c r="Z9" s="70">
        <f>IF($BJ8&gt;0,IF(INDEX('Final Calculation Sheet'!$Y$4:$Y$40,$BJ8-3)="","",INDEX('Final Calculation Sheet'!$Y$4:$Y$40,$BJ8-3)),IF(OR($BI8=1,$BL8=1,$BH8&gt;0),"–",""))</f>
        <v/>
      </c>
      <c r="AA9" s="70">
        <f>IF($BJ8&gt;0,IF(INDEX('Final Calculation Sheet'!$Z$4:$Z$40,$BJ8-3)="","",INDEX('Final Calculation Sheet'!$Z$4:$Z$40,$BJ8-3)),IF(OR($BI8=1,$BL8=1,$BH8&gt;0),IF($BI8=1,SUM('Final Calculation Sheet'!$Z$4:$Z$40),IF($BL8=1,SUM('Final Calculation Sheet'!$Z$4:$Z$40)-SUMIFS('Final Calculation Sheet'!$Z$4:$Z$40,$AZ$5:$AZ$41,10),SUMIFS('Final Calculation Sheet'!$Z$4:$Z$40,$AZ$5:$AZ$41,$BH8))),""))</f>
        <v/>
      </c>
      <c r="AB9" s="70">
        <f>IF($BJ8&gt;0,IF(INDEX('Final Calculation Sheet'!$AA$4:$AA$40,$BJ8-3)="","",INDEX('Final Calculation Sheet'!$AA$4:$AA$40,$BJ8-3)),IF(OR($BI8=1,$BL8=1,$BH8&gt;0),IF($BI8=1,SUM('Final Calculation Sheet'!$AA$4:$AA$40),IF($BL8=1,SUM('Final Calculation Sheet'!$AA$4:$AA$40)-SUMIFS('Final Calculation Sheet'!$AA$4:$AA$40,$AZ$5:$AZ$41,10),SUMIFS('Final Calculation Sheet'!$AA$4:$AA$40,$AZ$5:$AZ$41,$BH8))),""))</f>
        <v/>
      </c>
      <c r="AC9" s="70">
        <f>IF($BJ8&gt;0,IF(INDEX('Final Calculation Sheet'!$AB$4:$AB$40,$BJ8-3)="","",INDEX('Final Calculation Sheet'!$AB$4:$AB$40,$BJ8-3)),IF(OR($BI8=1,$BL8=1,$BH8&gt;0),"–",""))</f>
        <v/>
      </c>
      <c r="AD9" s="70">
        <f>IF($BJ8&gt;0,IF(INDEX('Final Calculation Sheet'!$AC$4:$AC$40,$BJ8-3)="","",INDEX('Final Calculation Sheet'!$AC$4:$AC$40,$BJ8-3)),IF(OR($BI8=1,$BL8=1,$BH8&gt;0),IF($BI8=1,SUM('Final Calculation Sheet'!$AC$4:$AC$40),IF($BL8=1,SUM('Final Calculation Sheet'!$AC$4:$AC$40)-SUMIFS('Final Calculation Sheet'!$AC$4:$AC$40,$AZ$5:$AZ$41,10),SUMIFS('Final Calculation Sheet'!$AC$4:$AC$40,$AZ$5:$AZ$41,$BH8))),""))</f>
        <v/>
      </c>
      <c r="AE9" s="70">
        <f>IF($BJ8&gt;0,IF(INDEX('Final Calculation Sheet'!$AD$4:$AD$40,$BJ8-3)="","",INDEX('Final Calculation Sheet'!$AD$4:$AD$40,$BJ8-3)),IF(OR($BI8=1,$BL8=1,$BH8&gt;0),IF($BI8=1,SUM('Final Calculation Sheet'!$AD$4:$AD$40),IF($BL8=1,SUM('Final Calculation Sheet'!$AD$4:$AD$40)-SUMIFS('Final Calculation Sheet'!$AD$4:$AD$40,$AZ$5:$AZ$41,10),SUMIFS('Final Calculation Sheet'!$AD$4:$AD$40,$AZ$5:$AZ$41,$BH8))),""))</f>
        <v/>
      </c>
      <c r="AF9" s="70">
        <f>IF($BJ8&gt;0,IF(INDEX('Final Calculation Sheet'!$AE$4:$AE$40,$BJ8-3)="","",INDEX('Final Calculation Sheet'!$AE$4:$AE$40,$BJ8-3)),IF(OR($BI8=1,$BL8=1,$BH8&gt;0),"–",""))</f>
        <v/>
      </c>
      <c r="AG9" s="74">
        <f>IF($BJ8&gt;0,IF(INDEX('Final Calculation Sheet'!$AF$4:$AF$40,$BJ8-3)="","",INDEX('Final Calculation Sheet'!$AF$4:$AF$40,$BJ8-3)),IF(OR($BI8=1,$BL8=1,$BH8&gt;0),"–",""))</f>
        <v/>
      </c>
      <c r="AH9" s="70">
        <f>IF($BJ8&gt;0,IF(INDEX('Final Calculation Sheet'!$AG$4:$AG$40,$BJ8-3)="","",INDEX('Final Calculation Sheet'!$AG$4:$AG$40,$BJ8-3)),IF(OR($BI8=1,$BL8=1,$BH8&gt;0),"–",""))</f>
        <v/>
      </c>
      <c r="AI9" s="75">
        <f>IF($BJ8&gt;0,IF(INDEX('Final Calculation Sheet'!$AD$4:$AD$40,$BJ8-3)="","",IF(INDEX('Final Calculation Sheet'!$AD$4:$AD$40,$BJ8-3)&lt;=0,"SETTLED","OUTSTANDING")),IF(OR($BI8=1,$BL8=1,$BH8&gt;0),IF(IF($BI8=1,SUM('Final Calculation Sheet'!$AD$4:$AD$40),IF($BL8=1,SUM('Final Calculation Sheet'!$AD$4:$AD$40)-SUMIFS('Final Calculation Sheet'!$AD$4:$AD$40,$AZ$5:$AZ$41,10),SUMIFS('Final Calculation Sheet'!$AD$4:$AD$40,$AZ$5:$AZ$41,$BH8)))&lt;=0,"ALL SETTLED","OUTSTANDING"),""))</f>
        <v/>
      </c>
      <c r="AK9">
        <f>IF($F$3="Lot No.",'Final Calculation Sheet'!$F$8,IF($F$3="Buyer",'Final Calculation Sheet'!$G$8,IF($F$3="Lot Name",'Final Calculation Sheet'!$B$8,IF($F$3="Bid Sheet",'Final Calculation Sheet'!$D$8,IF($F$3="Unit",'Final Calculation Sheet'!$E$8,'Final Calculation Sheet'!$F$8&amp;" "&amp;'Final Calculation Sheet'!$G$8&amp;" "&amp;'Final Calculation Sheet'!$B$8)))))</f>
        <v/>
      </c>
      <c r="AM9">
        <f>IF(COUNTIF($BM9:$CU9,0)&gt;0,0,IF($B$3="",1,IF(AND(IF(COUNTIF($AR$9:$AY$9,1)=0,TRUE,SUMPRODUCT(($AR$9:$AY$9=1)*($AR$6:$AY$6&lt;&gt;"")*ISNUMBER(SEARCH($AR$6:$AY$6,$AK9)))&gt;0),IF(COUNTIF($AR$9:$AY$9,2)=0,TRUE,SUMPRODUCT(($AR$9:$AY$9=2)*($AR$6:$AY$6&lt;&gt;"")*ISNUMBER(SEARCH($AR$6:$AY$6,$AK9)))&gt;0),IF(COUNTIF($AR$9:$AY$9,3)=0,TRUE,SUMPRODUCT(($AR$9:$AY$9=3)*($AR$6:$AY$6&lt;&gt;"")*ISNUMBER(SEARCH($AR$6:$AY$6,$AK9)))&gt;0),IF(COUNTIF($AR$9:$AY$9,4)=0,TRUE,SUMPRODUCT(($AR$9:$AY$9=4)*($AR$6:$AY$6&lt;&gt;"")*ISNUMBER(SEARCH($AR$6:$AY$6,$AK9)))&gt;0),IF(COUNTIF($AR$9:$AY$9,5)=0,TRUE,SUMPRODUCT(($AR$9:$AY$9=5)*($AR$6:$AY$6&lt;&gt;"")*ISNUMBER(SEARCH($AR$6:$AY$6,$AK9)))&gt;0),IF(COUNTIF($AR$9:$AY$9,6)=0,TRUE,SUMPRODUCT(($AR$9:$AY$9=6)*($AR$6:$AY$6&lt;&gt;"")*ISNUMBER(SEARCH($AR$6:$AY$6,$AK9)))&gt;0),IF(COUNTIF($AR$9:$AY$9,7)=0,TRUE,SUMPRODUCT(($AR$9:$AY$9=7)*($AR$6:$AY$6&lt;&gt;"")*ISNUMBER(SEARCH($AR$6:$AY$6,$AK9)))&gt;0),IF(COUNTIF($AR$9:$AY$9,8)=0,TRUE,SUMPRODUCT(($AR$9:$AY$9=8)*($AR$6:$AY$6&lt;&gt;"")*ISNUMBER(SEARCH($AR$6:$AY$6,$AK9)))&gt;0)),1,0)))</f>
        <v/>
      </c>
      <c r="AO9" t="inlineStr">
        <is>
          <t>Unit</t>
        </is>
      </c>
      <c r="AR9">
        <f>IF($AR$6="",0,$AR$8)</f>
        <v/>
      </c>
      <c r="AS9">
        <f>IF($AS$6="",0,$AS$8)</f>
        <v/>
      </c>
      <c r="AT9">
        <f>IF($AT$6="",0,$AT$8)</f>
        <v/>
      </c>
      <c r="AU9">
        <f>IF($AU$6="",0,$AU$8)</f>
        <v/>
      </c>
      <c r="AV9">
        <f>IF($AV$6="",0,$AV$8)</f>
        <v/>
      </c>
      <c r="AW9">
        <f>IF($AW$6="",0,$AW$8)</f>
        <v/>
      </c>
      <c r="AX9">
        <f>IF($AX$6="",0,$AX$8)</f>
        <v/>
      </c>
      <c r="AY9">
        <f>IF($AY$6="",0,$AY$8)</f>
        <v/>
      </c>
      <c r="AZ9">
        <f>IF($B$3="",IF(COUNTIF($A$4:$AI$4,"&lt;&gt;")=0,9,IF($AM9=1,9,10)),IF($AM9=0,10,IF(AND($AR$6&lt;&gt;"",ISNUMBER(SEARCH($AR$6,$AK9))),1,IF(AND($AS$6&lt;&gt;"",ISNUMBER(SEARCH($AS$6,$AK9))),2,IF(AND($AT$6&lt;&gt;"",ISNUMBER(SEARCH($AT$6,$AK9))),3,IF(AND($AU$6&lt;&gt;"",ISNUMBER(SEARCH($AU$6,$AK9))),4,IF(AND($AV$6&lt;&gt;"",ISNUMBER(SEARCH($AV$6,$AK9))),5,IF(AND($AW$6&lt;&gt;"",ISNUMBER(SEARCH($AW$6,$AK9))),6,IF(AND($AX$6&lt;&gt;"",ISNUMBER(SEARCH($AX$6,$AK9))),7,IF(AND($AY$6&lt;&gt;"",ISNUMBER(SEARCH($AY$6,$AK9))),8,0))))))))))</f>
        <v/>
      </c>
      <c r="BA9">
        <f>SUMPRODUCT(($AZ$5:$AZ$41=$AZ9)*($BC$5:$BC$41&lt;$BC9))+1</f>
        <v/>
      </c>
      <c r="BB9">
        <f>IF(INDEX($BF$4:$BF$13,$AZ9)=0,0,INDEX($BE$4:$BE$13,$AZ9)+$BA9-1)</f>
        <v/>
      </c>
      <c r="BC9" t="n">
        <v>8</v>
      </c>
      <c r="BD9">
        <f>COUNTIF($AZ$5:$AZ$41,6)</f>
        <v/>
      </c>
      <c r="BE9">
        <f>IF($BD8=0,$BE8,$BF8+1)</f>
        <v/>
      </c>
      <c r="BF9">
        <f>IF($BD9=0,0,$BE9+$BD9)</f>
        <v/>
      </c>
      <c r="BH9">
        <f>IFERROR(MATCH(9,$BF$4:$BF$13,0),0)</f>
        <v/>
      </c>
      <c r="BI9">
        <f>IF(9=$BG$5,1,0)</f>
        <v/>
      </c>
      <c r="BJ9">
        <f>IF(OR($BH9&gt;0,$BI9=1,$BL9=1),0,IFERROR(INDEX($BC$5:$BC$41,MATCH(9,$BB$5:$BB$41,0)),0))</f>
        <v/>
      </c>
      <c r="BK9">
        <f>IF($BJ9&gt;0,IF(INDEX($AZ$5:$AZ$41,MATCH(9,$BB$5:$BB$41,0))=10,1,0),IF($BH9=10,1,0))</f>
        <v/>
      </c>
      <c r="BL9">
        <f>IF(9=$BG$4,1,0)</f>
        <v/>
      </c>
      <c r="BM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9">
        <f>IF($B$4="",1,--(OR(SUMPRODUCT(--(TRIM(MID(SUBSTITUTE(SUBSTITUTE($B$4,"/",","),",",REPT(" ",99)),(ROW($1:$8)-1)*99+1,99))&lt;&gt;""),--ISNUMBER(SEARCH(TRIM(MID(SUBSTITUTE(SUBSTITUTE($B$4,"/",","),",",REPT(" ",99)),(ROW($1:$8)-1)*99+1,99)),IFERROR(('Final Calculation Sheet'!$F$8)&amp;"",""))))&gt;0,AND(ISNUMBER(SEARCH("blank",$B$4)),NOT(ISNUMBER(SEARCH("nonblank",$B$4))),IFERROR(('Final Calculation Sheet'!$F$8)&amp;"","")=""),AND(OR(ISNUMBER(SEARCH("nonblank",$B$4)),ISNUMBER(SEARCH("&lt;&gt;",$B$4))),IFERROR(('Final Calculation Sheet'!$F$8)&amp;"","")&lt;&gt;""),AND(TRIM($B$4)="",IFERROR(('Final Calculation Sheet'!$F$8)&amp;"","")=""))))</f>
        <v/>
      </c>
      <c r="BO9">
        <f>IF($C$4="",1,--(OR(SUMPRODUCT(--(TRIM(MID(SUBSTITUTE(SUBSTITUTE($C$4,"/",","),",",REPT(" ",99)),(ROW($1:$8)-1)*99+1,99))&lt;&gt;""),--ISNUMBER(SEARCH(TRIM(MID(SUBSTITUTE(SUBSTITUTE($C$4,"/",","),",",REPT(" ",99)),(ROW($1:$8)-1)*99+1,99)),IFERROR(('Final Calculation Sheet'!$G$8)&amp;"",""))))&gt;0,AND(ISNUMBER(SEARCH("blank",$C$4)),NOT(ISNUMBER(SEARCH("nonblank",$C$4))),IFERROR(('Final Calculation Sheet'!$G$8)&amp;"","")=""),AND(OR(ISNUMBER(SEARCH("nonblank",$C$4)),ISNUMBER(SEARCH("&lt;&gt;",$C$4))),IFERROR(('Final Calculation Sheet'!$G$8)&amp;"","")&lt;&gt;""),AND(TRIM($C$4)="",IFERROR(('Final Calculation Sheet'!$G$8)&amp;"","")=""))))</f>
        <v/>
      </c>
      <c r="BP9">
        <f>IF($D$4="",1,--(OR(SUMPRODUCT(--(TRIM(MID(SUBSTITUTE(SUBSTITUTE($D$4,"/",","),",",REPT(" ",99)),(ROW($1:$8)-1)*99+1,99))&lt;&gt;""),--ISNUMBER(SEARCH(TRIM(MID(SUBSTITUTE(SUBSTITUTE($D$4,"/",","),",",REPT(" ",99)),(ROW($1:$8)-1)*99+1,99)),IFERROR(('Final Calculation Sheet'!$B$8)&amp;"",""))))&gt;0,AND(ISNUMBER(SEARCH("blank",$D$4)),NOT(ISNUMBER(SEARCH("nonblank",$D$4))),IFERROR(('Final Calculation Sheet'!$B$8)&amp;"","")=""),AND(OR(ISNUMBER(SEARCH("nonblank",$D$4)),ISNUMBER(SEARCH("&lt;&gt;",$D$4))),IFERROR(('Final Calculation Sheet'!$B$8)&amp;"","")&lt;&gt;""),AND(TRIM($D$4)="",IFERROR(('Final Calculation Sheet'!$B$8)&amp;"","")=""))))</f>
        <v/>
      </c>
      <c r="BQ9">
        <f>IF($E$4="",1,--(OR(SUMPRODUCT(--(TRIM(MID(SUBSTITUTE(SUBSTITUTE($E$4,"/",","),",",REPT(" ",99)),(ROW($1:$8)-1)*99+1,99))&lt;&gt;""),--ISNUMBER(SEARCH(TRIM(MID(SUBSTITUTE(SUBSTITUTE($E$4,"/",","),",",REPT(" ",99)),(ROW($1:$8)-1)*99+1,99)),IFERROR(('Final Calculation Sheet'!$D$8)&amp;"",""))))&gt;0,AND(ISNUMBER(SEARCH("blank",$E$4)),NOT(ISNUMBER(SEARCH("nonblank",$E$4))),IFERROR(('Final Calculation Sheet'!$D$8)&amp;"","")=""),AND(OR(ISNUMBER(SEARCH("nonblank",$E$4)),ISNUMBER(SEARCH("&lt;&gt;",$E$4))),IFERROR(('Final Calculation Sheet'!$D$8)&amp;"","")&lt;&gt;""),AND(TRIM($E$4)="",IFERROR(('Final Calculation Sheet'!$D$8)&amp;"","")=""))))</f>
        <v/>
      </c>
      <c r="BR9">
        <f>IF($F$4="",1,--(OR(SUMPRODUCT(--(TRIM(MID(SUBSTITUTE(SUBSTITUTE($F$4,"/",","),",",REPT(" ",99)),(ROW($1:$8)-1)*99+1,99))&lt;&gt;""),--ISNUMBER(SEARCH(TRIM(MID(SUBSTITUTE(SUBSTITUTE($F$4,"/",","),",",REPT(" ",99)),(ROW($1:$8)-1)*99+1,99)),IFERROR(('Final Calculation Sheet'!$A$8)&amp;"",""))))&gt;0,AND(ISNUMBER(SEARCH("blank",$F$4)),NOT(ISNUMBER(SEARCH("nonblank",$F$4))),IFERROR(('Final Calculation Sheet'!$A$8)&amp;"","")=""),AND(OR(ISNUMBER(SEARCH("nonblank",$F$4)),ISNUMBER(SEARCH("&lt;&gt;",$F$4))),IFERROR(('Final Calculation Sheet'!$A$8)&amp;"","")&lt;&gt;""),AND(TRIM($F$4)="",IFERROR(('Final Calculation Sheet'!$A$8)&amp;"","")=""))))</f>
        <v/>
      </c>
      <c r="BS9">
        <f>IF($G$4="",1,--(OR(SUMPRODUCT(--(TRIM(MID(SUBSTITUTE(SUBSTITUTE($G$4,"/",","),",",REPT(" ",99)),(ROW($1:$8)-1)*99+1,99))&lt;&gt;""),--ISNUMBER(SEARCH(TRIM(MID(SUBSTITUTE(SUBSTITUTE($G$4,"/",","),",",REPT(" ",99)),(ROW($1:$8)-1)*99+1,99)),IFERROR(('Final Calculation Sheet'!$E$8)&amp;"",""))))&gt;0,AND(ISNUMBER(SEARCH("blank",$G$4)),NOT(ISNUMBER(SEARCH("nonblank",$G$4))),IFERROR(('Final Calculation Sheet'!$E$8)&amp;"","")=""),AND(OR(ISNUMBER(SEARCH("nonblank",$G$4)),ISNUMBER(SEARCH("&lt;&gt;",$G$4))),IFERROR(('Final Calculation Sheet'!$E$8)&amp;"","")&lt;&gt;""),AND(TRIM($G$4)="",IFERROR(('Final Calculation Sheet'!$E$8)&amp;"","")=""))))</f>
        <v/>
      </c>
      <c r="BT9">
        <f>IF($H$4="",1,--(OR(SUMPRODUCT(--(TRIM(MID(SUBSTITUTE(SUBSTITUTE($H$4,"/",","),",",REPT(" ",99)),(ROW($1:$8)-1)*99+1,99))&lt;&gt;""),--ISNUMBER(SEARCH(TRIM(MID(SUBSTITUTE(SUBSTITUTE($H$4,"/",","),",",REPT(" ",99)),(ROW($1:$8)-1)*99+1,99)),IFERROR(('Final Calculation Sheet'!$C$8)&amp;"",""))))&gt;0,AND(ISNUMBER(SEARCH("blank",$H$4)),NOT(ISNUMBER(SEARCH("nonblank",$H$4))),IFERROR(('Final Calculation Sheet'!$C$8)&amp;"","")=""),AND(OR(ISNUMBER(SEARCH("nonblank",$H$4)),ISNUMBER(SEARCH("&lt;&gt;",$H$4))),IFERROR(('Final Calculation Sheet'!$C$8)&amp;"","")&lt;&gt;""),AND(TRIM($H$4)="",IFERROR(('Final Calculation Sheet'!$C$8)&amp;"","")=""))))</f>
        <v/>
      </c>
      <c r="BU9">
        <f>IF($I$4="",1,--(OR(SUMPRODUCT(--(TRIM(MID(SUBSTITUTE(SUBSTITUTE($I$4,"/",","),",",REPT(" ",99)),(ROW($1:$8)-1)*99+1,99))&lt;&gt;""),--ISNUMBER(SEARCH(TRIM(MID(SUBSTITUTE(SUBSTITUTE($I$4,"/",","),",",REPT(" ",99)),(ROW($1:$8)-1)*99+1,99)),IFERROR(('Final Calculation Sheet'!$H$8)&amp;"",""))))&gt;0,AND(ISNUMBER(SEARCH("blank",$I$4)),NOT(ISNUMBER(SEARCH("nonblank",$I$4))),IFERROR(('Final Calculation Sheet'!$H$8)&amp;"","")=""),AND(OR(ISNUMBER(SEARCH("nonblank",$I$4)),ISNUMBER(SEARCH("&lt;&gt;",$I$4))),IFERROR(('Final Calculation Sheet'!$H$8)&amp;"","")&lt;&gt;""),AND(TRIM($I$4)="",IFERROR(('Final Calculation Sheet'!$H$8)&amp;"","")=""))))</f>
        <v/>
      </c>
      <c r="BV9">
        <f>IF($J$4="",1,--(OR(SUMPRODUCT(--(TRIM(MID(SUBSTITUTE(SUBSTITUTE($J$4,"/",","),",",REPT(" ",99)),(ROW($1:$8)-1)*99+1,99))&lt;&gt;""),--ISNUMBER(SEARCH(TRIM(MID(SUBSTITUTE(SUBSTITUTE($J$4,"/",","),",",REPT(" ",99)),(ROW($1:$8)-1)*99+1,99)),IFERROR(('Final Calculation Sheet'!$I$8)&amp;"",""))))&gt;0,AND(ISNUMBER(SEARCH("blank",$J$4)),NOT(ISNUMBER(SEARCH("nonblank",$J$4))),IFERROR(('Final Calculation Sheet'!$I$8)&amp;"","")=""),AND(OR(ISNUMBER(SEARCH("nonblank",$J$4)),ISNUMBER(SEARCH("&lt;&gt;",$J$4))),IFERROR(('Final Calculation Sheet'!$I$8)&amp;"","")&lt;&gt;""),AND(TRIM($J$4)="",IFERROR(('Final Calculation Sheet'!$I$8)&amp;"","")=""))))</f>
        <v/>
      </c>
      <c r="BW9">
        <f>IF($K$4="",1,--(OR(SUMPRODUCT(--(TRIM(MID(SUBSTITUTE(SUBSTITUTE($K$4,"/",","),",",REPT(" ",99)),(ROW($1:$8)-1)*99+1,99))&lt;&gt;""),--ISNUMBER(SEARCH(TRIM(MID(SUBSTITUTE(SUBSTITUTE($K$4,"/",","),",",REPT(" ",99)),(ROW($1:$8)-1)*99+1,99)),IFERROR(('Final Calculation Sheet'!$J$8)&amp;"",""))))&gt;0,AND(ISNUMBER(SEARCH("blank",$K$4)),NOT(ISNUMBER(SEARCH("nonblank",$K$4))),IFERROR(('Final Calculation Sheet'!$J$8)&amp;"","")=""),AND(OR(ISNUMBER(SEARCH("nonblank",$K$4)),ISNUMBER(SEARCH("&lt;&gt;",$K$4))),IFERROR(('Final Calculation Sheet'!$J$8)&amp;"","")&lt;&gt;""),AND(TRIM($K$4)="",IFERROR(('Final Calculation Sheet'!$J$8)&amp;"","")=""))))</f>
        <v/>
      </c>
      <c r="BX9">
        <f>IF($L$4="",1,--(OR(SUMPRODUCT(--(TRIM(MID(SUBSTITUTE(SUBSTITUTE($L$4,"/",","),",",REPT(" ",99)),(ROW($1:$8)-1)*99+1,99))&lt;&gt;""),--ISNUMBER(SEARCH(TRIM(MID(SUBSTITUTE(SUBSTITUTE($L$4,"/",","),",",REPT(" ",99)),(ROW($1:$8)-1)*99+1,99)),IFERROR(('Final Calculation Sheet'!$K$8)&amp;"",""))))&gt;0,AND(ISNUMBER(SEARCH("blank",$L$4)),NOT(ISNUMBER(SEARCH("nonblank",$L$4))),IFERROR(('Final Calculation Sheet'!$K$8)&amp;"","")=""),AND(OR(ISNUMBER(SEARCH("nonblank",$L$4)),ISNUMBER(SEARCH("&lt;&gt;",$L$4))),IFERROR(('Final Calculation Sheet'!$K$8)&amp;"","")&lt;&gt;""),AND(TRIM($L$4)="",IFERROR(('Final Calculation Sheet'!$K$8)&amp;"","")=""))))</f>
        <v/>
      </c>
      <c r="BY9">
        <f>IF($M$4="",1,--(OR(SUMPRODUCT(--(TRIM(MID(SUBSTITUTE(SUBSTITUTE($M$4,"/",","),",",REPT(" ",99)),(ROW($1:$8)-1)*99+1,99))&lt;&gt;""),--ISNUMBER(SEARCH(TRIM(MID(SUBSTITUTE(SUBSTITUTE($M$4,"/",","),",",REPT(" ",99)),(ROW($1:$8)-1)*99+1,99)),IFERROR(('Final Calculation Sheet'!$L$8)&amp;"",""))))&gt;0,AND(ISNUMBER(SEARCH("blank",$M$4)),NOT(ISNUMBER(SEARCH("nonblank",$M$4))),IFERROR(('Final Calculation Sheet'!$L$8)&amp;"","")=""),AND(OR(ISNUMBER(SEARCH("nonblank",$M$4)),ISNUMBER(SEARCH("&lt;&gt;",$M$4))),IFERROR(('Final Calculation Sheet'!$L$8)&amp;"","")&lt;&gt;""),AND(TRIM($M$4)="",IFERROR(('Final Calculation Sheet'!$L$8)&amp;"","")=""))))</f>
        <v/>
      </c>
      <c r="BZ9">
        <f>IF($N$4="",1,--(OR(SUMPRODUCT(--(TRIM(MID(SUBSTITUTE(SUBSTITUTE($N$4,"/",","),",",REPT(" ",99)),(ROW($1:$8)-1)*99+1,99))&lt;&gt;""),--ISNUMBER(SEARCH(TRIM(MID(SUBSTITUTE(SUBSTITUTE($N$4,"/",","),",",REPT(" ",99)),(ROW($1:$8)-1)*99+1,99)),IFERROR(('Final Calculation Sheet'!$M$8)&amp;"",""))))&gt;0,AND(ISNUMBER(SEARCH("blank",$N$4)),NOT(ISNUMBER(SEARCH("nonblank",$N$4))),IFERROR(('Final Calculation Sheet'!$M$8)&amp;"","")=""),AND(OR(ISNUMBER(SEARCH("nonblank",$N$4)),ISNUMBER(SEARCH("&lt;&gt;",$N$4))),IFERROR(('Final Calculation Sheet'!$M$8)&amp;"","")&lt;&gt;""),AND(TRIM($N$4)="",IFERROR(('Final Calculation Sheet'!$M$8)&amp;"","")=""))))</f>
        <v/>
      </c>
      <c r="CA9">
        <f>IF($O$4="",1,--(OR(SUMPRODUCT(--(TRIM(MID(SUBSTITUTE(SUBSTITUTE($O$4,"/",","),",",REPT(" ",99)),(ROW($1:$8)-1)*99+1,99))&lt;&gt;""),--ISNUMBER(SEARCH(TRIM(MID(SUBSTITUTE(SUBSTITUTE($O$4,"/",","),",",REPT(" ",99)),(ROW($1:$8)-1)*99+1,99)),IFERROR(('Final Calculation Sheet'!$N$8)&amp;"",""))))&gt;0,AND(ISNUMBER(SEARCH("blank",$O$4)),NOT(ISNUMBER(SEARCH("nonblank",$O$4))),IFERROR(('Final Calculation Sheet'!$N$8)&amp;"","")=""),AND(OR(ISNUMBER(SEARCH("nonblank",$O$4)),ISNUMBER(SEARCH("&lt;&gt;",$O$4))),IFERROR(('Final Calculation Sheet'!$N$8)&amp;"","")&lt;&gt;""),AND(TRIM($O$4)="",IFERROR(('Final Calculation Sheet'!$N$8)&amp;"","")=""))))</f>
        <v/>
      </c>
      <c r="CB9">
        <f>IF($P$4="",1,--(OR(SUMPRODUCT(--(TRIM(MID(SUBSTITUTE(SUBSTITUTE($P$4,"/",","),",",REPT(" ",99)),(ROW($1:$8)-1)*99+1,99))&lt;&gt;""),--ISNUMBER(SEARCH(TRIM(MID(SUBSTITUTE(SUBSTITUTE($P$4,"/",","),",",REPT(" ",99)),(ROW($1:$8)-1)*99+1,99)),IFERROR(('Final Calculation Sheet'!$O$8)&amp;"",""))))&gt;0,AND(ISNUMBER(SEARCH("blank",$P$4)),NOT(ISNUMBER(SEARCH("nonblank",$P$4))),IFERROR(('Final Calculation Sheet'!$O$8)&amp;"","")=""),AND(OR(ISNUMBER(SEARCH("nonblank",$P$4)),ISNUMBER(SEARCH("&lt;&gt;",$P$4))),IFERROR(('Final Calculation Sheet'!$O$8)&amp;"","")&lt;&gt;""),AND(TRIM($P$4)="",IFERROR(('Final Calculation Sheet'!$O$8)&amp;"","")=""))))</f>
        <v/>
      </c>
      <c r="CC9">
        <f>IF($Q$4="",1,--(OR(SUMPRODUCT(--(TRIM(MID(SUBSTITUTE(SUBSTITUTE($Q$4,"/",","),",",REPT(" ",99)),(ROW($1:$8)-1)*99+1,99))&lt;&gt;""),--ISNUMBER(SEARCH(TRIM(MID(SUBSTITUTE(SUBSTITUTE($Q$4,"/",","),",",REPT(" ",99)),(ROW($1:$8)-1)*99+1,99)),IFERROR(('Final Calculation Sheet'!$P$8)&amp;"",""))))&gt;0,AND(ISNUMBER(SEARCH("blank",$Q$4)),NOT(ISNUMBER(SEARCH("nonblank",$Q$4))),IFERROR(('Final Calculation Sheet'!$P$8)&amp;"","")=""),AND(OR(ISNUMBER(SEARCH("nonblank",$Q$4)),ISNUMBER(SEARCH("&lt;&gt;",$Q$4))),IFERROR(('Final Calculation Sheet'!$P$8)&amp;"","")&lt;&gt;""),AND(TRIM($Q$4)="",IFERROR(('Final Calculation Sheet'!$P$8)&amp;"","")=""))))</f>
        <v/>
      </c>
      <c r="CD9">
        <f>IF($R$4="",1,--(OR(SUMPRODUCT(--(TRIM(MID(SUBSTITUTE(SUBSTITUTE($R$4,"/",","),",",REPT(" ",99)),(ROW($1:$8)-1)*99+1,99))&lt;&gt;""),--ISNUMBER(SEARCH(TRIM(MID(SUBSTITUTE(SUBSTITUTE($R$4,"/",","),",",REPT(" ",99)),(ROW($1:$8)-1)*99+1,99)),IFERROR(('Final Calculation Sheet'!$Q$8)&amp;"",""))))&gt;0,AND(ISNUMBER(SEARCH("blank",$R$4)),NOT(ISNUMBER(SEARCH("nonblank",$R$4))),IFERROR(('Final Calculation Sheet'!$Q$8)&amp;"","")=""),AND(OR(ISNUMBER(SEARCH("nonblank",$R$4)),ISNUMBER(SEARCH("&lt;&gt;",$R$4))),IFERROR(('Final Calculation Sheet'!$Q$8)&amp;"","")&lt;&gt;""),AND(TRIM($R$4)="",IFERROR(('Final Calculation Sheet'!$Q$8)&amp;"","")=""))))</f>
        <v/>
      </c>
      <c r="CE9">
        <f>IF($S$4="",1,--(OR(SUMPRODUCT(--(TRIM(MID(SUBSTITUTE(SUBSTITUTE($S$4,"/",","),",",REPT(" ",99)),(ROW($1:$8)-1)*99+1,99))&lt;&gt;""),--ISNUMBER(SEARCH(TRIM(MID(SUBSTITUTE(SUBSTITUTE($S$4,"/",","),",",REPT(" ",99)),(ROW($1:$8)-1)*99+1,99)),IFERROR(('Final Calculation Sheet'!$R$8)&amp;"",""))))&gt;0,AND(ISNUMBER(SEARCH("blank",$S$4)),NOT(ISNUMBER(SEARCH("nonblank",$S$4))),IFERROR(('Final Calculation Sheet'!$R$8)&amp;"","")=""),AND(OR(ISNUMBER(SEARCH("nonblank",$S$4)),ISNUMBER(SEARCH("&lt;&gt;",$S$4))),IFERROR(('Final Calculation Sheet'!$R$8)&amp;"","")&lt;&gt;""),AND(TRIM($S$4)="",IFERROR(('Final Calculation Sheet'!$R$8)&amp;"","")=""))))</f>
        <v/>
      </c>
      <c r="CF9">
        <f>IF($T$4="",1,--(OR(SUMPRODUCT(--(TRIM(MID(SUBSTITUTE(SUBSTITUTE($T$4,"/",","),",",REPT(" ",99)),(ROW($1:$8)-1)*99+1,99))&lt;&gt;""),--ISNUMBER(SEARCH(TRIM(MID(SUBSTITUTE(SUBSTITUTE($T$4,"/",","),",",REPT(" ",99)),(ROW($1:$8)-1)*99+1,99)),IFERROR(('Final Calculation Sheet'!$S$8)&amp;"",""))))&gt;0,AND(ISNUMBER(SEARCH("blank",$T$4)),NOT(ISNUMBER(SEARCH("nonblank",$T$4))),IFERROR(('Final Calculation Sheet'!$S$8)&amp;"","")=""),AND(OR(ISNUMBER(SEARCH("nonblank",$T$4)),ISNUMBER(SEARCH("&lt;&gt;",$T$4))),IFERROR(('Final Calculation Sheet'!$S$8)&amp;"","")&lt;&gt;""),AND(TRIM($T$4)="",IFERROR(('Final Calculation Sheet'!$S$8)&amp;"","")=""))))</f>
        <v/>
      </c>
      <c r="CG9">
        <f>IF($U$4="",1,--(OR(SUMPRODUCT(--(TRIM(MID(SUBSTITUTE(SUBSTITUTE($U$4,"/",","),",",REPT(" ",99)),(ROW($1:$8)-1)*99+1,99))&lt;&gt;""),--ISNUMBER(SEARCH(TRIM(MID(SUBSTITUTE(SUBSTITUTE($U$4,"/",","),",",REPT(" ",99)),(ROW($1:$8)-1)*99+1,99)),IFERROR(('Final Calculation Sheet'!$T$8)&amp;"",""))))&gt;0,AND(ISNUMBER(SEARCH("blank",$U$4)),NOT(ISNUMBER(SEARCH("nonblank",$U$4))),IFERROR(('Final Calculation Sheet'!$T$8)&amp;"","")=""),AND(OR(ISNUMBER(SEARCH("nonblank",$U$4)),ISNUMBER(SEARCH("&lt;&gt;",$U$4))),IFERROR(('Final Calculation Sheet'!$T$8)&amp;"","")&lt;&gt;""),AND(TRIM($U$4)="",IFERROR(('Final Calculation Sheet'!$T$8)&amp;"","")=""))))</f>
        <v/>
      </c>
      <c r="CH9">
        <f>IF($V$4="",1,--(OR(SUMPRODUCT(--(TRIM(MID(SUBSTITUTE(SUBSTITUTE($V$4,"/",","),",",REPT(" ",99)),(ROW($1:$8)-1)*99+1,99))&lt;&gt;""),--ISNUMBER(SEARCH(TRIM(MID(SUBSTITUTE(SUBSTITUTE($V$4,"/",","),",",REPT(" ",99)),(ROW($1:$8)-1)*99+1,99)),IFERROR(('Final Calculation Sheet'!$U$8)&amp;"",""))))&gt;0,AND(ISNUMBER(SEARCH("blank",$V$4)),NOT(ISNUMBER(SEARCH("nonblank",$V$4))),IFERROR(('Final Calculation Sheet'!$U$8)&amp;"","")=""),AND(OR(ISNUMBER(SEARCH("nonblank",$V$4)),ISNUMBER(SEARCH("&lt;&gt;",$V$4))),IFERROR(('Final Calculation Sheet'!$U$8)&amp;"","")&lt;&gt;""),AND(TRIM($V$4)="",IFERROR(('Final Calculation Sheet'!$U$8)&amp;"","")=""))))</f>
        <v/>
      </c>
      <c r="CI9">
        <f>IF($W$4="",1,--(OR(SUMPRODUCT(--(TRIM(MID(SUBSTITUTE(SUBSTITUTE($W$4,"/",","),",",REPT(" ",99)),(ROW($1:$8)-1)*99+1,99))&lt;&gt;""),--ISNUMBER(SEARCH(TRIM(MID(SUBSTITUTE(SUBSTITUTE($W$4,"/",","),",",REPT(" ",99)),(ROW($1:$8)-1)*99+1,99)),IFERROR(('Final Calculation Sheet'!$V$8)&amp;"",""))))&gt;0,AND(ISNUMBER(SEARCH("blank",$W$4)),NOT(ISNUMBER(SEARCH("nonblank",$W$4))),IFERROR(('Final Calculation Sheet'!$V$8)&amp;"","")=""),AND(OR(ISNUMBER(SEARCH("nonblank",$W$4)),ISNUMBER(SEARCH("&lt;&gt;",$W$4))),IFERROR(('Final Calculation Sheet'!$V$8)&amp;"","")&lt;&gt;""),AND(TRIM($W$4)="",IFERROR(('Final Calculation Sheet'!$V$8)&amp;"","")=""))))</f>
        <v/>
      </c>
      <c r="CJ9">
        <f>IF($X$4="",1,--(OR(SUMPRODUCT(--(TRIM(MID(SUBSTITUTE(SUBSTITUTE($X$4,"/",","),",",REPT(" ",99)),(ROW($1:$8)-1)*99+1,99))&lt;&gt;""),--ISNUMBER(SEARCH(TRIM(MID(SUBSTITUTE(SUBSTITUTE($X$4,"/",","),",",REPT(" ",99)),(ROW($1:$8)-1)*99+1,99)),IFERROR(('Final Calculation Sheet'!$W$8)&amp;"",""))))&gt;0,AND(ISNUMBER(SEARCH("blank",$X$4)),NOT(ISNUMBER(SEARCH("nonblank",$X$4))),IFERROR(('Final Calculation Sheet'!$W$8)&amp;"","")=""),AND(OR(ISNUMBER(SEARCH("nonblank",$X$4)),ISNUMBER(SEARCH("&lt;&gt;",$X$4))),IFERROR(('Final Calculation Sheet'!$W$8)&amp;"","")&lt;&gt;""),AND(TRIM($X$4)="",IFERROR(('Final Calculation Sheet'!$W$8)&amp;"","")=""))))</f>
        <v/>
      </c>
      <c r="CK9">
        <f>IF($Y$4="",1,--(OR(SUMPRODUCT(--(TRIM(MID(SUBSTITUTE(SUBSTITUTE($Y$4,"/",","),",",REPT(" ",99)),(ROW($1:$8)-1)*99+1,99))&lt;&gt;""),--ISNUMBER(SEARCH(TRIM(MID(SUBSTITUTE(SUBSTITUTE($Y$4,"/",","),",",REPT(" ",99)),(ROW($1:$8)-1)*99+1,99)),IFERROR(('Final Calculation Sheet'!$X$8)&amp;"",""))))&gt;0,AND(ISNUMBER(SEARCH("blank",$Y$4)),NOT(ISNUMBER(SEARCH("nonblank",$Y$4))),IFERROR(('Final Calculation Sheet'!$X$8)&amp;"","")=""),AND(OR(ISNUMBER(SEARCH("nonblank",$Y$4)),ISNUMBER(SEARCH("&lt;&gt;",$Y$4))),IFERROR(('Final Calculation Sheet'!$X$8)&amp;"","")&lt;&gt;""),AND(TRIM($Y$4)="",IFERROR(('Final Calculation Sheet'!$X$8)&amp;"","")=""))))</f>
        <v/>
      </c>
      <c r="CL9">
        <f>IF($Z$4="",1,--(OR(SUMPRODUCT(--(TRIM(MID(SUBSTITUTE(SUBSTITUTE($Z$4,"/",","),",",REPT(" ",99)),(ROW($1:$8)-1)*99+1,99))&lt;&gt;""),--ISNUMBER(SEARCH(TRIM(MID(SUBSTITUTE(SUBSTITUTE($Z$4,"/",","),",",REPT(" ",99)),(ROW($1:$8)-1)*99+1,99)),IFERROR(('Final Calculation Sheet'!$Y$8)&amp;"",""))))&gt;0,AND(ISNUMBER(SEARCH("blank",$Z$4)),NOT(ISNUMBER(SEARCH("nonblank",$Z$4))),IFERROR(('Final Calculation Sheet'!$Y$8)&amp;"","")=""),AND(OR(ISNUMBER(SEARCH("nonblank",$Z$4)),ISNUMBER(SEARCH("&lt;&gt;",$Z$4))),IFERROR(('Final Calculation Sheet'!$Y$8)&amp;"","")&lt;&gt;""),AND(TRIM($Z$4)="",IFERROR(('Final Calculation Sheet'!$Y$8)&amp;"","")=""))))</f>
        <v/>
      </c>
      <c r="CM9">
        <f>IF($AA$4="",1,--(OR(SUMPRODUCT(--(TRIM(MID(SUBSTITUTE(SUBSTITUTE($AA$4,"/",","),",",REPT(" ",99)),(ROW($1:$8)-1)*99+1,99))&lt;&gt;""),--ISNUMBER(SEARCH(TRIM(MID(SUBSTITUTE(SUBSTITUTE($AA$4,"/",","),",",REPT(" ",99)),(ROW($1:$8)-1)*99+1,99)),IFERROR(('Final Calculation Sheet'!$Z$8)&amp;"",""))))&gt;0,AND(ISNUMBER(SEARCH("blank",$AA$4)),NOT(ISNUMBER(SEARCH("nonblank",$AA$4))),IFERROR(('Final Calculation Sheet'!$Z$8)&amp;"","")=""),AND(OR(ISNUMBER(SEARCH("nonblank",$AA$4)),ISNUMBER(SEARCH("&lt;&gt;",$AA$4))),IFERROR(('Final Calculation Sheet'!$Z$8)&amp;"","")&lt;&gt;""),AND(TRIM($AA$4)="",IFERROR(('Final Calculation Sheet'!$Z$8)&amp;"","")=""))))</f>
        <v/>
      </c>
      <c r="CN9">
        <f>IF($AB$4="",1,--(OR(SUMPRODUCT(--(TRIM(MID(SUBSTITUTE(SUBSTITUTE($AB$4,"/",","),",",REPT(" ",99)),(ROW($1:$8)-1)*99+1,99))&lt;&gt;""),--ISNUMBER(SEARCH(TRIM(MID(SUBSTITUTE(SUBSTITUTE($AB$4,"/",","),",",REPT(" ",99)),(ROW($1:$8)-1)*99+1,99)),IFERROR(('Final Calculation Sheet'!$AA$8)&amp;"",""))))&gt;0,AND(ISNUMBER(SEARCH("blank",$AB$4)),NOT(ISNUMBER(SEARCH("nonblank",$AB$4))),IFERROR(('Final Calculation Sheet'!$AA$8)&amp;"","")=""),AND(OR(ISNUMBER(SEARCH("nonblank",$AB$4)),ISNUMBER(SEARCH("&lt;&gt;",$AB$4))),IFERROR(('Final Calculation Sheet'!$AA$8)&amp;"","")&lt;&gt;""),AND(TRIM($AB$4)="",IFERROR(('Final Calculation Sheet'!$AA$8)&amp;"","")=""))))</f>
        <v/>
      </c>
      <c r="CO9">
        <f>IF($AC$4="",1,--(OR(SUMPRODUCT(--(TRIM(MID(SUBSTITUTE(SUBSTITUTE($AC$4,"/",","),",",REPT(" ",99)),(ROW($1:$8)-1)*99+1,99))&lt;&gt;""),--ISNUMBER(SEARCH(TRIM(MID(SUBSTITUTE(SUBSTITUTE($AC$4,"/",","),",",REPT(" ",99)),(ROW($1:$8)-1)*99+1,99)),IFERROR(('Final Calculation Sheet'!$AB$8)&amp;"",""))))&gt;0,AND(ISNUMBER(SEARCH("blank",$AC$4)),NOT(ISNUMBER(SEARCH("nonblank",$AC$4))),IFERROR(('Final Calculation Sheet'!$AB$8)&amp;"","")=""),AND(OR(ISNUMBER(SEARCH("nonblank",$AC$4)),ISNUMBER(SEARCH("&lt;&gt;",$AC$4))),IFERROR(('Final Calculation Sheet'!$AB$8)&amp;"","")&lt;&gt;""),AND(TRIM($AC$4)="",IFERROR(('Final Calculation Sheet'!$AB$8)&amp;"","")=""))))</f>
        <v/>
      </c>
      <c r="CP9">
        <f>IF($AD$4="",1,--(OR(SUMPRODUCT(--(TRIM(MID(SUBSTITUTE(SUBSTITUTE($AD$4,"/",","),",",REPT(" ",99)),(ROW($1:$8)-1)*99+1,99))&lt;&gt;""),--ISNUMBER(SEARCH(TRIM(MID(SUBSTITUTE(SUBSTITUTE($AD$4,"/",","),",",REPT(" ",99)),(ROW($1:$8)-1)*99+1,99)),IFERROR(('Final Calculation Sheet'!$AC$8)&amp;"",""))))&gt;0,AND(ISNUMBER(SEARCH("blank",$AD$4)),NOT(ISNUMBER(SEARCH("nonblank",$AD$4))),IFERROR(('Final Calculation Sheet'!$AC$8)&amp;"","")=""),AND(OR(ISNUMBER(SEARCH("nonblank",$AD$4)),ISNUMBER(SEARCH("&lt;&gt;",$AD$4))),IFERROR(('Final Calculation Sheet'!$AC$8)&amp;"","")&lt;&gt;""),AND(TRIM($AD$4)="",IFERROR(('Final Calculation Sheet'!$AC$8)&amp;"","")=""))))</f>
        <v/>
      </c>
      <c r="CQ9">
        <f>IF($AE$4="",1,--(OR(SUMPRODUCT(--(TRIM(MID(SUBSTITUTE(SUBSTITUTE($AE$4,"/",","),",",REPT(" ",99)),(ROW($1:$8)-1)*99+1,99))&lt;&gt;""),--ISNUMBER(SEARCH(TRIM(MID(SUBSTITUTE(SUBSTITUTE($AE$4,"/",","),",",REPT(" ",99)),(ROW($1:$8)-1)*99+1,99)),IFERROR(('Final Calculation Sheet'!$AD$8)&amp;"",""))))&gt;0,AND(ISNUMBER(SEARCH("blank",$AE$4)),NOT(ISNUMBER(SEARCH("nonblank",$AE$4))),IFERROR(('Final Calculation Sheet'!$AD$8)&amp;"","")=""),AND(OR(ISNUMBER(SEARCH("nonblank",$AE$4)),ISNUMBER(SEARCH("&lt;&gt;",$AE$4))),IFERROR(('Final Calculation Sheet'!$AD$8)&amp;"","")&lt;&gt;""),AND(TRIM($AE$4)="",IFERROR(('Final Calculation Sheet'!$AD$8)&amp;"","")=""))))</f>
        <v/>
      </c>
      <c r="CR9">
        <f>IF($AF$4="",1,--(OR(SUMPRODUCT(--(TRIM(MID(SUBSTITUTE(SUBSTITUTE($AF$4,"/",","),",",REPT(" ",99)),(ROW($1:$8)-1)*99+1,99))&lt;&gt;""),--ISNUMBER(SEARCH(TRIM(MID(SUBSTITUTE(SUBSTITUTE($AF$4,"/",","),",",REPT(" ",99)),(ROW($1:$8)-1)*99+1,99)),IFERROR(('Final Calculation Sheet'!$AE$8)&amp;"",""))))&gt;0,AND(ISNUMBER(SEARCH("blank",$AF$4)),NOT(ISNUMBER(SEARCH("nonblank",$AF$4))),IFERROR(('Final Calculation Sheet'!$AE$8)&amp;"","")=""),AND(OR(ISNUMBER(SEARCH("nonblank",$AF$4)),ISNUMBER(SEARCH("&lt;&gt;",$AF$4))),IFERROR(('Final Calculation Sheet'!$AE$8)&amp;"","")&lt;&gt;""),AND(TRIM($AF$4)="",IFERROR(('Final Calculation Sheet'!$AE$8)&amp;"","")=""))))</f>
        <v/>
      </c>
      <c r="CS9">
        <f>IF($AG$4="",1,--(OR(SUMPRODUCT(--(TRIM(MID(SUBSTITUTE(SUBSTITUTE($AG$4,"/",","),",",REPT(" ",99)),(ROW($1:$8)-1)*99+1,99))&lt;&gt;""),--ISNUMBER(SEARCH(TRIM(MID(SUBSTITUTE(SUBSTITUTE($AG$4,"/",","),",",REPT(" ",99)),(ROW($1:$8)-1)*99+1,99)),IFERROR(('Final Calculation Sheet'!$AF$8)&amp;"",""))))&gt;0,AND(ISNUMBER(SEARCH("blank",$AG$4)),NOT(ISNUMBER(SEARCH("nonblank",$AG$4))),IFERROR(('Final Calculation Sheet'!$AF$8)&amp;"","")=""),AND(OR(ISNUMBER(SEARCH("nonblank",$AG$4)),ISNUMBER(SEARCH("&lt;&gt;",$AG$4))),IFERROR(('Final Calculation Sheet'!$AF$8)&amp;"","")&lt;&gt;""),AND(TRIM($AG$4)="",IFERROR(('Final Calculation Sheet'!$AF$8)&amp;"","")=""))))</f>
        <v/>
      </c>
      <c r="CT9">
        <f>IF($AH$4="",1,--(OR(SUMPRODUCT(--(TRIM(MID(SUBSTITUTE(SUBSTITUTE($AH$4,"/",","),",",REPT(" ",99)),(ROW($1:$8)-1)*99+1,99))&lt;&gt;""),--ISNUMBER(SEARCH(TRIM(MID(SUBSTITUTE(SUBSTITUTE($AH$4,"/",","),",",REPT(" ",99)),(ROW($1:$8)-1)*99+1,99)),IFERROR(('Final Calculation Sheet'!$AG$8)&amp;"",""))))&gt;0,AND(ISNUMBER(SEARCH("blank",$AH$4)),NOT(ISNUMBER(SEARCH("nonblank",$AH$4))),IFERROR(('Final Calculation Sheet'!$AG$8)&amp;"","")=""),AND(OR(ISNUMBER(SEARCH("nonblank",$AH$4)),ISNUMBER(SEARCH("&lt;&gt;",$AH$4))),IFERROR(('Final Calculation Sheet'!$AG$8)&amp;"","")&lt;&gt;""),AND(TRIM($AH$4)="",IFERROR(('Final Calculation Sheet'!$AG$8)&amp;"","")=""))))</f>
        <v/>
      </c>
      <c r="CU9">
        <f>IF($AI$4="",1,--(OR(SUMPRODUCT(--(TRIM(MID(SUBSTITUTE(SUBSTITUTE($AI$4,"/",","),",",REPT(" ",99)),(ROW($1:$8)-1)*99+1,99))&lt;&gt;""),--ISNUMBER(SEARCH(TRIM(MID(SUBSTITUTE(SUBSTITUTE($AI$4,"/",","),",",REPT(" ",99)),(ROW($1:$8)-1)*99+1,99)),IFERROR((IF('Final Calculation Sheet'!$AD$8&lt;=0,"SETTLED","OUTSTANDING"))&amp;"",""))))&gt;0,AND(ISNUMBER(SEARCH("blank",$AI$4)),NOT(ISNUMBER(SEARCH("nonblank",$AI$4))),IFERROR((IF('Final Calculation Sheet'!$AD$8&lt;=0,"SETTLED","OUTSTANDING"))&amp;"","")=""),AND(OR(ISNUMBER(SEARCH("nonblank",$AI$4)),ISNUMBER(SEARCH("&lt;&gt;",$AI$4))),IFERROR((IF('Final Calculation Sheet'!$AD$8&lt;=0,"SETTLED","OUTSTANDING"))&amp;"","")&lt;&gt;""),AND(TRIM($AI$4)="",IFERROR((IF('Final Calculation Sheet'!$AD$8&lt;=0,"SETTLED","OUTSTANDING"))&amp;"","")=""))))</f>
        <v/>
      </c>
    </row>
    <row r="10" ht="15" customHeight="1" s="77">
      <c r="A10" s="67">
        <f>IF($BJ9&gt;0,INDEX($BA$5:$BA$41,MATCH(9,$BB$5:$BB$41,0)),IF(OR($BI9=1,$BL9=1,$BH9&gt;0),"∑",""))</f>
        <v/>
      </c>
      <c r="B10" s="68">
        <f>IF($BJ9&gt;0,IF(INDEX('Final Calculation Sheet'!$F$4:$F$40,$BJ9-3)="","",INDEX('Final Calculation Sheet'!$F$4:$F$40,$BJ9-3)),"")</f>
        <v/>
      </c>
      <c r="C10" s="68">
        <f>IF($BJ9&gt;0,IF(INDEX('Final Calculation Sheet'!$G$4:$G$40,$BJ9-3)="","",INDEX('Final Calculation Sheet'!$G$4:$G$40,$BJ9-3)),IF(OR($BI9=1,$BL9=1,$BH9&gt;0),IF($BI9=1,37,IF($BL9=1,37-INDEX($BD$4:$BD$13,10),INDEX($BD$4:$BD$13,$BH9)))&amp;" lot(s)",""))</f>
        <v/>
      </c>
      <c r="D10" s="69">
        <f>IF($BJ9&gt;0,IF(INDEX('Final Calculation Sheet'!$B$4:$B$40,$BJ9-3)="","",INDEX('Final Calculation Sheet'!$B$4:$B$40,$BJ9-3)),IF(OR($BI9=1,$BL9=1,$BH9&gt;0),IF($BI9=1,"GRAND TOTAL  —  matching + remaining",IF($BL9=1,"TOTAL MATCHED  —  every group together",IF($BH9=10,"REMAINING  —  did not match the search",IF($BH9=9,IF(COUNTIF($A$4:$AI$4,"&lt;&gt;")&gt;0,"FILTERED LOTS  —  column fields","ALL LOTS  —  nothing typed in the box"),"GROUP "&amp;$BH9&amp;" TOTAL  —  lots matching  "&amp;INDEX($AR$6:$AY$6,$BH9))))),""))</f>
        <v/>
      </c>
      <c r="E10" s="69">
        <f>IF($BJ9&gt;0,IF(INDEX('Final Calculation Sheet'!$D$4:$D$40,$BJ9-3)="","",INDEX('Final Calculation Sheet'!$D$4:$D$40,$BJ9-3)),IF(OR($BI9=1,$BL9=1,$BH9&gt;0),"–",""))</f>
        <v/>
      </c>
      <c r="F10" s="69">
        <f>IF($BJ9&gt;0,IF(INDEX('Final Calculation Sheet'!$A$4:$A$40,$BJ9-3)="","",INDEX('Final Calculation Sheet'!$A$4:$A$40,$BJ9-3)),IF(OR($BI9=1,$BL9=1,$BH9&gt;0),IF($BI9=1,SUM('Final Calculation Sheet'!$A$4:$A$40),IF($BL9=1,SUM('Final Calculation Sheet'!$A$4:$A$40)-SUMIFS('Final Calculation Sheet'!$A$4:$A$40,$AZ$5:$AZ$41,10),SUMIFS('Final Calculation Sheet'!$A$4:$A$40,$AZ$5:$AZ$41,$BH9))),""))</f>
        <v/>
      </c>
      <c r="G10" s="69">
        <f>IF($BJ9&gt;0,IF(INDEX('Final Calculation Sheet'!$E$4:$E$40,$BJ9-3)="","",INDEX('Final Calculation Sheet'!$E$4:$E$40,$BJ9-3)),IF(OR($BI9=1,$BL9=1,$BH9&gt;0),"–",""))</f>
        <v/>
      </c>
      <c r="H10" s="70">
        <f>IF($BJ9&gt;0,IF(INDEX('Final Calculation Sheet'!$C$4:$C$40,$BJ9-3)="","",INDEX('Final Calculation Sheet'!$C$4:$C$40,$BJ9-3)),IF(OR($BI9=1,$BL9=1,$BH9&gt;0),"–",""))</f>
        <v/>
      </c>
      <c r="I10" s="70">
        <f>IF($BJ9&gt;0,IF(INDEX('Final Calculation Sheet'!$H$4:$H$40,$BJ9-3)="","",INDEX('Final Calculation Sheet'!$H$4:$H$40,$BJ9-3)),IF(OR($BI9=1,$BL9=1,$BH9&gt;0),IF($BI9=1,SUM('Final Calculation Sheet'!$H$4:$H$40),IF($BL9=1,SUM('Final Calculation Sheet'!$H$4:$H$40)-SUMIFS('Final Calculation Sheet'!$H$4:$H$40,$AZ$5:$AZ$41,10),SUMIFS('Final Calculation Sheet'!$H$4:$H$40,$AZ$5:$AZ$41,$BH9))),""))</f>
        <v/>
      </c>
      <c r="J10" s="70">
        <f>IF($BJ9&gt;0,IF(INDEX('Final Calculation Sheet'!$I$4:$I$40,$BJ9-3)="","",INDEX('Final Calculation Sheet'!$I$4:$I$40,$BJ9-3)),IF(OR($BI9=1,$BL9=1,$BH9&gt;0),IF($BI9=1,SUM('Final Calculation Sheet'!$I$4:$I$40),IF($BL9=1,SUM('Final Calculation Sheet'!$I$4:$I$40)-SUMIFS('Final Calculation Sheet'!$I$4:$I$40,$AZ$5:$AZ$41,10),SUMIFS('Final Calculation Sheet'!$I$4:$I$40,$AZ$5:$AZ$41,$BH9))),""))</f>
        <v/>
      </c>
      <c r="K10" s="70">
        <f>IF($BJ9&gt;0,IF(INDEX('Final Calculation Sheet'!$J$4:$J$40,$BJ9-3)="","",INDEX('Final Calculation Sheet'!$J$4:$J$40,$BJ9-3)),IF(OR($BI9=1,$BL9=1,$BH9&gt;0),IF($BI9=1,SUM('Final Calculation Sheet'!$J$4:$J$40),IF($BL9=1,SUM('Final Calculation Sheet'!$J$4:$J$40)-SUMIFS('Final Calculation Sheet'!$J$4:$J$40,$AZ$5:$AZ$41,10),SUMIFS('Final Calculation Sheet'!$J$4:$J$40,$AZ$5:$AZ$41,$BH9))),""))</f>
        <v/>
      </c>
      <c r="L10" s="70">
        <f>IF($BJ9&gt;0,IF(INDEX('Final Calculation Sheet'!$K$4:$K$40,$BJ9-3)="","",INDEX('Final Calculation Sheet'!$K$4:$K$40,$BJ9-3)),IF(OR($BI9=1,$BL9=1,$BH9&gt;0),IF($BI9=1,SUM('Final Calculation Sheet'!$K$4:$K$40),IF($BL9=1,SUM('Final Calculation Sheet'!$K$4:$K$40)-SUMIFS('Final Calculation Sheet'!$K$4:$K$40,$AZ$5:$AZ$41,10),SUMIFS('Final Calculation Sheet'!$K$4:$K$40,$AZ$5:$AZ$41,$BH9))),""))</f>
        <v/>
      </c>
      <c r="M10" s="70">
        <f>IF($BJ9&gt;0,IF(INDEX('Final Calculation Sheet'!$L$4:$L$40,$BJ9-3)="","",INDEX('Final Calculation Sheet'!$L$4:$L$40,$BJ9-3)),IF(OR($BI9=1,$BL9=1,$BH9&gt;0),IF($BI9=1,SUM('Final Calculation Sheet'!$L$4:$L$40),IF($BL9=1,SUM('Final Calculation Sheet'!$L$4:$L$40)-SUMIFS('Final Calculation Sheet'!$L$4:$L$40,$AZ$5:$AZ$41,10),SUMIFS('Final Calculation Sheet'!$L$4:$L$40,$AZ$5:$AZ$41,$BH9))),""))</f>
        <v/>
      </c>
      <c r="N10" s="70">
        <f>IF($BJ9&gt;0,IF(INDEX('Final Calculation Sheet'!$M$4:$M$40,$BJ9-3)="","",INDEX('Final Calculation Sheet'!$M$4:$M$40,$BJ9-3)),IF(OR($BI9=1,$BL9=1,$BH9&gt;0),IF($BI9=1,SUM('Final Calculation Sheet'!$M$4:$M$40),IF($BL9=1,SUM('Final Calculation Sheet'!$M$4:$M$40)-SUMIFS('Final Calculation Sheet'!$M$4:$M$40,$AZ$5:$AZ$41,10),SUMIFS('Final Calculation Sheet'!$M$4:$M$40,$AZ$5:$AZ$41,$BH9))),""))</f>
        <v/>
      </c>
      <c r="O10" s="71">
        <f>IF($BJ9&gt;0,IF(INDEX('Final Calculation Sheet'!$N$4:$N$40,$BJ9-3)="","",INDEX('Final Calculation Sheet'!$N$4:$N$40,$BJ9-3)),IF(OR($BI9=1,$BL9=1,$BH9&gt;0),IF($BI9=1,SUM('Final Calculation Sheet'!$N$4:$N$40),IF($BL9=1,SUM('Final Calculation Sheet'!$N$4:$N$40)-SUMIFS('Final Calculation Sheet'!$N$4:$N$40,$AZ$5:$AZ$41,10),SUMIFS('Final Calculation Sheet'!$N$4:$N$40,$AZ$5:$AZ$41,$BH9))),""))</f>
        <v/>
      </c>
      <c r="P10" s="70">
        <f>IF($BJ9&gt;0,IF(INDEX('Final Calculation Sheet'!$O$4:$O$40,$BJ9-3)="","",INDEX('Final Calculation Sheet'!$O$4:$O$40,$BJ9-3)),IF(OR($BI9=1,$BL9=1,$BH9&gt;0),IF($BI9=1,SUM('Final Calculation Sheet'!$O$4:$O$40),IF($BL9=1,SUM('Final Calculation Sheet'!$O$4:$O$40)-SUMIFS('Final Calculation Sheet'!$O$4:$O$40,$AZ$5:$AZ$41,10),SUMIFS('Final Calculation Sheet'!$O$4:$O$40,$AZ$5:$AZ$41,$BH9))),""))</f>
        <v/>
      </c>
      <c r="Q10" s="70">
        <f>IF($BJ9&gt;0,IF(INDEX('Final Calculation Sheet'!$P$4:$P$40,$BJ9-3)="","",INDEX('Final Calculation Sheet'!$P$4:$P$40,$BJ9-3)),IF(OR($BI9=1,$BL9=1,$BH9&gt;0),IF($BI9=1,SUM('Final Calculation Sheet'!$P$4:$P$40),IF($BL9=1,SUM('Final Calculation Sheet'!$P$4:$P$40)-SUMIFS('Final Calculation Sheet'!$P$4:$P$40,$AZ$5:$AZ$41,10),SUMIFS('Final Calculation Sheet'!$P$4:$P$40,$AZ$5:$AZ$41,$BH9))),""))</f>
        <v/>
      </c>
      <c r="R10" s="72">
        <f>IF($BJ9&gt;0,IF(INDEX('Final Calculation Sheet'!$Q$4:$Q$40,$BJ9-3)="","",INDEX('Final Calculation Sheet'!$Q$4:$Q$40,$BJ9-3)),IF(OR($BI9=1,$BL9=1,$BH9&gt;0),"–",""))</f>
        <v/>
      </c>
      <c r="S10" s="70">
        <f>IF($BJ9&gt;0,IF(INDEX('Final Calculation Sheet'!$R$4:$R$40,$BJ9-3)="","",INDEX('Final Calculation Sheet'!$R$4:$R$40,$BJ9-3)),IF(OR($BI9=1,$BL9=1,$BH9&gt;0),IF($BI9=1,SUM('Final Calculation Sheet'!$R$4:$R$40),IF($BL9=1,SUM('Final Calculation Sheet'!$R$4:$R$40)-SUMIFS('Final Calculation Sheet'!$R$4:$R$40,$AZ$5:$AZ$41,10),SUMIFS('Final Calculation Sheet'!$R$4:$R$40,$AZ$5:$AZ$41,$BH9))),""))</f>
        <v/>
      </c>
      <c r="T10" s="70">
        <f>IF($BJ9&gt;0,IF(INDEX('Final Calculation Sheet'!$S$4:$S$40,$BJ9-3)="","",INDEX('Final Calculation Sheet'!$S$4:$S$40,$BJ9-3)),IF(OR($BI9=1,$BL9=1,$BH9&gt;0),IF($BI9=1,SUM('Final Calculation Sheet'!$S$4:$S$40),IF($BL9=1,SUM('Final Calculation Sheet'!$S$4:$S$40)-SUMIFS('Final Calculation Sheet'!$S$4:$S$40,$AZ$5:$AZ$41,10),SUMIFS('Final Calculation Sheet'!$S$4:$S$40,$AZ$5:$AZ$41,$BH9))),""))</f>
        <v/>
      </c>
      <c r="U10" s="70">
        <f>IF($BJ9&gt;0,IF(INDEX('Final Calculation Sheet'!$T$4:$T$40,$BJ9-3)="","",INDEX('Final Calculation Sheet'!$T$4:$T$40,$BJ9-3)),IF(OR($BI9=1,$BL9=1,$BH9&gt;0),IF($BI9=1,SUM('Final Calculation Sheet'!$T$4:$T$40),IF($BL9=1,SUM('Final Calculation Sheet'!$T$4:$T$40)-SUMIFS('Final Calculation Sheet'!$T$4:$T$40,$AZ$5:$AZ$41,10),SUMIFS('Final Calculation Sheet'!$T$4:$T$40,$AZ$5:$AZ$41,$BH9))),""))</f>
        <v/>
      </c>
      <c r="V10" s="73">
        <f>IF($BJ9&gt;0,IF(INDEX('Final Calculation Sheet'!$U$4:$U$40,$BJ9-3)="","",INDEX('Final Calculation Sheet'!$U$4:$U$40,$BJ9-3)),IF(OR($BI9=1,$BL9=1,$BH9&gt;0),IF($BI9=1,SUM('Final Calculation Sheet'!$U$4:$U$40),IF($BL9=1,SUM('Final Calculation Sheet'!$U$4:$U$40)-SUMIFS('Final Calculation Sheet'!$U$4:$U$40,$AZ$5:$AZ$41,10),SUMIFS('Final Calculation Sheet'!$U$4:$U$40,$AZ$5:$AZ$41,$BH9))),""))</f>
        <v/>
      </c>
      <c r="W10" s="70">
        <f>IF($BJ9&gt;0,IF(INDEX('Final Calculation Sheet'!$V$4:$V$40,$BJ9-3)="","",INDEX('Final Calculation Sheet'!$V$4:$V$40,$BJ9-3)),IF(OR($BI9=1,$BL9=1,$BH9&gt;0),"–",""))</f>
        <v/>
      </c>
      <c r="X10" s="70">
        <f>IF($BJ9&gt;0,IF(INDEX('Final Calculation Sheet'!$W$4:$W$40,$BJ9-3)="","",INDEX('Final Calculation Sheet'!$W$4:$W$40,$BJ9-3)),IF(OR($BI9=1,$BL9=1,$BH9&gt;0),IF($BI9=1,SUM('Final Calculation Sheet'!$W$4:$W$40),IF($BL9=1,SUM('Final Calculation Sheet'!$W$4:$W$40)-SUMIFS('Final Calculation Sheet'!$W$4:$W$40,$AZ$5:$AZ$41,10),SUMIFS('Final Calculation Sheet'!$W$4:$W$40,$AZ$5:$AZ$41,$BH9))),""))</f>
        <v/>
      </c>
      <c r="Y10" s="70">
        <f>IF($BJ9&gt;0,IF(INDEX('Final Calculation Sheet'!$X$4:$X$40,$BJ9-3)="","",INDEX('Final Calculation Sheet'!$X$4:$X$40,$BJ9-3)),IF(OR($BI9=1,$BL9=1,$BH9&gt;0),IF($BI9=1,SUM('Final Calculation Sheet'!$X$4:$X$40),IF($BL9=1,SUM('Final Calculation Sheet'!$X$4:$X$40)-SUMIFS('Final Calculation Sheet'!$X$4:$X$40,$AZ$5:$AZ$41,10),SUMIFS('Final Calculation Sheet'!$X$4:$X$40,$AZ$5:$AZ$41,$BH9))),""))</f>
        <v/>
      </c>
      <c r="Z10" s="70">
        <f>IF($BJ9&gt;0,IF(INDEX('Final Calculation Sheet'!$Y$4:$Y$40,$BJ9-3)="","",INDEX('Final Calculation Sheet'!$Y$4:$Y$40,$BJ9-3)),IF(OR($BI9=1,$BL9=1,$BH9&gt;0),"–",""))</f>
        <v/>
      </c>
      <c r="AA10" s="70">
        <f>IF($BJ9&gt;0,IF(INDEX('Final Calculation Sheet'!$Z$4:$Z$40,$BJ9-3)="","",INDEX('Final Calculation Sheet'!$Z$4:$Z$40,$BJ9-3)),IF(OR($BI9=1,$BL9=1,$BH9&gt;0),IF($BI9=1,SUM('Final Calculation Sheet'!$Z$4:$Z$40),IF($BL9=1,SUM('Final Calculation Sheet'!$Z$4:$Z$40)-SUMIFS('Final Calculation Sheet'!$Z$4:$Z$40,$AZ$5:$AZ$41,10),SUMIFS('Final Calculation Sheet'!$Z$4:$Z$40,$AZ$5:$AZ$41,$BH9))),""))</f>
        <v/>
      </c>
      <c r="AB10" s="70">
        <f>IF($BJ9&gt;0,IF(INDEX('Final Calculation Sheet'!$AA$4:$AA$40,$BJ9-3)="","",INDEX('Final Calculation Sheet'!$AA$4:$AA$40,$BJ9-3)),IF(OR($BI9=1,$BL9=1,$BH9&gt;0),IF($BI9=1,SUM('Final Calculation Sheet'!$AA$4:$AA$40),IF($BL9=1,SUM('Final Calculation Sheet'!$AA$4:$AA$40)-SUMIFS('Final Calculation Sheet'!$AA$4:$AA$40,$AZ$5:$AZ$41,10),SUMIFS('Final Calculation Sheet'!$AA$4:$AA$40,$AZ$5:$AZ$41,$BH9))),""))</f>
        <v/>
      </c>
      <c r="AC10" s="70">
        <f>IF($BJ9&gt;0,IF(INDEX('Final Calculation Sheet'!$AB$4:$AB$40,$BJ9-3)="","",INDEX('Final Calculation Sheet'!$AB$4:$AB$40,$BJ9-3)),IF(OR($BI9=1,$BL9=1,$BH9&gt;0),"–",""))</f>
        <v/>
      </c>
      <c r="AD10" s="70">
        <f>IF($BJ9&gt;0,IF(INDEX('Final Calculation Sheet'!$AC$4:$AC$40,$BJ9-3)="","",INDEX('Final Calculation Sheet'!$AC$4:$AC$40,$BJ9-3)),IF(OR($BI9=1,$BL9=1,$BH9&gt;0),IF($BI9=1,SUM('Final Calculation Sheet'!$AC$4:$AC$40),IF($BL9=1,SUM('Final Calculation Sheet'!$AC$4:$AC$40)-SUMIFS('Final Calculation Sheet'!$AC$4:$AC$40,$AZ$5:$AZ$41,10),SUMIFS('Final Calculation Sheet'!$AC$4:$AC$40,$AZ$5:$AZ$41,$BH9))),""))</f>
        <v/>
      </c>
      <c r="AE10" s="70">
        <f>IF($BJ9&gt;0,IF(INDEX('Final Calculation Sheet'!$AD$4:$AD$40,$BJ9-3)="","",INDEX('Final Calculation Sheet'!$AD$4:$AD$40,$BJ9-3)),IF(OR($BI9=1,$BL9=1,$BH9&gt;0),IF($BI9=1,SUM('Final Calculation Sheet'!$AD$4:$AD$40),IF($BL9=1,SUM('Final Calculation Sheet'!$AD$4:$AD$40)-SUMIFS('Final Calculation Sheet'!$AD$4:$AD$40,$AZ$5:$AZ$41,10),SUMIFS('Final Calculation Sheet'!$AD$4:$AD$40,$AZ$5:$AZ$41,$BH9))),""))</f>
        <v/>
      </c>
      <c r="AF10" s="70">
        <f>IF($BJ9&gt;0,IF(INDEX('Final Calculation Sheet'!$AE$4:$AE$40,$BJ9-3)="","",INDEX('Final Calculation Sheet'!$AE$4:$AE$40,$BJ9-3)),IF(OR($BI9=1,$BL9=1,$BH9&gt;0),"–",""))</f>
        <v/>
      </c>
      <c r="AG10" s="74">
        <f>IF($BJ9&gt;0,IF(INDEX('Final Calculation Sheet'!$AF$4:$AF$40,$BJ9-3)="","",INDEX('Final Calculation Sheet'!$AF$4:$AF$40,$BJ9-3)),IF(OR($BI9=1,$BL9=1,$BH9&gt;0),"–",""))</f>
        <v/>
      </c>
      <c r="AH10" s="70">
        <f>IF($BJ9&gt;0,IF(INDEX('Final Calculation Sheet'!$AG$4:$AG$40,$BJ9-3)="","",INDEX('Final Calculation Sheet'!$AG$4:$AG$40,$BJ9-3)),IF(OR($BI9=1,$BL9=1,$BH9&gt;0),"–",""))</f>
        <v/>
      </c>
      <c r="AI10" s="75">
        <f>IF($BJ9&gt;0,IF(INDEX('Final Calculation Sheet'!$AD$4:$AD$40,$BJ9-3)="","",IF(INDEX('Final Calculation Sheet'!$AD$4:$AD$40,$BJ9-3)&lt;=0,"SETTLED","OUTSTANDING")),IF(OR($BI9=1,$BL9=1,$BH9&gt;0),IF(IF($BI9=1,SUM('Final Calculation Sheet'!$AD$4:$AD$40),IF($BL9=1,SUM('Final Calculation Sheet'!$AD$4:$AD$40)-SUMIFS('Final Calculation Sheet'!$AD$4:$AD$40,$AZ$5:$AZ$41,10),SUMIFS('Final Calculation Sheet'!$AD$4:$AD$40,$AZ$5:$AZ$41,$BH9)))&lt;=0,"ALL SETTLED","OUTSTANDING"),""))</f>
        <v/>
      </c>
      <c r="AK10">
        <f>IF($F$3="Lot No.",'Final Calculation Sheet'!$F$9,IF($F$3="Buyer",'Final Calculation Sheet'!$G$9,IF($F$3="Lot Name",'Final Calculation Sheet'!$B$9,IF($F$3="Bid Sheet",'Final Calculation Sheet'!$D$9,IF($F$3="Unit",'Final Calculation Sheet'!$E$9,'Final Calculation Sheet'!$F$9&amp;" "&amp;'Final Calculation Sheet'!$G$9&amp;" "&amp;'Final Calculation Sheet'!$B$9)))))</f>
        <v/>
      </c>
      <c r="AM10">
        <f>IF(COUNTIF($BM10:$CU10,0)&gt;0,0,IF($B$3="",1,IF(AND(IF(COUNTIF($AR$9:$AY$9,1)=0,TRUE,SUMPRODUCT(($AR$9:$AY$9=1)*($AR$6:$AY$6&lt;&gt;"")*ISNUMBER(SEARCH($AR$6:$AY$6,$AK10)))&gt;0),IF(COUNTIF($AR$9:$AY$9,2)=0,TRUE,SUMPRODUCT(($AR$9:$AY$9=2)*($AR$6:$AY$6&lt;&gt;"")*ISNUMBER(SEARCH($AR$6:$AY$6,$AK10)))&gt;0),IF(COUNTIF($AR$9:$AY$9,3)=0,TRUE,SUMPRODUCT(($AR$9:$AY$9=3)*($AR$6:$AY$6&lt;&gt;"")*ISNUMBER(SEARCH($AR$6:$AY$6,$AK10)))&gt;0),IF(COUNTIF($AR$9:$AY$9,4)=0,TRUE,SUMPRODUCT(($AR$9:$AY$9=4)*($AR$6:$AY$6&lt;&gt;"")*ISNUMBER(SEARCH($AR$6:$AY$6,$AK10)))&gt;0),IF(COUNTIF($AR$9:$AY$9,5)=0,TRUE,SUMPRODUCT(($AR$9:$AY$9=5)*($AR$6:$AY$6&lt;&gt;"")*ISNUMBER(SEARCH($AR$6:$AY$6,$AK10)))&gt;0),IF(COUNTIF($AR$9:$AY$9,6)=0,TRUE,SUMPRODUCT(($AR$9:$AY$9=6)*($AR$6:$AY$6&lt;&gt;"")*ISNUMBER(SEARCH($AR$6:$AY$6,$AK10)))&gt;0),IF(COUNTIF($AR$9:$AY$9,7)=0,TRUE,SUMPRODUCT(($AR$9:$AY$9=7)*($AR$6:$AY$6&lt;&gt;"")*ISNUMBER(SEARCH($AR$6:$AY$6,$AK10)))&gt;0),IF(COUNTIF($AR$9:$AY$9,8)=0,TRUE,SUMPRODUCT(($AR$9:$AY$9=8)*($AR$6:$AY$6&lt;&gt;"")*ISNUMBER(SEARCH($AR$6:$AY$6,$AK10)))&gt;0)),1,0)))</f>
        <v/>
      </c>
      <c r="AZ10">
        <f>IF($B$3="",IF(COUNTIF($A$4:$AI$4,"&lt;&gt;")=0,9,IF($AM10=1,9,10)),IF($AM10=0,10,IF(AND($AR$6&lt;&gt;"",ISNUMBER(SEARCH($AR$6,$AK10))),1,IF(AND($AS$6&lt;&gt;"",ISNUMBER(SEARCH($AS$6,$AK10))),2,IF(AND($AT$6&lt;&gt;"",ISNUMBER(SEARCH($AT$6,$AK10))),3,IF(AND($AU$6&lt;&gt;"",ISNUMBER(SEARCH($AU$6,$AK10))),4,IF(AND($AV$6&lt;&gt;"",ISNUMBER(SEARCH($AV$6,$AK10))),5,IF(AND($AW$6&lt;&gt;"",ISNUMBER(SEARCH($AW$6,$AK10))),6,IF(AND($AX$6&lt;&gt;"",ISNUMBER(SEARCH($AX$6,$AK10))),7,IF(AND($AY$6&lt;&gt;"",ISNUMBER(SEARCH($AY$6,$AK10))),8,0))))))))))</f>
        <v/>
      </c>
      <c r="BA10">
        <f>SUMPRODUCT(($AZ$5:$AZ$41=$AZ10)*($BC$5:$BC$41&lt;$BC10))+1</f>
        <v/>
      </c>
      <c r="BB10">
        <f>IF(INDEX($BF$4:$BF$13,$AZ10)=0,0,INDEX($BE$4:$BE$13,$AZ10)+$BA10-1)</f>
        <v/>
      </c>
      <c r="BC10" t="n">
        <v>9</v>
      </c>
      <c r="BD10">
        <f>COUNTIF($AZ$5:$AZ$41,7)</f>
        <v/>
      </c>
      <c r="BE10">
        <f>IF($BD9=0,$BE9,$BF9+1)</f>
        <v/>
      </c>
      <c r="BF10">
        <f>IF($BD10=0,0,$BE10+$BD10)</f>
        <v/>
      </c>
      <c r="BH10">
        <f>IFERROR(MATCH(10,$BF$4:$BF$13,0),0)</f>
        <v/>
      </c>
      <c r="BI10">
        <f>IF(10=$BG$5,1,0)</f>
        <v/>
      </c>
      <c r="BJ10">
        <f>IF(OR($BH10&gt;0,$BI10=1,$BL10=1),0,IFERROR(INDEX($BC$5:$BC$41,MATCH(10,$BB$5:$BB$41,0)),0))</f>
        <v/>
      </c>
      <c r="BK10">
        <f>IF($BJ10&gt;0,IF(INDEX($AZ$5:$AZ$41,MATCH(10,$BB$5:$BB$41,0))=10,1,0),IF($BH10=10,1,0))</f>
        <v/>
      </c>
      <c r="BL10">
        <f>IF(10=$BG$4,1,0)</f>
        <v/>
      </c>
      <c r="BM1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0">
        <f>IF($B$4="",1,--(OR(SUMPRODUCT(--(TRIM(MID(SUBSTITUTE(SUBSTITUTE($B$4,"/",","),",",REPT(" ",99)),(ROW($1:$8)-1)*99+1,99))&lt;&gt;""),--ISNUMBER(SEARCH(TRIM(MID(SUBSTITUTE(SUBSTITUTE($B$4,"/",","),",",REPT(" ",99)),(ROW($1:$8)-1)*99+1,99)),IFERROR(('Final Calculation Sheet'!$F$9)&amp;"",""))))&gt;0,AND(ISNUMBER(SEARCH("blank",$B$4)),NOT(ISNUMBER(SEARCH("nonblank",$B$4))),IFERROR(('Final Calculation Sheet'!$F$9)&amp;"","")=""),AND(OR(ISNUMBER(SEARCH("nonblank",$B$4)),ISNUMBER(SEARCH("&lt;&gt;",$B$4))),IFERROR(('Final Calculation Sheet'!$F$9)&amp;"","")&lt;&gt;""),AND(TRIM($B$4)="",IFERROR(('Final Calculation Sheet'!$F$9)&amp;"","")=""))))</f>
        <v/>
      </c>
      <c r="BO10">
        <f>IF($C$4="",1,--(OR(SUMPRODUCT(--(TRIM(MID(SUBSTITUTE(SUBSTITUTE($C$4,"/",","),",",REPT(" ",99)),(ROW($1:$8)-1)*99+1,99))&lt;&gt;""),--ISNUMBER(SEARCH(TRIM(MID(SUBSTITUTE(SUBSTITUTE($C$4,"/",","),",",REPT(" ",99)),(ROW($1:$8)-1)*99+1,99)),IFERROR(('Final Calculation Sheet'!$G$9)&amp;"",""))))&gt;0,AND(ISNUMBER(SEARCH("blank",$C$4)),NOT(ISNUMBER(SEARCH("nonblank",$C$4))),IFERROR(('Final Calculation Sheet'!$G$9)&amp;"","")=""),AND(OR(ISNUMBER(SEARCH("nonblank",$C$4)),ISNUMBER(SEARCH("&lt;&gt;",$C$4))),IFERROR(('Final Calculation Sheet'!$G$9)&amp;"","")&lt;&gt;""),AND(TRIM($C$4)="",IFERROR(('Final Calculation Sheet'!$G$9)&amp;"","")=""))))</f>
        <v/>
      </c>
      <c r="BP10">
        <f>IF($D$4="",1,--(OR(SUMPRODUCT(--(TRIM(MID(SUBSTITUTE(SUBSTITUTE($D$4,"/",","),",",REPT(" ",99)),(ROW($1:$8)-1)*99+1,99))&lt;&gt;""),--ISNUMBER(SEARCH(TRIM(MID(SUBSTITUTE(SUBSTITUTE($D$4,"/",","),",",REPT(" ",99)),(ROW($1:$8)-1)*99+1,99)),IFERROR(('Final Calculation Sheet'!$B$9)&amp;"",""))))&gt;0,AND(ISNUMBER(SEARCH("blank",$D$4)),NOT(ISNUMBER(SEARCH("nonblank",$D$4))),IFERROR(('Final Calculation Sheet'!$B$9)&amp;"","")=""),AND(OR(ISNUMBER(SEARCH("nonblank",$D$4)),ISNUMBER(SEARCH("&lt;&gt;",$D$4))),IFERROR(('Final Calculation Sheet'!$B$9)&amp;"","")&lt;&gt;""),AND(TRIM($D$4)="",IFERROR(('Final Calculation Sheet'!$B$9)&amp;"","")=""))))</f>
        <v/>
      </c>
      <c r="BQ10">
        <f>IF($E$4="",1,--(OR(SUMPRODUCT(--(TRIM(MID(SUBSTITUTE(SUBSTITUTE($E$4,"/",","),",",REPT(" ",99)),(ROW($1:$8)-1)*99+1,99))&lt;&gt;""),--ISNUMBER(SEARCH(TRIM(MID(SUBSTITUTE(SUBSTITUTE($E$4,"/",","),",",REPT(" ",99)),(ROW($1:$8)-1)*99+1,99)),IFERROR(('Final Calculation Sheet'!$D$9)&amp;"",""))))&gt;0,AND(ISNUMBER(SEARCH("blank",$E$4)),NOT(ISNUMBER(SEARCH("nonblank",$E$4))),IFERROR(('Final Calculation Sheet'!$D$9)&amp;"","")=""),AND(OR(ISNUMBER(SEARCH("nonblank",$E$4)),ISNUMBER(SEARCH("&lt;&gt;",$E$4))),IFERROR(('Final Calculation Sheet'!$D$9)&amp;"","")&lt;&gt;""),AND(TRIM($E$4)="",IFERROR(('Final Calculation Sheet'!$D$9)&amp;"","")=""))))</f>
        <v/>
      </c>
      <c r="BR10">
        <f>IF($F$4="",1,--(OR(SUMPRODUCT(--(TRIM(MID(SUBSTITUTE(SUBSTITUTE($F$4,"/",","),",",REPT(" ",99)),(ROW($1:$8)-1)*99+1,99))&lt;&gt;""),--ISNUMBER(SEARCH(TRIM(MID(SUBSTITUTE(SUBSTITUTE($F$4,"/",","),",",REPT(" ",99)),(ROW($1:$8)-1)*99+1,99)),IFERROR(('Final Calculation Sheet'!$A$9)&amp;"",""))))&gt;0,AND(ISNUMBER(SEARCH("blank",$F$4)),NOT(ISNUMBER(SEARCH("nonblank",$F$4))),IFERROR(('Final Calculation Sheet'!$A$9)&amp;"","")=""),AND(OR(ISNUMBER(SEARCH("nonblank",$F$4)),ISNUMBER(SEARCH("&lt;&gt;",$F$4))),IFERROR(('Final Calculation Sheet'!$A$9)&amp;"","")&lt;&gt;""),AND(TRIM($F$4)="",IFERROR(('Final Calculation Sheet'!$A$9)&amp;"","")=""))))</f>
        <v/>
      </c>
      <c r="BS10">
        <f>IF($G$4="",1,--(OR(SUMPRODUCT(--(TRIM(MID(SUBSTITUTE(SUBSTITUTE($G$4,"/",","),",",REPT(" ",99)),(ROW($1:$8)-1)*99+1,99))&lt;&gt;""),--ISNUMBER(SEARCH(TRIM(MID(SUBSTITUTE(SUBSTITUTE($G$4,"/",","),",",REPT(" ",99)),(ROW($1:$8)-1)*99+1,99)),IFERROR(('Final Calculation Sheet'!$E$9)&amp;"",""))))&gt;0,AND(ISNUMBER(SEARCH("blank",$G$4)),NOT(ISNUMBER(SEARCH("nonblank",$G$4))),IFERROR(('Final Calculation Sheet'!$E$9)&amp;"","")=""),AND(OR(ISNUMBER(SEARCH("nonblank",$G$4)),ISNUMBER(SEARCH("&lt;&gt;",$G$4))),IFERROR(('Final Calculation Sheet'!$E$9)&amp;"","")&lt;&gt;""),AND(TRIM($G$4)="",IFERROR(('Final Calculation Sheet'!$E$9)&amp;"","")=""))))</f>
        <v/>
      </c>
      <c r="BT10">
        <f>IF($H$4="",1,--(OR(SUMPRODUCT(--(TRIM(MID(SUBSTITUTE(SUBSTITUTE($H$4,"/",","),",",REPT(" ",99)),(ROW($1:$8)-1)*99+1,99))&lt;&gt;""),--ISNUMBER(SEARCH(TRIM(MID(SUBSTITUTE(SUBSTITUTE($H$4,"/",","),",",REPT(" ",99)),(ROW($1:$8)-1)*99+1,99)),IFERROR(('Final Calculation Sheet'!$C$9)&amp;"",""))))&gt;0,AND(ISNUMBER(SEARCH("blank",$H$4)),NOT(ISNUMBER(SEARCH("nonblank",$H$4))),IFERROR(('Final Calculation Sheet'!$C$9)&amp;"","")=""),AND(OR(ISNUMBER(SEARCH("nonblank",$H$4)),ISNUMBER(SEARCH("&lt;&gt;",$H$4))),IFERROR(('Final Calculation Sheet'!$C$9)&amp;"","")&lt;&gt;""),AND(TRIM($H$4)="",IFERROR(('Final Calculation Sheet'!$C$9)&amp;"","")=""))))</f>
        <v/>
      </c>
      <c r="BU10">
        <f>IF($I$4="",1,--(OR(SUMPRODUCT(--(TRIM(MID(SUBSTITUTE(SUBSTITUTE($I$4,"/",","),",",REPT(" ",99)),(ROW($1:$8)-1)*99+1,99))&lt;&gt;""),--ISNUMBER(SEARCH(TRIM(MID(SUBSTITUTE(SUBSTITUTE($I$4,"/",","),",",REPT(" ",99)),(ROW($1:$8)-1)*99+1,99)),IFERROR(('Final Calculation Sheet'!$H$9)&amp;"",""))))&gt;0,AND(ISNUMBER(SEARCH("blank",$I$4)),NOT(ISNUMBER(SEARCH("nonblank",$I$4))),IFERROR(('Final Calculation Sheet'!$H$9)&amp;"","")=""),AND(OR(ISNUMBER(SEARCH("nonblank",$I$4)),ISNUMBER(SEARCH("&lt;&gt;",$I$4))),IFERROR(('Final Calculation Sheet'!$H$9)&amp;"","")&lt;&gt;""),AND(TRIM($I$4)="",IFERROR(('Final Calculation Sheet'!$H$9)&amp;"","")=""))))</f>
        <v/>
      </c>
      <c r="BV10">
        <f>IF($J$4="",1,--(OR(SUMPRODUCT(--(TRIM(MID(SUBSTITUTE(SUBSTITUTE($J$4,"/",","),",",REPT(" ",99)),(ROW($1:$8)-1)*99+1,99))&lt;&gt;""),--ISNUMBER(SEARCH(TRIM(MID(SUBSTITUTE(SUBSTITUTE($J$4,"/",","),",",REPT(" ",99)),(ROW($1:$8)-1)*99+1,99)),IFERROR(('Final Calculation Sheet'!$I$9)&amp;"",""))))&gt;0,AND(ISNUMBER(SEARCH("blank",$J$4)),NOT(ISNUMBER(SEARCH("nonblank",$J$4))),IFERROR(('Final Calculation Sheet'!$I$9)&amp;"","")=""),AND(OR(ISNUMBER(SEARCH("nonblank",$J$4)),ISNUMBER(SEARCH("&lt;&gt;",$J$4))),IFERROR(('Final Calculation Sheet'!$I$9)&amp;"","")&lt;&gt;""),AND(TRIM($J$4)="",IFERROR(('Final Calculation Sheet'!$I$9)&amp;"","")=""))))</f>
        <v/>
      </c>
      <c r="BW10">
        <f>IF($K$4="",1,--(OR(SUMPRODUCT(--(TRIM(MID(SUBSTITUTE(SUBSTITUTE($K$4,"/",","),",",REPT(" ",99)),(ROW($1:$8)-1)*99+1,99))&lt;&gt;""),--ISNUMBER(SEARCH(TRIM(MID(SUBSTITUTE(SUBSTITUTE($K$4,"/",","),",",REPT(" ",99)),(ROW($1:$8)-1)*99+1,99)),IFERROR(('Final Calculation Sheet'!$J$9)&amp;"",""))))&gt;0,AND(ISNUMBER(SEARCH("blank",$K$4)),NOT(ISNUMBER(SEARCH("nonblank",$K$4))),IFERROR(('Final Calculation Sheet'!$J$9)&amp;"","")=""),AND(OR(ISNUMBER(SEARCH("nonblank",$K$4)),ISNUMBER(SEARCH("&lt;&gt;",$K$4))),IFERROR(('Final Calculation Sheet'!$J$9)&amp;"","")&lt;&gt;""),AND(TRIM($K$4)="",IFERROR(('Final Calculation Sheet'!$J$9)&amp;"","")=""))))</f>
        <v/>
      </c>
      <c r="BX10">
        <f>IF($L$4="",1,--(OR(SUMPRODUCT(--(TRIM(MID(SUBSTITUTE(SUBSTITUTE($L$4,"/",","),",",REPT(" ",99)),(ROW($1:$8)-1)*99+1,99))&lt;&gt;""),--ISNUMBER(SEARCH(TRIM(MID(SUBSTITUTE(SUBSTITUTE($L$4,"/",","),",",REPT(" ",99)),(ROW($1:$8)-1)*99+1,99)),IFERROR(('Final Calculation Sheet'!$K$9)&amp;"",""))))&gt;0,AND(ISNUMBER(SEARCH("blank",$L$4)),NOT(ISNUMBER(SEARCH("nonblank",$L$4))),IFERROR(('Final Calculation Sheet'!$K$9)&amp;"","")=""),AND(OR(ISNUMBER(SEARCH("nonblank",$L$4)),ISNUMBER(SEARCH("&lt;&gt;",$L$4))),IFERROR(('Final Calculation Sheet'!$K$9)&amp;"","")&lt;&gt;""),AND(TRIM($L$4)="",IFERROR(('Final Calculation Sheet'!$K$9)&amp;"","")=""))))</f>
        <v/>
      </c>
      <c r="BY10">
        <f>IF($M$4="",1,--(OR(SUMPRODUCT(--(TRIM(MID(SUBSTITUTE(SUBSTITUTE($M$4,"/",","),",",REPT(" ",99)),(ROW($1:$8)-1)*99+1,99))&lt;&gt;""),--ISNUMBER(SEARCH(TRIM(MID(SUBSTITUTE(SUBSTITUTE($M$4,"/",","),",",REPT(" ",99)),(ROW($1:$8)-1)*99+1,99)),IFERROR(('Final Calculation Sheet'!$L$9)&amp;"",""))))&gt;0,AND(ISNUMBER(SEARCH("blank",$M$4)),NOT(ISNUMBER(SEARCH("nonblank",$M$4))),IFERROR(('Final Calculation Sheet'!$L$9)&amp;"","")=""),AND(OR(ISNUMBER(SEARCH("nonblank",$M$4)),ISNUMBER(SEARCH("&lt;&gt;",$M$4))),IFERROR(('Final Calculation Sheet'!$L$9)&amp;"","")&lt;&gt;""),AND(TRIM($M$4)="",IFERROR(('Final Calculation Sheet'!$L$9)&amp;"","")=""))))</f>
        <v/>
      </c>
      <c r="BZ10">
        <f>IF($N$4="",1,--(OR(SUMPRODUCT(--(TRIM(MID(SUBSTITUTE(SUBSTITUTE($N$4,"/",","),",",REPT(" ",99)),(ROW($1:$8)-1)*99+1,99))&lt;&gt;""),--ISNUMBER(SEARCH(TRIM(MID(SUBSTITUTE(SUBSTITUTE($N$4,"/",","),",",REPT(" ",99)),(ROW($1:$8)-1)*99+1,99)),IFERROR(('Final Calculation Sheet'!$M$9)&amp;"",""))))&gt;0,AND(ISNUMBER(SEARCH("blank",$N$4)),NOT(ISNUMBER(SEARCH("nonblank",$N$4))),IFERROR(('Final Calculation Sheet'!$M$9)&amp;"","")=""),AND(OR(ISNUMBER(SEARCH("nonblank",$N$4)),ISNUMBER(SEARCH("&lt;&gt;",$N$4))),IFERROR(('Final Calculation Sheet'!$M$9)&amp;"","")&lt;&gt;""),AND(TRIM($N$4)="",IFERROR(('Final Calculation Sheet'!$M$9)&amp;"","")=""))))</f>
        <v/>
      </c>
      <c r="CA10">
        <f>IF($O$4="",1,--(OR(SUMPRODUCT(--(TRIM(MID(SUBSTITUTE(SUBSTITUTE($O$4,"/",","),",",REPT(" ",99)),(ROW($1:$8)-1)*99+1,99))&lt;&gt;""),--ISNUMBER(SEARCH(TRIM(MID(SUBSTITUTE(SUBSTITUTE($O$4,"/",","),",",REPT(" ",99)),(ROW($1:$8)-1)*99+1,99)),IFERROR(('Final Calculation Sheet'!$N$9)&amp;"",""))))&gt;0,AND(ISNUMBER(SEARCH("blank",$O$4)),NOT(ISNUMBER(SEARCH("nonblank",$O$4))),IFERROR(('Final Calculation Sheet'!$N$9)&amp;"","")=""),AND(OR(ISNUMBER(SEARCH("nonblank",$O$4)),ISNUMBER(SEARCH("&lt;&gt;",$O$4))),IFERROR(('Final Calculation Sheet'!$N$9)&amp;"","")&lt;&gt;""),AND(TRIM($O$4)="",IFERROR(('Final Calculation Sheet'!$N$9)&amp;"","")=""))))</f>
        <v/>
      </c>
      <c r="CB10">
        <f>IF($P$4="",1,--(OR(SUMPRODUCT(--(TRIM(MID(SUBSTITUTE(SUBSTITUTE($P$4,"/",","),",",REPT(" ",99)),(ROW($1:$8)-1)*99+1,99))&lt;&gt;""),--ISNUMBER(SEARCH(TRIM(MID(SUBSTITUTE(SUBSTITUTE($P$4,"/",","),",",REPT(" ",99)),(ROW($1:$8)-1)*99+1,99)),IFERROR(('Final Calculation Sheet'!$O$9)&amp;"",""))))&gt;0,AND(ISNUMBER(SEARCH("blank",$P$4)),NOT(ISNUMBER(SEARCH("nonblank",$P$4))),IFERROR(('Final Calculation Sheet'!$O$9)&amp;"","")=""),AND(OR(ISNUMBER(SEARCH("nonblank",$P$4)),ISNUMBER(SEARCH("&lt;&gt;",$P$4))),IFERROR(('Final Calculation Sheet'!$O$9)&amp;"","")&lt;&gt;""),AND(TRIM($P$4)="",IFERROR(('Final Calculation Sheet'!$O$9)&amp;"","")=""))))</f>
        <v/>
      </c>
      <c r="CC10">
        <f>IF($Q$4="",1,--(OR(SUMPRODUCT(--(TRIM(MID(SUBSTITUTE(SUBSTITUTE($Q$4,"/",","),",",REPT(" ",99)),(ROW($1:$8)-1)*99+1,99))&lt;&gt;""),--ISNUMBER(SEARCH(TRIM(MID(SUBSTITUTE(SUBSTITUTE($Q$4,"/",","),",",REPT(" ",99)),(ROW($1:$8)-1)*99+1,99)),IFERROR(('Final Calculation Sheet'!$P$9)&amp;"",""))))&gt;0,AND(ISNUMBER(SEARCH("blank",$Q$4)),NOT(ISNUMBER(SEARCH("nonblank",$Q$4))),IFERROR(('Final Calculation Sheet'!$P$9)&amp;"","")=""),AND(OR(ISNUMBER(SEARCH("nonblank",$Q$4)),ISNUMBER(SEARCH("&lt;&gt;",$Q$4))),IFERROR(('Final Calculation Sheet'!$P$9)&amp;"","")&lt;&gt;""),AND(TRIM($Q$4)="",IFERROR(('Final Calculation Sheet'!$P$9)&amp;"","")=""))))</f>
        <v/>
      </c>
      <c r="CD10">
        <f>IF($R$4="",1,--(OR(SUMPRODUCT(--(TRIM(MID(SUBSTITUTE(SUBSTITUTE($R$4,"/",","),",",REPT(" ",99)),(ROW($1:$8)-1)*99+1,99))&lt;&gt;""),--ISNUMBER(SEARCH(TRIM(MID(SUBSTITUTE(SUBSTITUTE($R$4,"/",","),",",REPT(" ",99)),(ROW($1:$8)-1)*99+1,99)),IFERROR(('Final Calculation Sheet'!$Q$9)&amp;"",""))))&gt;0,AND(ISNUMBER(SEARCH("blank",$R$4)),NOT(ISNUMBER(SEARCH("nonblank",$R$4))),IFERROR(('Final Calculation Sheet'!$Q$9)&amp;"","")=""),AND(OR(ISNUMBER(SEARCH("nonblank",$R$4)),ISNUMBER(SEARCH("&lt;&gt;",$R$4))),IFERROR(('Final Calculation Sheet'!$Q$9)&amp;"","")&lt;&gt;""),AND(TRIM($R$4)="",IFERROR(('Final Calculation Sheet'!$Q$9)&amp;"","")=""))))</f>
        <v/>
      </c>
      <c r="CE10">
        <f>IF($S$4="",1,--(OR(SUMPRODUCT(--(TRIM(MID(SUBSTITUTE(SUBSTITUTE($S$4,"/",","),",",REPT(" ",99)),(ROW($1:$8)-1)*99+1,99))&lt;&gt;""),--ISNUMBER(SEARCH(TRIM(MID(SUBSTITUTE(SUBSTITUTE($S$4,"/",","),",",REPT(" ",99)),(ROW($1:$8)-1)*99+1,99)),IFERROR(('Final Calculation Sheet'!$R$9)&amp;"",""))))&gt;0,AND(ISNUMBER(SEARCH("blank",$S$4)),NOT(ISNUMBER(SEARCH("nonblank",$S$4))),IFERROR(('Final Calculation Sheet'!$R$9)&amp;"","")=""),AND(OR(ISNUMBER(SEARCH("nonblank",$S$4)),ISNUMBER(SEARCH("&lt;&gt;",$S$4))),IFERROR(('Final Calculation Sheet'!$R$9)&amp;"","")&lt;&gt;""),AND(TRIM($S$4)="",IFERROR(('Final Calculation Sheet'!$R$9)&amp;"","")=""))))</f>
        <v/>
      </c>
      <c r="CF10">
        <f>IF($T$4="",1,--(OR(SUMPRODUCT(--(TRIM(MID(SUBSTITUTE(SUBSTITUTE($T$4,"/",","),",",REPT(" ",99)),(ROW($1:$8)-1)*99+1,99))&lt;&gt;""),--ISNUMBER(SEARCH(TRIM(MID(SUBSTITUTE(SUBSTITUTE($T$4,"/",","),",",REPT(" ",99)),(ROW($1:$8)-1)*99+1,99)),IFERROR(('Final Calculation Sheet'!$S$9)&amp;"",""))))&gt;0,AND(ISNUMBER(SEARCH("blank",$T$4)),NOT(ISNUMBER(SEARCH("nonblank",$T$4))),IFERROR(('Final Calculation Sheet'!$S$9)&amp;"","")=""),AND(OR(ISNUMBER(SEARCH("nonblank",$T$4)),ISNUMBER(SEARCH("&lt;&gt;",$T$4))),IFERROR(('Final Calculation Sheet'!$S$9)&amp;"","")&lt;&gt;""),AND(TRIM($T$4)="",IFERROR(('Final Calculation Sheet'!$S$9)&amp;"","")=""))))</f>
        <v/>
      </c>
      <c r="CG10">
        <f>IF($U$4="",1,--(OR(SUMPRODUCT(--(TRIM(MID(SUBSTITUTE(SUBSTITUTE($U$4,"/",","),",",REPT(" ",99)),(ROW($1:$8)-1)*99+1,99))&lt;&gt;""),--ISNUMBER(SEARCH(TRIM(MID(SUBSTITUTE(SUBSTITUTE($U$4,"/",","),",",REPT(" ",99)),(ROW($1:$8)-1)*99+1,99)),IFERROR(('Final Calculation Sheet'!$T$9)&amp;"",""))))&gt;0,AND(ISNUMBER(SEARCH("blank",$U$4)),NOT(ISNUMBER(SEARCH("nonblank",$U$4))),IFERROR(('Final Calculation Sheet'!$T$9)&amp;"","")=""),AND(OR(ISNUMBER(SEARCH("nonblank",$U$4)),ISNUMBER(SEARCH("&lt;&gt;",$U$4))),IFERROR(('Final Calculation Sheet'!$T$9)&amp;"","")&lt;&gt;""),AND(TRIM($U$4)="",IFERROR(('Final Calculation Sheet'!$T$9)&amp;"","")=""))))</f>
        <v/>
      </c>
      <c r="CH10">
        <f>IF($V$4="",1,--(OR(SUMPRODUCT(--(TRIM(MID(SUBSTITUTE(SUBSTITUTE($V$4,"/",","),",",REPT(" ",99)),(ROW($1:$8)-1)*99+1,99))&lt;&gt;""),--ISNUMBER(SEARCH(TRIM(MID(SUBSTITUTE(SUBSTITUTE($V$4,"/",","),",",REPT(" ",99)),(ROW($1:$8)-1)*99+1,99)),IFERROR(('Final Calculation Sheet'!$U$9)&amp;"",""))))&gt;0,AND(ISNUMBER(SEARCH("blank",$V$4)),NOT(ISNUMBER(SEARCH("nonblank",$V$4))),IFERROR(('Final Calculation Sheet'!$U$9)&amp;"","")=""),AND(OR(ISNUMBER(SEARCH("nonblank",$V$4)),ISNUMBER(SEARCH("&lt;&gt;",$V$4))),IFERROR(('Final Calculation Sheet'!$U$9)&amp;"","")&lt;&gt;""),AND(TRIM($V$4)="",IFERROR(('Final Calculation Sheet'!$U$9)&amp;"","")=""))))</f>
        <v/>
      </c>
      <c r="CI10">
        <f>IF($W$4="",1,--(OR(SUMPRODUCT(--(TRIM(MID(SUBSTITUTE(SUBSTITUTE($W$4,"/",","),",",REPT(" ",99)),(ROW($1:$8)-1)*99+1,99))&lt;&gt;""),--ISNUMBER(SEARCH(TRIM(MID(SUBSTITUTE(SUBSTITUTE($W$4,"/",","),",",REPT(" ",99)),(ROW($1:$8)-1)*99+1,99)),IFERROR(('Final Calculation Sheet'!$V$9)&amp;"",""))))&gt;0,AND(ISNUMBER(SEARCH("blank",$W$4)),NOT(ISNUMBER(SEARCH("nonblank",$W$4))),IFERROR(('Final Calculation Sheet'!$V$9)&amp;"","")=""),AND(OR(ISNUMBER(SEARCH("nonblank",$W$4)),ISNUMBER(SEARCH("&lt;&gt;",$W$4))),IFERROR(('Final Calculation Sheet'!$V$9)&amp;"","")&lt;&gt;""),AND(TRIM($W$4)="",IFERROR(('Final Calculation Sheet'!$V$9)&amp;"","")=""))))</f>
        <v/>
      </c>
      <c r="CJ10">
        <f>IF($X$4="",1,--(OR(SUMPRODUCT(--(TRIM(MID(SUBSTITUTE(SUBSTITUTE($X$4,"/",","),",",REPT(" ",99)),(ROW($1:$8)-1)*99+1,99))&lt;&gt;""),--ISNUMBER(SEARCH(TRIM(MID(SUBSTITUTE(SUBSTITUTE($X$4,"/",","),",",REPT(" ",99)),(ROW($1:$8)-1)*99+1,99)),IFERROR(('Final Calculation Sheet'!$W$9)&amp;"",""))))&gt;0,AND(ISNUMBER(SEARCH("blank",$X$4)),NOT(ISNUMBER(SEARCH("nonblank",$X$4))),IFERROR(('Final Calculation Sheet'!$W$9)&amp;"","")=""),AND(OR(ISNUMBER(SEARCH("nonblank",$X$4)),ISNUMBER(SEARCH("&lt;&gt;",$X$4))),IFERROR(('Final Calculation Sheet'!$W$9)&amp;"","")&lt;&gt;""),AND(TRIM($X$4)="",IFERROR(('Final Calculation Sheet'!$W$9)&amp;"","")=""))))</f>
        <v/>
      </c>
      <c r="CK10">
        <f>IF($Y$4="",1,--(OR(SUMPRODUCT(--(TRIM(MID(SUBSTITUTE(SUBSTITUTE($Y$4,"/",","),",",REPT(" ",99)),(ROW($1:$8)-1)*99+1,99))&lt;&gt;""),--ISNUMBER(SEARCH(TRIM(MID(SUBSTITUTE(SUBSTITUTE($Y$4,"/",","),",",REPT(" ",99)),(ROW($1:$8)-1)*99+1,99)),IFERROR(('Final Calculation Sheet'!$X$9)&amp;"",""))))&gt;0,AND(ISNUMBER(SEARCH("blank",$Y$4)),NOT(ISNUMBER(SEARCH("nonblank",$Y$4))),IFERROR(('Final Calculation Sheet'!$X$9)&amp;"","")=""),AND(OR(ISNUMBER(SEARCH("nonblank",$Y$4)),ISNUMBER(SEARCH("&lt;&gt;",$Y$4))),IFERROR(('Final Calculation Sheet'!$X$9)&amp;"","")&lt;&gt;""),AND(TRIM($Y$4)="",IFERROR(('Final Calculation Sheet'!$X$9)&amp;"","")=""))))</f>
        <v/>
      </c>
      <c r="CL10">
        <f>IF($Z$4="",1,--(OR(SUMPRODUCT(--(TRIM(MID(SUBSTITUTE(SUBSTITUTE($Z$4,"/",","),",",REPT(" ",99)),(ROW($1:$8)-1)*99+1,99))&lt;&gt;""),--ISNUMBER(SEARCH(TRIM(MID(SUBSTITUTE(SUBSTITUTE($Z$4,"/",","),",",REPT(" ",99)),(ROW($1:$8)-1)*99+1,99)),IFERROR(('Final Calculation Sheet'!$Y$9)&amp;"",""))))&gt;0,AND(ISNUMBER(SEARCH("blank",$Z$4)),NOT(ISNUMBER(SEARCH("nonblank",$Z$4))),IFERROR(('Final Calculation Sheet'!$Y$9)&amp;"","")=""),AND(OR(ISNUMBER(SEARCH("nonblank",$Z$4)),ISNUMBER(SEARCH("&lt;&gt;",$Z$4))),IFERROR(('Final Calculation Sheet'!$Y$9)&amp;"","")&lt;&gt;""),AND(TRIM($Z$4)="",IFERROR(('Final Calculation Sheet'!$Y$9)&amp;"","")=""))))</f>
        <v/>
      </c>
      <c r="CM10">
        <f>IF($AA$4="",1,--(OR(SUMPRODUCT(--(TRIM(MID(SUBSTITUTE(SUBSTITUTE($AA$4,"/",","),",",REPT(" ",99)),(ROW($1:$8)-1)*99+1,99))&lt;&gt;""),--ISNUMBER(SEARCH(TRIM(MID(SUBSTITUTE(SUBSTITUTE($AA$4,"/",","),",",REPT(" ",99)),(ROW($1:$8)-1)*99+1,99)),IFERROR(('Final Calculation Sheet'!$Z$9)&amp;"",""))))&gt;0,AND(ISNUMBER(SEARCH("blank",$AA$4)),NOT(ISNUMBER(SEARCH("nonblank",$AA$4))),IFERROR(('Final Calculation Sheet'!$Z$9)&amp;"","")=""),AND(OR(ISNUMBER(SEARCH("nonblank",$AA$4)),ISNUMBER(SEARCH("&lt;&gt;",$AA$4))),IFERROR(('Final Calculation Sheet'!$Z$9)&amp;"","")&lt;&gt;""),AND(TRIM($AA$4)="",IFERROR(('Final Calculation Sheet'!$Z$9)&amp;"","")=""))))</f>
        <v/>
      </c>
      <c r="CN10">
        <f>IF($AB$4="",1,--(OR(SUMPRODUCT(--(TRIM(MID(SUBSTITUTE(SUBSTITUTE($AB$4,"/",","),",",REPT(" ",99)),(ROW($1:$8)-1)*99+1,99))&lt;&gt;""),--ISNUMBER(SEARCH(TRIM(MID(SUBSTITUTE(SUBSTITUTE($AB$4,"/",","),",",REPT(" ",99)),(ROW($1:$8)-1)*99+1,99)),IFERROR(('Final Calculation Sheet'!$AA$9)&amp;"",""))))&gt;0,AND(ISNUMBER(SEARCH("blank",$AB$4)),NOT(ISNUMBER(SEARCH("nonblank",$AB$4))),IFERROR(('Final Calculation Sheet'!$AA$9)&amp;"","")=""),AND(OR(ISNUMBER(SEARCH("nonblank",$AB$4)),ISNUMBER(SEARCH("&lt;&gt;",$AB$4))),IFERROR(('Final Calculation Sheet'!$AA$9)&amp;"","")&lt;&gt;""),AND(TRIM($AB$4)="",IFERROR(('Final Calculation Sheet'!$AA$9)&amp;"","")=""))))</f>
        <v/>
      </c>
      <c r="CO10">
        <f>IF($AC$4="",1,--(OR(SUMPRODUCT(--(TRIM(MID(SUBSTITUTE(SUBSTITUTE($AC$4,"/",","),",",REPT(" ",99)),(ROW($1:$8)-1)*99+1,99))&lt;&gt;""),--ISNUMBER(SEARCH(TRIM(MID(SUBSTITUTE(SUBSTITUTE($AC$4,"/",","),",",REPT(" ",99)),(ROW($1:$8)-1)*99+1,99)),IFERROR(('Final Calculation Sheet'!$AB$9)&amp;"",""))))&gt;0,AND(ISNUMBER(SEARCH("blank",$AC$4)),NOT(ISNUMBER(SEARCH("nonblank",$AC$4))),IFERROR(('Final Calculation Sheet'!$AB$9)&amp;"","")=""),AND(OR(ISNUMBER(SEARCH("nonblank",$AC$4)),ISNUMBER(SEARCH("&lt;&gt;",$AC$4))),IFERROR(('Final Calculation Sheet'!$AB$9)&amp;"","")&lt;&gt;""),AND(TRIM($AC$4)="",IFERROR(('Final Calculation Sheet'!$AB$9)&amp;"","")=""))))</f>
        <v/>
      </c>
      <c r="CP10">
        <f>IF($AD$4="",1,--(OR(SUMPRODUCT(--(TRIM(MID(SUBSTITUTE(SUBSTITUTE($AD$4,"/",","),",",REPT(" ",99)),(ROW($1:$8)-1)*99+1,99))&lt;&gt;""),--ISNUMBER(SEARCH(TRIM(MID(SUBSTITUTE(SUBSTITUTE($AD$4,"/",","),",",REPT(" ",99)),(ROW($1:$8)-1)*99+1,99)),IFERROR(('Final Calculation Sheet'!$AC$9)&amp;"",""))))&gt;0,AND(ISNUMBER(SEARCH("blank",$AD$4)),NOT(ISNUMBER(SEARCH("nonblank",$AD$4))),IFERROR(('Final Calculation Sheet'!$AC$9)&amp;"","")=""),AND(OR(ISNUMBER(SEARCH("nonblank",$AD$4)),ISNUMBER(SEARCH("&lt;&gt;",$AD$4))),IFERROR(('Final Calculation Sheet'!$AC$9)&amp;"","")&lt;&gt;""),AND(TRIM($AD$4)="",IFERROR(('Final Calculation Sheet'!$AC$9)&amp;"","")=""))))</f>
        <v/>
      </c>
      <c r="CQ10">
        <f>IF($AE$4="",1,--(OR(SUMPRODUCT(--(TRIM(MID(SUBSTITUTE(SUBSTITUTE($AE$4,"/",","),",",REPT(" ",99)),(ROW($1:$8)-1)*99+1,99))&lt;&gt;""),--ISNUMBER(SEARCH(TRIM(MID(SUBSTITUTE(SUBSTITUTE($AE$4,"/",","),",",REPT(" ",99)),(ROW($1:$8)-1)*99+1,99)),IFERROR(('Final Calculation Sheet'!$AD$9)&amp;"",""))))&gt;0,AND(ISNUMBER(SEARCH("blank",$AE$4)),NOT(ISNUMBER(SEARCH("nonblank",$AE$4))),IFERROR(('Final Calculation Sheet'!$AD$9)&amp;"","")=""),AND(OR(ISNUMBER(SEARCH("nonblank",$AE$4)),ISNUMBER(SEARCH("&lt;&gt;",$AE$4))),IFERROR(('Final Calculation Sheet'!$AD$9)&amp;"","")&lt;&gt;""),AND(TRIM($AE$4)="",IFERROR(('Final Calculation Sheet'!$AD$9)&amp;"","")=""))))</f>
        <v/>
      </c>
      <c r="CR10">
        <f>IF($AF$4="",1,--(OR(SUMPRODUCT(--(TRIM(MID(SUBSTITUTE(SUBSTITUTE($AF$4,"/",","),",",REPT(" ",99)),(ROW($1:$8)-1)*99+1,99))&lt;&gt;""),--ISNUMBER(SEARCH(TRIM(MID(SUBSTITUTE(SUBSTITUTE($AF$4,"/",","),",",REPT(" ",99)),(ROW($1:$8)-1)*99+1,99)),IFERROR(('Final Calculation Sheet'!$AE$9)&amp;"",""))))&gt;0,AND(ISNUMBER(SEARCH("blank",$AF$4)),NOT(ISNUMBER(SEARCH("nonblank",$AF$4))),IFERROR(('Final Calculation Sheet'!$AE$9)&amp;"","")=""),AND(OR(ISNUMBER(SEARCH("nonblank",$AF$4)),ISNUMBER(SEARCH("&lt;&gt;",$AF$4))),IFERROR(('Final Calculation Sheet'!$AE$9)&amp;"","")&lt;&gt;""),AND(TRIM($AF$4)="",IFERROR(('Final Calculation Sheet'!$AE$9)&amp;"","")=""))))</f>
        <v/>
      </c>
      <c r="CS10">
        <f>IF($AG$4="",1,--(OR(SUMPRODUCT(--(TRIM(MID(SUBSTITUTE(SUBSTITUTE($AG$4,"/",","),",",REPT(" ",99)),(ROW($1:$8)-1)*99+1,99))&lt;&gt;""),--ISNUMBER(SEARCH(TRIM(MID(SUBSTITUTE(SUBSTITUTE($AG$4,"/",","),",",REPT(" ",99)),(ROW($1:$8)-1)*99+1,99)),IFERROR(('Final Calculation Sheet'!$AF$9)&amp;"",""))))&gt;0,AND(ISNUMBER(SEARCH("blank",$AG$4)),NOT(ISNUMBER(SEARCH("nonblank",$AG$4))),IFERROR(('Final Calculation Sheet'!$AF$9)&amp;"","")=""),AND(OR(ISNUMBER(SEARCH("nonblank",$AG$4)),ISNUMBER(SEARCH("&lt;&gt;",$AG$4))),IFERROR(('Final Calculation Sheet'!$AF$9)&amp;"","")&lt;&gt;""),AND(TRIM($AG$4)="",IFERROR(('Final Calculation Sheet'!$AF$9)&amp;"","")=""))))</f>
        <v/>
      </c>
      <c r="CT10">
        <f>IF($AH$4="",1,--(OR(SUMPRODUCT(--(TRIM(MID(SUBSTITUTE(SUBSTITUTE($AH$4,"/",","),",",REPT(" ",99)),(ROW($1:$8)-1)*99+1,99))&lt;&gt;""),--ISNUMBER(SEARCH(TRIM(MID(SUBSTITUTE(SUBSTITUTE($AH$4,"/",","),",",REPT(" ",99)),(ROW($1:$8)-1)*99+1,99)),IFERROR(('Final Calculation Sheet'!$AG$9)&amp;"",""))))&gt;0,AND(ISNUMBER(SEARCH("blank",$AH$4)),NOT(ISNUMBER(SEARCH("nonblank",$AH$4))),IFERROR(('Final Calculation Sheet'!$AG$9)&amp;"","")=""),AND(OR(ISNUMBER(SEARCH("nonblank",$AH$4)),ISNUMBER(SEARCH("&lt;&gt;",$AH$4))),IFERROR(('Final Calculation Sheet'!$AG$9)&amp;"","")&lt;&gt;""),AND(TRIM($AH$4)="",IFERROR(('Final Calculation Sheet'!$AG$9)&amp;"","")=""))))</f>
        <v/>
      </c>
      <c r="CU10">
        <f>IF($AI$4="",1,--(OR(SUMPRODUCT(--(TRIM(MID(SUBSTITUTE(SUBSTITUTE($AI$4,"/",","),",",REPT(" ",99)),(ROW($1:$8)-1)*99+1,99))&lt;&gt;""),--ISNUMBER(SEARCH(TRIM(MID(SUBSTITUTE(SUBSTITUTE($AI$4,"/",","),",",REPT(" ",99)),(ROW($1:$8)-1)*99+1,99)),IFERROR((IF('Final Calculation Sheet'!$AD$9&lt;=0,"SETTLED","OUTSTANDING"))&amp;"",""))))&gt;0,AND(ISNUMBER(SEARCH("blank",$AI$4)),NOT(ISNUMBER(SEARCH("nonblank",$AI$4))),IFERROR((IF('Final Calculation Sheet'!$AD$9&lt;=0,"SETTLED","OUTSTANDING"))&amp;"","")=""),AND(OR(ISNUMBER(SEARCH("nonblank",$AI$4)),ISNUMBER(SEARCH("&lt;&gt;",$AI$4))),IFERROR((IF('Final Calculation Sheet'!$AD$9&lt;=0,"SETTLED","OUTSTANDING"))&amp;"","")&lt;&gt;""),AND(TRIM($AI$4)="",IFERROR((IF('Final Calculation Sheet'!$AD$9&lt;=0,"SETTLED","OUTSTANDING"))&amp;"","")=""))))</f>
        <v/>
      </c>
    </row>
    <row r="11" ht="15" customHeight="1" s="77">
      <c r="A11" s="67">
        <f>IF($BJ10&gt;0,INDEX($BA$5:$BA$41,MATCH(10,$BB$5:$BB$41,0)),IF(OR($BI10=1,$BL10=1,$BH10&gt;0),"∑",""))</f>
        <v/>
      </c>
      <c r="B11" s="68">
        <f>IF($BJ10&gt;0,IF(INDEX('Final Calculation Sheet'!$F$4:$F$40,$BJ10-3)="","",INDEX('Final Calculation Sheet'!$F$4:$F$40,$BJ10-3)),"")</f>
        <v/>
      </c>
      <c r="C11" s="68">
        <f>IF($BJ10&gt;0,IF(INDEX('Final Calculation Sheet'!$G$4:$G$40,$BJ10-3)="","",INDEX('Final Calculation Sheet'!$G$4:$G$40,$BJ10-3)),IF(OR($BI10=1,$BL10=1,$BH10&gt;0),IF($BI10=1,37,IF($BL10=1,37-INDEX($BD$4:$BD$13,10),INDEX($BD$4:$BD$13,$BH10)))&amp;" lot(s)",""))</f>
        <v/>
      </c>
      <c r="D11" s="69">
        <f>IF($BJ10&gt;0,IF(INDEX('Final Calculation Sheet'!$B$4:$B$40,$BJ10-3)="","",INDEX('Final Calculation Sheet'!$B$4:$B$40,$BJ10-3)),IF(OR($BI10=1,$BL10=1,$BH10&gt;0),IF($BI10=1,"GRAND TOTAL  —  matching + remaining",IF($BL10=1,"TOTAL MATCHED  —  every group together",IF($BH10=10,"REMAINING  —  did not match the search",IF($BH10=9,IF(COUNTIF($A$4:$AI$4,"&lt;&gt;")&gt;0,"FILTERED LOTS  —  column fields","ALL LOTS  —  nothing typed in the box"),"GROUP "&amp;$BH10&amp;" TOTAL  —  lots matching  "&amp;INDEX($AR$6:$AY$6,$BH10))))),""))</f>
        <v/>
      </c>
      <c r="E11" s="69">
        <f>IF($BJ10&gt;0,IF(INDEX('Final Calculation Sheet'!$D$4:$D$40,$BJ10-3)="","",INDEX('Final Calculation Sheet'!$D$4:$D$40,$BJ10-3)),IF(OR($BI10=1,$BL10=1,$BH10&gt;0),"–",""))</f>
        <v/>
      </c>
      <c r="F11" s="69">
        <f>IF($BJ10&gt;0,IF(INDEX('Final Calculation Sheet'!$A$4:$A$40,$BJ10-3)="","",INDEX('Final Calculation Sheet'!$A$4:$A$40,$BJ10-3)),IF(OR($BI10=1,$BL10=1,$BH10&gt;0),IF($BI10=1,SUM('Final Calculation Sheet'!$A$4:$A$40),IF($BL10=1,SUM('Final Calculation Sheet'!$A$4:$A$40)-SUMIFS('Final Calculation Sheet'!$A$4:$A$40,$AZ$5:$AZ$41,10),SUMIFS('Final Calculation Sheet'!$A$4:$A$40,$AZ$5:$AZ$41,$BH10))),""))</f>
        <v/>
      </c>
      <c r="G11" s="69">
        <f>IF($BJ10&gt;0,IF(INDEX('Final Calculation Sheet'!$E$4:$E$40,$BJ10-3)="","",INDEX('Final Calculation Sheet'!$E$4:$E$40,$BJ10-3)),IF(OR($BI10=1,$BL10=1,$BH10&gt;0),"–",""))</f>
        <v/>
      </c>
      <c r="H11" s="70">
        <f>IF($BJ10&gt;0,IF(INDEX('Final Calculation Sheet'!$C$4:$C$40,$BJ10-3)="","",INDEX('Final Calculation Sheet'!$C$4:$C$40,$BJ10-3)),IF(OR($BI10=1,$BL10=1,$BH10&gt;0),"–",""))</f>
        <v/>
      </c>
      <c r="I11" s="70">
        <f>IF($BJ10&gt;0,IF(INDEX('Final Calculation Sheet'!$H$4:$H$40,$BJ10-3)="","",INDEX('Final Calculation Sheet'!$H$4:$H$40,$BJ10-3)),IF(OR($BI10=1,$BL10=1,$BH10&gt;0),IF($BI10=1,SUM('Final Calculation Sheet'!$H$4:$H$40),IF($BL10=1,SUM('Final Calculation Sheet'!$H$4:$H$40)-SUMIFS('Final Calculation Sheet'!$H$4:$H$40,$AZ$5:$AZ$41,10),SUMIFS('Final Calculation Sheet'!$H$4:$H$40,$AZ$5:$AZ$41,$BH10))),""))</f>
        <v/>
      </c>
      <c r="J11" s="70">
        <f>IF($BJ10&gt;0,IF(INDEX('Final Calculation Sheet'!$I$4:$I$40,$BJ10-3)="","",INDEX('Final Calculation Sheet'!$I$4:$I$40,$BJ10-3)),IF(OR($BI10=1,$BL10=1,$BH10&gt;0),IF($BI10=1,SUM('Final Calculation Sheet'!$I$4:$I$40),IF($BL10=1,SUM('Final Calculation Sheet'!$I$4:$I$40)-SUMIFS('Final Calculation Sheet'!$I$4:$I$40,$AZ$5:$AZ$41,10),SUMIFS('Final Calculation Sheet'!$I$4:$I$40,$AZ$5:$AZ$41,$BH10))),""))</f>
        <v/>
      </c>
      <c r="K11" s="70">
        <f>IF($BJ10&gt;0,IF(INDEX('Final Calculation Sheet'!$J$4:$J$40,$BJ10-3)="","",INDEX('Final Calculation Sheet'!$J$4:$J$40,$BJ10-3)),IF(OR($BI10=1,$BL10=1,$BH10&gt;0),IF($BI10=1,SUM('Final Calculation Sheet'!$J$4:$J$40),IF($BL10=1,SUM('Final Calculation Sheet'!$J$4:$J$40)-SUMIFS('Final Calculation Sheet'!$J$4:$J$40,$AZ$5:$AZ$41,10),SUMIFS('Final Calculation Sheet'!$J$4:$J$40,$AZ$5:$AZ$41,$BH10))),""))</f>
        <v/>
      </c>
      <c r="L11" s="70">
        <f>IF($BJ10&gt;0,IF(INDEX('Final Calculation Sheet'!$K$4:$K$40,$BJ10-3)="","",INDEX('Final Calculation Sheet'!$K$4:$K$40,$BJ10-3)),IF(OR($BI10=1,$BL10=1,$BH10&gt;0),IF($BI10=1,SUM('Final Calculation Sheet'!$K$4:$K$40),IF($BL10=1,SUM('Final Calculation Sheet'!$K$4:$K$40)-SUMIFS('Final Calculation Sheet'!$K$4:$K$40,$AZ$5:$AZ$41,10),SUMIFS('Final Calculation Sheet'!$K$4:$K$40,$AZ$5:$AZ$41,$BH10))),""))</f>
        <v/>
      </c>
      <c r="M11" s="70">
        <f>IF($BJ10&gt;0,IF(INDEX('Final Calculation Sheet'!$L$4:$L$40,$BJ10-3)="","",INDEX('Final Calculation Sheet'!$L$4:$L$40,$BJ10-3)),IF(OR($BI10=1,$BL10=1,$BH10&gt;0),IF($BI10=1,SUM('Final Calculation Sheet'!$L$4:$L$40),IF($BL10=1,SUM('Final Calculation Sheet'!$L$4:$L$40)-SUMIFS('Final Calculation Sheet'!$L$4:$L$40,$AZ$5:$AZ$41,10),SUMIFS('Final Calculation Sheet'!$L$4:$L$40,$AZ$5:$AZ$41,$BH10))),""))</f>
        <v/>
      </c>
      <c r="N11" s="70">
        <f>IF($BJ10&gt;0,IF(INDEX('Final Calculation Sheet'!$M$4:$M$40,$BJ10-3)="","",INDEX('Final Calculation Sheet'!$M$4:$M$40,$BJ10-3)),IF(OR($BI10=1,$BL10=1,$BH10&gt;0),IF($BI10=1,SUM('Final Calculation Sheet'!$M$4:$M$40),IF($BL10=1,SUM('Final Calculation Sheet'!$M$4:$M$40)-SUMIFS('Final Calculation Sheet'!$M$4:$M$40,$AZ$5:$AZ$41,10),SUMIFS('Final Calculation Sheet'!$M$4:$M$40,$AZ$5:$AZ$41,$BH10))),""))</f>
        <v/>
      </c>
      <c r="O11" s="71">
        <f>IF($BJ10&gt;0,IF(INDEX('Final Calculation Sheet'!$N$4:$N$40,$BJ10-3)="","",INDEX('Final Calculation Sheet'!$N$4:$N$40,$BJ10-3)),IF(OR($BI10=1,$BL10=1,$BH10&gt;0),IF($BI10=1,SUM('Final Calculation Sheet'!$N$4:$N$40),IF($BL10=1,SUM('Final Calculation Sheet'!$N$4:$N$40)-SUMIFS('Final Calculation Sheet'!$N$4:$N$40,$AZ$5:$AZ$41,10),SUMIFS('Final Calculation Sheet'!$N$4:$N$40,$AZ$5:$AZ$41,$BH10))),""))</f>
        <v/>
      </c>
      <c r="P11" s="70">
        <f>IF($BJ10&gt;0,IF(INDEX('Final Calculation Sheet'!$O$4:$O$40,$BJ10-3)="","",INDEX('Final Calculation Sheet'!$O$4:$O$40,$BJ10-3)),IF(OR($BI10=1,$BL10=1,$BH10&gt;0),IF($BI10=1,SUM('Final Calculation Sheet'!$O$4:$O$40),IF($BL10=1,SUM('Final Calculation Sheet'!$O$4:$O$40)-SUMIFS('Final Calculation Sheet'!$O$4:$O$40,$AZ$5:$AZ$41,10),SUMIFS('Final Calculation Sheet'!$O$4:$O$40,$AZ$5:$AZ$41,$BH10))),""))</f>
        <v/>
      </c>
      <c r="Q11" s="70">
        <f>IF($BJ10&gt;0,IF(INDEX('Final Calculation Sheet'!$P$4:$P$40,$BJ10-3)="","",INDEX('Final Calculation Sheet'!$P$4:$P$40,$BJ10-3)),IF(OR($BI10=1,$BL10=1,$BH10&gt;0),IF($BI10=1,SUM('Final Calculation Sheet'!$P$4:$P$40),IF($BL10=1,SUM('Final Calculation Sheet'!$P$4:$P$40)-SUMIFS('Final Calculation Sheet'!$P$4:$P$40,$AZ$5:$AZ$41,10),SUMIFS('Final Calculation Sheet'!$P$4:$P$40,$AZ$5:$AZ$41,$BH10))),""))</f>
        <v/>
      </c>
      <c r="R11" s="72">
        <f>IF($BJ10&gt;0,IF(INDEX('Final Calculation Sheet'!$Q$4:$Q$40,$BJ10-3)="","",INDEX('Final Calculation Sheet'!$Q$4:$Q$40,$BJ10-3)),IF(OR($BI10=1,$BL10=1,$BH10&gt;0),"–",""))</f>
        <v/>
      </c>
      <c r="S11" s="70">
        <f>IF($BJ10&gt;0,IF(INDEX('Final Calculation Sheet'!$R$4:$R$40,$BJ10-3)="","",INDEX('Final Calculation Sheet'!$R$4:$R$40,$BJ10-3)),IF(OR($BI10=1,$BL10=1,$BH10&gt;0),IF($BI10=1,SUM('Final Calculation Sheet'!$R$4:$R$40),IF($BL10=1,SUM('Final Calculation Sheet'!$R$4:$R$40)-SUMIFS('Final Calculation Sheet'!$R$4:$R$40,$AZ$5:$AZ$41,10),SUMIFS('Final Calculation Sheet'!$R$4:$R$40,$AZ$5:$AZ$41,$BH10))),""))</f>
        <v/>
      </c>
      <c r="T11" s="70">
        <f>IF($BJ10&gt;0,IF(INDEX('Final Calculation Sheet'!$S$4:$S$40,$BJ10-3)="","",INDEX('Final Calculation Sheet'!$S$4:$S$40,$BJ10-3)),IF(OR($BI10=1,$BL10=1,$BH10&gt;0),IF($BI10=1,SUM('Final Calculation Sheet'!$S$4:$S$40),IF($BL10=1,SUM('Final Calculation Sheet'!$S$4:$S$40)-SUMIFS('Final Calculation Sheet'!$S$4:$S$40,$AZ$5:$AZ$41,10),SUMIFS('Final Calculation Sheet'!$S$4:$S$40,$AZ$5:$AZ$41,$BH10))),""))</f>
        <v/>
      </c>
      <c r="U11" s="70">
        <f>IF($BJ10&gt;0,IF(INDEX('Final Calculation Sheet'!$T$4:$T$40,$BJ10-3)="","",INDEX('Final Calculation Sheet'!$T$4:$T$40,$BJ10-3)),IF(OR($BI10=1,$BL10=1,$BH10&gt;0),IF($BI10=1,SUM('Final Calculation Sheet'!$T$4:$T$40),IF($BL10=1,SUM('Final Calculation Sheet'!$T$4:$T$40)-SUMIFS('Final Calculation Sheet'!$T$4:$T$40,$AZ$5:$AZ$41,10),SUMIFS('Final Calculation Sheet'!$T$4:$T$40,$AZ$5:$AZ$41,$BH10))),""))</f>
        <v/>
      </c>
      <c r="V11" s="73">
        <f>IF($BJ10&gt;0,IF(INDEX('Final Calculation Sheet'!$U$4:$U$40,$BJ10-3)="","",INDEX('Final Calculation Sheet'!$U$4:$U$40,$BJ10-3)),IF(OR($BI10=1,$BL10=1,$BH10&gt;0),IF($BI10=1,SUM('Final Calculation Sheet'!$U$4:$U$40),IF($BL10=1,SUM('Final Calculation Sheet'!$U$4:$U$40)-SUMIFS('Final Calculation Sheet'!$U$4:$U$40,$AZ$5:$AZ$41,10),SUMIFS('Final Calculation Sheet'!$U$4:$U$40,$AZ$5:$AZ$41,$BH10))),""))</f>
        <v/>
      </c>
      <c r="W11" s="70">
        <f>IF($BJ10&gt;0,IF(INDEX('Final Calculation Sheet'!$V$4:$V$40,$BJ10-3)="","",INDEX('Final Calculation Sheet'!$V$4:$V$40,$BJ10-3)),IF(OR($BI10=1,$BL10=1,$BH10&gt;0),"–",""))</f>
        <v/>
      </c>
      <c r="X11" s="70">
        <f>IF($BJ10&gt;0,IF(INDEX('Final Calculation Sheet'!$W$4:$W$40,$BJ10-3)="","",INDEX('Final Calculation Sheet'!$W$4:$W$40,$BJ10-3)),IF(OR($BI10=1,$BL10=1,$BH10&gt;0),IF($BI10=1,SUM('Final Calculation Sheet'!$W$4:$W$40),IF($BL10=1,SUM('Final Calculation Sheet'!$W$4:$W$40)-SUMIFS('Final Calculation Sheet'!$W$4:$W$40,$AZ$5:$AZ$41,10),SUMIFS('Final Calculation Sheet'!$W$4:$W$40,$AZ$5:$AZ$41,$BH10))),""))</f>
        <v/>
      </c>
      <c r="Y11" s="70">
        <f>IF($BJ10&gt;0,IF(INDEX('Final Calculation Sheet'!$X$4:$X$40,$BJ10-3)="","",INDEX('Final Calculation Sheet'!$X$4:$X$40,$BJ10-3)),IF(OR($BI10=1,$BL10=1,$BH10&gt;0),IF($BI10=1,SUM('Final Calculation Sheet'!$X$4:$X$40),IF($BL10=1,SUM('Final Calculation Sheet'!$X$4:$X$40)-SUMIFS('Final Calculation Sheet'!$X$4:$X$40,$AZ$5:$AZ$41,10),SUMIFS('Final Calculation Sheet'!$X$4:$X$40,$AZ$5:$AZ$41,$BH10))),""))</f>
        <v/>
      </c>
      <c r="Z11" s="70">
        <f>IF($BJ10&gt;0,IF(INDEX('Final Calculation Sheet'!$Y$4:$Y$40,$BJ10-3)="","",INDEX('Final Calculation Sheet'!$Y$4:$Y$40,$BJ10-3)),IF(OR($BI10=1,$BL10=1,$BH10&gt;0),"–",""))</f>
        <v/>
      </c>
      <c r="AA11" s="70">
        <f>IF($BJ10&gt;0,IF(INDEX('Final Calculation Sheet'!$Z$4:$Z$40,$BJ10-3)="","",INDEX('Final Calculation Sheet'!$Z$4:$Z$40,$BJ10-3)),IF(OR($BI10=1,$BL10=1,$BH10&gt;0),IF($BI10=1,SUM('Final Calculation Sheet'!$Z$4:$Z$40),IF($BL10=1,SUM('Final Calculation Sheet'!$Z$4:$Z$40)-SUMIFS('Final Calculation Sheet'!$Z$4:$Z$40,$AZ$5:$AZ$41,10),SUMIFS('Final Calculation Sheet'!$Z$4:$Z$40,$AZ$5:$AZ$41,$BH10))),""))</f>
        <v/>
      </c>
      <c r="AB11" s="70">
        <f>IF($BJ10&gt;0,IF(INDEX('Final Calculation Sheet'!$AA$4:$AA$40,$BJ10-3)="","",INDEX('Final Calculation Sheet'!$AA$4:$AA$40,$BJ10-3)),IF(OR($BI10=1,$BL10=1,$BH10&gt;0),IF($BI10=1,SUM('Final Calculation Sheet'!$AA$4:$AA$40),IF($BL10=1,SUM('Final Calculation Sheet'!$AA$4:$AA$40)-SUMIFS('Final Calculation Sheet'!$AA$4:$AA$40,$AZ$5:$AZ$41,10),SUMIFS('Final Calculation Sheet'!$AA$4:$AA$40,$AZ$5:$AZ$41,$BH10))),""))</f>
        <v/>
      </c>
      <c r="AC11" s="70">
        <f>IF($BJ10&gt;0,IF(INDEX('Final Calculation Sheet'!$AB$4:$AB$40,$BJ10-3)="","",INDEX('Final Calculation Sheet'!$AB$4:$AB$40,$BJ10-3)),IF(OR($BI10=1,$BL10=1,$BH10&gt;0),"–",""))</f>
        <v/>
      </c>
      <c r="AD11" s="70">
        <f>IF($BJ10&gt;0,IF(INDEX('Final Calculation Sheet'!$AC$4:$AC$40,$BJ10-3)="","",INDEX('Final Calculation Sheet'!$AC$4:$AC$40,$BJ10-3)),IF(OR($BI10=1,$BL10=1,$BH10&gt;0),IF($BI10=1,SUM('Final Calculation Sheet'!$AC$4:$AC$40),IF($BL10=1,SUM('Final Calculation Sheet'!$AC$4:$AC$40)-SUMIFS('Final Calculation Sheet'!$AC$4:$AC$40,$AZ$5:$AZ$41,10),SUMIFS('Final Calculation Sheet'!$AC$4:$AC$40,$AZ$5:$AZ$41,$BH10))),""))</f>
        <v/>
      </c>
      <c r="AE11" s="70">
        <f>IF($BJ10&gt;0,IF(INDEX('Final Calculation Sheet'!$AD$4:$AD$40,$BJ10-3)="","",INDEX('Final Calculation Sheet'!$AD$4:$AD$40,$BJ10-3)),IF(OR($BI10=1,$BL10=1,$BH10&gt;0),IF($BI10=1,SUM('Final Calculation Sheet'!$AD$4:$AD$40),IF($BL10=1,SUM('Final Calculation Sheet'!$AD$4:$AD$40)-SUMIFS('Final Calculation Sheet'!$AD$4:$AD$40,$AZ$5:$AZ$41,10),SUMIFS('Final Calculation Sheet'!$AD$4:$AD$40,$AZ$5:$AZ$41,$BH10))),""))</f>
        <v/>
      </c>
      <c r="AF11" s="70">
        <f>IF($BJ10&gt;0,IF(INDEX('Final Calculation Sheet'!$AE$4:$AE$40,$BJ10-3)="","",INDEX('Final Calculation Sheet'!$AE$4:$AE$40,$BJ10-3)),IF(OR($BI10=1,$BL10=1,$BH10&gt;0),"–",""))</f>
        <v/>
      </c>
      <c r="AG11" s="74">
        <f>IF($BJ10&gt;0,IF(INDEX('Final Calculation Sheet'!$AF$4:$AF$40,$BJ10-3)="","",INDEX('Final Calculation Sheet'!$AF$4:$AF$40,$BJ10-3)),IF(OR($BI10=1,$BL10=1,$BH10&gt;0),"–",""))</f>
        <v/>
      </c>
      <c r="AH11" s="70">
        <f>IF($BJ10&gt;0,IF(INDEX('Final Calculation Sheet'!$AG$4:$AG$40,$BJ10-3)="","",INDEX('Final Calculation Sheet'!$AG$4:$AG$40,$BJ10-3)),IF(OR($BI10=1,$BL10=1,$BH10&gt;0),"–",""))</f>
        <v/>
      </c>
      <c r="AI11" s="75">
        <f>IF($BJ10&gt;0,IF(INDEX('Final Calculation Sheet'!$AD$4:$AD$40,$BJ10-3)="","",IF(INDEX('Final Calculation Sheet'!$AD$4:$AD$40,$BJ10-3)&lt;=0,"SETTLED","OUTSTANDING")),IF(OR($BI10=1,$BL10=1,$BH10&gt;0),IF(IF($BI10=1,SUM('Final Calculation Sheet'!$AD$4:$AD$40),IF($BL10=1,SUM('Final Calculation Sheet'!$AD$4:$AD$40)-SUMIFS('Final Calculation Sheet'!$AD$4:$AD$40,$AZ$5:$AZ$41,10),SUMIFS('Final Calculation Sheet'!$AD$4:$AD$40,$AZ$5:$AZ$41,$BH10)))&lt;=0,"ALL SETTLED","OUTSTANDING"),""))</f>
        <v/>
      </c>
      <c r="AK11">
        <f>IF($F$3="Lot No.",'Final Calculation Sheet'!$F$10,IF($F$3="Buyer",'Final Calculation Sheet'!$G$10,IF($F$3="Lot Name",'Final Calculation Sheet'!$B$10,IF($F$3="Bid Sheet",'Final Calculation Sheet'!$D$10,IF($F$3="Unit",'Final Calculation Sheet'!$E$10,'Final Calculation Sheet'!$F$10&amp;" "&amp;'Final Calculation Sheet'!$G$10&amp;" "&amp;'Final Calculation Sheet'!$B$10)))))</f>
        <v/>
      </c>
      <c r="AM11">
        <f>IF(COUNTIF($BM11:$CU11,0)&gt;0,0,IF($B$3="",1,IF(AND(IF(COUNTIF($AR$9:$AY$9,1)=0,TRUE,SUMPRODUCT(($AR$9:$AY$9=1)*($AR$6:$AY$6&lt;&gt;"")*ISNUMBER(SEARCH($AR$6:$AY$6,$AK11)))&gt;0),IF(COUNTIF($AR$9:$AY$9,2)=0,TRUE,SUMPRODUCT(($AR$9:$AY$9=2)*($AR$6:$AY$6&lt;&gt;"")*ISNUMBER(SEARCH($AR$6:$AY$6,$AK11)))&gt;0),IF(COUNTIF($AR$9:$AY$9,3)=0,TRUE,SUMPRODUCT(($AR$9:$AY$9=3)*($AR$6:$AY$6&lt;&gt;"")*ISNUMBER(SEARCH($AR$6:$AY$6,$AK11)))&gt;0),IF(COUNTIF($AR$9:$AY$9,4)=0,TRUE,SUMPRODUCT(($AR$9:$AY$9=4)*($AR$6:$AY$6&lt;&gt;"")*ISNUMBER(SEARCH($AR$6:$AY$6,$AK11)))&gt;0),IF(COUNTIF($AR$9:$AY$9,5)=0,TRUE,SUMPRODUCT(($AR$9:$AY$9=5)*($AR$6:$AY$6&lt;&gt;"")*ISNUMBER(SEARCH($AR$6:$AY$6,$AK11)))&gt;0),IF(COUNTIF($AR$9:$AY$9,6)=0,TRUE,SUMPRODUCT(($AR$9:$AY$9=6)*($AR$6:$AY$6&lt;&gt;"")*ISNUMBER(SEARCH($AR$6:$AY$6,$AK11)))&gt;0),IF(COUNTIF($AR$9:$AY$9,7)=0,TRUE,SUMPRODUCT(($AR$9:$AY$9=7)*($AR$6:$AY$6&lt;&gt;"")*ISNUMBER(SEARCH($AR$6:$AY$6,$AK11)))&gt;0),IF(COUNTIF($AR$9:$AY$9,8)=0,TRUE,SUMPRODUCT(($AR$9:$AY$9=8)*($AR$6:$AY$6&lt;&gt;"")*ISNUMBER(SEARCH($AR$6:$AY$6,$AK11)))&gt;0)),1,0)))</f>
        <v/>
      </c>
      <c r="AZ11">
        <f>IF($B$3="",IF(COUNTIF($A$4:$AI$4,"&lt;&gt;")=0,9,IF($AM11=1,9,10)),IF($AM11=0,10,IF(AND($AR$6&lt;&gt;"",ISNUMBER(SEARCH($AR$6,$AK11))),1,IF(AND($AS$6&lt;&gt;"",ISNUMBER(SEARCH($AS$6,$AK11))),2,IF(AND($AT$6&lt;&gt;"",ISNUMBER(SEARCH($AT$6,$AK11))),3,IF(AND($AU$6&lt;&gt;"",ISNUMBER(SEARCH($AU$6,$AK11))),4,IF(AND($AV$6&lt;&gt;"",ISNUMBER(SEARCH($AV$6,$AK11))),5,IF(AND($AW$6&lt;&gt;"",ISNUMBER(SEARCH($AW$6,$AK11))),6,IF(AND($AX$6&lt;&gt;"",ISNUMBER(SEARCH($AX$6,$AK11))),7,IF(AND($AY$6&lt;&gt;"",ISNUMBER(SEARCH($AY$6,$AK11))),8,0))))))))))</f>
        <v/>
      </c>
      <c r="BA11">
        <f>SUMPRODUCT(($AZ$5:$AZ$41=$AZ11)*($BC$5:$BC$41&lt;$BC11))+1</f>
        <v/>
      </c>
      <c r="BB11">
        <f>IF(INDEX($BF$4:$BF$13,$AZ11)=0,0,INDEX($BE$4:$BE$13,$AZ11)+$BA11-1)</f>
        <v/>
      </c>
      <c r="BC11" t="n">
        <v>10</v>
      </c>
      <c r="BD11">
        <f>COUNTIF($AZ$5:$AZ$41,8)</f>
        <v/>
      </c>
      <c r="BE11">
        <f>IF($BD10=0,$BE10,$BF10+1)</f>
        <v/>
      </c>
      <c r="BF11">
        <f>IF($BD11=0,0,$BE11+$BD11)</f>
        <v/>
      </c>
      <c r="BH11">
        <f>IFERROR(MATCH(11,$BF$4:$BF$13,0),0)</f>
        <v/>
      </c>
      <c r="BI11">
        <f>IF(11=$BG$5,1,0)</f>
        <v/>
      </c>
      <c r="BJ11">
        <f>IF(OR($BH11&gt;0,$BI11=1,$BL11=1),0,IFERROR(INDEX($BC$5:$BC$41,MATCH(11,$BB$5:$BB$41,0)),0))</f>
        <v/>
      </c>
      <c r="BK11">
        <f>IF($BJ11&gt;0,IF(INDEX($AZ$5:$AZ$41,MATCH(11,$BB$5:$BB$41,0))=10,1,0),IF($BH11=10,1,0))</f>
        <v/>
      </c>
      <c r="BL11">
        <f>IF(11=$BG$4,1,0)</f>
        <v/>
      </c>
      <c r="BM1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1">
        <f>IF($B$4="",1,--(OR(SUMPRODUCT(--(TRIM(MID(SUBSTITUTE(SUBSTITUTE($B$4,"/",","),",",REPT(" ",99)),(ROW($1:$8)-1)*99+1,99))&lt;&gt;""),--ISNUMBER(SEARCH(TRIM(MID(SUBSTITUTE(SUBSTITUTE($B$4,"/",","),",",REPT(" ",99)),(ROW($1:$8)-1)*99+1,99)),IFERROR(('Final Calculation Sheet'!$F$10)&amp;"",""))))&gt;0,AND(ISNUMBER(SEARCH("blank",$B$4)),NOT(ISNUMBER(SEARCH("nonblank",$B$4))),IFERROR(('Final Calculation Sheet'!$F$10)&amp;"","")=""),AND(OR(ISNUMBER(SEARCH("nonblank",$B$4)),ISNUMBER(SEARCH("&lt;&gt;",$B$4))),IFERROR(('Final Calculation Sheet'!$F$10)&amp;"","")&lt;&gt;""),AND(TRIM($B$4)="",IFERROR(('Final Calculation Sheet'!$F$10)&amp;"","")=""))))</f>
        <v/>
      </c>
      <c r="BO11">
        <f>IF($C$4="",1,--(OR(SUMPRODUCT(--(TRIM(MID(SUBSTITUTE(SUBSTITUTE($C$4,"/",","),",",REPT(" ",99)),(ROW($1:$8)-1)*99+1,99))&lt;&gt;""),--ISNUMBER(SEARCH(TRIM(MID(SUBSTITUTE(SUBSTITUTE($C$4,"/",","),",",REPT(" ",99)),(ROW($1:$8)-1)*99+1,99)),IFERROR(('Final Calculation Sheet'!$G$10)&amp;"",""))))&gt;0,AND(ISNUMBER(SEARCH("blank",$C$4)),NOT(ISNUMBER(SEARCH("nonblank",$C$4))),IFERROR(('Final Calculation Sheet'!$G$10)&amp;"","")=""),AND(OR(ISNUMBER(SEARCH("nonblank",$C$4)),ISNUMBER(SEARCH("&lt;&gt;",$C$4))),IFERROR(('Final Calculation Sheet'!$G$10)&amp;"","")&lt;&gt;""),AND(TRIM($C$4)="",IFERROR(('Final Calculation Sheet'!$G$10)&amp;"","")=""))))</f>
        <v/>
      </c>
      <c r="BP11">
        <f>IF($D$4="",1,--(OR(SUMPRODUCT(--(TRIM(MID(SUBSTITUTE(SUBSTITUTE($D$4,"/",","),",",REPT(" ",99)),(ROW($1:$8)-1)*99+1,99))&lt;&gt;""),--ISNUMBER(SEARCH(TRIM(MID(SUBSTITUTE(SUBSTITUTE($D$4,"/",","),",",REPT(" ",99)),(ROW($1:$8)-1)*99+1,99)),IFERROR(('Final Calculation Sheet'!$B$10)&amp;"",""))))&gt;0,AND(ISNUMBER(SEARCH("blank",$D$4)),NOT(ISNUMBER(SEARCH("nonblank",$D$4))),IFERROR(('Final Calculation Sheet'!$B$10)&amp;"","")=""),AND(OR(ISNUMBER(SEARCH("nonblank",$D$4)),ISNUMBER(SEARCH("&lt;&gt;",$D$4))),IFERROR(('Final Calculation Sheet'!$B$10)&amp;"","")&lt;&gt;""),AND(TRIM($D$4)="",IFERROR(('Final Calculation Sheet'!$B$10)&amp;"","")=""))))</f>
        <v/>
      </c>
      <c r="BQ11">
        <f>IF($E$4="",1,--(OR(SUMPRODUCT(--(TRIM(MID(SUBSTITUTE(SUBSTITUTE($E$4,"/",","),",",REPT(" ",99)),(ROW($1:$8)-1)*99+1,99))&lt;&gt;""),--ISNUMBER(SEARCH(TRIM(MID(SUBSTITUTE(SUBSTITUTE($E$4,"/",","),",",REPT(" ",99)),(ROW($1:$8)-1)*99+1,99)),IFERROR(('Final Calculation Sheet'!$D$10)&amp;"",""))))&gt;0,AND(ISNUMBER(SEARCH("blank",$E$4)),NOT(ISNUMBER(SEARCH("nonblank",$E$4))),IFERROR(('Final Calculation Sheet'!$D$10)&amp;"","")=""),AND(OR(ISNUMBER(SEARCH("nonblank",$E$4)),ISNUMBER(SEARCH("&lt;&gt;",$E$4))),IFERROR(('Final Calculation Sheet'!$D$10)&amp;"","")&lt;&gt;""),AND(TRIM($E$4)="",IFERROR(('Final Calculation Sheet'!$D$10)&amp;"","")=""))))</f>
        <v/>
      </c>
      <c r="BR11">
        <f>IF($F$4="",1,--(OR(SUMPRODUCT(--(TRIM(MID(SUBSTITUTE(SUBSTITUTE($F$4,"/",","),",",REPT(" ",99)),(ROW($1:$8)-1)*99+1,99))&lt;&gt;""),--ISNUMBER(SEARCH(TRIM(MID(SUBSTITUTE(SUBSTITUTE($F$4,"/",","),",",REPT(" ",99)),(ROW($1:$8)-1)*99+1,99)),IFERROR(('Final Calculation Sheet'!$A$10)&amp;"",""))))&gt;0,AND(ISNUMBER(SEARCH("blank",$F$4)),NOT(ISNUMBER(SEARCH("nonblank",$F$4))),IFERROR(('Final Calculation Sheet'!$A$10)&amp;"","")=""),AND(OR(ISNUMBER(SEARCH("nonblank",$F$4)),ISNUMBER(SEARCH("&lt;&gt;",$F$4))),IFERROR(('Final Calculation Sheet'!$A$10)&amp;"","")&lt;&gt;""),AND(TRIM($F$4)="",IFERROR(('Final Calculation Sheet'!$A$10)&amp;"","")=""))))</f>
        <v/>
      </c>
      <c r="BS11">
        <f>IF($G$4="",1,--(OR(SUMPRODUCT(--(TRIM(MID(SUBSTITUTE(SUBSTITUTE($G$4,"/",","),",",REPT(" ",99)),(ROW($1:$8)-1)*99+1,99))&lt;&gt;""),--ISNUMBER(SEARCH(TRIM(MID(SUBSTITUTE(SUBSTITUTE($G$4,"/",","),",",REPT(" ",99)),(ROW($1:$8)-1)*99+1,99)),IFERROR(('Final Calculation Sheet'!$E$10)&amp;"",""))))&gt;0,AND(ISNUMBER(SEARCH("blank",$G$4)),NOT(ISNUMBER(SEARCH("nonblank",$G$4))),IFERROR(('Final Calculation Sheet'!$E$10)&amp;"","")=""),AND(OR(ISNUMBER(SEARCH("nonblank",$G$4)),ISNUMBER(SEARCH("&lt;&gt;",$G$4))),IFERROR(('Final Calculation Sheet'!$E$10)&amp;"","")&lt;&gt;""),AND(TRIM($G$4)="",IFERROR(('Final Calculation Sheet'!$E$10)&amp;"","")=""))))</f>
        <v/>
      </c>
      <c r="BT11">
        <f>IF($H$4="",1,--(OR(SUMPRODUCT(--(TRIM(MID(SUBSTITUTE(SUBSTITUTE($H$4,"/",","),",",REPT(" ",99)),(ROW($1:$8)-1)*99+1,99))&lt;&gt;""),--ISNUMBER(SEARCH(TRIM(MID(SUBSTITUTE(SUBSTITUTE($H$4,"/",","),",",REPT(" ",99)),(ROW($1:$8)-1)*99+1,99)),IFERROR(('Final Calculation Sheet'!$C$10)&amp;"",""))))&gt;0,AND(ISNUMBER(SEARCH("blank",$H$4)),NOT(ISNUMBER(SEARCH("nonblank",$H$4))),IFERROR(('Final Calculation Sheet'!$C$10)&amp;"","")=""),AND(OR(ISNUMBER(SEARCH("nonblank",$H$4)),ISNUMBER(SEARCH("&lt;&gt;",$H$4))),IFERROR(('Final Calculation Sheet'!$C$10)&amp;"","")&lt;&gt;""),AND(TRIM($H$4)="",IFERROR(('Final Calculation Sheet'!$C$10)&amp;"","")=""))))</f>
        <v/>
      </c>
      <c r="BU11">
        <f>IF($I$4="",1,--(OR(SUMPRODUCT(--(TRIM(MID(SUBSTITUTE(SUBSTITUTE($I$4,"/",","),",",REPT(" ",99)),(ROW($1:$8)-1)*99+1,99))&lt;&gt;""),--ISNUMBER(SEARCH(TRIM(MID(SUBSTITUTE(SUBSTITUTE($I$4,"/",","),",",REPT(" ",99)),(ROW($1:$8)-1)*99+1,99)),IFERROR(('Final Calculation Sheet'!$H$10)&amp;"",""))))&gt;0,AND(ISNUMBER(SEARCH("blank",$I$4)),NOT(ISNUMBER(SEARCH("nonblank",$I$4))),IFERROR(('Final Calculation Sheet'!$H$10)&amp;"","")=""),AND(OR(ISNUMBER(SEARCH("nonblank",$I$4)),ISNUMBER(SEARCH("&lt;&gt;",$I$4))),IFERROR(('Final Calculation Sheet'!$H$10)&amp;"","")&lt;&gt;""),AND(TRIM($I$4)="",IFERROR(('Final Calculation Sheet'!$H$10)&amp;"","")=""))))</f>
        <v/>
      </c>
      <c r="BV11">
        <f>IF($J$4="",1,--(OR(SUMPRODUCT(--(TRIM(MID(SUBSTITUTE(SUBSTITUTE($J$4,"/",","),",",REPT(" ",99)),(ROW($1:$8)-1)*99+1,99))&lt;&gt;""),--ISNUMBER(SEARCH(TRIM(MID(SUBSTITUTE(SUBSTITUTE($J$4,"/",","),",",REPT(" ",99)),(ROW($1:$8)-1)*99+1,99)),IFERROR(('Final Calculation Sheet'!$I$10)&amp;"",""))))&gt;0,AND(ISNUMBER(SEARCH("blank",$J$4)),NOT(ISNUMBER(SEARCH("nonblank",$J$4))),IFERROR(('Final Calculation Sheet'!$I$10)&amp;"","")=""),AND(OR(ISNUMBER(SEARCH("nonblank",$J$4)),ISNUMBER(SEARCH("&lt;&gt;",$J$4))),IFERROR(('Final Calculation Sheet'!$I$10)&amp;"","")&lt;&gt;""),AND(TRIM($J$4)="",IFERROR(('Final Calculation Sheet'!$I$10)&amp;"","")=""))))</f>
        <v/>
      </c>
      <c r="BW11">
        <f>IF($K$4="",1,--(OR(SUMPRODUCT(--(TRIM(MID(SUBSTITUTE(SUBSTITUTE($K$4,"/",","),",",REPT(" ",99)),(ROW($1:$8)-1)*99+1,99))&lt;&gt;""),--ISNUMBER(SEARCH(TRIM(MID(SUBSTITUTE(SUBSTITUTE($K$4,"/",","),",",REPT(" ",99)),(ROW($1:$8)-1)*99+1,99)),IFERROR(('Final Calculation Sheet'!$J$10)&amp;"",""))))&gt;0,AND(ISNUMBER(SEARCH("blank",$K$4)),NOT(ISNUMBER(SEARCH("nonblank",$K$4))),IFERROR(('Final Calculation Sheet'!$J$10)&amp;"","")=""),AND(OR(ISNUMBER(SEARCH("nonblank",$K$4)),ISNUMBER(SEARCH("&lt;&gt;",$K$4))),IFERROR(('Final Calculation Sheet'!$J$10)&amp;"","")&lt;&gt;""),AND(TRIM($K$4)="",IFERROR(('Final Calculation Sheet'!$J$10)&amp;"","")=""))))</f>
        <v/>
      </c>
      <c r="BX11">
        <f>IF($L$4="",1,--(OR(SUMPRODUCT(--(TRIM(MID(SUBSTITUTE(SUBSTITUTE($L$4,"/",","),",",REPT(" ",99)),(ROW($1:$8)-1)*99+1,99))&lt;&gt;""),--ISNUMBER(SEARCH(TRIM(MID(SUBSTITUTE(SUBSTITUTE($L$4,"/",","),",",REPT(" ",99)),(ROW($1:$8)-1)*99+1,99)),IFERROR(('Final Calculation Sheet'!$K$10)&amp;"",""))))&gt;0,AND(ISNUMBER(SEARCH("blank",$L$4)),NOT(ISNUMBER(SEARCH("nonblank",$L$4))),IFERROR(('Final Calculation Sheet'!$K$10)&amp;"","")=""),AND(OR(ISNUMBER(SEARCH("nonblank",$L$4)),ISNUMBER(SEARCH("&lt;&gt;",$L$4))),IFERROR(('Final Calculation Sheet'!$K$10)&amp;"","")&lt;&gt;""),AND(TRIM($L$4)="",IFERROR(('Final Calculation Sheet'!$K$10)&amp;"","")=""))))</f>
        <v/>
      </c>
      <c r="BY11">
        <f>IF($M$4="",1,--(OR(SUMPRODUCT(--(TRIM(MID(SUBSTITUTE(SUBSTITUTE($M$4,"/",","),",",REPT(" ",99)),(ROW($1:$8)-1)*99+1,99))&lt;&gt;""),--ISNUMBER(SEARCH(TRIM(MID(SUBSTITUTE(SUBSTITUTE($M$4,"/",","),",",REPT(" ",99)),(ROW($1:$8)-1)*99+1,99)),IFERROR(('Final Calculation Sheet'!$L$10)&amp;"",""))))&gt;0,AND(ISNUMBER(SEARCH("blank",$M$4)),NOT(ISNUMBER(SEARCH("nonblank",$M$4))),IFERROR(('Final Calculation Sheet'!$L$10)&amp;"","")=""),AND(OR(ISNUMBER(SEARCH("nonblank",$M$4)),ISNUMBER(SEARCH("&lt;&gt;",$M$4))),IFERROR(('Final Calculation Sheet'!$L$10)&amp;"","")&lt;&gt;""),AND(TRIM($M$4)="",IFERROR(('Final Calculation Sheet'!$L$10)&amp;"","")=""))))</f>
        <v/>
      </c>
      <c r="BZ11">
        <f>IF($N$4="",1,--(OR(SUMPRODUCT(--(TRIM(MID(SUBSTITUTE(SUBSTITUTE($N$4,"/",","),",",REPT(" ",99)),(ROW($1:$8)-1)*99+1,99))&lt;&gt;""),--ISNUMBER(SEARCH(TRIM(MID(SUBSTITUTE(SUBSTITUTE($N$4,"/",","),",",REPT(" ",99)),(ROW($1:$8)-1)*99+1,99)),IFERROR(('Final Calculation Sheet'!$M$10)&amp;"",""))))&gt;0,AND(ISNUMBER(SEARCH("blank",$N$4)),NOT(ISNUMBER(SEARCH("nonblank",$N$4))),IFERROR(('Final Calculation Sheet'!$M$10)&amp;"","")=""),AND(OR(ISNUMBER(SEARCH("nonblank",$N$4)),ISNUMBER(SEARCH("&lt;&gt;",$N$4))),IFERROR(('Final Calculation Sheet'!$M$10)&amp;"","")&lt;&gt;""),AND(TRIM($N$4)="",IFERROR(('Final Calculation Sheet'!$M$10)&amp;"","")=""))))</f>
        <v/>
      </c>
      <c r="CA11">
        <f>IF($O$4="",1,--(OR(SUMPRODUCT(--(TRIM(MID(SUBSTITUTE(SUBSTITUTE($O$4,"/",","),",",REPT(" ",99)),(ROW($1:$8)-1)*99+1,99))&lt;&gt;""),--ISNUMBER(SEARCH(TRIM(MID(SUBSTITUTE(SUBSTITUTE($O$4,"/",","),",",REPT(" ",99)),(ROW($1:$8)-1)*99+1,99)),IFERROR(('Final Calculation Sheet'!$N$10)&amp;"",""))))&gt;0,AND(ISNUMBER(SEARCH("blank",$O$4)),NOT(ISNUMBER(SEARCH("nonblank",$O$4))),IFERROR(('Final Calculation Sheet'!$N$10)&amp;"","")=""),AND(OR(ISNUMBER(SEARCH("nonblank",$O$4)),ISNUMBER(SEARCH("&lt;&gt;",$O$4))),IFERROR(('Final Calculation Sheet'!$N$10)&amp;"","")&lt;&gt;""),AND(TRIM($O$4)="",IFERROR(('Final Calculation Sheet'!$N$10)&amp;"","")=""))))</f>
        <v/>
      </c>
      <c r="CB11">
        <f>IF($P$4="",1,--(OR(SUMPRODUCT(--(TRIM(MID(SUBSTITUTE(SUBSTITUTE($P$4,"/",","),",",REPT(" ",99)),(ROW($1:$8)-1)*99+1,99))&lt;&gt;""),--ISNUMBER(SEARCH(TRIM(MID(SUBSTITUTE(SUBSTITUTE($P$4,"/",","),",",REPT(" ",99)),(ROW($1:$8)-1)*99+1,99)),IFERROR(('Final Calculation Sheet'!$O$10)&amp;"",""))))&gt;0,AND(ISNUMBER(SEARCH("blank",$P$4)),NOT(ISNUMBER(SEARCH("nonblank",$P$4))),IFERROR(('Final Calculation Sheet'!$O$10)&amp;"","")=""),AND(OR(ISNUMBER(SEARCH("nonblank",$P$4)),ISNUMBER(SEARCH("&lt;&gt;",$P$4))),IFERROR(('Final Calculation Sheet'!$O$10)&amp;"","")&lt;&gt;""),AND(TRIM($P$4)="",IFERROR(('Final Calculation Sheet'!$O$10)&amp;"","")=""))))</f>
        <v/>
      </c>
      <c r="CC11">
        <f>IF($Q$4="",1,--(OR(SUMPRODUCT(--(TRIM(MID(SUBSTITUTE(SUBSTITUTE($Q$4,"/",","),",",REPT(" ",99)),(ROW($1:$8)-1)*99+1,99))&lt;&gt;""),--ISNUMBER(SEARCH(TRIM(MID(SUBSTITUTE(SUBSTITUTE($Q$4,"/",","),",",REPT(" ",99)),(ROW($1:$8)-1)*99+1,99)),IFERROR(('Final Calculation Sheet'!$P$10)&amp;"",""))))&gt;0,AND(ISNUMBER(SEARCH("blank",$Q$4)),NOT(ISNUMBER(SEARCH("nonblank",$Q$4))),IFERROR(('Final Calculation Sheet'!$P$10)&amp;"","")=""),AND(OR(ISNUMBER(SEARCH("nonblank",$Q$4)),ISNUMBER(SEARCH("&lt;&gt;",$Q$4))),IFERROR(('Final Calculation Sheet'!$P$10)&amp;"","")&lt;&gt;""),AND(TRIM($Q$4)="",IFERROR(('Final Calculation Sheet'!$P$10)&amp;"","")=""))))</f>
        <v/>
      </c>
      <c r="CD11">
        <f>IF($R$4="",1,--(OR(SUMPRODUCT(--(TRIM(MID(SUBSTITUTE(SUBSTITUTE($R$4,"/",","),",",REPT(" ",99)),(ROW($1:$8)-1)*99+1,99))&lt;&gt;""),--ISNUMBER(SEARCH(TRIM(MID(SUBSTITUTE(SUBSTITUTE($R$4,"/",","),",",REPT(" ",99)),(ROW($1:$8)-1)*99+1,99)),IFERROR(('Final Calculation Sheet'!$Q$10)&amp;"",""))))&gt;0,AND(ISNUMBER(SEARCH("blank",$R$4)),NOT(ISNUMBER(SEARCH("nonblank",$R$4))),IFERROR(('Final Calculation Sheet'!$Q$10)&amp;"","")=""),AND(OR(ISNUMBER(SEARCH("nonblank",$R$4)),ISNUMBER(SEARCH("&lt;&gt;",$R$4))),IFERROR(('Final Calculation Sheet'!$Q$10)&amp;"","")&lt;&gt;""),AND(TRIM($R$4)="",IFERROR(('Final Calculation Sheet'!$Q$10)&amp;"","")=""))))</f>
        <v/>
      </c>
      <c r="CE11">
        <f>IF($S$4="",1,--(OR(SUMPRODUCT(--(TRIM(MID(SUBSTITUTE(SUBSTITUTE($S$4,"/",","),",",REPT(" ",99)),(ROW($1:$8)-1)*99+1,99))&lt;&gt;""),--ISNUMBER(SEARCH(TRIM(MID(SUBSTITUTE(SUBSTITUTE($S$4,"/",","),",",REPT(" ",99)),(ROW($1:$8)-1)*99+1,99)),IFERROR(('Final Calculation Sheet'!$R$10)&amp;"",""))))&gt;0,AND(ISNUMBER(SEARCH("blank",$S$4)),NOT(ISNUMBER(SEARCH("nonblank",$S$4))),IFERROR(('Final Calculation Sheet'!$R$10)&amp;"","")=""),AND(OR(ISNUMBER(SEARCH("nonblank",$S$4)),ISNUMBER(SEARCH("&lt;&gt;",$S$4))),IFERROR(('Final Calculation Sheet'!$R$10)&amp;"","")&lt;&gt;""),AND(TRIM($S$4)="",IFERROR(('Final Calculation Sheet'!$R$10)&amp;"","")=""))))</f>
        <v/>
      </c>
      <c r="CF11">
        <f>IF($T$4="",1,--(OR(SUMPRODUCT(--(TRIM(MID(SUBSTITUTE(SUBSTITUTE($T$4,"/",","),",",REPT(" ",99)),(ROW($1:$8)-1)*99+1,99))&lt;&gt;""),--ISNUMBER(SEARCH(TRIM(MID(SUBSTITUTE(SUBSTITUTE($T$4,"/",","),",",REPT(" ",99)),(ROW($1:$8)-1)*99+1,99)),IFERROR(('Final Calculation Sheet'!$S$10)&amp;"",""))))&gt;0,AND(ISNUMBER(SEARCH("blank",$T$4)),NOT(ISNUMBER(SEARCH("nonblank",$T$4))),IFERROR(('Final Calculation Sheet'!$S$10)&amp;"","")=""),AND(OR(ISNUMBER(SEARCH("nonblank",$T$4)),ISNUMBER(SEARCH("&lt;&gt;",$T$4))),IFERROR(('Final Calculation Sheet'!$S$10)&amp;"","")&lt;&gt;""),AND(TRIM($T$4)="",IFERROR(('Final Calculation Sheet'!$S$10)&amp;"","")=""))))</f>
        <v/>
      </c>
      <c r="CG11">
        <f>IF($U$4="",1,--(OR(SUMPRODUCT(--(TRIM(MID(SUBSTITUTE(SUBSTITUTE($U$4,"/",","),",",REPT(" ",99)),(ROW($1:$8)-1)*99+1,99))&lt;&gt;""),--ISNUMBER(SEARCH(TRIM(MID(SUBSTITUTE(SUBSTITUTE($U$4,"/",","),",",REPT(" ",99)),(ROW($1:$8)-1)*99+1,99)),IFERROR(('Final Calculation Sheet'!$T$10)&amp;"",""))))&gt;0,AND(ISNUMBER(SEARCH("blank",$U$4)),NOT(ISNUMBER(SEARCH("nonblank",$U$4))),IFERROR(('Final Calculation Sheet'!$T$10)&amp;"","")=""),AND(OR(ISNUMBER(SEARCH("nonblank",$U$4)),ISNUMBER(SEARCH("&lt;&gt;",$U$4))),IFERROR(('Final Calculation Sheet'!$T$10)&amp;"","")&lt;&gt;""),AND(TRIM($U$4)="",IFERROR(('Final Calculation Sheet'!$T$10)&amp;"","")=""))))</f>
        <v/>
      </c>
      <c r="CH11">
        <f>IF($V$4="",1,--(OR(SUMPRODUCT(--(TRIM(MID(SUBSTITUTE(SUBSTITUTE($V$4,"/",","),",",REPT(" ",99)),(ROW($1:$8)-1)*99+1,99))&lt;&gt;""),--ISNUMBER(SEARCH(TRIM(MID(SUBSTITUTE(SUBSTITUTE($V$4,"/",","),",",REPT(" ",99)),(ROW($1:$8)-1)*99+1,99)),IFERROR(('Final Calculation Sheet'!$U$10)&amp;"",""))))&gt;0,AND(ISNUMBER(SEARCH("blank",$V$4)),NOT(ISNUMBER(SEARCH("nonblank",$V$4))),IFERROR(('Final Calculation Sheet'!$U$10)&amp;"","")=""),AND(OR(ISNUMBER(SEARCH("nonblank",$V$4)),ISNUMBER(SEARCH("&lt;&gt;",$V$4))),IFERROR(('Final Calculation Sheet'!$U$10)&amp;"","")&lt;&gt;""),AND(TRIM($V$4)="",IFERROR(('Final Calculation Sheet'!$U$10)&amp;"","")=""))))</f>
        <v/>
      </c>
      <c r="CI11">
        <f>IF($W$4="",1,--(OR(SUMPRODUCT(--(TRIM(MID(SUBSTITUTE(SUBSTITUTE($W$4,"/",","),",",REPT(" ",99)),(ROW($1:$8)-1)*99+1,99))&lt;&gt;""),--ISNUMBER(SEARCH(TRIM(MID(SUBSTITUTE(SUBSTITUTE($W$4,"/",","),",",REPT(" ",99)),(ROW($1:$8)-1)*99+1,99)),IFERROR(('Final Calculation Sheet'!$V$10)&amp;"",""))))&gt;0,AND(ISNUMBER(SEARCH("blank",$W$4)),NOT(ISNUMBER(SEARCH("nonblank",$W$4))),IFERROR(('Final Calculation Sheet'!$V$10)&amp;"","")=""),AND(OR(ISNUMBER(SEARCH("nonblank",$W$4)),ISNUMBER(SEARCH("&lt;&gt;",$W$4))),IFERROR(('Final Calculation Sheet'!$V$10)&amp;"","")&lt;&gt;""),AND(TRIM($W$4)="",IFERROR(('Final Calculation Sheet'!$V$10)&amp;"","")=""))))</f>
        <v/>
      </c>
      <c r="CJ11">
        <f>IF($X$4="",1,--(OR(SUMPRODUCT(--(TRIM(MID(SUBSTITUTE(SUBSTITUTE($X$4,"/",","),",",REPT(" ",99)),(ROW($1:$8)-1)*99+1,99))&lt;&gt;""),--ISNUMBER(SEARCH(TRIM(MID(SUBSTITUTE(SUBSTITUTE($X$4,"/",","),",",REPT(" ",99)),(ROW($1:$8)-1)*99+1,99)),IFERROR(('Final Calculation Sheet'!$W$10)&amp;"",""))))&gt;0,AND(ISNUMBER(SEARCH("blank",$X$4)),NOT(ISNUMBER(SEARCH("nonblank",$X$4))),IFERROR(('Final Calculation Sheet'!$W$10)&amp;"","")=""),AND(OR(ISNUMBER(SEARCH("nonblank",$X$4)),ISNUMBER(SEARCH("&lt;&gt;",$X$4))),IFERROR(('Final Calculation Sheet'!$W$10)&amp;"","")&lt;&gt;""),AND(TRIM($X$4)="",IFERROR(('Final Calculation Sheet'!$W$10)&amp;"","")=""))))</f>
        <v/>
      </c>
      <c r="CK11">
        <f>IF($Y$4="",1,--(OR(SUMPRODUCT(--(TRIM(MID(SUBSTITUTE(SUBSTITUTE($Y$4,"/",","),",",REPT(" ",99)),(ROW($1:$8)-1)*99+1,99))&lt;&gt;""),--ISNUMBER(SEARCH(TRIM(MID(SUBSTITUTE(SUBSTITUTE($Y$4,"/",","),",",REPT(" ",99)),(ROW($1:$8)-1)*99+1,99)),IFERROR(('Final Calculation Sheet'!$X$10)&amp;"",""))))&gt;0,AND(ISNUMBER(SEARCH("blank",$Y$4)),NOT(ISNUMBER(SEARCH("nonblank",$Y$4))),IFERROR(('Final Calculation Sheet'!$X$10)&amp;"","")=""),AND(OR(ISNUMBER(SEARCH("nonblank",$Y$4)),ISNUMBER(SEARCH("&lt;&gt;",$Y$4))),IFERROR(('Final Calculation Sheet'!$X$10)&amp;"","")&lt;&gt;""),AND(TRIM($Y$4)="",IFERROR(('Final Calculation Sheet'!$X$10)&amp;"","")=""))))</f>
        <v/>
      </c>
      <c r="CL11">
        <f>IF($Z$4="",1,--(OR(SUMPRODUCT(--(TRIM(MID(SUBSTITUTE(SUBSTITUTE($Z$4,"/",","),",",REPT(" ",99)),(ROW($1:$8)-1)*99+1,99))&lt;&gt;""),--ISNUMBER(SEARCH(TRIM(MID(SUBSTITUTE(SUBSTITUTE($Z$4,"/",","),",",REPT(" ",99)),(ROW($1:$8)-1)*99+1,99)),IFERROR(('Final Calculation Sheet'!$Y$10)&amp;"",""))))&gt;0,AND(ISNUMBER(SEARCH("blank",$Z$4)),NOT(ISNUMBER(SEARCH("nonblank",$Z$4))),IFERROR(('Final Calculation Sheet'!$Y$10)&amp;"","")=""),AND(OR(ISNUMBER(SEARCH("nonblank",$Z$4)),ISNUMBER(SEARCH("&lt;&gt;",$Z$4))),IFERROR(('Final Calculation Sheet'!$Y$10)&amp;"","")&lt;&gt;""),AND(TRIM($Z$4)="",IFERROR(('Final Calculation Sheet'!$Y$10)&amp;"","")=""))))</f>
        <v/>
      </c>
      <c r="CM11">
        <f>IF($AA$4="",1,--(OR(SUMPRODUCT(--(TRIM(MID(SUBSTITUTE(SUBSTITUTE($AA$4,"/",","),",",REPT(" ",99)),(ROW($1:$8)-1)*99+1,99))&lt;&gt;""),--ISNUMBER(SEARCH(TRIM(MID(SUBSTITUTE(SUBSTITUTE($AA$4,"/",","),",",REPT(" ",99)),(ROW($1:$8)-1)*99+1,99)),IFERROR(('Final Calculation Sheet'!$Z$10)&amp;"",""))))&gt;0,AND(ISNUMBER(SEARCH("blank",$AA$4)),NOT(ISNUMBER(SEARCH("nonblank",$AA$4))),IFERROR(('Final Calculation Sheet'!$Z$10)&amp;"","")=""),AND(OR(ISNUMBER(SEARCH("nonblank",$AA$4)),ISNUMBER(SEARCH("&lt;&gt;",$AA$4))),IFERROR(('Final Calculation Sheet'!$Z$10)&amp;"","")&lt;&gt;""),AND(TRIM($AA$4)="",IFERROR(('Final Calculation Sheet'!$Z$10)&amp;"","")=""))))</f>
        <v/>
      </c>
      <c r="CN11">
        <f>IF($AB$4="",1,--(OR(SUMPRODUCT(--(TRIM(MID(SUBSTITUTE(SUBSTITUTE($AB$4,"/",","),",",REPT(" ",99)),(ROW($1:$8)-1)*99+1,99))&lt;&gt;""),--ISNUMBER(SEARCH(TRIM(MID(SUBSTITUTE(SUBSTITUTE($AB$4,"/",","),",",REPT(" ",99)),(ROW($1:$8)-1)*99+1,99)),IFERROR(('Final Calculation Sheet'!$AA$10)&amp;"",""))))&gt;0,AND(ISNUMBER(SEARCH("blank",$AB$4)),NOT(ISNUMBER(SEARCH("nonblank",$AB$4))),IFERROR(('Final Calculation Sheet'!$AA$10)&amp;"","")=""),AND(OR(ISNUMBER(SEARCH("nonblank",$AB$4)),ISNUMBER(SEARCH("&lt;&gt;",$AB$4))),IFERROR(('Final Calculation Sheet'!$AA$10)&amp;"","")&lt;&gt;""),AND(TRIM($AB$4)="",IFERROR(('Final Calculation Sheet'!$AA$10)&amp;"","")=""))))</f>
        <v/>
      </c>
      <c r="CO11">
        <f>IF($AC$4="",1,--(OR(SUMPRODUCT(--(TRIM(MID(SUBSTITUTE(SUBSTITUTE($AC$4,"/",","),",",REPT(" ",99)),(ROW($1:$8)-1)*99+1,99))&lt;&gt;""),--ISNUMBER(SEARCH(TRIM(MID(SUBSTITUTE(SUBSTITUTE($AC$4,"/",","),",",REPT(" ",99)),(ROW($1:$8)-1)*99+1,99)),IFERROR(('Final Calculation Sheet'!$AB$10)&amp;"",""))))&gt;0,AND(ISNUMBER(SEARCH("blank",$AC$4)),NOT(ISNUMBER(SEARCH("nonblank",$AC$4))),IFERROR(('Final Calculation Sheet'!$AB$10)&amp;"","")=""),AND(OR(ISNUMBER(SEARCH("nonblank",$AC$4)),ISNUMBER(SEARCH("&lt;&gt;",$AC$4))),IFERROR(('Final Calculation Sheet'!$AB$10)&amp;"","")&lt;&gt;""),AND(TRIM($AC$4)="",IFERROR(('Final Calculation Sheet'!$AB$10)&amp;"","")=""))))</f>
        <v/>
      </c>
      <c r="CP11">
        <f>IF($AD$4="",1,--(OR(SUMPRODUCT(--(TRIM(MID(SUBSTITUTE(SUBSTITUTE($AD$4,"/",","),",",REPT(" ",99)),(ROW($1:$8)-1)*99+1,99))&lt;&gt;""),--ISNUMBER(SEARCH(TRIM(MID(SUBSTITUTE(SUBSTITUTE($AD$4,"/",","),",",REPT(" ",99)),(ROW($1:$8)-1)*99+1,99)),IFERROR(('Final Calculation Sheet'!$AC$10)&amp;"",""))))&gt;0,AND(ISNUMBER(SEARCH("blank",$AD$4)),NOT(ISNUMBER(SEARCH("nonblank",$AD$4))),IFERROR(('Final Calculation Sheet'!$AC$10)&amp;"","")=""),AND(OR(ISNUMBER(SEARCH("nonblank",$AD$4)),ISNUMBER(SEARCH("&lt;&gt;",$AD$4))),IFERROR(('Final Calculation Sheet'!$AC$10)&amp;"","")&lt;&gt;""),AND(TRIM($AD$4)="",IFERROR(('Final Calculation Sheet'!$AC$10)&amp;"","")=""))))</f>
        <v/>
      </c>
      <c r="CQ11">
        <f>IF($AE$4="",1,--(OR(SUMPRODUCT(--(TRIM(MID(SUBSTITUTE(SUBSTITUTE($AE$4,"/",","),",",REPT(" ",99)),(ROW($1:$8)-1)*99+1,99))&lt;&gt;""),--ISNUMBER(SEARCH(TRIM(MID(SUBSTITUTE(SUBSTITUTE($AE$4,"/",","),",",REPT(" ",99)),(ROW($1:$8)-1)*99+1,99)),IFERROR(('Final Calculation Sheet'!$AD$10)&amp;"",""))))&gt;0,AND(ISNUMBER(SEARCH("blank",$AE$4)),NOT(ISNUMBER(SEARCH("nonblank",$AE$4))),IFERROR(('Final Calculation Sheet'!$AD$10)&amp;"","")=""),AND(OR(ISNUMBER(SEARCH("nonblank",$AE$4)),ISNUMBER(SEARCH("&lt;&gt;",$AE$4))),IFERROR(('Final Calculation Sheet'!$AD$10)&amp;"","")&lt;&gt;""),AND(TRIM($AE$4)="",IFERROR(('Final Calculation Sheet'!$AD$10)&amp;"","")=""))))</f>
        <v/>
      </c>
      <c r="CR11">
        <f>IF($AF$4="",1,--(OR(SUMPRODUCT(--(TRIM(MID(SUBSTITUTE(SUBSTITUTE($AF$4,"/",","),",",REPT(" ",99)),(ROW($1:$8)-1)*99+1,99))&lt;&gt;""),--ISNUMBER(SEARCH(TRIM(MID(SUBSTITUTE(SUBSTITUTE($AF$4,"/",","),",",REPT(" ",99)),(ROW($1:$8)-1)*99+1,99)),IFERROR(('Final Calculation Sheet'!$AE$10)&amp;"",""))))&gt;0,AND(ISNUMBER(SEARCH("blank",$AF$4)),NOT(ISNUMBER(SEARCH("nonblank",$AF$4))),IFERROR(('Final Calculation Sheet'!$AE$10)&amp;"","")=""),AND(OR(ISNUMBER(SEARCH("nonblank",$AF$4)),ISNUMBER(SEARCH("&lt;&gt;",$AF$4))),IFERROR(('Final Calculation Sheet'!$AE$10)&amp;"","")&lt;&gt;""),AND(TRIM($AF$4)="",IFERROR(('Final Calculation Sheet'!$AE$10)&amp;"","")=""))))</f>
        <v/>
      </c>
      <c r="CS11">
        <f>IF($AG$4="",1,--(OR(SUMPRODUCT(--(TRIM(MID(SUBSTITUTE(SUBSTITUTE($AG$4,"/",","),",",REPT(" ",99)),(ROW($1:$8)-1)*99+1,99))&lt;&gt;""),--ISNUMBER(SEARCH(TRIM(MID(SUBSTITUTE(SUBSTITUTE($AG$4,"/",","),",",REPT(" ",99)),(ROW($1:$8)-1)*99+1,99)),IFERROR(('Final Calculation Sheet'!$AF$10)&amp;"",""))))&gt;0,AND(ISNUMBER(SEARCH("blank",$AG$4)),NOT(ISNUMBER(SEARCH("nonblank",$AG$4))),IFERROR(('Final Calculation Sheet'!$AF$10)&amp;"","")=""),AND(OR(ISNUMBER(SEARCH("nonblank",$AG$4)),ISNUMBER(SEARCH("&lt;&gt;",$AG$4))),IFERROR(('Final Calculation Sheet'!$AF$10)&amp;"","")&lt;&gt;""),AND(TRIM($AG$4)="",IFERROR(('Final Calculation Sheet'!$AF$10)&amp;"","")=""))))</f>
        <v/>
      </c>
      <c r="CT11">
        <f>IF($AH$4="",1,--(OR(SUMPRODUCT(--(TRIM(MID(SUBSTITUTE(SUBSTITUTE($AH$4,"/",","),",",REPT(" ",99)),(ROW($1:$8)-1)*99+1,99))&lt;&gt;""),--ISNUMBER(SEARCH(TRIM(MID(SUBSTITUTE(SUBSTITUTE($AH$4,"/",","),",",REPT(" ",99)),(ROW($1:$8)-1)*99+1,99)),IFERROR(('Final Calculation Sheet'!$AG$10)&amp;"",""))))&gt;0,AND(ISNUMBER(SEARCH("blank",$AH$4)),NOT(ISNUMBER(SEARCH("nonblank",$AH$4))),IFERROR(('Final Calculation Sheet'!$AG$10)&amp;"","")=""),AND(OR(ISNUMBER(SEARCH("nonblank",$AH$4)),ISNUMBER(SEARCH("&lt;&gt;",$AH$4))),IFERROR(('Final Calculation Sheet'!$AG$10)&amp;"","")&lt;&gt;""),AND(TRIM($AH$4)="",IFERROR(('Final Calculation Sheet'!$AG$10)&amp;"","")=""))))</f>
        <v/>
      </c>
      <c r="CU11">
        <f>IF($AI$4="",1,--(OR(SUMPRODUCT(--(TRIM(MID(SUBSTITUTE(SUBSTITUTE($AI$4,"/",","),",",REPT(" ",99)),(ROW($1:$8)-1)*99+1,99))&lt;&gt;""),--ISNUMBER(SEARCH(TRIM(MID(SUBSTITUTE(SUBSTITUTE($AI$4,"/",","),",",REPT(" ",99)),(ROW($1:$8)-1)*99+1,99)),IFERROR((IF('Final Calculation Sheet'!$AD$10&lt;=0,"SETTLED","OUTSTANDING"))&amp;"",""))))&gt;0,AND(ISNUMBER(SEARCH("blank",$AI$4)),NOT(ISNUMBER(SEARCH("nonblank",$AI$4))),IFERROR((IF('Final Calculation Sheet'!$AD$10&lt;=0,"SETTLED","OUTSTANDING"))&amp;"","")=""),AND(OR(ISNUMBER(SEARCH("nonblank",$AI$4)),ISNUMBER(SEARCH("&lt;&gt;",$AI$4))),IFERROR((IF('Final Calculation Sheet'!$AD$10&lt;=0,"SETTLED","OUTSTANDING"))&amp;"","")&lt;&gt;""),AND(TRIM($AI$4)="",IFERROR((IF('Final Calculation Sheet'!$AD$10&lt;=0,"SETTLED","OUTSTANDING"))&amp;"","")=""))))</f>
        <v/>
      </c>
    </row>
    <row r="12" ht="15" customHeight="1" s="77">
      <c r="A12" s="67">
        <f>IF($BJ11&gt;0,INDEX($BA$5:$BA$41,MATCH(11,$BB$5:$BB$41,0)),IF(OR($BI11=1,$BL11=1,$BH11&gt;0),"∑",""))</f>
        <v/>
      </c>
      <c r="B12" s="68">
        <f>IF($BJ11&gt;0,IF(INDEX('Final Calculation Sheet'!$F$4:$F$40,$BJ11-3)="","",INDEX('Final Calculation Sheet'!$F$4:$F$40,$BJ11-3)),"")</f>
        <v/>
      </c>
      <c r="C12" s="68">
        <f>IF($BJ11&gt;0,IF(INDEX('Final Calculation Sheet'!$G$4:$G$40,$BJ11-3)="","",INDEX('Final Calculation Sheet'!$G$4:$G$40,$BJ11-3)),IF(OR($BI11=1,$BL11=1,$BH11&gt;0),IF($BI11=1,37,IF($BL11=1,37-INDEX($BD$4:$BD$13,10),INDEX($BD$4:$BD$13,$BH11)))&amp;" lot(s)",""))</f>
        <v/>
      </c>
      <c r="D12" s="69">
        <f>IF($BJ11&gt;0,IF(INDEX('Final Calculation Sheet'!$B$4:$B$40,$BJ11-3)="","",INDEX('Final Calculation Sheet'!$B$4:$B$40,$BJ11-3)),IF(OR($BI11=1,$BL11=1,$BH11&gt;0),IF($BI11=1,"GRAND TOTAL  —  matching + remaining",IF($BL11=1,"TOTAL MATCHED  —  every group together",IF($BH11=10,"REMAINING  —  did not match the search",IF($BH11=9,IF(COUNTIF($A$4:$AI$4,"&lt;&gt;")&gt;0,"FILTERED LOTS  —  column fields","ALL LOTS  —  nothing typed in the box"),"GROUP "&amp;$BH11&amp;" TOTAL  —  lots matching  "&amp;INDEX($AR$6:$AY$6,$BH11))))),""))</f>
        <v/>
      </c>
      <c r="E12" s="69">
        <f>IF($BJ11&gt;0,IF(INDEX('Final Calculation Sheet'!$D$4:$D$40,$BJ11-3)="","",INDEX('Final Calculation Sheet'!$D$4:$D$40,$BJ11-3)),IF(OR($BI11=1,$BL11=1,$BH11&gt;0),"–",""))</f>
        <v/>
      </c>
      <c r="F12" s="69">
        <f>IF($BJ11&gt;0,IF(INDEX('Final Calculation Sheet'!$A$4:$A$40,$BJ11-3)="","",INDEX('Final Calculation Sheet'!$A$4:$A$40,$BJ11-3)),IF(OR($BI11=1,$BL11=1,$BH11&gt;0),IF($BI11=1,SUM('Final Calculation Sheet'!$A$4:$A$40),IF($BL11=1,SUM('Final Calculation Sheet'!$A$4:$A$40)-SUMIFS('Final Calculation Sheet'!$A$4:$A$40,$AZ$5:$AZ$41,10),SUMIFS('Final Calculation Sheet'!$A$4:$A$40,$AZ$5:$AZ$41,$BH11))),""))</f>
        <v/>
      </c>
      <c r="G12" s="69">
        <f>IF($BJ11&gt;0,IF(INDEX('Final Calculation Sheet'!$E$4:$E$40,$BJ11-3)="","",INDEX('Final Calculation Sheet'!$E$4:$E$40,$BJ11-3)),IF(OR($BI11=1,$BL11=1,$BH11&gt;0),"–",""))</f>
        <v/>
      </c>
      <c r="H12" s="70">
        <f>IF($BJ11&gt;0,IF(INDEX('Final Calculation Sheet'!$C$4:$C$40,$BJ11-3)="","",INDEX('Final Calculation Sheet'!$C$4:$C$40,$BJ11-3)),IF(OR($BI11=1,$BL11=1,$BH11&gt;0),"–",""))</f>
        <v/>
      </c>
      <c r="I12" s="70">
        <f>IF($BJ11&gt;0,IF(INDEX('Final Calculation Sheet'!$H$4:$H$40,$BJ11-3)="","",INDEX('Final Calculation Sheet'!$H$4:$H$40,$BJ11-3)),IF(OR($BI11=1,$BL11=1,$BH11&gt;0),IF($BI11=1,SUM('Final Calculation Sheet'!$H$4:$H$40),IF($BL11=1,SUM('Final Calculation Sheet'!$H$4:$H$40)-SUMIFS('Final Calculation Sheet'!$H$4:$H$40,$AZ$5:$AZ$41,10),SUMIFS('Final Calculation Sheet'!$H$4:$H$40,$AZ$5:$AZ$41,$BH11))),""))</f>
        <v/>
      </c>
      <c r="J12" s="70">
        <f>IF($BJ11&gt;0,IF(INDEX('Final Calculation Sheet'!$I$4:$I$40,$BJ11-3)="","",INDEX('Final Calculation Sheet'!$I$4:$I$40,$BJ11-3)),IF(OR($BI11=1,$BL11=1,$BH11&gt;0),IF($BI11=1,SUM('Final Calculation Sheet'!$I$4:$I$40),IF($BL11=1,SUM('Final Calculation Sheet'!$I$4:$I$40)-SUMIFS('Final Calculation Sheet'!$I$4:$I$40,$AZ$5:$AZ$41,10),SUMIFS('Final Calculation Sheet'!$I$4:$I$40,$AZ$5:$AZ$41,$BH11))),""))</f>
        <v/>
      </c>
      <c r="K12" s="70">
        <f>IF($BJ11&gt;0,IF(INDEX('Final Calculation Sheet'!$J$4:$J$40,$BJ11-3)="","",INDEX('Final Calculation Sheet'!$J$4:$J$40,$BJ11-3)),IF(OR($BI11=1,$BL11=1,$BH11&gt;0),IF($BI11=1,SUM('Final Calculation Sheet'!$J$4:$J$40),IF($BL11=1,SUM('Final Calculation Sheet'!$J$4:$J$40)-SUMIFS('Final Calculation Sheet'!$J$4:$J$40,$AZ$5:$AZ$41,10),SUMIFS('Final Calculation Sheet'!$J$4:$J$40,$AZ$5:$AZ$41,$BH11))),""))</f>
        <v/>
      </c>
      <c r="L12" s="70">
        <f>IF($BJ11&gt;0,IF(INDEX('Final Calculation Sheet'!$K$4:$K$40,$BJ11-3)="","",INDEX('Final Calculation Sheet'!$K$4:$K$40,$BJ11-3)),IF(OR($BI11=1,$BL11=1,$BH11&gt;0),IF($BI11=1,SUM('Final Calculation Sheet'!$K$4:$K$40),IF($BL11=1,SUM('Final Calculation Sheet'!$K$4:$K$40)-SUMIFS('Final Calculation Sheet'!$K$4:$K$40,$AZ$5:$AZ$41,10),SUMIFS('Final Calculation Sheet'!$K$4:$K$40,$AZ$5:$AZ$41,$BH11))),""))</f>
        <v/>
      </c>
      <c r="M12" s="70">
        <f>IF($BJ11&gt;0,IF(INDEX('Final Calculation Sheet'!$L$4:$L$40,$BJ11-3)="","",INDEX('Final Calculation Sheet'!$L$4:$L$40,$BJ11-3)),IF(OR($BI11=1,$BL11=1,$BH11&gt;0),IF($BI11=1,SUM('Final Calculation Sheet'!$L$4:$L$40),IF($BL11=1,SUM('Final Calculation Sheet'!$L$4:$L$40)-SUMIFS('Final Calculation Sheet'!$L$4:$L$40,$AZ$5:$AZ$41,10),SUMIFS('Final Calculation Sheet'!$L$4:$L$40,$AZ$5:$AZ$41,$BH11))),""))</f>
        <v/>
      </c>
      <c r="N12" s="70">
        <f>IF($BJ11&gt;0,IF(INDEX('Final Calculation Sheet'!$M$4:$M$40,$BJ11-3)="","",INDEX('Final Calculation Sheet'!$M$4:$M$40,$BJ11-3)),IF(OR($BI11=1,$BL11=1,$BH11&gt;0),IF($BI11=1,SUM('Final Calculation Sheet'!$M$4:$M$40),IF($BL11=1,SUM('Final Calculation Sheet'!$M$4:$M$40)-SUMIFS('Final Calculation Sheet'!$M$4:$M$40,$AZ$5:$AZ$41,10),SUMIFS('Final Calculation Sheet'!$M$4:$M$40,$AZ$5:$AZ$41,$BH11))),""))</f>
        <v/>
      </c>
      <c r="O12" s="71">
        <f>IF($BJ11&gt;0,IF(INDEX('Final Calculation Sheet'!$N$4:$N$40,$BJ11-3)="","",INDEX('Final Calculation Sheet'!$N$4:$N$40,$BJ11-3)),IF(OR($BI11=1,$BL11=1,$BH11&gt;0),IF($BI11=1,SUM('Final Calculation Sheet'!$N$4:$N$40),IF($BL11=1,SUM('Final Calculation Sheet'!$N$4:$N$40)-SUMIFS('Final Calculation Sheet'!$N$4:$N$40,$AZ$5:$AZ$41,10),SUMIFS('Final Calculation Sheet'!$N$4:$N$40,$AZ$5:$AZ$41,$BH11))),""))</f>
        <v/>
      </c>
      <c r="P12" s="70">
        <f>IF($BJ11&gt;0,IF(INDEX('Final Calculation Sheet'!$O$4:$O$40,$BJ11-3)="","",INDEX('Final Calculation Sheet'!$O$4:$O$40,$BJ11-3)),IF(OR($BI11=1,$BL11=1,$BH11&gt;0),IF($BI11=1,SUM('Final Calculation Sheet'!$O$4:$O$40),IF($BL11=1,SUM('Final Calculation Sheet'!$O$4:$O$40)-SUMIFS('Final Calculation Sheet'!$O$4:$O$40,$AZ$5:$AZ$41,10),SUMIFS('Final Calculation Sheet'!$O$4:$O$40,$AZ$5:$AZ$41,$BH11))),""))</f>
        <v/>
      </c>
      <c r="Q12" s="70">
        <f>IF($BJ11&gt;0,IF(INDEX('Final Calculation Sheet'!$P$4:$P$40,$BJ11-3)="","",INDEX('Final Calculation Sheet'!$P$4:$P$40,$BJ11-3)),IF(OR($BI11=1,$BL11=1,$BH11&gt;0),IF($BI11=1,SUM('Final Calculation Sheet'!$P$4:$P$40),IF($BL11=1,SUM('Final Calculation Sheet'!$P$4:$P$40)-SUMIFS('Final Calculation Sheet'!$P$4:$P$40,$AZ$5:$AZ$41,10),SUMIFS('Final Calculation Sheet'!$P$4:$P$40,$AZ$5:$AZ$41,$BH11))),""))</f>
        <v/>
      </c>
      <c r="R12" s="72">
        <f>IF($BJ11&gt;0,IF(INDEX('Final Calculation Sheet'!$Q$4:$Q$40,$BJ11-3)="","",INDEX('Final Calculation Sheet'!$Q$4:$Q$40,$BJ11-3)),IF(OR($BI11=1,$BL11=1,$BH11&gt;0),"–",""))</f>
        <v/>
      </c>
      <c r="S12" s="70">
        <f>IF($BJ11&gt;0,IF(INDEX('Final Calculation Sheet'!$R$4:$R$40,$BJ11-3)="","",INDEX('Final Calculation Sheet'!$R$4:$R$40,$BJ11-3)),IF(OR($BI11=1,$BL11=1,$BH11&gt;0),IF($BI11=1,SUM('Final Calculation Sheet'!$R$4:$R$40),IF($BL11=1,SUM('Final Calculation Sheet'!$R$4:$R$40)-SUMIFS('Final Calculation Sheet'!$R$4:$R$40,$AZ$5:$AZ$41,10),SUMIFS('Final Calculation Sheet'!$R$4:$R$40,$AZ$5:$AZ$41,$BH11))),""))</f>
        <v/>
      </c>
      <c r="T12" s="70">
        <f>IF($BJ11&gt;0,IF(INDEX('Final Calculation Sheet'!$S$4:$S$40,$BJ11-3)="","",INDEX('Final Calculation Sheet'!$S$4:$S$40,$BJ11-3)),IF(OR($BI11=1,$BL11=1,$BH11&gt;0),IF($BI11=1,SUM('Final Calculation Sheet'!$S$4:$S$40),IF($BL11=1,SUM('Final Calculation Sheet'!$S$4:$S$40)-SUMIFS('Final Calculation Sheet'!$S$4:$S$40,$AZ$5:$AZ$41,10),SUMIFS('Final Calculation Sheet'!$S$4:$S$40,$AZ$5:$AZ$41,$BH11))),""))</f>
        <v/>
      </c>
      <c r="U12" s="70">
        <f>IF($BJ11&gt;0,IF(INDEX('Final Calculation Sheet'!$T$4:$T$40,$BJ11-3)="","",INDEX('Final Calculation Sheet'!$T$4:$T$40,$BJ11-3)),IF(OR($BI11=1,$BL11=1,$BH11&gt;0),IF($BI11=1,SUM('Final Calculation Sheet'!$T$4:$T$40),IF($BL11=1,SUM('Final Calculation Sheet'!$T$4:$T$40)-SUMIFS('Final Calculation Sheet'!$T$4:$T$40,$AZ$5:$AZ$41,10),SUMIFS('Final Calculation Sheet'!$T$4:$T$40,$AZ$5:$AZ$41,$BH11))),""))</f>
        <v/>
      </c>
      <c r="V12" s="73">
        <f>IF($BJ11&gt;0,IF(INDEX('Final Calculation Sheet'!$U$4:$U$40,$BJ11-3)="","",INDEX('Final Calculation Sheet'!$U$4:$U$40,$BJ11-3)),IF(OR($BI11=1,$BL11=1,$BH11&gt;0),IF($BI11=1,SUM('Final Calculation Sheet'!$U$4:$U$40),IF($BL11=1,SUM('Final Calculation Sheet'!$U$4:$U$40)-SUMIFS('Final Calculation Sheet'!$U$4:$U$40,$AZ$5:$AZ$41,10),SUMIFS('Final Calculation Sheet'!$U$4:$U$40,$AZ$5:$AZ$41,$BH11))),""))</f>
        <v/>
      </c>
      <c r="W12" s="70">
        <f>IF($BJ11&gt;0,IF(INDEX('Final Calculation Sheet'!$V$4:$V$40,$BJ11-3)="","",INDEX('Final Calculation Sheet'!$V$4:$V$40,$BJ11-3)),IF(OR($BI11=1,$BL11=1,$BH11&gt;0),"–",""))</f>
        <v/>
      </c>
      <c r="X12" s="70">
        <f>IF($BJ11&gt;0,IF(INDEX('Final Calculation Sheet'!$W$4:$W$40,$BJ11-3)="","",INDEX('Final Calculation Sheet'!$W$4:$W$40,$BJ11-3)),IF(OR($BI11=1,$BL11=1,$BH11&gt;0),IF($BI11=1,SUM('Final Calculation Sheet'!$W$4:$W$40),IF($BL11=1,SUM('Final Calculation Sheet'!$W$4:$W$40)-SUMIFS('Final Calculation Sheet'!$W$4:$W$40,$AZ$5:$AZ$41,10),SUMIFS('Final Calculation Sheet'!$W$4:$W$40,$AZ$5:$AZ$41,$BH11))),""))</f>
        <v/>
      </c>
      <c r="Y12" s="70">
        <f>IF($BJ11&gt;0,IF(INDEX('Final Calculation Sheet'!$X$4:$X$40,$BJ11-3)="","",INDEX('Final Calculation Sheet'!$X$4:$X$40,$BJ11-3)),IF(OR($BI11=1,$BL11=1,$BH11&gt;0),IF($BI11=1,SUM('Final Calculation Sheet'!$X$4:$X$40),IF($BL11=1,SUM('Final Calculation Sheet'!$X$4:$X$40)-SUMIFS('Final Calculation Sheet'!$X$4:$X$40,$AZ$5:$AZ$41,10),SUMIFS('Final Calculation Sheet'!$X$4:$X$40,$AZ$5:$AZ$41,$BH11))),""))</f>
        <v/>
      </c>
      <c r="Z12" s="70">
        <f>IF($BJ11&gt;0,IF(INDEX('Final Calculation Sheet'!$Y$4:$Y$40,$BJ11-3)="","",INDEX('Final Calculation Sheet'!$Y$4:$Y$40,$BJ11-3)),IF(OR($BI11=1,$BL11=1,$BH11&gt;0),"–",""))</f>
        <v/>
      </c>
      <c r="AA12" s="70">
        <f>IF($BJ11&gt;0,IF(INDEX('Final Calculation Sheet'!$Z$4:$Z$40,$BJ11-3)="","",INDEX('Final Calculation Sheet'!$Z$4:$Z$40,$BJ11-3)),IF(OR($BI11=1,$BL11=1,$BH11&gt;0),IF($BI11=1,SUM('Final Calculation Sheet'!$Z$4:$Z$40),IF($BL11=1,SUM('Final Calculation Sheet'!$Z$4:$Z$40)-SUMIFS('Final Calculation Sheet'!$Z$4:$Z$40,$AZ$5:$AZ$41,10),SUMIFS('Final Calculation Sheet'!$Z$4:$Z$40,$AZ$5:$AZ$41,$BH11))),""))</f>
        <v/>
      </c>
      <c r="AB12" s="70">
        <f>IF($BJ11&gt;0,IF(INDEX('Final Calculation Sheet'!$AA$4:$AA$40,$BJ11-3)="","",INDEX('Final Calculation Sheet'!$AA$4:$AA$40,$BJ11-3)),IF(OR($BI11=1,$BL11=1,$BH11&gt;0),IF($BI11=1,SUM('Final Calculation Sheet'!$AA$4:$AA$40),IF($BL11=1,SUM('Final Calculation Sheet'!$AA$4:$AA$40)-SUMIFS('Final Calculation Sheet'!$AA$4:$AA$40,$AZ$5:$AZ$41,10),SUMIFS('Final Calculation Sheet'!$AA$4:$AA$40,$AZ$5:$AZ$41,$BH11))),""))</f>
        <v/>
      </c>
      <c r="AC12" s="70">
        <f>IF($BJ11&gt;0,IF(INDEX('Final Calculation Sheet'!$AB$4:$AB$40,$BJ11-3)="","",INDEX('Final Calculation Sheet'!$AB$4:$AB$40,$BJ11-3)),IF(OR($BI11=1,$BL11=1,$BH11&gt;0),"–",""))</f>
        <v/>
      </c>
      <c r="AD12" s="70">
        <f>IF($BJ11&gt;0,IF(INDEX('Final Calculation Sheet'!$AC$4:$AC$40,$BJ11-3)="","",INDEX('Final Calculation Sheet'!$AC$4:$AC$40,$BJ11-3)),IF(OR($BI11=1,$BL11=1,$BH11&gt;0),IF($BI11=1,SUM('Final Calculation Sheet'!$AC$4:$AC$40),IF($BL11=1,SUM('Final Calculation Sheet'!$AC$4:$AC$40)-SUMIFS('Final Calculation Sheet'!$AC$4:$AC$40,$AZ$5:$AZ$41,10),SUMIFS('Final Calculation Sheet'!$AC$4:$AC$40,$AZ$5:$AZ$41,$BH11))),""))</f>
        <v/>
      </c>
      <c r="AE12" s="70">
        <f>IF($BJ11&gt;0,IF(INDEX('Final Calculation Sheet'!$AD$4:$AD$40,$BJ11-3)="","",INDEX('Final Calculation Sheet'!$AD$4:$AD$40,$BJ11-3)),IF(OR($BI11=1,$BL11=1,$BH11&gt;0),IF($BI11=1,SUM('Final Calculation Sheet'!$AD$4:$AD$40),IF($BL11=1,SUM('Final Calculation Sheet'!$AD$4:$AD$40)-SUMIFS('Final Calculation Sheet'!$AD$4:$AD$40,$AZ$5:$AZ$41,10),SUMIFS('Final Calculation Sheet'!$AD$4:$AD$40,$AZ$5:$AZ$41,$BH11))),""))</f>
        <v/>
      </c>
      <c r="AF12" s="70">
        <f>IF($BJ11&gt;0,IF(INDEX('Final Calculation Sheet'!$AE$4:$AE$40,$BJ11-3)="","",INDEX('Final Calculation Sheet'!$AE$4:$AE$40,$BJ11-3)),IF(OR($BI11=1,$BL11=1,$BH11&gt;0),"–",""))</f>
        <v/>
      </c>
      <c r="AG12" s="74">
        <f>IF($BJ11&gt;0,IF(INDEX('Final Calculation Sheet'!$AF$4:$AF$40,$BJ11-3)="","",INDEX('Final Calculation Sheet'!$AF$4:$AF$40,$BJ11-3)),IF(OR($BI11=1,$BL11=1,$BH11&gt;0),"–",""))</f>
        <v/>
      </c>
      <c r="AH12" s="70">
        <f>IF($BJ11&gt;0,IF(INDEX('Final Calculation Sheet'!$AG$4:$AG$40,$BJ11-3)="","",INDEX('Final Calculation Sheet'!$AG$4:$AG$40,$BJ11-3)),IF(OR($BI11=1,$BL11=1,$BH11&gt;0),"–",""))</f>
        <v/>
      </c>
      <c r="AI12" s="75">
        <f>IF($BJ11&gt;0,IF(INDEX('Final Calculation Sheet'!$AD$4:$AD$40,$BJ11-3)="","",IF(INDEX('Final Calculation Sheet'!$AD$4:$AD$40,$BJ11-3)&lt;=0,"SETTLED","OUTSTANDING")),IF(OR($BI11=1,$BL11=1,$BH11&gt;0),IF(IF($BI11=1,SUM('Final Calculation Sheet'!$AD$4:$AD$40),IF($BL11=1,SUM('Final Calculation Sheet'!$AD$4:$AD$40)-SUMIFS('Final Calculation Sheet'!$AD$4:$AD$40,$AZ$5:$AZ$41,10),SUMIFS('Final Calculation Sheet'!$AD$4:$AD$40,$AZ$5:$AZ$41,$BH11)))&lt;=0,"ALL SETTLED","OUTSTANDING"),""))</f>
        <v/>
      </c>
      <c r="AK12">
        <f>IF($F$3="Lot No.",'Final Calculation Sheet'!$F$11,IF($F$3="Buyer",'Final Calculation Sheet'!$G$11,IF($F$3="Lot Name",'Final Calculation Sheet'!$B$11,IF($F$3="Bid Sheet",'Final Calculation Sheet'!$D$11,IF($F$3="Unit",'Final Calculation Sheet'!$E$11,'Final Calculation Sheet'!$F$11&amp;" "&amp;'Final Calculation Sheet'!$G$11&amp;" "&amp;'Final Calculation Sheet'!$B$11)))))</f>
        <v/>
      </c>
      <c r="AM12">
        <f>IF(COUNTIF($BM12:$CU12,0)&gt;0,0,IF($B$3="",1,IF(AND(IF(COUNTIF($AR$9:$AY$9,1)=0,TRUE,SUMPRODUCT(($AR$9:$AY$9=1)*($AR$6:$AY$6&lt;&gt;"")*ISNUMBER(SEARCH($AR$6:$AY$6,$AK12)))&gt;0),IF(COUNTIF($AR$9:$AY$9,2)=0,TRUE,SUMPRODUCT(($AR$9:$AY$9=2)*($AR$6:$AY$6&lt;&gt;"")*ISNUMBER(SEARCH($AR$6:$AY$6,$AK12)))&gt;0),IF(COUNTIF($AR$9:$AY$9,3)=0,TRUE,SUMPRODUCT(($AR$9:$AY$9=3)*($AR$6:$AY$6&lt;&gt;"")*ISNUMBER(SEARCH($AR$6:$AY$6,$AK12)))&gt;0),IF(COUNTIF($AR$9:$AY$9,4)=0,TRUE,SUMPRODUCT(($AR$9:$AY$9=4)*($AR$6:$AY$6&lt;&gt;"")*ISNUMBER(SEARCH($AR$6:$AY$6,$AK12)))&gt;0),IF(COUNTIF($AR$9:$AY$9,5)=0,TRUE,SUMPRODUCT(($AR$9:$AY$9=5)*($AR$6:$AY$6&lt;&gt;"")*ISNUMBER(SEARCH($AR$6:$AY$6,$AK12)))&gt;0),IF(COUNTIF($AR$9:$AY$9,6)=0,TRUE,SUMPRODUCT(($AR$9:$AY$9=6)*($AR$6:$AY$6&lt;&gt;"")*ISNUMBER(SEARCH($AR$6:$AY$6,$AK12)))&gt;0),IF(COUNTIF($AR$9:$AY$9,7)=0,TRUE,SUMPRODUCT(($AR$9:$AY$9=7)*($AR$6:$AY$6&lt;&gt;"")*ISNUMBER(SEARCH($AR$6:$AY$6,$AK12)))&gt;0),IF(COUNTIF($AR$9:$AY$9,8)=0,TRUE,SUMPRODUCT(($AR$9:$AY$9=8)*($AR$6:$AY$6&lt;&gt;"")*ISNUMBER(SEARCH($AR$6:$AY$6,$AK12)))&gt;0)),1,0)))</f>
        <v/>
      </c>
      <c r="AZ12">
        <f>IF($B$3="",IF(COUNTIF($A$4:$AI$4,"&lt;&gt;")=0,9,IF($AM12=1,9,10)),IF($AM12=0,10,IF(AND($AR$6&lt;&gt;"",ISNUMBER(SEARCH($AR$6,$AK12))),1,IF(AND($AS$6&lt;&gt;"",ISNUMBER(SEARCH($AS$6,$AK12))),2,IF(AND($AT$6&lt;&gt;"",ISNUMBER(SEARCH($AT$6,$AK12))),3,IF(AND($AU$6&lt;&gt;"",ISNUMBER(SEARCH($AU$6,$AK12))),4,IF(AND($AV$6&lt;&gt;"",ISNUMBER(SEARCH($AV$6,$AK12))),5,IF(AND($AW$6&lt;&gt;"",ISNUMBER(SEARCH($AW$6,$AK12))),6,IF(AND($AX$6&lt;&gt;"",ISNUMBER(SEARCH($AX$6,$AK12))),7,IF(AND($AY$6&lt;&gt;"",ISNUMBER(SEARCH($AY$6,$AK12))),8,0))))))))))</f>
        <v/>
      </c>
      <c r="BA12">
        <f>SUMPRODUCT(($AZ$5:$AZ$41=$AZ12)*($BC$5:$BC$41&lt;$BC12))+1</f>
        <v/>
      </c>
      <c r="BB12">
        <f>IF(INDEX($BF$4:$BF$13,$AZ12)=0,0,INDEX($BE$4:$BE$13,$AZ12)+$BA12-1)</f>
        <v/>
      </c>
      <c r="BC12" t="n">
        <v>11</v>
      </c>
      <c r="BD12">
        <f>COUNTIF($AZ$5:$AZ$41,9)</f>
        <v/>
      </c>
      <c r="BE12">
        <f>IF($BD11=0,$BE11,$BF11+1)</f>
        <v/>
      </c>
      <c r="BF12">
        <f>IF($BD12=0,0,$BE12+$BD12)</f>
        <v/>
      </c>
      <c r="BH12">
        <f>IFERROR(MATCH(12,$BF$4:$BF$13,0),0)</f>
        <v/>
      </c>
      <c r="BI12">
        <f>IF(12=$BG$5,1,0)</f>
        <v/>
      </c>
      <c r="BJ12">
        <f>IF(OR($BH12&gt;0,$BI12=1,$BL12=1),0,IFERROR(INDEX($BC$5:$BC$41,MATCH(12,$BB$5:$BB$41,0)),0))</f>
        <v/>
      </c>
      <c r="BK12">
        <f>IF($BJ12&gt;0,IF(INDEX($AZ$5:$AZ$41,MATCH(12,$BB$5:$BB$41,0))=10,1,0),IF($BH12=10,1,0))</f>
        <v/>
      </c>
      <c r="BL12">
        <f>IF(12=$BG$4,1,0)</f>
        <v/>
      </c>
      <c r="BM12">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2">
        <f>IF($B$4="",1,--(OR(SUMPRODUCT(--(TRIM(MID(SUBSTITUTE(SUBSTITUTE($B$4,"/",","),",",REPT(" ",99)),(ROW($1:$8)-1)*99+1,99))&lt;&gt;""),--ISNUMBER(SEARCH(TRIM(MID(SUBSTITUTE(SUBSTITUTE($B$4,"/",","),",",REPT(" ",99)),(ROW($1:$8)-1)*99+1,99)),IFERROR(('Final Calculation Sheet'!$F$11)&amp;"",""))))&gt;0,AND(ISNUMBER(SEARCH("blank",$B$4)),NOT(ISNUMBER(SEARCH("nonblank",$B$4))),IFERROR(('Final Calculation Sheet'!$F$11)&amp;"","")=""),AND(OR(ISNUMBER(SEARCH("nonblank",$B$4)),ISNUMBER(SEARCH("&lt;&gt;",$B$4))),IFERROR(('Final Calculation Sheet'!$F$11)&amp;"","")&lt;&gt;""),AND(TRIM($B$4)="",IFERROR(('Final Calculation Sheet'!$F$11)&amp;"","")=""))))</f>
        <v/>
      </c>
      <c r="BO12">
        <f>IF($C$4="",1,--(OR(SUMPRODUCT(--(TRIM(MID(SUBSTITUTE(SUBSTITUTE($C$4,"/",","),",",REPT(" ",99)),(ROW($1:$8)-1)*99+1,99))&lt;&gt;""),--ISNUMBER(SEARCH(TRIM(MID(SUBSTITUTE(SUBSTITUTE($C$4,"/",","),",",REPT(" ",99)),(ROW($1:$8)-1)*99+1,99)),IFERROR(('Final Calculation Sheet'!$G$11)&amp;"",""))))&gt;0,AND(ISNUMBER(SEARCH("blank",$C$4)),NOT(ISNUMBER(SEARCH("nonblank",$C$4))),IFERROR(('Final Calculation Sheet'!$G$11)&amp;"","")=""),AND(OR(ISNUMBER(SEARCH("nonblank",$C$4)),ISNUMBER(SEARCH("&lt;&gt;",$C$4))),IFERROR(('Final Calculation Sheet'!$G$11)&amp;"","")&lt;&gt;""),AND(TRIM($C$4)="",IFERROR(('Final Calculation Sheet'!$G$11)&amp;"","")=""))))</f>
        <v/>
      </c>
      <c r="BP12">
        <f>IF($D$4="",1,--(OR(SUMPRODUCT(--(TRIM(MID(SUBSTITUTE(SUBSTITUTE($D$4,"/",","),",",REPT(" ",99)),(ROW($1:$8)-1)*99+1,99))&lt;&gt;""),--ISNUMBER(SEARCH(TRIM(MID(SUBSTITUTE(SUBSTITUTE($D$4,"/",","),",",REPT(" ",99)),(ROW($1:$8)-1)*99+1,99)),IFERROR(('Final Calculation Sheet'!$B$11)&amp;"",""))))&gt;0,AND(ISNUMBER(SEARCH("blank",$D$4)),NOT(ISNUMBER(SEARCH("nonblank",$D$4))),IFERROR(('Final Calculation Sheet'!$B$11)&amp;"","")=""),AND(OR(ISNUMBER(SEARCH("nonblank",$D$4)),ISNUMBER(SEARCH("&lt;&gt;",$D$4))),IFERROR(('Final Calculation Sheet'!$B$11)&amp;"","")&lt;&gt;""),AND(TRIM($D$4)="",IFERROR(('Final Calculation Sheet'!$B$11)&amp;"","")=""))))</f>
        <v/>
      </c>
      <c r="BQ12">
        <f>IF($E$4="",1,--(OR(SUMPRODUCT(--(TRIM(MID(SUBSTITUTE(SUBSTITUTE($E$4,"/",","),",",REPT(" ",99)),(ROW($1:$8)-1)*99+1,99))&lt;&gt;""),--ISNUMBER(SEARCH(TRIM(MID(SUBSTITUTE(SUBSTITUTE($E$4,"/",","),",",REPT(" ",99)),(ROW($1:$8)-1)*99+1,99)),IFERROR(('Final Calculation Sheet'!$D$11)&amp;"",""))))&gt;0,AND(ISNUMBER(SEARCH("blank",$E$4)),NOT(ISNUMBER(SEARCH("nonblank",$E$4))),IFERROR(('Final Calculation Sheet'!$D$11)&amp;"","")=""),AND(OR(ISNUMBER(SEARCH("nonblank",$E$4)),ISNUMBER(SEARCH("&lt;&gt;",$E$4))),IFERROR(('Final Calculation Sheet'!$D$11)&amp;"","")&lt;&gt;""),AND(TRIM($E$4)="",IFERROR(('Final Calculation Sheet'!$D$11)&amp;"","")=""))))</f>
        <v/>
      </c>
      <c r="BR12">
        <f>IF($F$4="",1,--(OR(SUMPRODUCT(--(TRIM(MID(SUBSTITUTE(SUBSTITUTE($F$4,"/",","),",",REPT(" ",99)),(ROW($1:$8)-1)*99+1,99))&lt;&gt;""),--ISNUMBER(SEARCH(TRIM(MID(SUBSTITUTE(SUBSTITUTE($F$4,"/",","),",",REPT(" ",99)),(ROW($1:$8)-1)*99+1,99)),IFERROR(('Final Calculation Sheet'!$A$11)&amp;"",""))))&gt;0,AND(ISNUMBER(SEARCH("blank",$F$4)),NOT(ISNUMBER(SEARCH("nonblank",$F$4))),IFERROR(('Final Calculation Sheet'!$A$11)&amp;"","")=""),AND(OR(ISNUMBER(SEARCH("nonblank",$F$4)),ISNUMBER(SEARCH("&lt;&gt;",$F$4))),IFERROR(('Final Calculation Sheet'!$A$11)&amp;"","")&lt;&gt;""),AND(TRIM($F$4)="",IFERROR(('Final Calculation Sheet'!$A$11)&amp;"","")=""))))</f>
        <v/>
      </c>
      <c r="BS12">
        <f>IF($G$4="",1,--(OR(SUMPRODUCT(--(TRIM(MID(SUBSTITUTE(SUBSTITUTE($G$4,"/",","),",",REPT(" ",99)),(ROW($1:$8)-1)*99+1,99))&lt;&gt;""),--ISNUMBER(SEARCH(TRIM(MID(SUBSTITUTE(SUBSTITUTE($G$4,"/",","),",",REPT(" ",99)),(ROW($1:$8)-1)*99+1,99)),IFERROR(('Final Calculation Sheet'!$E$11)&amp;"",""))))&gt;0,AND(ISNUMBER(SEARCH("blank",$G$4)),NOT(ISNUMBER(SEARCH("nonblank",$G$4))),IFERROR(('Final Calculation Sheet'!$E$11)&amp;"","")=""),AND(OR(ISNUMBER(SEARCH("nonblank",$G$4)),ISNUMBER(SEARCH("&lt;&gt;",$G$4))),IFERROR(('Final Calculation Sheet'!$E$11)&amp;"","")&lt;&gt;""),AND(TRIM($G$4)="",IFERROR(('Final Calculation Sheet'!$E$11)&amp;"","")=""))))</f>
        <v/>
      </c>
      <c r="BT12">
        <f>IF($H$4="",1,--(OR(SUMPRODUCT(--(TRIM(MID(SUBSTITUTE(SUBSTITUTE($H$4,"/",","),",",REPT(" ",99)),(ROW($1:$8)-1)*99+1,99))&lt;&gt;""),--ISNUMBER(SEARCH(TRIM(MID(SUBSTITUTE(SUBSTITUTE($H$4,"/",","),",",REPT(" ",99)),(ROW($1:$8)-1)*99+1,99)),IFERROR(('Final Calculation Sheet'!$C$11)&amp;"",""))))&gt;0,AND(ISNUMBER(SEARCH("blank",$H$4)),NOT(ISNUMBER(SEARCH("nonblank",$H$4))),IFERROR(('Final Calculation Sheet'!$C$11)&amp;"","")=""),AND(OR(ISNUMBER(SEARCH("nonblank",$H$4)),ISNUMBER(SEARCH("&lt;&gt;",$H$4))),IFERROR(('Final Calculation Sheet'!$C$11)&amp;"","")&lt;&gt;""),AND(TRIM($H$4)="",IFERROR(('Final Calculation Sheet'!$C$11)&amp;"","")=""))))</f>
        <v/>
      </c>
      <c r="BU12">
        <f>IF($I$4="",1,--(OR(SUMPRODUCT(--(TRIM(MID(SUBSTITUTE(SUBSTITUTE($I$4,"/",","),",",REPT(" ",99)),(ROW($1:$8)-1)*99+1,99))&lt;&gt;""),--ISNUMBER(SEARCH(TRIM(MID(SUBSTITUTE(SUBSTITUTE($I$4,"/",","),",",REPT(" ",99)),(ROW($1:$8)-1)*99+1,99)),IFERROR(('Final Calculation Sheet'!$H$11)&amp;"",""))))&gt;0,AND(ISNUMBER(SEARCH("blank",$I$4)),NOT(ISNUMBER(SEARCH("nonblank",$I$4))),IFERROR(('Final Calculation Sheet'!$H$11)&amp;"","")=""),AND(OR(ISNUMBER(SEARCH("nonblank",$I$4)),ISNUMBER(SEARCH("&lt;&gt;",$I$4))),IFERROR(('Final Calculation Sheet'!$H$11)&amp;"","")&lt;&gt;""),AND(TRIM($I$4)="",IFERROR(('Final Calculation Sheet'!$H$11)&amp;"","")=""))))</f>
        <v/>
      </c>
      <c r="BV12">
        <f>IF($J$4="",1,--(OR(SUMPRODUCT(--(TRIM(MID(SUBSTITUTE(SUBSTITUTE($J$4,"/",","),",",REPT(" ",99)),(ROW($1:$8)-1)*99+1,99))&lt;&gt;""),--ISNUMBER(SEARCH(TRIM(MID(SUBSTITUTE(SUBSTITUTE($J$4,"/",","),",",REPT(" ",99)),(ROW($1:$8)-1)*99+1,99)),IFERROR(('Final Calculation Sheet'!$I$11)&amp;"",""))))&gt;0,AND(ISNUMBER(SEARCH("blank",$J$4)),NOT(ISNUMBER(SEARCH("nonblank",$J$4))),IFERROR(('Final Calculation Sheet'!$I$11)&amp;"","")=""),AND(OR(ISNUMBER(SEARCH("nonblank",$J$4)),ISNUMBER(SEARCH("&lt;&gt;",$J$4))),IFERROR(('Final Calculation Sheet'!$I$11)&amp;"","")&lt;&gt;""),AND(TRIM($J$4)="",IFERROR(('Final Calculation Sheet'!$I$11)&amp;"","")=""))))</f>
        <v/>
      </c>
      <c r="BW12">
        <f>IF($K$4="",1,--(OR(SUMPRODUCT(--(TRIM(MID(SUBSTITUTE(SUBSTITUTE($K$4,"/",","),",",REPT(" ",99)),(ROW($1:$8)-1)*99+1,99))&lt;&gt;""),--ISNUMBER(SEARCH(TRIM(MID(SUBSTITUTE(SUBSTITUTE($K$4,"/",","),",",REPT(" ",99)),(ROW($1:$8)-1)*99+1,99)),IFERROR(('Final Calculation Sheet'!$J$11)&amp;"",""))))&gt;0,AND(ISNUMBER(SEARCH("blank",$K$4)),NOT(ISNUMBER(SEARCH("nonblank",$K$4))),IFERROR(('Final Calculation Sheet'!$J$11)&amp;"","")=""),AND(OR(ISNUMBER(SEARCH("nonblank",$K$4)),ISNUMBER(SEARCH("&lt;&gt;",$K$4))),IFERROR(('Final Calculation Sheet'!$J$11)&amp;"","")&lt;&gt;""),AND(TRIM($K$4)="",IFERROR(('Final Calculation Sheet'!$J$11)&amp;"","")=""))))</f>
        <v/>
      </c>
      <c r="BX12">
        <f>IF($L$4="",1,--(OR(SUMPRODUCT(--(TRIM(MID(SUBSTITUTE(SUBSTITUTE($L$4,"/",","),",",REPT(" ",99)),(ROW($1:$8)-1)*99+1,99))&lt;&gt;""),--ISNUMBER(SEARCH(TRIM(MID(SUBSTITUTE(SUBSTITUTE($L$4,"/",","),",",REPT(" ",99)),(ROW($1:$8)-1)*99+1,99)),IFERROR(('Final Calculation Sheet'!$K$11)&amp;"",""))))&gt;0,AND(ISNUMBER(SEARCH("blank",$L$4)),NOT(ISNUMBER(SEARCH("nonblank",$L$4))),IFERROR(('Final Calculation Sheet'!$K$11)&amp;"","")=""),AND(OR(ISNUMBER(SEARCH("nonblank",$L$4)),ISNUMBER(SEARCH("&lt;&gt;",$L$4))),IFERROR(('Final Calculation Sheet'!$K$11)&amp;"","")&lt;&gt;""),AND(TRIM($L$4)="",IFERROR(('Final Calculation Sheet'!$K$11)&amp;"","")=""))))</f>
        <v/>
      </c>
      <c r="BY12">
        <f>IF($M$4="",1,--(OR(SUMPRODUCT(--(TRIM(MID(SUBSTITUTE(SUBSTITUTE($M$4,"/",","),",",REPT(" ",99)),(ROW($1:$8)-1)*99+1,99))&lt;&gt;""),--ISNUMBER(SEARCH(TRIM(MID(SUBSTITUTE(SUBSTITUTE($M$4,"/",","),",",REPT(" ",99)),(ROW($1:$8)-1)*99+1,99)),IFERROR(('Final Calculation Sheet'!$L$11)&amp;"",""))))&gt;0,AND(ISNUMBER(SEARCH("blank",$M$4)),NOT(ISNUMBER(SEARCH("nonblank",$M$4))),IFERROR(('Final Calculation Sheet'!$L$11)&amp;"","")=""),AND(OR(ISNUMBER(SEARCH("nonblank",$M$4)),ISNUMBER(SEARCH("&lt;&gt;",$M$4))),IFERROR(('Final Calculation Sheet'!$L$11)&amp;"","")&lt;&gt;""),AND(TRIM($M$4)="",IFERROR(('Final Calculation Sheet'!$L$11)&amp;"","")=""))))</f>
        <v/>
      </c>
      <c r="BZ12">
        <f>IF($N$4="",1,--(OR(SUMPRODUCT(--(TRIM(MID(SUBSTITUTE(SUBSTITUTE($N$4,"/",","),",",REPT(" ",99)),(ROW($1:$8)-1)*99+1,99))&lt;&gt;""),--ISNUMBER(SEARCH(TRIM(MID(SUBSTITUTE(SUBSTITUTE($N$4,"/",","),",",REPT(" ",99)),(ROW($1:$8)-1)*99+1,99)),IFERROR(('Final Calculation Sheet'!$M$11)&amp;"",""))))&gt;0,AND(ISNUMBER(SEARCH("blank",$N$4)),NOT(ISNUMBER(SEARCH("nonblank",$N$4))),IFERROR(('Final Calculation Sheet'!$M$11)&amp;"","")=""),AND(OR(ISNUMBER(SEARCH("nonblank",$N$4)),ISNUMBER(SEARCH("&lt;&gt;",$N$4))),IFERROR(('Final Calculation Sheet'!$M$11)&amp;"","")&lt;&gt;""),AND(TRIM($N$4)="",IFERROR(('Final Calculation Sheet'!$M$11)&amp;"","")=""))))</f>
        <v/>
      </c>
      <c r="CA12">
        <f>IF($O$4="",1,--(OR(SUMPRODUCT(--(TRIM(MID(SUBSTITUTE(SUBSTITUTE($O$4,"/",","),",",REPT(" ",99)),(ROW($1:$8)-1)*99+1,99))&lt;&gt;""),--ISNUMBER(SEARCH(TRIM(MID(SUBSTITUTE(SUBSTITUTE($O$4,"/",","),",",REPT(" ",99)),(ROW($1:$8)-1)*99+1,99)),IFERROR(('Final Calculation Sheet'!$N$11)&amp;"",""))))&gt;0,AND(ISNUMBER(SEARCH("blank",$O$4)),NOT(ISNUMBER(SEARCH("nonblank",$O$4))),IFERROR(('Final Calculation Sheet'!$N$11)&amp;"","")=""),AND(OR(ISNUMBER(SEARCH("nonblank",$O$4)),ISNUMBER(SEARCH("&lt;&gt;",$O$4))),IFERROR(('Final Calculation Sheet'!$N$11)&amp;"","")&lt;&gt;""),AND(TRIM($O$4)="",IFERROR(('Final Calculation Sheet'!$N$11)&amp;"","")=""))))</f>
        <v/>
      </c>
      <c r="CB12">
        <f>IF($P$4="",1,--(OR(SUMPRODUCT(--(TRIM(MID(SUBSTITUTE(SUBSTITUTE($P$4,"/",","),",",REPT(" ",99)),(ROW($1:$8)-1)*99+1,99))&lt;&gt;""),--ISNUMBER(SEARCH(TRIM(MID(SUBSTITUTE(SUBSTITUTE($P$4,"/",","),",",REPT(" ",99)),(ROW($1:$8)-1)*99+1,99)),IFERROR(('Final Calculation Sheet'!$O$11)&amp;"",""))))&gt;0,AND(ISNUMBER(SEARCH("blank",$P$4)),NOT(ISNUMBER(SEARCH("nonblank",$P$4))),IFERROR(('Final Calculation Sheet'!$O$11)&amp;"","")=""),AND(OR(ISNUMBER(SEARCH("nonblank",$P$4)),ISNUMBER(SEARCH("&lt;&gt;",$P$4))),IFERROR(('Final Calculation Sheet'!$O$11)&amp;"","")&lt;&gt;""),AND(TRIM($P$4)="",IFERROR(('Final Calculation Sheet'!$O$11)&amp;"","")=""))))</f>
        <v/>
      </c>
      <c r="CC12">
        <f>IF($Q$4="",1,--(OR(SUMPRODUCT(--(TRIM(MID(SUBSTITUTE(SUBSTITUTE($Q$4,"/",","),",",REPT(" ",99)),(ROW($1:$8)-1)*99+1,99))&lt;&gt;""),--ISNUMBER(SEARCH(TRIM(MID(SUBSTITUTE(SUBSTITUTE($Q$4,"/",","),",",REPT(" ",99)),(ROW($1:$8)-1)*99+1,99)),IFERROR(('Final Calculation Sheet'!$P$11)&amp;"",""))))&gt;0,AND(ISNUMBER(SEARCH("blank",$Q$4)),NOT(ISNUMBER(SEARCH("nonblank",$Q$4))),IFERROR(('Final Calculation Sheet'!$P$11)&amp;"","")=""),AND(OR(ISNUMBER(SEARCH("nonblank",$Q$4)),ISNUMBER(SEARCH("&lt;&gt;",$Q$4))),IFERROR(('Final Calculation Sheet'!$P$11)&amp;"","")&lt;&gt;""),AND(TRIM($Q$4)="",IFERROR(('Final Calculation Sheet'!$P$11)&amp;"","")=""))))</f>
        <v/>
      </c>
      <c r="CD12">
        <f>IF($R$4="",1,--(OR(SUMPRODUCT(--(TRIM(MID(SUBSTITUTE(SUBSTITUTE($R$4,"/",","),",",REPT(" ",99)),(ROW($1:$8)-1)*99+1,99))&lt;&gt;""),--ISNUMBER(SEARCH(TRIM(MID(SUBSTITUTE(SUBSTITUTE($R$4,"/",","),",",REPT(" ",99)),(ROW($1:$8)-1)*99+1,99)),IFERROR(('Final Calculation Sheet'!$Q$11)&amp;"",""))))&gt;0,AND(ISNUMBER(SEARCH("blank",$R$4)),NOT(ISNUMBER(SEARCH("nonblank",$R$4))),IFERROR(('Final Calculation Sheet'!$Q$11)&amp;"","")=""),AND(OR(ISNUMBER(SEARCH("nonblank",$R$4)),ISNUMBER(SEARCH("&lt;&gt;",$R$4))),IFERROR(('Final Calculation Sheet'!$Q$11)&amp;"","")&lt;&gt;""),AND(TRIM($R$4)="",IFERROR(('Final Calculation Sheet'!$Q$11)&amp;"","")=""))))</f>
        <v/>
      </c>
      <c r="CE12">
        <f>IF($S$4="",1,--(OR(SUMPRODUCT(--(TRIM(MID(SUBSTITUTE(SUBSTITUTE($S$4,"/",","),",",REPT(" ",99)),(ROW($1:$8)-1)*99+1,99))&lt;&gt;""),--ISNUMBER(SEARCH(TRIM(MID(SUBSTITUTE(SUBSTITUTE($S$4,"/",","),",",REPT(" ",99)),(ROW($1:$8)-1)*99+1,99)),IFERROR(('Final Calculation Sheet'!$R$11)&amp;"",""))))&gt;0,AND(ISNUMBER(SEARCH("blank",$S$4)),NOT(ISNUMBER(SEARCH("nonblank",$S$4))),IFERROR(('Final Calculation Sheet'!$R$11)&amp;"","")=""),AND(OR(ISNUMBER(SEARCH("nonblank",$S$4)),ISNUMBER(SEARCH("&lt;&gt;",$S$4))),IFERROR(('Final Calculation Sheet'!$R$11)&amp;"","")&lt;&gt;""),AND(TRIM($S$4)="",IFERROR(('Final Calculation Sheet'!$R$11)&amp;"","")=""))))</f>
        <v/>
      </c>
      <c r="CF12">
        <f>IF($T$4="",1,--(OR(SUMPRODUCT(--(TRIM(MID(SUBSTITUTE(SUBSTITUTE($T$4,"/",","),",",REPT(" ",99)),(ROW($1:$8)-1)*99+1,99))&lt;&gt;""),--ISNUMBER(SEARCH(TRIM(MID(SUBSTITUTE(SUBSTITUTE($T$4,"/",","),",",REPT(" ",99)),(ROW($1:$8)-1)*99+1,99)),IFERROR(('Final Calculation Sheet'!$S$11)&amp;"",""))))&gt;0,AND(ISNUMBER(SEARCH("blank",$T$4)),NOT(ISNUMBER(SEARCH("nonblank",$T$4))),IFERROR(('Final Calculation Sheet'!$S$11)&amp;"","")=""),AND(OR(ISNUMBER(SEARCH("nonblank",$T$4)),ISNUMBER(SEARCH("&lt;&gt;",$T$4))),IFERROR(('Final Calculation Sheet'!$S$11)&amp;"","")&lt;&gt;""),AND(TRIM($T$4)="",IFERROR(('Final Calculation Sheet'!$S$11)&amp;"","")=""))))</f>
        <v/>
      </c>
      <c r="CG12">
        <f>IF($U$4="",1,--(OR(SUMPRODUCT(--(TRIM(MID(SUBSTITUTE(SUBSTITUTE($U$4,"/",","),",",REPT(" ",99)),(ROW($1:$8)-1)*99+1,99))&lt;&gt;""),--ISNUMBER(SEARCH(TRIM(MID(SUBSTITUTE(SUBSTITUTE($U$4,"/",","),",",REPT(" ",99)),(ROW($1:$8)-1)*99+1,99)),IFERROR(('Final Calculation Sheet'!$T$11)&amp;"",""))))&gt;0,AND(ISNUMBER(SEARCH("blank",$U$4)),NOT(ISNUMBER(SEARCH("nonblank",$U$4))),IFERROR(('Final Calculation Sheet'!$T$11)&amp;"","")=""),AND(OR(ISNUMBER(SEARCH("nonblank",$U$4)),ISNUMBER(SEARCH("&lt;&gt;",$U$4))),IFERROR(('Final Calculation Sheet'!$T$11)&amp;"","")&lt;&gt;""),AND(TRIM($U$4)="",IFERROR(('Final Calculation Sheet'!$T$11)&amp;"","")=""))))</f>
        <v/>
      </c>
      <c r="CH12">
        <f>IF($V$4="",1,--(OR(SUMPRODUCT(--(TRIM(MID(SUBSTITUTE(SUBSTITUTE($V$4,"/",","),",",REPT(" ",99)),(ROW($1:$8)-1)*99+1,99))&lt;&gt;""),--ISNUMBER(SEARCH(TRIM(MID(SUBSTITUTE(SUBSTITUTE($V$4,"/",","),",",REPT(" ",99)),(ROW($1:$8)-1)*99+1,99)),IFERROR(('Final Calculation Sheet'!$U$11)&amp;"",""))))&gt;0,AND(ISNUMBER(SEARCH("blank",$V$4)),NOT(ISNUMBER(SEARCH("nonblank",$V$4))),IFERROR(('Final Calculation Sheet'!$U$11)&amp;"","")=""),AND(OR(ISNUMBER(SEARCH("nonblank",$V$4)),ISNUMBER(SEARCH("&lt;&gt;",$V$4))),IFERROR(('Final Calculation Sheet'!$U$11)&amp;"","")&lt;&gt;""),AND(TRIM($V$4)="",IFERROR(('Final Calculation Sheet'!$U$11)&amp;"","")=""))))</f>
        <v/>
      </c>
      <c r="CI12">
        <f>IF($W$4="",1,--(OR(SUMPRODUCT(--(TRIM(MID(SUBSTITUTE(SUBSTITUTE($W$4,"/",","),",",REPT(" ",99)),(ROW($1:$8)-1)*99+1,99))&lt;&gt;""),--ISNUMBER(SEARCH(TRIM(MID(SUBSTITUTE(SUBSTITUTE($W$4,"/",","),",",REPT(" ",99)),(ROW($1:$8)-1)*99+1,99)),IFERROR(('Final Calculation Sheet'!$V$11)&amp;"",""))))&gt;0,AND(ISNUMBER(SEARCH("blank",$W$4)),NOT(ISNUMBER(SEARCH("nonblank",$W$4))),IFERROR(('Final Calculation Sheet'!$V$11)&amp;"","")=""),AND(OR(ISNUMBER(SEARCH("nonblank",$W$4)),ISNUMBER(SEARCH("&lt;&gt;",$W$4))),IFERROR(('Final Calculation Sheet'!$V$11)&amp;"","")&lt;&gt;""),AND(TRIM($W$4)="",IFERROR(('Final Calculation Sheet'!$V$11)&amp;"","")=""))))</f>
        <v/>
      </c>
      <c r="CJ12">
        <f>IF($X$4="",1,--(OR(SUMPRODUCT(--(TRIM(MID(SUBSTITUTE(SUBSTITUTE($X$4,"/",","),",",REPT(" ",99)),(ROW($1:$8)-1)*99+1,99))&lt;&gt;""),--ISNUMBER(SEARCH(TRIM(MID(SUBSTITUTE(SUBSTITUTE($X$4,"/",","),",",REPT(" ",99)),(ROW($1:$8)-1)*99+1,99)),IFERROR(('Final Calculation Sheet'!$W$11)&amp;"",""))))&gt;0,AND(ISNUMBER(SEARCH("blank",$X$4)),NOT(ISNUMBER(SEARCH("nonblank",$X$4))),IFERROR(('Final Calculation Sheet'!$W$11)&amp;"","")=""),AND(OR(ISNUMBER(SEARCH("nonblank",$X$4)),ISNUMBER(SEARCH("&lt;&gt;",$X$4))),IFERROR(('Final Calculation Sheet'!$W$11)&amp;"","")&lt;&gt;""),AND(TRIM($X$4)="",IFERROR(('Final Calculation Sheet'!$W$11)&amp;"","")=""))))</f>
        <v/>
      </c>
      <c r="CK12">
        <f>IF($Y$4="",1,--(OR(SUMPRODUCT(--(TRIM(MID(SUBSTITUTE(SUBSTITUTE($Y$4,"/",","),",",REPT(" ",99)),(ROW($1:$8)-1)*99+1,99))&lt;&gt;""),--ISNUMBER(SEARCH(TRIM(MID(SUBSTITUTE(SUBSTITUTE($Y$4,"/",","),",",REPT(" ",99)),(ROW($1:$8)-1)*99+1,99)),IFERROR(('Final Calculation Sheet'!$X$11)&amp;"",""))))&gt;0,AND(ISNUMBER(SEARCH("blank",$Y$4)),NOT(ISNUMBER(SEARCH("nonblank",$Y$4))),IFERROR(('Final Calculation Sheet'!$X$11)&amp;"","")=""),AND(OR(ISNUMBER(SEARCH("nonblank",$Y$4)),ISNUMBER(SEARCH("&lt;&gt;",$Y$4))),IFERROR(('Final Calculation Sheet'!$X$11)&amp;"","")&lt;&gt;""),AND(TRIM($Y$4)="",IFERROR(('Final Calculation Sheet'!$X$11)&amp;"","")=""))))</f>
        <v/>
      </c>
      <c r="CL12">
        <f>IF($Z$4="",1,--(OR(SUMPRODUCT(--(TRIM(MID(SUBSTITUTE(SUBSTITUTE($Z$4,"/",","),",",REPT(" ",99)),(ROW($1:$8)-1)*99+1,99))&lt;&gt;""),--ISNUMBER(SEARCH(TRIM(MID(SUBSTITUTE(SUBSTITUTE($Z$4,"/",","),",",REPT(" ",99)),(ROW($1:$8)-1)*99+1,99)),IFERROR(('Final Calculation Sheet'!$Y$11)&amp;"",""))))&gt;0,AND(ISNUMBER(SEARCH("blank",$Z$4)),NOT(ISNUMBER(SEARCH("nonblank",$Z$4))),IFERROR(('Final Calculation Sheet'!$Y$11)&amp;"","")=""),AND(OR(ISNUMBER(SEARCH("nonblank",$Z$4)),ISNUMBER(SEARCH("&lt;&gt;",$Z$4))),IFERROR(('Final Calculation Sheet'!$Y$11)&amp;"","")&lt;&gt;""),AND(TRIM($Z$4)="",IFERROR(('Final Calculation Sheet'!$Y$11)&amp;"","")=""))))</f>
        <v/>
      </c>
      <c r="CM12">
        <f>IF($AA$4="",1,--(OR(SUMPRODUCT(--(TRIM(MID(SUBSTITUTE(SUBSTITUTE($AA$4,"/",","),",",REPT(" ",99)),(ROW($1:$8)-1)*99+1,99))&lt;&gt;""),--ISNUMBER(SEARCH(TRIM(MID(SUBSTITUTE(SUBSTITUTE($AA$4,"/",","),",",REPT(" ",99)),(ROW($1:$8)-1)*99+1,99)),IFERROR(('Final Calculation Sheet'!$Z$11)&amp;"",""))))&gt;0,AND(ISNUMBER(SEARCH("blank",$AA$4)),NOT(ISNUMBER(SEARCH("nonblank",$AA$4))),IFERROR(('Final Calculation Sheet'!$Z$11)&amp;"","")=""),AND(OR(ISNUMBER(SEARCH("nonblank",$AA$4)),ISNUMBER(SEARCH("&lt;&gt;",$AA$4))),IFERROR(('Final Calculation Sheet'!$Z$11)&amp;"","")&lt;&gt;""),AND(TRIM($AA$4)="",IFERROR(('Final Calculation Sheet'!$Z$11)&amp;"","")=""))))</f>
        <v/>
      </c>
      <c r="CN12">
        <f>IF($AB$4="",1,--(OR(SUMPRODUCT(--(TRIM(MID(SUBSTITUTE(SUBSTITUTE($AB$4,"/",","),",",REPT(" ",99)),(ROW($1:$8)-1)*99+1,99))&lt;&gt;""),--ISNUMBER(SEARCH(TRIM(MID(SUBSTITUTE(SUBSTITUTE($AB$4,"/",","),",",REPT(" ",99)),(ROW($1:$8)-1)*99+1,99)),IFERROR(('Final Calculation Sheet'!$AA$11)&amp;"",""))))&gt;0,AND(ISNUMBER(SEARCH("blank",$AB$4)),NOT(ISNUMBER(SEARCH("nonblank",$AB$4))),IFERROR(('Final Calculation Sheet'!$AA$11)&amp;"","")=""),AND(OR(ISNUMBER(SEARCH("nonblank",$AB$4)),ISNUMBER(SEARCH("&lt;&gt;",$AB$4))),IFERROR(('Final Calculation Sheet'!$AA$11)&amp;"","")&lt;&gt;""),AND(TRIM($AB$4)="",IFERROR(('Final Calculation Sheet'!$AA$11)&amp;"","")=""))))</f>
        <v/>
      </c>
      <c r="CO12">
        <f>IF($AC$4="",1,--(OR(SUMPRODUCT(--(TRIM(MID(SUBSTITUTE(SUBSTITUTE($AC$4,"/",","),",",REPT(" ",99)),(ROW($1:$8)-1)*99+1,99))&lt;&gt;""),--ISNUMBER(SEARCH(TRIM(MID(SUBSTITUTE(SUBSTITUTE($AC$4,"/",","),",",REPT(" ",99)),(ROW($1:$8)-1)*99+1,99)),IFERROR(('Final Calculation Sheet'!$AB$11)&amp;"",""))))&gt;0,AND(ISNUMBER(SEARCH("blank",$AC$4)),NOT(ISNUMBER(SEARCH("nonblank",$AC$4))),IFERROR(('Final Calculation Sheet'!$AB$11)&amp;"","")=""),AND(OR(ISNUMBER(SEARCH("nonblank",$AC$4)),ISNUMBER(SEARCH("&lt;&gt;",$AC$4))),IFERROR(('Final Calculation Sheet'!$AB$11)&amp;"","")&lt;&gt;""),AND(TRIM($AC$4)="",IFERROR(('Final Calculation Sheet'!$AB$11)&amp;"","")=""))))</f>
        <v/>
      </c>
      <c r="CP12">
        <f>IF($AD$4="",1,--(OR(SUMPRODUCT(--(TRIM(MID(SUBSTITUTE(SUBSTITUTE($AD$4,"/",","),",",REPT(" ",99)),(ROW($1:$8)-1)*99+1,99))&lt;&gt;""),--ISNUMBER(SEARCH(TRIM(MID(SUBSTITUTE(SUBSTITUTE($AD$4,"/",","),",",REPT(" ",99)),(ROW($1:$8)-1)*99+1,99)),IFERROR(('Final Calculation Sheet'!$AC$11)&amp;"",""))))&gt;0,AND(ISNUMBER(SEARCH("blank",$AD$4)),NOT(ISNUMBER(SEARCH("nonblank",$AD$4))),IFERROR(('Final Calculation Sheet'!$AC$11)&amp;"","")=""),AND(OR(ISNUMBER(SEARCH("nonblank",$AD$4)),ISNUMBER(SEARCH("&lt;&gt;",$AD$4))),IFERROR(('Final Calculation Sheet'!$AC$11)&amp;"","")&lt;&gt;""),AND(TRIM($AD$4)="",IFERROR(('Final Calculation Sheet'!$AC$11)&amp;"","")=""))))</f>
        <v/>
      </c>
      <c r="CQ12">
        <f>IF($AE$4="",1,--(OR(SUMPRODUCT(--(TRIM(MID(SUBSTITUTE(SUBSTITUTE($AE$4,"/",","),",",REPT(" ",99)),(ROW($1:$8)-1)*99+1,99))&lt;&gt;""),--ISNUMBER(SEARCH(TRIM(MID(SUBSTITUTE(SUBSTITUTE($AE$4,"/",","),",",REPT(" ",99)),(ROW($1:$8)-1)*99+1,99)),IFERROR(('Final Calculation Sheet'!$AD$11)&amp;"",""))))&gt;0,AND(ISNUMBER(SEARCH("blank",$AE$4)),NOT(ISNUMBER(SEARCH("nonblank",$AE$4))),IFERROR(('Final Calculation Sheet'!$AD$11)&amp;"","")=""),AND(OR(ISNUMBER(SEARCH("nonblank",$AE$4)),ISNUMBER(SEARCH("&lt;&gt;",$AE$4))),IFERROR(('Final Calculation Sheet'!$AD$11)&amp;"","")&lt;&gt;""),AND(TRIM($AE$4)="",IFERROR(('Final Calculation Sheet'!$AD$11)&amp;"","")=""))))</f>
        <v/>
      </c>
      <c r="CR12">
        <f>IF($AF$4="",1,--(OR(SUMPRODUCT(--(TRIM(MID(SUBSTITUTE(SUBSTITUTE($AF$4,"/",","),",",REPT(" ",99)),(ROW($1:$8)-1)*99+1,99))&lt;&gt;""),--ISNUMBER(SEARCH(TRIM(MID(SUBSTITUTE(SUBSTITUTE($AF$4,"/",","),",",REPT(" ",99)),(ROW($1:$8)-1)*99+1,99)),IFERROR(('Final Calculation Sheet'!$AE$11)&amp;"",""))))&gt;0,AND(ISNUMBER(SEARCH("blank",$AF$4)),NOT(ISNUMBER(SEARCH("nonblank",$AF$4))),IFERROR(('Final Calculation Sheet'!$AE$11)&amp;"","")=""),AND(OR(ISNUMBER(SEARCH("nonblank",$AF$4)),ISNUMBER(SEARCH("&lt;&gt;",$AF$4))),IFERROR(('Final Calculation Sheet'!$AE$11)&amp;"","")&lt;&gt;""),AND(TRIM($AF$4)="",IFERROR(('Final Calculation Sheet'!$AE$11)&amp;"","")=""))))</f>
        <v/>
      </c>
      <c r="CS12">
        <f>IF($AG$4="",1,--(OR(SUMPRODUCT(--(TRIM(MID(SUBSTITUTE(SUBSTITUTE($AG$4,"/",","),",",REPT(" ",99)),(ROW($1:$8)-1)*99+1,99))&lt;&gt;""),--ISNUMBER(SEARCH(TRIM(MID(SUBSTITUTE(SUBSTITUTE($AG$4,"/",","),",",REPT(" ",99)),(ROW($1:$8)-1)*99+1,99)),IFERROR(('Final Calculation Sheet'!$AF$11)&amp;"",""))))&gt;0,AND(ISNUMBER(SEARCH("blank",$AG$4)),NOT(ISNUMBER(SEARCH("nonblank",$AG$4))),IFERROR(('Final Calculation Sheet'!$AF$11)&amp;"","")=""),AND(OR(ISNUMBER(SEARCH("nonblank",$AG$4)),ISNUMBER(SEARCH("&lt;&gt;",$AG$4))),IFERROR(('Final Calculation Sheet'!$AF$11)&amp;"","")&lt;&gt;""),AND(TRIM($AG$4)="",IFERROR(('Final Calculation Sheet'!$AF$11)&amp;"","")=""))))</f>
        <v/>
      </c>
      <c r="CT12">
        <f>IF($AH$4="",1,--(OR(SUMPRODUCT(--(TRIM(MID(SUBSTITUTE(SUBSTITUTE($AH$4,"/",","),",",REPT(" ",99)),(ROW($1:$8)-1)*99+1,99))&lt;&gt;""),--ISNUMBER(SEARCH(TRIM(MID(SUBSTITUTE(SUBSTITUTE($AH$4,"/",","),",",REPT(" ",99)),(ROW($1:$8)-1)*99+1,99)),IFERROR(('Final Calculation Sheet'!$AG$11)&amp;"",""))))&gt;0,AND(ISNUMBER(SEARCH("blank",$AH$4)),NOT(ISNUMBER(SEARCH("nonblank",$AH$4))),IFERROR(('Final Calculation Sheet'!$AG$11)&amp;"","")=""),AND(OR(ISNUMBER(SEARCH("nonblank",$AH$4)),ISNUMBER(SEARCH("&lt;&gt;",$AH$4))),IFERROR(('Final Calculation Sheet'!$AG$11)&amp;"","")&lt;&gt;""),AND(TRIM($AH$4)="",IFERROR(('Final Calculation Sheet'!$AG$11)&amp;"","")=""))))</f>
        <v/>
      </c>
      <c r="CU12">
        <f>IF($AI$4="",1,--(OR(SUMPRODUCT(--(TRIM(MID(SUBSTITUTE(SUBSTITUTE($AI$4,"/",","),",",REPT(" ",99)),(ROW($1:$8)-1)*99+1,99))&lt;&gt;""),--ISNUMBER(SEARCH(TRIM(MID(SUBSTITUTE(SUBSTITUTE($AI$4,"/",","),",",REPT(" ",99)),(ROW($1:$8)-1)*99+1,99)),IFERROR((IF('Final Calculation Sheet'!$AD$11&lt;=0,"SETTLED","OUTSTANDING"))&amp;"",""))))&gt;0,AND(ISNUMBER(SEARCH("blank",$AI$4)),NOT(ISNUMBER(SEARCH("nonblank",$AI$4))),IFERROR((IF('Final Calculation Sheet'!$AD$11&lt;=0,"SETTLED","OUTSTANDING"))&amp;"","")=""),AND(OR(ISNUMBER(SEARCH("nonblank",$AI$4)),ISNUMBER(SEARCH("&lt;&gt;",$AI$4))),IFERROR((IF('Final Calculation Sheet'!$AD$11&lt;=0,"SETTLED","OUTSTANDING"))&amp;"","")&lt;&gt;""),AND(TRIM($AI$4)="",IFERROR((IF('Final Calculation Sheet'!$AD$11&lt;=0,"SETTLED","OUTSTANDING"))&amp;"","")=""))))</f>
        <v/>
      </c>
    </row>
    <row r="13" ht="15" customHeight="1" s="77">
      <c r="A13" s="67">
        <f>IF($BJ12&gt;0,INDEX($BA$5:$BA$41,MATCH(12,$BB$5:$BB$41,0)),IF(OR($BI12=1,$BL12=1,$BH12&gt;0),"∑",""))</f>
        <v/>
      </c>
      <c r="B13" s="68">
        <f>IF($BJ12&gt;0,IF(INDEX('Final Calculation Sheet'!$F$4:$F$40,$BJ12-3)="","",INDEX('Final Calculation Sheet'!$F$4:$F$40,$BJ12-3)),"")</f>
        <v/>
      </c>
      <c r="C13" s="68">
        <f>IF($BJ12&gt;0,IF(INDEX('Final Calculation Sheet'!$G$4:$G$40,$BJ12-3)="","",INDEX('Final Calculation Sheet'!$G$4:$G$40,$BJ12-3)),IF(OR($BI12=1,$BL12=1,$BH12&gt;0),IF($BI12=1,37,IF($BL12=1,37-INDEX($BD$4:$BD$13,10),INDEX($BD$4:$BD$13,$BH12)))&amp;" lot(s)",""))</f>
        <v/>
      </c>
      <c r="D13" s="69">
        <f>IF($BJ12&gt;0,IF(INDEX('Final Calculation Sheet'!$B$4:$B$40,$BJ12-3)="","",INDEX('Final Calculation Sheet'!$B$4:$B$40,$BJ12-3)),IF(OR($BI12=1,$BL12=1,$BH12&gt;0),IF($BI12=1,"GRAND TOTAL  —  matching + remaining",IF($BL12=1,"TOTAL MATCHED  —  every group together",IF($BH12=10,"REMAINING  —  did not match the search",IF($BH12=9,IF(COUNTIF($A$4:$AI$4,"&lt;&gt;")&gt;0,"FILTERED LOTS  —  column fields","ALL LOTS  —  nothing typed in the box"),"GROUP "&amp;$BH12&amp;" TOTAL  —  lots matching  "&amp;INDEX($AR$6:$AY$6,$BH12))))),""))</f>
        <v/>
      </c>
      <c r="E13" s="69">
        <f>IF($BJ12&gt;0,IF(INDEX('Final Calculation Sheet'!$D$4:$D$40,$BJ12-3)="","",INDEX('Final Calculation Sheet'!$D$4:$D$40,$BJ12-3)),IF(OR($BI12=1,$BL12=1,$BH12&gt;0),"–",""))</f>
        <v/>
      </c>
      <c r="F13" s="69">
        <f>IF($BJ12&gt;0,IF(INDEX('Final Calculation Sheet'!$A$4:$A$40,$BJ12-3)="","",INDEX('Final Calculation Sheet'!$A$4:$A$40,$BJ12-3)),IF(OR($BI12=1,$BL12=1,$BH12&gt;0),IF($BI12=1,SUM('Final Calculation Sheet'!$A$4:$A$40),IF($BL12=1,SUM('Final Calculation Sheet'!$A$4:$A$40)-SUMIFS('Final Calculation Sheet'!$A$4:$A$40,$AZ$5:$AZ$41,10),SUMIFS('Final Calculation Sheet'!$A$4:$A$40,$AZ$5:$AZ$41,$BH12))),""))</f>
        <v/>
      </c>
      <c r="G13" s="69">
        <f>IF($BJ12&gt;0,IF(INDEX('Final Calculation Sheet'!$E$4:$E$40,$BJ12-3)="","",INDEX('Final Calculation Sheet'!$E$4:$E$40,$BJ12-3)),IF(OR($BI12=1,$BL12=1,$BH12&gt;0),"–",""))</f>
        <v/>
      </c>
      <c r="H13" s="70">
        <f>IF($BJ12&gt;0,IF(INDEX('Final Calculation Sheet'!$C$4:$C$40,$BJ12-3)="","",INDEX('Final Calculation Sheet'!$C$4:$C$40,$BJ12-3)),IF(OR($BI12=1,$BL12=1,$BH12&gt;0),"–",""))</f>
        <v/>
      </c>
      <c r="I13" s="70">
        <f>IF($BJ12&gt;0,IF(INDEX('Final Calculation Sheet'!$H$4:$H$40,$BJ12-3)="","",INDEX('Final Calculation Sheet'!$H$4:$H$40,$BJ12-3)),IF(OR($BI12=1,$BL12=1,$BH12&gt;0),IF($BI12=1,SUM('Final Calculation Sheet'!$H$4:$H$40),IF($BL12=1,SUM('Final Calculation Sheet'!$H$4:$H$40)-SUMIFS('Final Calculation Sheet'!$H$4:$H$40,$AZ$5:$AZ$41,10),SUMIFS('Final Calculation Sheet'!$H$4:$H$40,$AZ$5:$AZ$41,$BH12))),""))</f>
        <v/>
      </c>
      <c r="J13" s="70">
        <f>IF($BJ12&gt;0,IF(INDEX('Final Calculation Sheet'!$I$4:$I$40,$BJ12-3)="","",INDEX('Final Calculation Sheet'!$I$4:$I$40,$BJ12-3)),IF(OR($BI12=1,$BL12=1,$BH12&gt;0),IF($BI12=1,SUM('Final Calculation Sheet'!$I$4:$I$40),IF($BL12=1,SUM('Final Calculation Sheet'!$I$4:$I$40)-SUMIFS('Final Calculation Sheet'!$I$4:$I$40,$AZ$5:$AZ$41,10),SUMIFS('Final Calculation Sheet'!$I$4:$I$40,$AZ$5:$AZ$41,$BH12))),""))</f>
        <v/>
      </c>
      <c r="K13" s="70">
        <f>IF($BJ12&gt;0,IF(INDEX('Final Calculation Sheet'!$J$4:$J$40,$BJ12-3)="","",INDEX('Final Calculation Sheet'!$J$4:$J$40,$BJ12-3)),IF(OR($BI12=1,$BL12=1,$BH12&gt;0),IF($BI12=1,SUM('Final Calculation Sheet'!$J$4:$J$40),IF($BL12=1,SUM('Final Calculation Sheet'!$J$4:$J$40)-SUMIFS('Final Calculation Sheet'!$J$4:$J$40,$AZ$5:$AZ$41,10),SUMIFS('Final Calculation Sheet'!$J$4:$J$40,$AZ$5:$AZ$41,$BH12))),""))</f>
        <v/>
      </c>
      <c r="L13" s="70">
        <f>IF($BJ12&gt;0,IF(INDEX('Final Calculation Sheet'!$K$4:$K$40,$BJ12-3)="","",INDEX('Final Calculation Sheet'!$K$4:$K$40,$BJ12-3)),IF(OR($BI12=1,$BL12=1,$BH12&gt;0),IF($BI12=1,SUM('Final Calculation Sheet'!$K$4:$K$40),IF($BL12=1,SUM('Final Calculation Sheet'!$K$4:$K$40)-SUMIFS('Final Calculation Sheet'!$K$4:$K$40,$AZ$5:$AZ$41,10),SUMIFS('Final Calculation Sheet'!$K$4:$K$40,$AZ$5:$AZ$41,$BH12))),""))</f>
        <v/>
      </c>
      <c r="M13" s="70">
        <f>IF($BJ12&gt;0,IF(INDEX('Final Calculation Sheet'!$L$4:$L$40,$BJ12-3)="","",INDEX('Final Calculation Sheet'!$L$4:$L$40,$BJ12-3)),IF(OR($BI12=1,$BL12=1,$BH12&gt;0),IF($BI12=1,SUM('Final Calculation Sheet'!$L$4:$L$40),IF($BL12=1,SUM('Final Calculation Sheet'!$L$4:$L$40)-SUMIFS('Final Calculation Sheet'!$L$4:$L$40,$AZ$5:$AZ$41,10),SUMIFS('Final Calculation Sheet'!$L$4:$L$40,$AZ$5:$AZ$41,$BH12))),""))</f>
        <v/>
      </c>
      <c r="N13" s="70">
        <f>IF($BJ12&gt;0,IF(INDEX('Final Calculation Sheet'!$M$4:$M$40,$BJ12-3)="","",INDEX('Final Calculation Sheet'!$M$4:$M$40,$BJ12-3)),IF(OR($BI12=1,$BL12=1,$BH12&gt;0),IF($BI12=1,SUM('Final Calculation Sheet'!$M$4:$M$40),IF($BL12=1,SUM('Final Calculation Sheet'!$M$4:$M$40)-SUMIFS('Final Calculation Sheet'!$M$4:$M$40,$AZ$5:$AZ$41,10),SUMIFS('Final Calculation Sheet'!$M$4:$M$40,$AZ$5:$AZ$41,$BH12))),""))</f>
        <v/>
      </c>
      <c r="O13" s="71">
        <f>IF($BJ12&gt;0,IF(INDEX('Final Calculation Sheet'!$N$4:$N$40,$BJ12-3)="","",INDEX('Final Calculation Sheet'!$N$4:$N$40,$BJ12-3)),IF(OR($BI12=1,$BL12=1,$BH12&gt;0),IF($BI12=1,SUM('Final Calculation Sheet'!$N$4:$N$40),IF($BL12=1,SUM('Final Calculation Sheet'!$N$4:$N$40)-SUMIFS('Final Calculation Sheet'!$N$4:$N$40,$AZ$5:$AZ$41,10),SUMIFS('Final Calculation Sheet'!$N$4:$N$40,$AZ$5:$AZ$41,$BH12))),""))</f>
        <v/>
      </c>
      <c r="P13" s="70">
        <f>IF($BJ12&gt;0,IF(INDEX('Final Calculation Sheet'!$O$4:$O$40,$BJ12-3)="","",INDEX('Final Calculation Sheet'!$O$4:$O$40,$BJ12-3)),IF(OR($BI12=1,$BL12=1,$BH12&gt;0),IF($BI12=1,SUM('Final Calculation Sheet'!$O$4:$O$40),IF($BL12=1,SUM('Final Calculation Sheet'!$O$4:$O$40)-SUMIFS('Final Calculation Sheet'!$O$4:$O$40,$AZ$5:$AZ$41,10),SUMIFS('Final Calculation Sheet'!$O$4:$O$40,$AZ$5:$AZ$41,$BH12))),""))</f>
        <v/>
      </c>
      <c r="Q13" s="70">
        <f>IF($BJ12&gt;0,IF(INDEX('Final Calculation Sheet'!$P$4:$P$40,$BJ12-3)="","",INDEX('Final Calculation Sheet'!$P$4:$P$40,$BJ12-3)),IF(OR($BI12=1,$BL12=1,$BH12&gt;0),IF($BI12=1,SUM('Final Calculation Sheet'!$P$4:$P$40),IF($BL12=1,SUM('Final Calculation Sheet'!$P$4:$P$40)-SUMIFS('Final Calculation Sheet'!$P$4:$P$40,$AZ$5:$AZ$41,10),SUMIFS('Final Calculation Sheet'!$P$4:$P$40,$AZ$5:$AZ$41,$BH12))),""))</f>
        <v/>
      </c>
      <c r="R13" s="72">
        <f>IF($BJ12&gt;0,IF(INDEX('Final Calculation Sheet'!$Q$4:$Q$40,$BJ12-3)="","",INDEX('Final Calculation Sheet'!$Q$4:$Q$40,$BJ12-3)),IF(OR($BI12=1,$BL12=1,$BH12&gt;0),"–",""))</f>
        <v/>
      </c>
      <c r="S13" s="70">
        <f>IF($BJ12&gt;0,IF(INDEX('Final Calculation Sheet'!$R$4:$R$40,$BJ12-3)="","",INDEX('Final Calculation Sheet'!$R$4:$R$40,$BJ12-3)),IF(OR($BI12=1,$BL12=1,$BH12&gt;0),IF($BI12=1,SUM('Final Calculation Sheet'!$R$4:$R$40),IF($BL12=1,SUM('Final Calculation Sheet'!$R$4:$R$40)-SUMIFS('Final Calculation Sheet'!$R$4:$R$40,$AZ$5:$AZ$41,10),SUMIFS('Final Calculation Sheet'!$R$4:$R$40,$AZ$5:$AZ$41,$BH12))),""))</f>
        <v/>
      </c>
      <c r="T13" s="70">
        <f>IF($BJ12&gt;0,IF(INDEX('Final Calculation Sheet'!$S$4:$S$40,$BJ12-3)="","",INDEX('Final Calculation Sheet'!$S$4:$S$40,$BJ12-3)),IF(OR($BI12=1,$BL12=1,$BH12&gt;0),IF($BI12=1,SUM('Final Calculation Sheet'!$S$4:$S$40),IF($BL12=1,SUM('Final Calculation Sheet'!$S$4:$S$40)-SUMIFS('Final Calculation Sheet'!$S$4:$S$40,$AZ$5:$AZ$41,10),SUMIFS('Final Calculation Sheet'!$S$4:$S$40,$AZ$5:$AZ$41,$BH12))),""))</f>
        <v/>
      </c>
      <c r="U13" s="70">
        <f>IF($BJ12&gt;0,IF(INDEX('Final Calculation Sheet'!$T$4:$T$40,$BJ12-3)="","",INDEX('Final Calculation Sheet'!$T$4:$T$40,$BJ12-3)),IF(OR($BI12=1,$BL12=1,$BH12&gt;0),IF($BI12=1,SUM('Final Calculation Sheet'!$T$4:$T$40),IF($BL12=1,SUM('Final Calculation Sheet'!$T$4:$T$40)-SUMIFS('Final Calculation Sheet'!$T$4:$T$40,$AZ$5:$AZ$41,10),SUMIFS('Final Calculation Sheet'!$T$4:$T$40,$AZ$5:$AZ$41,$BH12))),""))</f>
        <v/>
      </c>
      <c r="V13" s="73">
        <f>IF($BJ12&gt;0,IF(INDEX('Final Calculation Sheet'!$U$4:$U$40,$BJ12-3)="","",INDEX('Final Calculation Sheet'!$U$4:$U$40,$BJ12-3)),IF(OR($BI12=1,$BL12=1,$BH12&gt;0),IF($BI12=1,SUM('Final Calculation Sheet'!$U$4:$U$40),IF($BL12=1,SUM('Final Calculation Sheet'!$U$4:$U$40)-SUMIFS('Final Calculation Sheet'!$U$4:$U$40,$AZ$5:$AZ$41,10),SUMIFS('Final Calculation Sheet'!$U$4:$U$40,$AZ$5:$AZ$41,$BH12))),""))</f>
        <v/>
      </c>
      <c r="W13" s="70">
        <f>IF($BJ12&gt;0,IF(INDEX('Final Calculation Sheet'!$V$4:$V$40,$BJ12-3)="","",INDEX('Final Calculation Sheet'!$V$4:$V$40,$BJ12-3)),IF(OR($BI12=1,$BL12=1,$BH12&gt;0),"–",""))</f>
        <v/>
      </c>
      <c r="X13" s="70">
        <f>IF($BJ12&gt;0,IF(INDEX('Final Calculation Sheet'!$W$4:$W$40,$BJ12-3)="","",INDEX('Final Calculation Sheet'!$W$4:$W$40,$BJ12-3)),IF(OR($BI12=1,$BL12=1,$BH12&gt;0),IF($BI12=1,SUM('Final Calculation Sheet'!$W$4:$W$40),IF($BL12=1,SUM('Final Calculation Sheet'!$W$4:$W$40)-SUMIFS('Final Calculation Sheet'!$W$4:$W$40,$AZ$5:$AZ$41,10),SUMIFS('Final Calculation Sheet'!$W$4:$W$40,$AZ$5:$AZ$41,$BH12))),""))</f>
        <v/>
      </c>
      <c r="Y13" s="70">
        <f>IF($BJ12&gt;0,IF(INDEX('Final Calculation Sheet'!$X$4:$X$40,$BJ12-3)="","",INDEX('Final Calculation Sheet'!$X$4:$X$40,$BJ12-3)),IF(OR($BI12=1,$BL12=1,$BH12&gt;0),IF($BI12=1,SUM('Final Calculation Sheet'!$X$4:$X$40),IF($BL12=1,SUM('Final Calculation Sheet'!$X$4:$X$40)-SUMIFS('Final Calculation Sheet'!$X$4:$X$40,$AZ$5:$AZ$41,10),SUMIFS('Final Calculation Sheet'!$X$4:$X$40,$AZ$5:$AZ$41,$BH12))),""))</f>
        <v/>
      </c>
      <c r="Z13" s="70">
        <f>IF($BJ12&gt;0,IF(INDEX('Final Calculation Sheet'!$Y$4:$Y$40,$BJ12-3)="","",INDEX('Final Calculation Sheet'!$Y$4:$Y$40,$BJ12-3)),IF(OR($BI12=1,$BL12=1,$BH12&gt;0),"–",""))</f>
        <v/>
      </c>
      <c r="AA13" s="70">
        <f>IF($BJ12&gt;0,IF(INDEX('Final Calculation Sheet'!$Z$4:$Z$40,$BJ12-3)="","",INDEX('Final Calculation Sheet'!$Z$4:$Z$40,$BJ12-3)),IF(OR($BI12=1,$BL12=1,$BH12&gt;0),IF($BI12=1,SUM('Final Calculation Sheet'!$Z$4:$Z$40),IF($BL12=1,SUM('Final Calculation Sheet'!$Z$4:$Z$40)-SUMIFS('Final Calculation Sheet'!$Z$4:$Z$40,$AZ$5:$AZ$41,10),SUMIFS('Final Calculation Sheet'!$Z$4:$Z$40,$AZ$5:$AZ$41,$BH12))),""))</f>
        <v/>
      </c>
      <c r="AB13" s="70">
        <f>IF($BJ12&gt;0,IF(INDEX('Final Calculation Sheet'!$AA$4:$AA$40,$BJ12-3)="","",INDEX('Final Calculation Sheet'!$AA$4:$AA$40,$BJ12-3)),IF(OR($BI12=1,$BL12=1,$BH12&gt;0),IF($BI12=1,SUM('Final Calculation Sheet'!$AA$4:$AA$40),IF($BL12=1,SUM('Final Calculation Sheet'!$AA$4:$AA$40)-SUMIFS('Final Calculation Sheet'!$AA$4:$AA$40,$AZ$5:$AZ$41,10),SUMIFS('Final Calculation Sheet'!$AA$4:$AA$40,$AZ$5:$AZ$41,$BH12))),""))</f>
        <v/>
      </c>
      <c r="AC13" s="70">
        <f>IF($BJ12&gt;0,IF(INDEX('Final Calculation Sheet'!$AB$4:$AB$40,$BJ12-3)="","",INDEX('Final Calculation Sheet'!$AB$4:$AB$40,$BJ12-3)),IF(OR($BI12=1,$BL12=1,$BH12&gt;0),"–",""))</f>
        <v/>
      </c>
      <c r="AD13" s="70">
        <f>IF($BJ12&gt;0,IF(INDEX('Final Calculation Sheet'!$AC$4:$AC$40,$BJ12-3)="","",INDEX('Final Calculation Sheet'!$AC$4:$AC$40,$BJ12-3)),IF(OR($BI12=1,$BL12=1,$BH12&gt;0),IF($BI12=1,SUM('Final Calculation Sheet'!$AC$4:$AC$40),IF($BL12=1,SUM('Final Calculation Sheet'!$AC$4:$AC$40)-SUMIFS('Final Calculation Sheet'!$AC$4:$AC$40,$AZ$5:$AZ$41,10),SUMIFS('Final Calculation Sheet'!$AC$4:$AC$40,$AZ$5:$AZ$41,$BH12))),""))</f>
        <v/>
      </c>
      <c r="AE13" s="70">
        <f>IF($BJ12&gt;0,IF(INDEX('Final Calculation Sheet'!$AD$4:$AD$40,$BJ12-3)="","",INDEX('Final Calculation Sheet'!$AD$4:$AD$40,$BJ12-3)),IF(OR($BI12=1,$BL12=1,$BH12&gt;0),IF($BI12=1,SUM('Final Calculation Sheet'!$AD$4:$AD$40),IF($BL12=1,SUM('Final Calculation Sheet'!$AD$4:$AD$40)-SUMIFS('Final Calculation Sheet'!$AD$4:$AD$40,$AZ$5:$AZ$41,10),SUMIFS('Final Calculation Sheet'!$AD$4:$AD$40,$AZ$5:$AZ$41,$BH12))),""))</f>
        <v/>
      </c>
      <c r="AF13" s="70">
        <f>IF($BJ12&gt;0,IF(INDEX('Final Calculation Sheet'!$AE$4:$AE$40,$BJ12-3)="","",INDEX('Final Calculation Sheet'!$AE$4:$AE$40,$BJ12-3)),IF(OR($BI12=1,$BL12=1,$BH12&gt;0),"–",""))</f>
        <v/>
      </c>
      <c r="AG13" s="74">
        <f>IF($BJ12&gt;0,IF(INDEX('Final Calculation Sheet'!$AF$4:$AF$40,$BJ12-3)="","",INDEX('Final Calculation Sheet'!$AF$4:$AF$40,$BJ12-3)),IF(OR($BI12=1,$BL12=1,$BH12&gt;0),"–",""))</f>
        <v/>
      </c>
      <c r="AH13" s="70">
        <f>IF($BJ12&gt;0,IF(INDEX('Final Calculation Sheet'!$AG$4:$AG$40,$BJ12-3)="","",INDEX('Final Calculation Sheet'!$AG$4:$AG$40,$BJ12-3)),IF(OR($BI12=1,$BL12=1,$BH12&gt;0),"–",""))</f>
        <v/>
      </c>
      <c r="AI13" s="75">
        <f>IF($BJ12&gt;0,IF(INDEX('Final Calculation Sheet'!$AD$4:$AD$40,$BJ12-3)="","",IF(INDEX('Final Calculation Sheet'!$AD$4:$AD$40,$BJ12-3)&lt;=0,"SETTLED","OUTSTANDING")),IF(OR($BI12=1,$BL12=1,$BH12&gt;0),IF(IF($BI12=1,SUM('Final Calculation Sheet'!$AD$4:$AD$40),IF($BL12=1,SUM('Final Calculation Sheet'!$AD$4:$AD$40)-SUMIFS('Final Calculation Sheet'!$AD$4:$AD$40,$AZ$5:$AZ$41,10),SUMIFS('Final Calculation Sheet'!$AD$4:$AD$40,$AZ$5:$AZ$41,$BH12)))&lt;=0,"ALL SETTLED","OUTSTANDING"),""))</f>
        <v/>
      </c>
      <c r="AK13">
        <f>IF($F$3="Lot No.",'Final Calculation Sheet'!$F$12,IF($F$3="Buyer",'Final Calculation Sheet'!$G$12,IF($F$3="Lot Name",'Final Calculation Sheet'!$B$12,IF($F$3="Bid Sheet",'Final Calculation Sheet'!$D$12,IF($F$3="Unit",'Final Calculation Sheet'!$E$12,'Final Calculation Sheet'!$F$12&amp;" "&amp;'Final Calculation Sheet'!$G$12&amp;" "&amp;'Final Calculation Sheet'!$B$12)))))</f>
        <v/>
      </c>
      <c r="AM13">
        <f>IF(COUNTIF($BM13:$CU13,0)&gt;0,0,IF($B$3="",1,IF(AND(IF(COUNTIF($AR$9:$AY$9,1)=0,TRUE,SUMPRODUCT(($AR$9:$AY$9=1)*($AR$6:$AY$6&lt;&gt;"")*ISNUMBER(SEARCH($AR$6:$AY$6,$AK13)))&gt;0),IF(COUNTIF($AR$9:$AY$9,2)=0,TRUE,SUMPRODUCT(($AR$9:$AY$9=2)*($AR$6:$AY$6&lt;&gt;"")*ISNUMBER(SEARCH($AR$6:$AY$6,$AK13)))&gt;0),IF(COUNTIF($AR$9:$AY$9,3)=0,TRUE,SUMPRODUCT(($AR$9:$AY$9=3)*($AR$6:$AY$6&lt;&gt;"")*ISNUMBER(SEARCH($AR$6:$AY$6,$AK13)))&gt;0),IF(COUNTIF($AR$9:$AY$9,4)=0,TRUE,SUMPRODUCT(($AR$9:$AY$9=4)*($AR$6:$AY$6&lt;&gt;"")*ISNUMBER(SEARCH($AR$6:$AY$6,$AK13)))&gt;0),IF(COUNTIF($AR$9:$AY$9,5)=0,TRUE,SUMPRODUCT(($AR$9:$AY$9=5)*($AR$6:$AY$6&lt;&gt;"")*ISNUMBER(SEARCH($AR$6:$AY$6,$AK13)))&gt;0),IF(COUNTIF($AR$9:$AY$9,6)=0,TRUE,SUMPRODUCT(($AR$9:$AY$9=6)*($AR$6:$AY$6&lt;&gt;"")*ISNUMBER(SEARCH($AR$6:$AY$6,$AK13)))&gt;0),IF(COUNTIF($AR$9:$AY$9,7)=0,TRUE,SUMPRODUCT(($AR$9:$AY$9=7)*($AR$6:$AY$6&lt;&gt;"")*ISNUMBER(SEARCH($AR$6:$AY$6,$AK13)))&gt;0),IF(COUNTIF($AR$9:$AY$9,8)=0,TRUE,SUMPRODUCT(($AR$9:$AY$9=8)*($AR$6:$AY$6&lt;&gt;"")*ISNUMBER(SEARCH($AR$6:$AY$6,$AK13)))&gt;0)),1,0)))</f>
        <v/>
      </c>
      <c r="AZ13">
        <f>IF($B$3="",IF(COUNTIF($A$4:$AI$4,"&lt;&gt;")=0,9,IF($AM13=1,9,10)),IF($AM13=0,10,IF(AND($AR$6&lt;&gt;"",ISNUMBER(SEARCH($AR$6,$AK13))),1,IF(AND($AS$6&lt;&gt;"",ISNUMBER(SEARCH($AS$6,$AK13))),2,IF(AND($AT$6&lt;&gt;"",ISNUMBER(SEARCH($AT$6,$AK13))),3,IF(AND($AU$6&lt;&gt;"",ISNUMBER(SEARCH($AU$6,$AK13))),4,IF(AND($AV$6&lt;&gt;"",ISNUMBER(SEARCH($AV$6,$AK13))),5,IF(AND($AW$6&lt;&gt;"",ISNUMBER(SEARCH($AW$6,$AK13))),6,IF(AND($AX$6&lt;&gt;"",ISNUMBER(SEARCH($AX$6,$AK13))),7,IF(AND($AY$6&lt;&gt;"",ISNUMBER(SEARCH($AY$6,$AK13))),8,0))))))))))</f>
        <v/>
      </c>
      <c r="BA13">
        <f>SUMPRODUCT(($AZ$5:$AZ$41=$AZ13)*($BC$5:$BC$41&lt;$BC13))+1</f>
        <v/>
      </c>
      <c r="BB13">
        <f>IF(INDEX($BF$4:$BF$13,$AZ13)=0,0,INDEX($BE$4:$BE$13,$AZ13)+$BA13-1)</f>
        <v/>
      </c>
      <c r="BC13" t="n">
        <v>12</v>
      </c>
      <c r="BD13">
        <f>COUNTIF($AZ$5:$AZ$41,10)</f>
        <v/>
      </c>
      <c r="BE13">
        <f>$BG$4+1</f>
        <v/>
      </c>
      <c r="BF13">
        <f>IF($BD13=0,0,$BE13+$BD13)</f>
        <v/>
      </c>
      <c r="BH13">
        <f>IFERROR(MATCH(13,$BF$4:$BF$13,0),0)</f>
        <v/>
      </c>
      <c r="BI13">
        <f>IF(13=$BG$5,1,0)</f>
        <v/>
      </c>
      <c r="BJ13">
        <f>IF(OR($BH13&gt;0,$BI13=1,$BL13=1),0,IFERROR(INDEX($BC$5:$BC$41,MATCH(13,$BB$5:$BB$41,0)),0))</f>
        <v/>
      </c>
      <c r="BK13">
        <f>IF($BJ13&gt;0,IF(INDEX($AZ$5:$AZ$41,MATCH(13,$BB$5:$BB$41,0))=10,1,0),IF($BH13=10,1,0))</f>
        <v/>
      </c>
      <c r="BL13">
        <f>IF(13=$BG$4,1,0)</f>
        <v/>
      </c>
      <c r="BM13">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3">
        <f>IF($B$4="",1,--(OR(SUMPRODUCT(--(TRIM(MID(SUBSTITUTE(SUBSTITUTE($B$4,"/",","),",",REPT(" ",99)),(ROW($1:$8)-1)*99+1,99))&lt;&gt;""),--ISNUMBER(SEARCH(TRIM(MID(SUBSTITUTE(SUBSTITUTE($B$4,"/",","),",",REPT(" ",99)),(ROW($1:$8)-1)*99+1,99)),IFERROR(('Final Calculation Sheet'!$F$12)&amp;"",""))))&gt;0,AND(ISNUMBER(SEARCH("blank",$B$4)),NOT(ISNUMBER(SEARCH("nonblank",$B$4))),IFERROR(('Final Calculation Sheet'!$F$12)&amp;"","")=""),AND(OR(ISNUMBER(SEARCH("nonblank",$B$4)),ISNUMBER(SEARCH("&lt;&gt;",$B$4))),IFERROR(('Final Calculation Sheet'!$F$12)&amp;"","")&lt;&gt;""),AND(TRIM($B$4)="",IFERROR(('Final Calculation Sheet'!$F$12)&amp;"","")=""))))</f>
        <v/>
      </c>
      <c r="BO13">
        <f>IF($C$4="",1,--(OR(SUMPRODUCT(--(TRIM(MID(SUBSTITUTE(SUBSTITUTE($C$4,"/",","),",",REPT(" ",99)),(ROW($1:$8)-1)*99+1,99))&lt;&gt;""),--ISNUMBER(SEARCH(TRIM(MID(SUBSTITUTE(SUBSTITUTE($C$4,"/",","),",",REPT(" ",99)),(ROW($1:$8)-1)*99+1,99)),IFERROR(('Final Calculation Sheet'!$G$12)&amp;"",""))))&gt;0,AND(ISNUMBER(SEARCH("blank",$C$4)),NOT(ISNUMBER(SEARCH("nonblank",$C$4))),IFERROR(('Final Calculation Sheet'!$G$12)&amp;"","")=""),AND(OR(ISNUMBER(SEARCH("nonblank",$C$4)),ISNUMBER(SEARCH("&lt;&gt;",$C$4))),IFERROR(('Final Calculation Sheet'!$G$12)&amp;"","")&lt;&gt;""),AND(TRIM($C$4)="",IFERROR(('Final Calculation Sheet'!$G$12)&amp;"","")=""))))</f>
        <v/>
      </c>
      <c r="BP13">
        <f>IF($D$4="",1,--(OR(SUMPRODUCT(--(TRIM(MID(SUBSTITUTE(SUBSTITUTE($D$4,"/",","),",",REPT(" ",99)),(ROW($1:$8)-1)*99+1,99))&lt;&gt;""),--ISNUMBER(SEARCH(TRIM(MID(SUBSTITUTE(SUBSTITUTE($D$4,"/",","),",",REPT(" ",99)),(ROW($1:$8)-1)*99+1,99)),IFERROR(('Final Calculation Sheet'!$B$12)&amp;"",""))))&gt;0,AND(ISNUMBER(SEARCH("blank",$D$4)),NOT(ISNUMBER(SEARCH("nonblank",$D$4))),IFERROR(('Final Calculation Sheet'!$B$12)&amp;"","")=""),AND(OR(ISNUMBER(SEARCH("nonblank",$D$4)),ISNUMBER(SEARCH("&lt;&gt;",$D$4))),IFERROR(('Final Calculation Sheet'!$B$12)&amp;"","")&lt;&gt;""),AND(TRIM($D$4)="",IFERROR(('Final Calculation Sheet'!$B$12)&amp;"","")=""))))</f>
        <v/>
      </c>
      <c r="BQ13">
        <f>IF($E$4="",1,--(OR(SUMPRODUCT(--(TRIM(MID(SUBSTITUTE(SUBSTITUTE($E$4,"/",","),",",REPT(" ",99)),(ROW($1:$8)-1)*99+1,99))&lt;&gt;""),--ISNUMBER(SEARCH(TRIM(MID(SUBSTITUTE(SUBSTITUTE($E$4,"/",","),",",REPT(" ",99)),(ROW($1:$8)-1)*99+1,99)),IFERROR(('Final Calculation Sheet'!$D$12)&amp;"",""))))&gt;0,AND(ISNUMBER(SEARCH("blank",$E$4)),NOT(ISNUMBER(SEARCH("nonblank",$E$4))),IFERROR(('Final Calculation Sheet'!$D$12)&amp;"","")=""),AND(OR(ISNUMBER(SEARCH("nonblank",$E$4)),ISNUMBER(SEARCH("&lt;&gt;",$E$4))),IFERROR(('Final Calculation Sheet'!$D$12)&amp;"","")&lt;&gt;""),AND(TRIM($E$4)="",IFERROR(('Final Calculation Sheet'!$D$12)&amp;"","")=""))))</f>
        <v/>
      </c>
      <c r="BR13">
        <f>IF($F$4="",1,--(OR(SUMPRODUCT(--(TRIM(MID(SUBSTITUTE(SUBSTITUTE($F$4,"/",","),",",REPT(" ",99)),(ROW($1:$8)-1)*99+1,99))&lt;&gt;""),--ISNUMBER(SEARCH(TRIM(MID(SUBSTITUTE(SUBSTITUTE($F$4,"/",","),",",REPT(" ",99)),(ROW($1:$8)-1)*99+1,99)),IFERROR(('Final Calculation Sheet'!$A$12)&amp;"",""))))&gt;0,AND(ISNUMBER(SEARCH("blank",$F$4)),NOT(ISNUMBER(SEARCH("nonblank",$F$4))),IFERROR(('Final Calculation Sheet'!$A$12)&amp;"","")=""),AND(OR(ISNUMBER(SEARCH("nonblank",$F$4)),ISNUMBER(SEARCH("&lt;&gt;",$F$4))),IFERROR(('Final Calculation Sheet'!$A$12)&amp;"","")&lt;&gt;""),AND(TRIM($F$4)="",IFERROR(('Final Calculation Sheet'!$A$12)&amp;"","")=""))))</f>
        <v/>
      </c>
      <c r="BS13">
        <f>IF($G$4="",1,--(OR(SUMPRODUCT(--(TRIM(MID(SUBSTITUTE(SUBSTITUTE($G$4,"/",","),",",REPT(" ",99)),(ROW($1:$8)-1)*99+1,99))&lt;&gt;""),--ISNUMBER(SEARCH(TRIM(MID(SUBSTITUTE(SUBSTITUTE($G$4,"/",","),",",REPT(" ",99)),(ROW($1:$8)-1)*99+1,99)),IFERROR(('Final Calculation Sheet'!$E$12)&amp;"",""))))&gt;0,AND(ISNUMBER(SEARCH("blank",$G$4)),NOT(ISNUMBER(SEARCH("nonblank",$G$4))),IFERROR(('Final Calculation Sheet'!$E$12)&amp;"","")=""),AND(OR(ISNUMBER(SEARCH("nonblank",$G$4)),ISNUMBER(SEARCH("&lt;&gt;",$G$4))),IFERROR(('Final Calculation Sheet'!$E$12)&amp;"","")&lt;&gt;""),AND(TRIM($G$4)="",IFERROR(('Final Calculation Sheet'!$E$12)&amp;"","")=""))))</f>
        <v/>
      </c>
      <c r="BT13">
        <f>IF($H$4="",1,--(OR(SUMPRODUCT(--(TRIM(MID(SUBSTITUTE(SUBSTITUTE($H$4,"/",","),",",REPT(" ",99)),(ROW($1:$8)-1)*99+1,99))&lt;&gt;""),--ISNUMBER(SEARCH(TRIM(MID(SUBSTITUTE(SUBSTITUTE($H$4,"/",","),",",REPT(" ",99)),(ROW($1:$8)-1)*99+1,99)),IFERROR(('Final Calculation Sheet'!$C$12)&amp;"",""))))&gt;0,AND(ISNUMBER(SEARCH("blank",$H$4)),NOT(ISNUMBER(SEARCH("nonblank",$H$4))),IFERROR(('Final Calculation Sheet'!$C$12)&amp;"","")=""),AND(OR(ISNUMBER(SEARCH("nonblank",$H$4)),ISNUMBER(SEARCH("&lt;&gt;",$H$4))),IFERROR(('Final Calculation Sheet'!$C$12)&amp;"","")&lt;&gt;""),AND(TRIM($H$4)="",IFERROR(('Final Calculation Sheet'!$C$12)&amp;"","")=""))))</f>
        <v/>
      </c>
      <c r="BU13">
        <f>IF($I$4="",1,--(OR(SUMPRODUCT(--(TRIM(MID(SUBSTITUTE(SUBSTITUTE($I$4,"/",","),",",REPT(" ",99)),(ROW($1:$8)-1)*99+1,99))&lt;&gt;""),--ISNUMBER(SEARCH(TRIM(MID(SUBSTITUTE(SUBSTITUTE($I$4,"/",","),",",REPT(" ",99)),(ROW($1:$8)-1)*99+1,99)),IFERROR(('Final Calculation Sheet'!$H$12)&amp;"",""))))&gt;0,AND(ISNUMBER(SEARCH("blank",$I$4)),NOT(ISNUMBER(SEARCH("nonblank",$I$4))),IFERROR(('Final Calculation Sheet'!$H$12)&amp;"","")=""),AND(OR(ISNUMBER(SEARCH("nonblank",$I$4)),ISNUMBER(SEARCH("&lt;&gt;",$I$4))),IFERROR(('Final Calculation Sheet'!$H$12)&amp;"","")&lt;&gt;""),AND(TRIM($I$4)="",IFERROR(('Final Calculation Sheet'!$H$12)&amp;"","")=""))))</f>
        <v/>
      </c>
      <c r="BV13">
        <f>IF($J$4="",1,--(OR(SUMPRODUCT(--(TRIM(MID(SUBSTITUTE(SUBSTITUTE($J$4,"/",","),",",REPT(" ",99)),(ROW($1:$8)-1)*99+1,99))&lt;&gt;""),--ISNUMBER(SEARCH(TRIM(MID(SUBSTITUTE(SUBSTITUTE($J$4,"/",","),",",REPT(" ",99)),(ROW($1:$8)-1)*99+1,99)),IFERROR(('Final Calculation Sheet'!$I$12)&amp;"",""))))&gt;0,AND(ISNUMBER(SEARCH("blank",$J$4)),NOT(ISNUMBER(SEARCH("nonblank",$J$4))),IFERROR(('Final Calculation Sheet'!$I$12)&amp;"","")=""),AND(OR(ISNUMBER(SEARCH("nonblank",$J$4)),ISNUMBER(SEARCH("&lt;&gt;",$J$4))),IFERROR(('Final Calculation Sheet'!$I$12)&amp;"","")&lt;&gt;""),AND(TRIM($J$4)="",IFERROR(('Final Calculation Sheet'!$I$12)&amp;"","")=""))))</f>
        <v/>
      </c>
      <c r="BW13">
        <f>IF($K$4="",1,--(OR(SUMPRODUCT(--(TRIM(MID(SUBSTITUTE(SUBSTITUTE($K$4,"/",","),",",REPT(" ",99)),(ROW($1:$8)-1)*99+1,99))&lt;&gt;""),--ISNUMBER(SEARCH(TRIM(MID(SUBSTITUTE(SUBSTITUTE($K$4,"/",","),",",REPT(" ",99)),(ROW($1:$8)-1)*99+1,99)),IFERROR(('Final Calculation Sheet'!$J$12)&amp;"",""))))&gt;0,AND(ISNUMBER(SEARCH("blank",$K$4)),NOT(ISNUMBER(SEARCH("nonblank",$K$4))),IFERROR(('Final Calculation Sheet'!$J$12)&amp;"","")=""),AND(OR(ISNUMBER(SEARCH("nonblank",$K$4)),ISNUMBER(SEARCH("&lt;&gt;",$K$4))),IFERROR(('Final Calculation Sheet'!$J$12)&amp;"","")&lt;&gt;""),AND(TRIM($K$4)="",IFERROR(('Final Calculation Sheet'!$J$12)&amp;"","")=""))))</f>
        <v/>
      </c>
      <c r="BX13">
        <f>IF($L$4="",1,--(OR(SUMPRODUCT(--(TRIM(MID(SUBSTITUTE(SUBSTITUTE($L$4,"/",","),",",REPT(" ",99)),(ROW($1:$8)-1)*99+1,99))&lt;&gt;""),--ISNUMBER(SEARCH(TRIM(MID(SUBSTITUTE(SUBSTITUTE($L$4,"/",","),",",REPT(" ",99)),(ROW($1:$8)-1)*99+1,99)),IFERROR(('Final Calculation Sheet'!$K$12)&amp;"",""))))&gt;0,AND(ISNUMBER(SEARCH("blank",$L$4)),NOT(ISNUMBER(SEARCH("nonblank",$L$4))),IFERROR(('Final Calculation Sheet'!$K$12)&amp;"","")=""),AND(OR(ISNUMBER(SEARCH("nonblank",$L$4)),ISNUMBER(SEARCH("&lt;&gt;",$L$4))),IFERROR(('Final Calculation Sheet'!$K$12)&amp;"","")&lt;&gt;""),AND(TRIM($L$4)="",IFERROR(('Final Calculation Sheet'!$K$12)&amp;"","")=""))))</f>
        <v/>
      </c>
      <c r="BY13">
        <f>IF($M$4="",1,--(OR(SUMPRODUCT(--(TRIM(MID(SUBSTITUTE(SUBSTITUTE($M$4,"/",","),",",REPT(" ",99)),(ROW($1:$8)-1)*99+1,99))&lt;&gt;""),--ISNUMBER(SEARCH(TRIM(MID(SUBSTITUTE(SUBSTITUTE($M$4,"/",","),",",REPT(" ",99)),(ROW($1:$8)-1)*99+1,99)),IFERROR(('Final Calculation Sheet'!$L$12)&amp;"",""))))&gt;0,AND(ISNUMBER(SEARCH("blank",$M$4)),NOT(ISNUMBER(SEARCH("nonblank",$M$4))),IFERROR(('Final Calculation Sheet'!$L$12)&amp;"","")=""),AND(OR(ISNUMBER(SEARCH("nonblank",$M$4)),ISNUMBER(SEARCH("&lt;&gt;",$M$4))),IFERROR(('Final Calculation Sheet'!$L$12)&amp;"","")&lt;&gt;""),AND(TRIM($M$4)="",IFERROR(('Final Calculation Sheet'!$L$12)&amp;"","")=""))))</f>
        <v/>
      </c>
      <c r="BZ13">
        <f>IF($N$4="",1,--(OR(SUMPRODUCT(--(TRIM(MID(SUBSTITUTE(SUBSTITUTE($N$4,"/",","),",",REPT(" ",99)),(ROW($1:$8)-1)*99+1,99))&lt;&gt;""),--ISNUMBER(SEARCH(TRIM(MID(SUBSTITUTE(SUBSTITUTE($N$4,"/",","),",",REPT(" ",99)),(ROW($1:$8)-1)*99+1,99)),IFERROR(('Final Calculation Sheet'!$M$12)&amp;"",""))))&gt;0,AND(ISNUMBER(SEARCH("blank",$N$4)),NOT(ISNUMBER(SEARCH("nonblank",$N$4))),IFERROR(('Final Calculation Sheet'!$M$12)&amp;"","")=""),AND(OR(ISNUMBER(SEARCH("nonblank",$N$4)),ISNUMBER(SEARCH("&lt;&gt;",$N$4))),IFERROR(('Final Calculation Sheet'!$M$12)&amp;"","")&lt;&gt;""),AND(TRIM($N$4)="",IFERROR(('Final Calculation Sheet'!$M$12)&amp;"","")=""))))</f>
        <v/>
      </c>
      <c r="CA13">
        <f>IF($O$4="",1,--(OR(SUMPRODUCT(--(TRIM(MID(SUBSTITUTE(SUBSTITUTE($O$4,"/",","),",",REPT(" ",99)),(ROW($1:$8)-1)*99+1,99))&lt;&gt;""),--ISNUMBER(SEARCH(TRIM(MID(SUBSTITUTE(SUBSTITUTE($O$4,"/",","),",",REPT(" ",99)),(ROW($1:$8)-1)*99+1,99)),IFERROR(('Final Calculation Sheet'!$N$12)&amp;"",""))))&gt;0,AND(ISNUMBER(SEARCH("blank",$O$4)),NOT(ISNUMBER(SEARCH("nonblank",$O$4))),IFERROR(('Final Calculation Sheet'!$N$12)&amp;"","")=""),AND(OR(ISNUMBER(SEARCH("nonblank",$O$4)),ISNUMBER(SEARCH("&lt;&gt;",$O$4))),IFERROR(('Final Calculation Sheet'!$N$12)&amp;"","")&lt;&gt;""),AND(TRIM($O$4)="",IFERROR(('Final Calculation Sheet'!$N$12)&amp;"","")=""))))</f>
        <v/>
      </c>
      <c r="CB13">
        <f>IF($P$4="",1,--(OR(SUMPRODUCT(--(TRIM(MID(SUBSTITUTE(SUBSTITUTE($P$4,"/",","),",",REPT(" ",99)),(ROW($1:$8)-1)*99+1,99))&lt;&gt;""),--ISNUMBER(SEARCH(TRIM(MID(SUBSTITUTE(SUBSTITUTE($P$4,"/",","),",",REPT(" ",99)),(ROW($1:$8)-1)*99+1,99)),IFERROR(('Final Calculation Sheet'!$O$12)&amp;"",""))))&gt;0,AND(ISNUMBER(SEARCH("blank",$P$4)),NOT(ISNUMBER(SEARCH("nonblank",$P$4))),IFERROR(('Final Calculation Sheet'!$O$12)&amp;"","")=""),AND(OR(ISNUMBER(SEARCH("nonblank",$P$4)),ISNUMBER(SEARCH("&lt;&gt;",$P$4))),IFERROR(('Final Calculation Sheet'!$O$12)&amp;"","")&lt;&gt;""),AND(TRIM($P$4)="",IFERROR(('Final Calculation Sheet'!$O$12)&amp;"","")=""))))</f>
        <v/>
      </c>
      <c r="CC13">
        <f>IF($Q$4="",1,--(OR(SUMPRODUCT(--(TRIM(MID(SUBSTITUTE(SUBSTITUTE($Q$4,"/",","),",",REPT(" ",99)),(ROW($1:$8)-1)*99+1,99))&lt;&gt;""),--ISNUMBER(SEARCH(TRIM(MID(SUBSTITUTE(SUBSTITUTE($Q$4,"/",","),",",REPT(" ",99)),(ROW($1:$8)-1)*99+1,99)),IFERROR(('Final Calculation Sheet'!$P$12)&amp;"",""))))&gt;0,AND(ISNUMBER(SEARCH("blank",$Q$4)),NOT(ISNUMBER(SEARCH("nonblank",$Q$4))),IFERROR(('Final Calculation Sheet'!$P$12)&amp;"","")=""),AND(OR(ISNUMBER(SEARCH("nonblank",$Q$4)),ISNUMBER(SEARCH("&lt;&gt;",$Q$4))),IFERROR(('Final Calculation Sheet'!$P$12)&amp;"","")&lt;&gt;""),AND(TRIM($Q$4)="",IFERROR(('Final Calculation Sheet'!$P$12)&amp;"","")=""))))</f>
        <v/>
      </c>
      <c r="CD13">
        <f>IF($R$4="",1,--(OR(SUMPRODUCT(--(TRIM(MID(SUBSTITUTE(SUBSTITUTE($R$4,"/",","),",",REPT(" ",99)),(ROW($1:$8)-1)*99+1,99))&lt;&gt;""),--ISNUMBER(SEARCH(TRIM(MID(SUBSTITUTE(SUBSTITUTE($R$4,"/",","),",",REPT(" ",99)),(ROW($1:$8)-1)*99+1,99)),IFERROR(('Final Calculation Sheet'!$Q$12)&amp;"",""))))&gt;0,AND(ISNUMBER(SEARCH("blank",$R$4)),NOT(ISNUMBER(SEARCH("nonblank",$R$4))),IFERROR(('Final Calculation Sheet'!$Q$12)&amp;"","")=""),AND(OR(ISNUMBER(SEARCH("nonblank",$R$4)),ISNUMBER(SEARCH("&lt;&gt;",$R$4))),IFERROR(('Final Calculation Sheet'!$Q$12)&amp;"","")&lt;&gt;""),AND(TRIM($R$4)="",IFERROR(('Final Calculation Sheet'!$Q$12)&amp;"","")=""))))</f>
        <v/>
      </c>
      <c r="CE13">
        <f>IF($S$4="",1,--(OR(SUMPRODUCT(--(TRIM(MID(SUBSTITUTE(SUBSTITUTE($S$4,"/",","),",",REPT(" ",99)),(ROW($1:$8)-1)*99+1,99))&lt;&gt;""),--ISNUMBER(SEARCH(TRIM(MID(SUBSTITUTE(SUBSTITUTE($S$4,"/",","),",",REPT(" ",99)),(ROW($1:$8)-1)*99+1,99)),IFERROR(('Final Calculation Sheet'!$R$12)&amp;"",""))))&gt;0,AND(ISNUMBER(SEARCH("blank",$S$4)),NOT(ISNUMBER(SEARCH("nonblank",$S$4))),IFERROR(('Final Calculation Sheet'!$R$12)&amp;"","")=""),AND(OR(ISNUMBER(SEARCH("nonblank",$S$4)),ISNUMBER(SEARCH("&lt;&gt;",$S$4))),IFERROR(('Final Calculation Sheet'!$R$12)&amp;"","")&lt;&gt;""),AND(TRIM($S$4)="",IFERROR(('Final Calculation Sheet'!$R$12)&amp;"","")=""))))</f>
        <v/>
      </c>
      <c r="CF13">
        <f>IF($T$4="",1,--(OR(SUMPRODUCT(--(TRIM(MID(SUBSTITUTE(SUBSTITUTE($T$4,"/",","),",",REPT(" ",99)),(ROW($1:$8)-1)*99+1,99))&lt;&gt;""),--ISNUMBER(SEARCH(TRIM(MID(SUBSTITUTE(SUBSTITUTE($T$4,"/",","),",",REPT(" ",99)),(ROW($1:$8)-1)*99+1,99)),IFERROR(('Final Calculation Sheet'!$S$12)&amp;"",""))))&gt;0,AND(ISNUMBER(SEARCH("blank",$T$4)),NOT(ISNUMBER(SEARCH("nonblank",$T$4))),IFERROR(('Final Calculation Sheet'!$S$12)&amp;"","")=""),AND(OR(ISNUMBER(SEARCH("nonblank",$T$4)),ISNUMBER(SEARCH("&lt;&gt;",$T$4))),IFERROR(('Final Calculation Sheet'!$S$12)&amp;"","")&lt;&gt;""),AND(TRIM($T$4)="",IFERROR(('Final Calculation Sheet'!$S$12)&amp;"","")=""))))</f>
        <v/>
      </c>
      <c r="CG13">
        <f>IF($U$4="",1,--(OR(SUMPRODUCT(--(TRIM(MID(SUBSTITUTE(SUBSTITUTE($U$4,"/",","),",",REPT(" ",99)),(ROW($1:$8)-1)*99+1,99))&lt;&gt;""),--ISNUMBER(SEARCH(TRIM(MID(SUBSTITUTE(SUBSTITUTE($U$4,"/",","),",",REPT(" ",99)),(ROW($1:$8)-1)*99+1,99)),IFERROR(('Final Calculation Sheet'!$T$12)&amp;"",""))))&gt;0,AND(ISNUMBER(SEARCH("blank",$U$4)),NOT(ISNUMBER(SEARCH("nonblank",$U$4))),IFERROR(('Final Calculation Sheet'!$T$12)&amp;"","")=""),AND(OR(ISNUMBER(SEARCH("nonblank",$U$4)),ISNUMBER(SEARCH("&lt;&gt;",$U$4))),IFERROR(('Final Calculation Sheet'!$T$12)&amp;"","")&lt;&gt;""),AND(TRIM($U$4)="",IFERROR(('Final Calculation Sheet'!$T$12)&amp;"","")=""))))</f>
        <v/>
      </c>
      <c r="CH13">
        <f>IF($V$4="",1,--(OR(SUMPRODUCT(--(TRIM(MID(SUBSTITUTE(SUBSTITUTE($V$4,"/",","),",",REPT(" ",99)),(ROW($1:$8)-1)*99+1,99))&lt;&gt;""),--ISNUMBER(SEARCH(TRIM(MID(SUBSTITUTE(SUBSTITUTE($V$4,"/",","),",",REPT(" ",99)),(ROW($1:$8)-1)*99+1,99)),IFERROR(('Final Calculation Sheet'!$U$12)&amp;"",""))))&gt;0,AND(ISNUMBER(SEARCH("blank",$V$4)),NOT(ISNUMBER(SEARCH("nonblank",$V$4))),IFERROR(('Final Calculation Sheet'!$U$12)&amp;"","")=""),AND(OR(ISNUMBER(SEARCH("nonblank",$V$4)),ISNUMBER(SEARCH("&lt;&gt;",$V$4))),IFERROR(('Final Calculation Sheet'!$U$12)&amp;"","")&lt;&gt;""),AND(TRIM($V$4)="",IFERROR(('Final Calculation Sheet'!$U$12)&amp;"","")=""))))</f>
        <v/>
      </c>
      <c r="CI13">
        <f>IF($W$4="",1,--(OR(SUMPRODUCT(--(TRIM(MID(SUBSTITUTE(SUBSTITUTE($W$4,"/",","),",",REPT(" ",99)),(ROW($1:$8)-1)*99+1,99))&lt;&gt;""),--ISNUMBER(SEARCH(TRIM(MID(SUBSTITUTE(SUBSTITUTE($W$4,"/",","),",",REPT(" ",99)),(ROW($1:$8)-1)*99+1,99)),IFERROR(('Final Calculation Sheet'!$V$12)&amp;"",""))))&gt;0,AND(ISNUMBER(SEARCH("blank",$W$4)),NOT(ISNUMBER(SEARCH("nonblank",$W$4))),IFERROR(('Final Calculation Sheet'!$V$12)&amp;"","")=""),AND(OR(ISNUMBER(SEARCH("nonblank",$W$4)),ISNUMBER(SEARCH("&lt;&gt;",$W$4))),IFERROR(('Final Calculation Sheet'!$V$12)&amp;"","")&lt;&gt;""),AND(TRIM($W$4)="",IFERROR(('Final Calculation Sheet'!$V$12)&amp;"","")=""))))</f>
        <v/>
      </c>
      <c r="CJ13">
        <f>IF($X$4="",1,--(OR(SUMPRODUCT(--(TRIM(MID(SUBSTITUTE(SUBSTITUTE($X$4,"/",","),",",REPT(" ",99)),(ROW($1:$8)-1)*99+1,99))&lt;&gt;""),--ISNUMBER(SEARCH(TRIM(MID(SUBSTITUTE(SUBSTITUTE($X$4,"/",","),",",REPT(" ",99)),(ROW($1:$8)-1)*99+1,99)),IFERROR(('Final Calculation Sheet'!$W$12)&amp;"",""))))&gt;0,AND(ISNUMBER(SEARCH("blank",$X$4)),NOT(ISNUMBER(SEARCH("nonblank",$X$4))),IFERROR(('Final Calculation Sheet'!$W$12)&amp;"","")=""),AND(OR(ISNUMBER(SEARCH("nonblank",$X$4)),ISNUMBER(SEARCH("&lt;&gt;",$X$4))),IFERROR(('Final Calculation Sheet'!$W$12)&amp;"","")&lt;&gt;""),AND(TRIM($X$4)="",IFERROR(('Final Calculation Sheet'!$W$12)&amp;"","")=""))))</f>
        <v/>
      </c>
      <c r="CK13">
        <f>IF($Y$4="",1,--(OR(SUMPRODUCT(--(TRIM(MID(SUBSTITUTE(SUBSTITUTE($Y$4,"/",","),",",REPT(" ",99)),(ROW($1:$8)-1)*99+1,99))&lt;&gt;""),--ISNUMBER(SEARCH(TRIM(MID(SUBSTITUTE(SUBSTITUTE($Y$4,"/",","),",",REPT(" ",99)),(ROW($1:$8)-1)*99+1,99)),IFERROR(('Final Calculation Sheet'!$X$12)&amp;"",""))))&gt;0,AND(ISNUMBER(SEARCH("blank",$Y$4)),NOT(ISNUMBER(SEARCH("nonblank",$Y$4))),IFERROR(('Final Calculation Sheet'!$X$12)&amp;"","")=""),AND(OR(ISNUMBER(SEARCH("nonblank",$Y$4)),ISNUMBER(SEARCH("&lt;&gt;",$Y$4))),IFERROR(('Final Calculation Sheet'!$X$12)&amp;"","")&lt;&gt;""),AND(TRIM($Y$4)="",IFERROR(('Final Calculation Sheet'!$X$12)&amp;"","")=""))))</f>
        <v/>
      </c>
      <c r="CL13">
        <f>IF($Z$4="",1,--(OR(SUMPRODUCT(--(TRIM(MID(SUBSTITUTE(SUBSTITUTE($Z$4,"/",","),",",REPT(" ",99)),(ROW($1:$8)-1)*99+1,99))&lt;&gt;""),--ISNUMBER(SEARCH(TRIM(MID(SUBSTITUTE(SUBSTITUTE($Z$4,"/",","),",",REPT(" ",99)),(ROW($1:$8)-1)*99+1,99)),IFERROR(('Final Calculation Sheet'!$Y$12)&amp;"",""))))&gt;0,AND(ISNUMBER(SEARCH("blank",$Z$4)),NOT(ISNUMBER(SEARCH("nonblank",$Z$4))),IFERROR(('Final Calculation Sheet'!$Y$12)&amp;"","")=""),AND(OR(ISNUMBER(SEARCH("nonblank",$Z$4)),ISNUMBER(SEARCH("&lt;&gt;",$Z$4))),IFERROR(('Final Calculation Sheet'!$Y$12)&amp;"","")&lt;&gt;""),AND(TRIM($Z$4)="",IFERROR(('Final Calculation Sheet'!$Y$12)&amp;"","")=""))))</f>
        <v/>
      </c>
      <c r="CM13">
        <f>IF($AA$4="",1,--(OR(SUMPRODUCT(--(TRIM(MID(SUBSTITUTE(SUBSTITUTE($AA$4,"/",","),",",REPT(" ",99)),(ROW($1:$8)-1)*99+1,99))&lt;&gt;""),--ISNUMBER(SEARCH(TRIM(MID(SUBSTITUTE(SUBSTITUTE($AA$4,"/",","),",",REPT(" ",99)),(ROW($1:$8)-1)*99+1,99)),IFERROR(('Final Calculation Sheet'!$Z$12)&amp;"",""))))&gt;0,AND(ISNUMBER(SEARCH("blank",$AA$4)),NOT(ISNUMBER(SEARCH("nonblank",$AA$4))),IFERROR(('Final Calculation Sheet'!$Z$12)&amp;"","")=""),AND(OR(ISNUMBER(SEARCH("nonblank",$AA$4)),ISNUMBER(SEARCH("&lt;&gt;",$AA$4))),IFERROR(('Final Calculation Sheet'!$Z$12)&amp;"","")&lt;&gt;""),AND(TRIM($AA$4)="",IFERROR(('Final Calculation Sheet'!$Z$12)&amp;"","")=""))))</f>
        <v/>
      </c>
      <c r="CN13">
        <f>IF($AB$4="",1,--(OR(SUMPRODUCT(--(TRIM(MID(SUBSTITUTE(SUBSTITUTE($AB$4,"/",","),",",REPT(" ",99)),(ROW($1:$8)-1)*99+1,99))&lt;&gt;""),--ISNUMBER(SEARCH(TRIM(MID(SUBSTITUTE(SUBSTITUTE($AB$4,"/",","),",",REPT(" ",99)),(ROW($1:$8)-1)*99+1,99)),IFERROR(('Final Calculation Sheet'!$AA$12)&amp;"",""))))&gt;0,AND(ISNUMBER(SEARCH("blank",$AB$4)),NOT(ISNUMBER(SEARCH("nonblank",$AB$4))),IFERROR(('Final Calculation Sheet'!$AA$12)&amp;"","")=""),AND(OR(ISNUMBER(SEARCH("nonblank",$AB$4)),ISNUMBER(SEARCH("&lt;&gt;",$AB$4))),IFERROR(('Final Calculation Sheet'!$AA$12)&amp;"","")&lt;&gt;""),AND(TRIM($AB$4)="",IFERROR(('Final Calculation Sheet'!$AA$12)&amp;"","")=""))))</f>
        <v/>
      </c>
      <c r="CO13">
        <f>IF($AC$4="",1,--(OR(SUMPRODUCT(--(TRIM(MID(SUBSTITUTE(SUBSTITUTE($AC$4,"/",","),",",REPT(" ",99)),(ROW($1:$8)-1)*99+1,99))&lt;&gt;""),--ISNUMBER(SEARCH(TRIM(MID(SUBSTITUTE(SUBSTITUTE($AC$4,"/",","),",",REPT(" ",99)),(ROW($1:$8)-1)*99+1,99)),IFERROR(('Final Calculation Sheet'!$AB$12)&amp;"",""))))&gt;0,AND(ISNUMBER(SEARCH("blank",$AC$4)),NOT(ISNUMBER(SEARCH("nonblank",$AC$4))),IFERROR(('Final Calculation Sheet'!$AB$12)&amp;"","")=""),AND(OR(ISNUMBER(SEARCH("nonblank",$AC$4)),ISNUMBER(SEARCH("&lt;&gt;",$AC$4))),IFERROR(('Final Calculation Sheet'!$AB$12)&amp;"","")&lt;&gt;""),AND(TRIM($AC$4)="",IFERROR(('Final Calculation Sheet'!$AB$12)&amp;"","")=""))))</f>
        <v/>
      </c>
      <c r="CP13">
        <f>IF($AD$4="",1,--(OR(SUMPRODUCT(--(TRIM(MID(SUBSTITUTE(SUBSTITUTE($AD$4,"/",","),",",REPT(" ",99)),(ROW($1:$8)-1)*99+1,99))&lt;&gt;""),--ISNUMBER(SEARCH(TRIM(MID(SUBSTITUTE(SUBSTITUTE($AD$4,"/",","),",",REPT(" ",99)),(ROW($1:$8)-1)*99+1,99)),IFERROR(('Final Calculation Sheet'!$AC$12)&amp;"",""))))&gt;0,AND(ISNUMBER(SEARCH("blank",$AD$4)),NOT(ISNUMBER(SEARCH("nonblank",$AD$4))),IFERROR(('Final Calculation Sheet'!$AC$12)&amp;"","")=""),AND(OR(ISNUMBER(SEARCH("nonblank",$AD$4)),ISNUMBER(SEARCH("&lt;&gt;",$AD$4))),IFERROR(('Final Calculation Sheet'!$AC$12)&amp;"","")&lt;&gt;""),AND(TRIM($AD$4)="",IFERROR(('Final Calculation Sheet'!$AC$12)&amp;"","")=""))))</f>
        <v/>
      </c>
      <c r="CQ13">
        <f>IF($AE$4="",1,--(OR(SUMPRODUCT(--(TRIM(MID(SUBSTITUTE(SUBSTITUTE($AE$4,"/",","),",",REPT(" ",99)),(ROW($1:$8)-1)*99+1,99))&lt;&gt;""),--ISNUMBER(SEARCH(TRIM(MID(SUBSTITUTE(SUBSTITUTE($AE$4,"/",","),",",REPT(" ",99)),(ROW($1:$8)-1)*99+1,99)),IFERROR(('Final Calculation Sheet'!$AD$12)&amp;"",""))))&gt;0,AND(ISNUMBER(SEARCH("blank",$AE$4)),NOT(ISNUMBER(SEARCH("nonblank",$AE$4))),IFERROR(('Final Calculation Sheet'!$AD$12)&amp;"","")=""),AND(OR(ISNUMBER(SEARCH("nonblank",$AE$4)),ISNUMBER(SEARCH("&lt;&gt;",$AE$4))),IFERROR(('Final Calculation Sheet'!$AD$12)&amp;"","")&lt;&gt;""),AND(TRIM($AE$4)="",IFERROR(('Final Calculation Sheet'!$AD$12)&amp;"","")=""))))</f>
        <v/>
      </c>
      <c r="CR13">
        <f>IF($AF$4="",1,--(OR(SUMPRODUCT(--(TRIM(MID(SUBSTITUTE(SUBSTITUTE($AF$4,"/",","),",",REPT(" ",99)),(ROW($1:$8)-1)*99+1,99))&lt;&gt;""),--ISNUMBER(SEARCH(TRIM(MID(SUBSTITUTE(SUBSTITUTE($AF$4,"/",","),",",REPT(" ",99)),(ROW($1:$8)-1)*99+1,99)),IFERROR(('Final Calculation Sheet'!$AE$12)&amp;"",""))))&gt;0,AND(ISNUMBER(SEARCH("blank",$AF$4)),NOT(ISNUMBER(SEARCH("nonblank",$AF$4))),IFERROR(('Final Calculation Sheet'!$AE$12)&amp;"","")=""),AND(OR(ISNUMBER(SEARCH("nonblank",$AF$4)),ISNUMBER(SEARCH("&lt;&gt;",$AF$4))),IFERROR(('Final Calculation Sheet'!$AE$12)&amp;"","")&lt;&gt;""),AND(TRIM($AF$4)="",IFERROR(('Final Calculation Sheet'!$AE$12)&amp;"","")=""))))</f>
        <v/>
      </c>
      <c r="CS13">
        <f>IF($AG$4="",1,--(OR(SUMPRODUCT(--(TRIM(MID(SUBSTITUTE(SUBSTITUTE($AG$4,"/",","),",",REPT(" ",99)),(ROW($1:$8)-1)*99+1,99))&lt;&gt;""),--ISNUMBER(SEARCH(TRIM(MID(SUBSTITUTE(SUBSTITUTE($AG$4,"/",","),",",REPT(" ",99)),(ROW($1:$8)-1)*99+1,99)),IFERROR(('Final Calculation Sheet'!$AF$12)&amp;"",""))))&gt;0,AND(ISNUMBER(SEARCH("blank",$AG$4)),NOT(ISNUMBER(SEARCH("nonblank",$AG$4))),IFERROR(('Final Calculation Sheet'!$AF$12)&amp;"","")=""),AND(OR(ISNUMBER(SEARCH("nonblank",$AG$4)),ISNUMBER(SEARCH("&lt;&gt;",$AG$4))),IFERROR(('Final Calculation Sheet'!$AF$12)&amp;"","")&lt;&gt;""),AND(TRIM($AG$4)="",IFERROR(('Final Calculation Sheet'!$AF$12)&amp;"","")=""))))</f>
        <v/>
      </c>
      <c r="CT13">
        <f>IF($AH$4="",1,--(OR(SUMPRODUCT(--(TRIM(MID(SUBSTITUTE(SUBSTITUTE($AH$4,"/",","),",",REPT(" ",99)),(ROW($1:$8)-1)*99+1,99))&lt;&gt;""),--ISNUMBER(SEARCH(TRIM(MID(SUBSTITUTE(SUBSTITUTE($AH$4,"/",","),",",REPT(" ",99)),(ROW($1:$8)-1)*99+1,99)),IFERROR(('Final Calculation Sheet'!$AG$12)&amp;"",""))))&gt;0,AND(ISNUMBER(SEARCH("blank",$AH$4)),NOT(ISNUMBER(SEARCH("nonblank",$AH$4))),IFERROR(('Final Calculation Sheet'!$AG$12)&amp;"","")=""),AND(OR(ISNUMBER(SEARCH("nonblank",$AH$4)),ISNUMBER(SEARCH("&lt;&gt;",$AH$4))),IFERROR(('Final Calculation Sheet'!$AG$12)&amp;"","")&lt;&gt;""),AND(TRIM($AH$4)="",IFERROR(('Final Calculation Sheet'!$AG$12)&amp;"","")=""))))</f>
        <v/>
      </c>
      <c r="CU13">
        <f>IF($AI$4="",1,--(OR(SUMPRODUCT(--(TRIM(MID(SUBSTITUTE(SUBSTITUTE($AI$4,"/",","),",",REPT(" ",99)),(ROW($1:$8)-1)*99+1,99))&lt;&gt;""),--ISNUMBER(SEARCH(TRIM(MID(SUBSTITUTE(SUBSTITUTE($AI$4,"/",","),",",REPT(" ",99)),(ROW($1:$8)-1)*99+1,99)),IFERROR((IF('Final Calculation Sheet'!$AD$12&lt;=0,"SETTLED","OUTSTANDING"))&amp;"",""))))&gt;0,AND(ISNUMBER(SEARCH("blank",$AI$4)),NOT(ISNUMBER(SEARCH("nonblank",$AI$4))),IFERROR((IF('Final Calculation Sheet'!$AD$12&lt;=0,"SETTLED","OUTSTANDING"))&amp;"","")=""),AND(OR(ISNUMBER(SEARCH("nonblank",$AI$4)),ISNUMBER(SEARCH("&lt;&gt;",$AI$4))),IFERROR((IF('Final Calculation Sheet'!$AD$12&lt;=0,"SETTLED","OUTSTANDING"))&amp;"","")&lt;&gt;""),AND(TRIM($AI$4)="",IFERROR((IF('Final Calculation Sheet'!$AD$12&lt;=0,"SETTLED","OUTSTANDING"))&amp;"","")=""))))</f>
        <v/>
      </c>
    </row>
    <row r="14" ht="15" customHeight="1" s="77">
      <c r="A14" s="67">
        <f>IF($BJ13&gt;0,INDEX($BA$5:$BA$41,MATCH(13,$BB$5:$BB$41,0)),IF(OR($BI13=1,$BL13=1,$BH13&gt;0),"∑",""))</f>
        <v/>
      </c>
      <c r="B14" s="68">
        <f>IF($BJ13&gt;0,IF(INDEX('Final Calculation Sheet'!$F$4:$F$40,$BJ13-3)="","",INDEX('Final Calculation Sheet'!$F$4:$F$40,$BJ13-3)),"")</f>
        <v/>
      </c>
      <c r="C14" s="68">
        <f>IF($BJ13&gt;0,IF(INDEX('Final Calculation Sheet'!$G$4:$G$40,$BJ13-3)="","",INDEX('Final Calculation Sheet'!$G$4:$G$40,$BJ13-3)),IF(OR($BI13=1,$BL13=1,$BH13&gt;0),IF($BI13=1,37,IF($BL13=1,37-INDEX($BD$4:$BD$13,10),INDEX($BD$4:$BD$13,$BH13)))&amp;" lot(s)",""))</f>
        <v/>
      </c>
      <c r="D14" s="69">
        <f>IF($BJ13&gt;0,IF(INDEX('Final Calculation Sheet'!$B$4:$B$40,$BJ13-3)="","",INDEX('Final Calculation Sheet'!$B$4:$B$40,$BJ13-3)),IF(OR($BI13=1,$BL13=1,$BH13&gt;0),IF($BI13=1,"GRAND TOTAL  —  matching + remaining",IF($BL13=1,"TOTAL MATCHED  —  every group together",IF($BH13=10,"REMAINING  —  did not match the search",IF($BH13=9,IF(COUNTIF($A$4:$AI$4,"&lt;&gt;")&gt;0,"FILTERED LOTS  —  column fields","ALL LOTS  —  nothing typed in the box"),"GROUP "&amp;$BH13&amp;" TOTAL  —  lots matching  "&amp;INDEX($AR$6:$AY$6,$BH13))))),""))</f>
        <v/>
      </c>
      <c r="E14" s="69">
        <f>IF($BJ13&gt;0,IF(INDEX('Final Calculation Sheet'!$D$4:$D$40,$BJ13-3)="","",INDEX('Final Calculation Sheet'!$D$4:$D$40,$BJ13-3)),IF(OR($BI13=1,$BL13=1,$BH13&gt;0),"–",""))</f>
        <v/>
      </c>
      <c r="F14" s="69">
        <f>IF($BJ13&gt;0,IF(INDEX('Final Calculation Sheet'!$A$4:$A$40,$BJ13-3)="","",INDEX('Final Calculation Sheet'!$A$4:$A$40,$BJ13-3)),IF(OR($BI13=1,$BL13=1,$BH13&gt;0),IF($BI13=1,SUM('Final Calculation Sheet'!$A$4:$A$40),IF($BL13=1,SUM('Final Calculation Sheet'!$A$4:$A$40)-SUMIFS('Final Calculation Sheet'!$A$4:$A$40,$AZ$5:$AZ$41,10),SUMIFS('Final Calculation Sheet'!$A$4:$A$40,$AZ$5:$AZ$41,$BH13))),""))</f>
        <v/>
      </c>
      <c r="G14" s="69">
        <f>IF($BJ13&gt;0,IF(INDEX('Final Calculation Sheet'!$E$4:$E$40,$BJ13-3)="","",INDEX('Final Calculation Sheet'!$E$4:$E$40,$BJ13-3)),IF(OR($BI13=1,$BL13=1,$BH13&gt;0),"–",""))</f>
        <v/>
      </c>
      <c r="H14" s="70">
        <f>IF($BJ13&gt;0,IF(INDEX('Final Calculation Sheet'!$C$4:$C$40,$BJ13-3)="","",INDEX('Final Calculation Sheet'!$C$4:$C$40,$BJ13-3)),IF(OR($BI13=1,$BL13=1,$BH13&gt;0),"–",""))</f>
        <v/>
      </c>
      <c r="I14" s="70">
        <f>IF($BJ13&gt;0,IF(INDEX('Final Calculation Sheet'!$H$4:$H$40,$BJ13-3)="","",INDEX('Final Calculation Sheet'!$H$4:$H$40,$BJ13-3)),IF(OR($BI13=1,$BL13=1,$BH13&gt;0),IF($BI13=1,SUM('Final Calculation Sheet'!$H$4:$H$40),IF($BL13=1,SUM('Final Calculation Sheet'!$H$4:$H$40)-SUMIFS('Final Calculation Sheet'!$H$4:$H$40,$AZ$5:$AZ$41,10),SUMIFS('Final Calculation Sheet'!$H$4:$H$40,$AZ$5:$AZ$41,$BH13))),""))</f>
        <v/>
      </c>
      <c r="J14" s="70">
        <f>IF($BJ13&gt;0,IF(INDEX('Final Calculation Sheet'!$I$4:$I$40,$BJ13-3)="","",INDEX('Final Calculation Sheet'!$I$4:$I$40,$BJ13-3)),IF(OR($BI13=1,$BL13=1,$BH13&gt;0),IF($BI13=1,SUM('Final Calculation Sheet'!$I$4:$I$40),IF($BL13=1,SUM('Final Calculation Sheet'!$I$4:$I$40)-SUMIFS('Final Calculation Sheet'!$I$4:$I$40,$AZ$5:$AZ$41,10),SUMIFS('Final Calculation Sheet'!$I$4:$I$40,$AZ$5:$AZ$41,$BH13))),""))</f>
        <v/>
      </c>
      <c r="K14" s="70">
        <f>IF($BJ13&gt;0,IF(INDEX('Final Calculation Sheet'!$J$4:$J$40,$BJ13-3)="","",INDEX('Final Calculation Sheet'!$J$4:$J$40,$BJ13-3)),IF(OR($BI13=1,$BL13=1,$BH13&gt;0),IF($BI13=1,SUM('Final Calculation Sheet'!$J$4:$J$40),IF($BL13=1,SUM('Final Calculation Sheet'!$J$4:$J$40)-SUMIFS('Final Calculation Sheet'!$J$4:$J$40,$AZ$5:$AZ$41,10),SUMIFS('Final Calculation Sheet'!$J$4:$J$40,$AZ$5:$AZ$41,$BH13))),""))</f>
        <v/>
      </c>
      <c r="L14" s="70">
        <f>IF($BJ13&gt;0,IF(INDEX('Final Calculation Sheet'!$K$4:$K$40,$BJ13-3)="","",INDEX('Final Calculation Sheet'!$K$4:$K$40,$BJ13-3)),IF(OR($BI13=1,$BL13=1,$BH13&gt;0),IF($BI13=1,SUM('Final Calculation Sheet'!$K$4:$K$40),IF($BL13=1,SUM('Final Calculation Sheet'!$K$4:$K$40)-SUMIFS('Final Calculation Sheet'!$K$4:$K$40,$AZ$5:$AZ$41,10),SUMIFS('Final Calculation Sheet'!$K$4:$K$40,$AZ$5:$AZ$41,$BH13))),""))</f>
        <v/>
      </c>
      <c r="M14" s="70">
        <f>IF($BJ13&gt;0,IF(INDEX('Final Calculation Sheet'!$L$4:$L$40,$BJ13-3)="","",INDEX('Final Calculation Sheet'!$L$4:$L$40,$BJ13-3)),IF(OR($BI13=1,$BL13=1,$BH13&gt;0),IF($BI13=1,SUM('Final Calculation Sheet'!$L$4:$L$40),IF($BL13=1,SUM('Final Calculation Sheet'!$L$4:$L$40)-SUMIFS('Final Calculation Sheet'!$L$4:$L$40,$AZ$5:$AZ$41,10),SUMIFS('Final Calculation Sheet'!$L$4:$L$40,$AZ$5:$AZ$41,$BH13))),""))</f>
        <v/>
      </c>
      <c r="N14" s="70">
        <f>IF($BJ13&gt;0,IF(INDEX('Final Calculation Sheet'!$M$4:$M$40,$BJ13-3)="","",INDEX('Final Calculation Sheet'!$M$4:$M$40,$BJ13-3)),IF(OR($BI13=1,$BL13=1,$BH13&gt;0),IF($BI13=1,SUM('Final Calculation Sheet'!$M$4:$M$40),IF($BL13=1,SUM('Final Calculation Sheet'!$M$4:$M$40)-SUMIFS('Final Calculation Sheet'!$M$4:$M$40,$AZ$5:$AZ$41,10),SUMIFS('Final Calculation Sheet'!$M$4:$M$40,$AZ$5:$AZ$41,$BH13))),""))</f>
        <v/>
      </c>
      <c r="O14" s="71">
        <f>IF($BJ13&gt;0,IF(INDEX('Final Calculation Sheet'!$N$4:$N$40,$BJ13-3)="","",INDEX('Final Calculation Sheet'!$N$4:$N$40,$BJ13-3)),IF(OR($BI13=1,$BL13=1,$BH13&gt;0),IF($BI13=1,SUM('Final Calculation Sheet'!$N$4:$N$40),IF($BL13=1,SUM('Final Calculation Sheet'!$N$4:$N$40)-SUMIFS('Final Calculation Sheet'!$N$4:$N$40,$AZ$5:$AZ$41,10),SUMIFS('Final Calculation Sheet'!$N$4:$N$40,$AZ$5:$AZ$41,$BH13))),""))</f>
        <v/>
      </c>
      <c r="P14" s="70">
        <f>IF($BJ13&gt;0,IF(INDEX('Final Calculation Sheet'!$O$4:$O$40,$BJ13-3)="","",INDEX('Final Calculation Sheet'!$O$4:$O$40,$BJ13-3)),IF(OR($BI13=1,$BL13=1,$BH13&gt;0),IF($BI13=1,SUM('Final Calculation Sheet'!$O$4:$O$40),IF($BL13=1,SUM('Final Calculation Sheet'!$O$4:$O$40)-SUMIFS('Final Calculation Sheet'!$O$4:$O$40,$AZ$5:$AZ$41,10),SUMIFS('Final Calculation Sheet'!$O$4:$O$40,$AZ$5:$AZ$41,$BH13))),""))</f>
        <v/>
      </c>
      <c r="Q14" s="70">
        <f>IF($BJ13&gt;0,IF(INDEX('Final Calculation Sheet'!$P$4:$P$40,$BJ13-3)="","",INDEX('Final Calculation Sheet'!$P$4:$P$40,$BJ13-3)),IF(OR($BI13=1,$BL13=1,$BH13&gt;0),IF($BI13=1,SUM('Final Calculation Sheet'!$P$4:$P$40),IF($BL13=1,SUM('Final Calculation Sheet'!$P$4:$P$40)-SUMIFS('Final Calculation Sheet'!$P$4:$P$40,$AZ$5:$AZ$41,10),SUMIFS('Final Calculation Sheet'!$P$4:$P$40,$AZ$5:$AZ$41,$BH13))),""))</f>
        <v/>
      </c>
      <c r="R14" s="72">
        <f>IF($BJ13&gt;0,IF(INDEX('Final Calculation Sheet'!$Q$4:$Q$40,$BJ13-3)="","",INDEX('Final Calculation Sheet'!$Q$4:$Q$40,$BJ13-3)),IF(OR($BI13=1,$BL13=1,$BH13&gt;0),"–",""))</f>
        <v/>
      </c>
      <c r="S14" s="70">
        <f>IF($BJ13&gt;0,IF(INDEX('Final Calculation Sheet'!$R$4:$R$40,$BJ13-3)="","",INDEX('Final Calculation Sheet'!$R$4:$R$40,$BJ13-3)),IF(OR($BI13=1,$BL13=1,$BH13&gt;0),IF($BI13=1,SUM('Final Calculation Sheet'!$R$4:$R$40),IF($BL13=1,SUM('Final Calculation Sheet'!$R$4:$R$40)-SUMIFS('Final Calculation Sheet'!$R$4:$R$40,$AZ$5:$AZ$41,10),SUMIFS('Final Calculation Sheet'!$R$4:$R$40,$AZ$5:$AZ$41,$BH13))),""))</f>
        <v/>
      </c>
      <c r="T14" s="70">
        <f>IF($BJ13&gt;0,IF(INDEX('Final Calculation Sheet'!$S$4:$S$40,$BJ13-3)="","",INDEX('Final Calculation Sheet'!$S$4:$S$40,$BJ13-3)),IF(OR($BI13=1,$BL13=1,$BH13&gt;0),IF($BI13=1,SUM('Final Calculation Sheet'!$S$4:$S$40),IF($BL13=1,SUM('Final Calculation Sheet'!$S$4:$S$40)-SUMIFS('Final Calculation Sheet'!$S$4:$S$40,$AZ$5:$AZ$41,10),SUMIFS('Final Calculation Sheet'!$S$4:$S$40,$AZ$5:$AZ$41,$BH13))),""))</f>
        <v/>
      </c>
      <c r="U14" s="70">
        <f>IF($BJ13&gt;0,IF(INDEX('Final Calculation Sheet'!$T$4:$T$40,$BJ13-3)="","",INDEX('Final Calculation Sheet'!$T$4:$T$40,$BJ13-3)),IF(OR($BI13=1,$BL13=1,$BH13&gt;0),IF($BI13=1,SUM('Final Calculation Sheet'!$T$4:$T$40),IF($BL13=1,SUM('Final Calculation Sheet'!$T$4:$T$40)-SUMIFS('Final Calculation Sheet'!$T$4:$T$40,$AZ$5:$AZ$41,10),SUMIFS('Final Calculation Sheet'!$T$4:$T$40,$AZ$5:$AZ$41,$BH13))),""))</f>
        <v/>
      </c>
      <c r="V14" s="73">
        <f>IF($BJ13&gt;0,IF(INDEX('Final Calculation Sheet'!$U$4:$U$40,$BJ13-3)="","",INDEX('Final Calculation Sheet'!$U$4:$U$40,$BJ13-3)),IF(OR($BI13=1,$BL13=1,$BH13&gt;0),IF($BI13=1,SUM('Final Calculation Sheet'!$U$4:$U$40),IF($BL13=1,SUM('Final Calculation Sheet'!$U$4:$U$40)-SUMIFS('Final Calculation Sheet'!$U$4:$U$40,$AZ$5:$AZ$41,10),SUMIFS('Final Calculation Sheet'!$U$4:$U$40,$AZ$5:$AZ$41,$BH13))),""))</f>
        <v/>
      </c>
      <c r="W14" s="70">
        <f>IF($BJ13&gt;0,IF(INDEX('Final Calculation Sheet'!$V$4:$V$40,$BJ13-3)="","",INDEX('Final Calculation Sheet'!$V$4:$V$40,$BJ13-3)),IF(OR($BI13=1,$BL13=1,$BH13&gt;0),"–",""))</f>
        <v/>
      </c>
      <c r="X14" s="70">
        <f>IF($BJ13&gt;0,IF(INDEX('Final Calculation Sheet'!$W$4:$W$40,$BJ13-3)="","",INDEX('Final Calculation Sheet'!$W$4:$W$40,$BJ13-3)),IF(OR($BI13=1,$BL13=1,$BH13&gt;0),IF($BI13=1,SUM('Final Calculation Sheet'!$W$4:$W$40),IF($BL13=1,SUM('Final Calculation Sheet'!$W$4:$W$40)-SUMIFS('Final Calculation Sheet'!$W$4:$W$40,$AZ$5:$AZ$41,10),SUMIFS('Final Calculation Sheet'!$W$4:$W$40,$AZ$5:$AZ$41,$BH13))),""))</f>
        <v/>
      </c>
      <c r="Y14" s="70">
        <f>IF($BJ13&gt;0,IF(INDEX('Final Calculation Sheet'!$X$4:$X$40,$BJ13-3)="","",INDEX('Final Calculation Sheet'!$X$4:$X$40,$BJ13-3)),IF(OR($BI13=1,$BL13=1,$BH13&gt;0),IF($BI13=1,SUM('Final Calculation Sheet'!$X$4:$X$40),IF($BL13=1,SUM('Final Calculation Sheet'!$X$4:$X$40)-SUMIFS('Final Calculation Sheet'!$X$4:$X$40,$AZ$5:$AZ$41,10),SUMIFS('Final Calculation Sheet'!$X$4:$X$40,$AZ$5:$AZ$41,$BH13))),""))</f>
        <v/>
      </c>
      <c r="Z14" s="70">
        <f>IF($BJ13&gt;0,IF(INDEX('Final Calculation Sheet'!$Y$4:$Y$40,$BJ13-3)="","",INDEX('Final Calculation Sheet'!$Y$4:$Y$40,$BJ13-3)),IF(OR($BI13=1,$BL13=1,$BH13&gt;0),"–",""))</f>
        <v/>
      </c>
      <c r="AA14" s="70">
        <f>IF($BJ13&gt;0,IF(INDEX('Final Calculation Sheet'!$Z$4:$Z$40,$BJ13-3)="","",INDEX('Final Calculation Sheet'!$Z$4:$Z$40,$BJ13-3)),IF(OR($BI13=1,$BL13=1,$BH13&gt;0),IF($BI13=1,SUM('Final Calculation Sheet'!$Z$4:$Z$40),IF($BL13=1,SUM('Final Calculation Sheet'!$Z$4:$Z$40)-SUMIFS('Final Calculation Sheet'!$Z$4:$Z$40,$AZ$5:$AZ$41,10),SUMIFS('Final Calculation Sheet'!$Z$4:$Z$40,$AZ$5:$AZ$41,$BH13))),""))</f>
        <v/>
      </c>
      <c r="AB14" s="70">
        <f>IF($BJ13&gt;0,IF(INDEX('Final Calculation Sheet'!$AA$4:$AA$40,$BJ13-3)="","",INDEX('Final Calculation Sheet'!$AA$4:$AA$40,$BJ13-3)),IF(OR($BI13=1,$BL13=1,$BH13&gt;0),IF($BI13=1,SUM('Final Calculation Sheet'!$AA$4:$AA$40),IF($BL13=1,SUM('Final Calculation Sheet'!$AA$4:$AA$40)-SUMIFS('Final Calculation Sheet'!$AA$4:$AA$40,$AZ$5:$AZ$41,10),SUMIFS('Final Calculation Sheet'!$AA$4:$AA$40,$AZ$5:$AZ$41,$BH13))),""))</f>
        <v/>
      </c>
      <c r="AC14" s="70">
        <f>IF($BJ13&gt;0,IF(INDEX('Final Calculation Sheet'!$AB$4:$AB$40,$BJ13-3)="","",INDEX('Final Calculation Sheet'!$AB$4:$AB$40,$BJ13-3)),IF(OR($BI13=1,$BL13=1,$BH13&gt;0),"–",""))</f>
        <v/>
      </c>
      <c r="AD14" s="70">
        <f>IF($BJ13&gt;0,IF(INDEX('Final Calculation Sheet'!$AC$4:$AC$40,$BJ13-3)="","",INDEX('Final Calculation Sheet'!$AC$4:$AC$40,$BJ13-3)),IF(OR($BI13=1,$BL13=1,$BH13&gt;0),IF($BI13=1,SUM('Final Calculation Sheet'!$AC$4:$AC$40),IF($BL13=1,SUM('Final Calculation Sheet'!$AC$4:$AC$40)-SUMIFS('Final Calculation Sheet'!$AC$4:$AC$40,$AZ$5:$AZ$41,10),SUMIFS('Final Calculation Sheet'!$AC$4:$AC$40,$AZ$5:$AZ$41,$BH13))),""))</f>
        <v/>
      </c>
      <c r="AE14" s="70">
        <f>IF($BJ13&gt;0,IF(INDEX('Final Calculation Sheet'!$AD$4:$AD$40,$BJ13-3)="","",INDEX('Final Calculation Sheet'!$AD$4:$AD$40,$BJ13-3)),IF(OR($BI13=1,$BL13=1,$BH13&gt;0),IF($BI13=1,SUM('Final Calculation Sheet'!$AD$4:$AD$40),IF($BL13=1,SUM('Final Calculation Sheet'!$AD$4:$AD$40)-SUMIFS('Final Calculation Sheet'!$AD$4:$AD$40,$AZ$5:$AZ$41,10),SUMIFS('Final Calculation Sheet'!$AD$4:$AD$40,$AZ$5:$AZ$41,$BH13))),""))</f>
        <v/>
      </c>
      <c r="AF14" s="70">
        <f>IF($BJ13&gt;0,IF(INDEX('Final Calculation Sheet'!$AE$4:$AE$40,$BJ13-3)="","",INDEX('Final Calculation Sheet'!$AE$4:$AE$40,$BJ13-3)),IF(OR($BI13=1,$BL13=1,$BH13&gt;0),"–",""))</f>
        <v/>
      </c>
      <c r="AG14" s="74">
        <f>IF($BJ13&gt;0,IF(INDEX('Final Calculation Sheet'!$AF$4:$AF$40,$BJ13-3)="","",INDEX('Final Calculation Sheet'!$AF$4:$AF$40,$BJ13-3)),IF(OR($BI13=1,$BL13=1,$BH13&gt;0),"–",""))</f>
        <v/>
      </c>
      <c r="AH14" s="70">
        <f>IF($BJ13&gt;0,IF(INDEX('Final Calculation Sheet'!$AG$4:$AG$40,$BJ13-3)="","",INDEX('Final Calculation Sheet'!$AG$4:$AG$40,$BJ13-3)),IF(OR($BI13=1,$BL13=1,$BH13&gt;0),"–",""))</f>
        <v/>
      </c>
      <c r="AI14" s="75">
        <f>IF($BJ13&gt;0,IF(INDEX('Final Calculation Sheet'!$AD$4:$AD$40,$BJ13-3)="","",IF(INDEX('Final Calculation Sheet'!$AD$4:$AD$40,$BJ13-3)&lt;=0,"SETTLED","OUTSTANDING")),IF(OR($BI13=1,$BL13=1,$BH13&gt;0),IF(IF($BI13=1,SUM('Final Calculation Sheet'!$AD$4:$AD$40),IF($BL13=1,SUM('Final Calculation Sheet'!$AD$4:$AD$40)-SUMIFS('Final Calculation Sheet'!$AD$4:$AD$40,$AZ$5:$AZ$41,10),SUMIFS('Final Calculation Sheet'!$AD$4:$AD$40,$AZ$5:$AZ$41,$BH13)))&lt;=0,"ALL SETTLED","OUTSTANDING"),""))</f>
        <v/>
      </c>
      <c r="AK14">
        <f>IF($F$3="Lot No.",'Final Calculation Sheet'!$F$13,IF($F$3="Buyer",'Final Calculation Sheet'!$G$13,IF($F$3="Lot Name",'Final Calculation Sheet'!$B$13,IF($F$3="Bid Sheet",'Final Calculation Sheet'!$D$13,IF($F$3="Unit",'Final Calculation Sheet'!$E$13,'Final Calculation Sheet'!$F$13&amp;" "&amp;'Final Calculation Sheet'!$G$13&amp;" "&amp;'Final Calculation Sheet'!$B$13)))))</f>
        <v/>
      </c>
      <c r="AM14">
        <f>IF(COUNTIF($BM14:$CU14,0)&gt;0,0,IF($B$3="",1,IF(AND(IF(COUNTIF($AR$9:$AY$9,1)=0,TRUE,SUMPRODUCT(($AR$9:$AY$9=1)*($AR$6:$AY$6&lt;&gt;"")*ISNUMBER(SEARCH($AR$6:$AY$6,$AK14)))&gt;0),IF(COUNTIF($AR$9:$AY$9,2)=0,TRUE,SUMPRODUCT(($AR$9:$AY$9=2)*($AR$6:$AY$6&lt;&gt;"")*ISNUMBER(SEARCH($AR$6:$AY$6,$AK14)))&gt;0),IF(COUNTIF($AR$9:$AY$9,3)=0,TRUE,SUMPRODUCT(($AR$9:$AY$9=3)*($AR$6:$AY$6&lt;&gt;"")*ISNUMBER(SEARCH($AR$6:$AY$6,$AK14)))&gt;0),IF(COUNTIF($AR$9:$AY$9,4)=0,TRUE,SUMPRODUCT(($AR$9:$AY$9=4)*($AR$6:$AY$6&lt;&gt;"")*ISNUMBER(SEARCH($AR$6:$AY$6,$AK14)))&gt;0),IF(COUNTIF($AR$9:$AY$9,5)=0,TRUE,SUMPRODUCT(($AR$9:$AY$9=5)*($AR$6:$AY$6&lt;&gt;"")*ISNUMBER(SEARCH($AR$6:$AY$6,$AK14)))&gt;0),IF(COUNTIF($AR$9:$AY$9,6)=0,TRUE,SUMPRODUCT(($AR$9:$AY$9=6)*($AR$6:$AY$6&lt;&gt;"")*ISNUMBER(SEARCH($AR$6:$AY$6,$AK14)))&gt;0),IF(COUNTIF($AR$9:$AY$9,7)=0,TRUE,SUMPRODUCT(($AR$9:$AY$9=7)*($AR$6:$AY$6&lt;&gt;"")*ISNUMBER(SEARCH($AR$6:$AY$6,$AK14)))&gt;0),IF(COUNTIF($AR$9:$AY$9,8)=0,TRUE,SUMPRODUCT(($AR$9:$AY$9=8)*($AR$6:$AY$6&lt;&gt;"")*ISNUMBER(SEARCH($AR$6:$AY$6,$AK14)))&gt;0)),1,0)))</f>
        <v/>
      </c>
      <c r="AZ14">
        <f>IF($B$3="",IF(COUNTIF($A$4:$AI$4,"&lt;&gt;")=0,9,IF($AM14=1,9,10)),IF($AM14=0,10,IF(AND($AR$6&lt;&gt;"",ISNUMBER(SEARCH($AR$6,$AK14))),1,IF(AND($AS$6&lt;&gt;"",ISNUMBER(SEARCH($AS$6,$AK14))),2,IF(AND($AT$6&lt;&gt;"",ISNUMBER(SEARCH($AT$6,$AK14))),3,IF(AND($AU$6&lt;&gt;"",ISNUMBER(SEARCH($AU$6,$AK14))),4,IF(AND($AV$6&lt;&gt;"",ISNUMBER(SEARCH($AV$6,$AK14))),5,IF(AND($AW$6&lt;&gt;"",ISNUMBER(SEARCH($AW$6,$AK14))),6,IF(AND($AX$6&lt;&gt;"",ISNUMBER(SEARCH($AX$6,$AK14))),7,IF(AND($AY$6&lt;&gt;"",ISNUMBER(SEARCH($AY$6,$AK14))),8,0))))))))))</f>
        <v/>
      </c>
      <c r="BA14">
        <f>SUMPRODUCT(($AZ$5:$AZ$41=$AZ14)*($BC$5:$BC$41&lt;$BC14))+1</f>
        <v/>
      </c>
      <c r="BB14">
        <f>IF(INDEX($BF$4:$BF$13,$AZ14)=0,0,INDEX($BE$4:$BE$13,$AZ14)+$BA14-1)</f>
        <v/>
      </c>
      <c r="BC14" t="n">
        <v>13</v>
      </c>
      <c r="BH14">
        <f>IFERROR(MATCH(14,$BF$4:$BF$13,0),0)</f>
        <v/>
      </c>
      <c r="BI14">
        <f>IF(14=$BG$5,1,0)</f>
        <v/>
      </c>
      <c r="BJ14">
        <f>IF(OR($BH14&gt;0,$BI14=1,$BL14=1),0,IFERROR(INDEX($BC$5:$BC$41,MATCH(14,$BB$5:$BB$41,0)),0))</f>
        <v/>
      </c>
      <c r="BK14">
        <f>IF($BJ14&gt;0,IF(INDEX($AZ$5:$AZ$41,MATCH(14,$BB$5:$BB$41,0))=10,1,0),IF($BH14=10,1,0))</f>
        <v/>
      </c>
      <c r="BL14">
        <f>IF(14=$BG$4,1,0)</f>
        <v/>
      </c>
      <c r="BM14">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4">
        <f>IF($B$4="",1,--(OR(SUMPRODUCT(--(TRIM(MID(SUBSTITUTE(SUBSTITUTE($B$4,"/",","),",",REPT(" ",99)),(ROW($1:$8)-1)*99+1,99))&lt;&gt;""),--ISNUMBER(SEARCH(TRIM(MID(SUBSTITUTE(SUBSTITUTE($B$4,"/",","),",",REPT(" ",99)),(ROW($1:$8)-1)*99+1,99)),IFERROR(('Final Calculation Sheet'!$F$13)&amp;"",""))))&gt;0,AND(ISNUMBER(SEARCH("blank",$B$4)),NOT(ISNUMBER(SEARCH("nonblank",$B$4))),IFERROR(('Final Calculation Sheet'!$F$13)&amp;"","")=""),AND(OR(ISNUMBER(SEARCH("nonblank",$B$4)),ISNUMBER(SEARCH("&lt;&gt;",$B$4))),IFERROR(('Final Calculation Sheet'!$F$13)&amp;"","")&lt;&gt;""),AND(TRIM($B$4)="",IFERROR(('Final Calculation Sheet'!$F$13)&amp;"","")=""))))</f>
        <v/>
      </c>
      <c r="BO14">
        <f>IF($C$4="",1,--(OR(SUMPRODUCT(--(TRIM(MID(SUBSTITUTE(SUBSTITUTE($C$4,"/",","),",",REPT(" ",99)),(ROW($1:$8)-1)*99+1,99))&lt;&gt;""),--ISNUMBER(SEARCH(TRIM(MID(SUBSTITUTE(SUBSTITUTE($C$4,"/",","),",",REPT(" ",99)),(ROW($1:$8)-1)*99+1,99)),IFERROR(('Final Calculation Sheet'!$G$13)&amp;"",""))))&gt;0,AND(ISNUMBER(SEARCH("blank",$C$4)),NOT(ISNUMBER(SEARCH("nonblank",$C$4))),IFERROR(('Final Calculation Sheet'!$G$13)&amp;"","")=""),AND(OR(ISNUMBER(SEARCH("nonblank",$C$4)),ISNUMBER(SEARCH("&lt;&gt;",$C$4))),IFERROR(('Final Calculation Sheet'!$G$13)&amp;"","")&lt;&gt;""),AND(TRIM($C$4)="",IFERROR(('Final Calculation Sheet'!$G$13)&amp;"","")=""))))</f>
        <v/>
      </c>
      <c r="BP14">
        <f>IF($D$4="",1,--(OR(SUMPRODUCT(--(TRIM(MID(SUBSTITUTE(SUBSTITUTE($D$4,"/",","),",",REPT(" ",99)),(ROW($1:$8)-1)*99+1,99))&lt;&gt;""),--ISNUMBER(SEARCH(TRIM(MID(SUBSTITUTE(SUBSTITUTE($D$4,"/",","),",",REPT(" ",99)),(ROW($1:$8)-1)*99+1,99)),IFERROR(('Final Calculation Sheet'!$B$13)&amp;"",""))))&gt;0,AND(ISNUMBER(SEARCH("blank",$D$4)),NOT(ISNUMBER(SEARCH("nonblank",$D$4))),IFERROR(('Final Calculation Sheet'!$B$13)&amp;"","")=""),AND(OR(ISNUMBER(SEARCH("nonblank",$D$4)),ISNUMBER(SEARCH("&lt;&gt;",$D$4))),IFERROR(('Final Calculation Sheet'!$B$13)&amp;"","")&lt;&gt;""),AND(TRIM($D$4)="",IFERROR(('Final Calculation Sheet'!$B$13)&amp;"","")=""))))</f>
        <v/>
      </c>
      <c r="BQ14">
        <f>IF($E$4="",1,--(OR(SUMPRODUCT(--(TRIM(MID(SUBSTITUTE(SUBSTITUTE($E$4,"/",","),",",REPT(" ",99)),(ROW($1:$8)-1)*99+1,99))&lt;&gt;""),--ISNUMBER(SEARCH(TRIM(MID(SUBSTITUTE(SUBSTITUTE($E$4,"/",","),",",REPT(" ",99)),(ROW($1:$8)-1)*99+1,99)),IFERROR(('Final Calculation Sheet'!$D$13)&amp;"",""))))&gt;0,AND(ISNUMBER(SEARCH("blank",$E$4)),NOT(ISNUMBER(SEARCH("nonblank",$E$4))),IFERROR(('Final Calculation Sheet'!$D$13)&amp;"","")=""),AND(OR(ISNUMBER(SEARCH("nonblank",$E$4)),ISNUMBER(SEARCH("&lt;&gt;",$E$4))),IFERROR(('Final Calculation Sheet'!$D$13)&amp;"","")&lt;&gt;""),AND(TRIM($E$4)="",IFERROR(('Final Calculation Sheet'!$D$13)&amp;"","")=""))))</f>
        <v/>
      </c>
      <c r="BR14">
        <f>IF($F$4="",1,--(OR(SUMPRODUCT(--(TRIM(MID(SUBSTITUTE(SUBSTITUTE($F$4,"/",","),",",REPT(" ",99)),(ROW($1:$8)-1)*99+1,99))&lt;&gt;""),--ISNUMBER(SEARCH(TRIM(MID(SUBSTITUTE(SUBSTITUTE($F$4,"/",","),",",REPT(" ",99)),(ROW($1:$8)-1)*99+1,99)),IFERROR(('Final Calculation Sheet'!$A$13)&amp;"",""))))&gt;0,AND(ISNUMBER(SEARCH("blank",$F$4)),NOT(ISNUMBER(SEARCH("nonblank",$F$4))),IFERROR(('Final Calculation Sheet'!$A$13)&amp;"","")=""),AND(OR(ISNUMBER(SEARCH("nonblank",$F$4)),ISNUMBER(SEARCH("&lt;&gt;",$F$4))),IFERROR(('Final Calculation Sheet'!$A$13)&amp;"","")&lt;&gt;""),AND(TRIM($F$4)="",IFERROR(('Final Calculation Sheet'!$A$13)&amp;"","")=""))))</f>
        <v/>
      </c>
      <c r="BS14">
        <f>IF($G$4="",1,--(OR(SUMPRODUCT(--(TRIM(MID(SUBSTITUTE(SUBSTITUTE($G$4,"/",","),",",REPT(" ",99)),(ROW($1:$8)-1)*99+1,99))&lt;&gt;""),--ISNUMBER(SEARCH(TRIM(MID(SUBSTITUTE(SUBSTITUTE($G$4,"/",","),",",REPT(" ",99)),(ROW($1:$8)-1)*99+1,99)),IFERROR(('Final Calculation Sheet'!$E$13)&amp;"",""))))&gt;0,AND(ISNUMBER(SEARCH("blank",$G$4)),NOT(ISNUMBER(SEARCH("nonblank",$G$4))),IFERROR(('Final Calculation Sheet'!$E$13)&amp;"","")=""),AND(OR(ISNUMBER(SEARCH("nonblank",$G$4)),ISNUMBER(SEARCH("&lt;&gt;",$G$4))),IFERROR(('Final Calculation Sheet'!$E$13)&amp;"","")&lt;&gt;""),AND(TRIM($G$4)="",IFERROR(('Final Calculation Sheet'!$E$13)&amp;"","")=""))))</f>
        <v/>
      </c>
      <c r="BT14">
        <f>IF($H$4="",1,--(OR(SUMPRODUCT(--(TRIM(MID(SUBSTITUTE(SUBSTITUTE($H$4,"/",","),",",REPT(" ",99)),(ROW($1:$8)-1)*99+1,99))&lt;&gt;""),--ISNUMBER(SEARCH(TRIM(MID(SUBSTITUTE(SUBSTITUTE($H$4,"/",","),",",REPT(" ",99)),(ROW($1:$8)-1)*99+1,99)),IFERROR(('Final Calculation Sheet'!$C$13)&amp;"",""))))&gt;0,AND(ISNUMBER(SEARCH("blank",$H$4)),NOT(ISNUMBER(SEARCH("nonblank",$H$4))),IFERROR(('Final Calculation Sheet'!$C$13)&amp;"","")=""),AND(OR(ISNUMBER(SEARCH("nonblank",$H$4)),ISNUMBER(SEARCH("&lt;&gt;",$H$4))),IFERROR(('Final Calculation Sheet'!$C$13)&amp;"","")&lt;&gt;""),AND(TRIM($H$4)="",IFERROR(('Final Calculation Sheet'!$C$13)&amp;"","")=""))))</f>
        <v/>
      </c>
      <c r="BU14">
        <f>IF($I$4="",1,--(OR(SUMPRODUCT(--(TRIM(MID(SUBSTITUTE(SUBSTITUTE($I$4,"/",","),",",REPT(" ",99)),(ROW($1:$8)-1)*99+1,99))&lt;&gt;""),--ISNUMBER(SEARCH(TRIM(MID(SUBSTITUTE(SUBSTITUTE($I$4,"/",","),",",REPT(" ",99)),(ROW($1:$8)-1)*99+1,99)),IFERROR(('Final Calculation Sheet'!$H$13)&amp;"",""))))&gt;0,AND(ISNUMBER(SEARCH("blank",$I$4)),NOT(ISNUMBER(SEARCH("nonblank",$I$4))),IFERROR(('Final Calculation Sheet'!$H$13)&amp;"","")=""),AND(OR(ISNUMBER(SEARCH("nonblank",$I$4)),ISNUMBER(SEARCH("&lt;&gt;",$I$4))),IFERROR(('Final Calculation Sheet'!$H$13)&amp;"","")&lt;&gt;""),AND(TRIM($I$4)="",IFERROR(('Final Calculation Sheet'!$H$13)&amp;"","")=""))))</f>
        <v/>
      </c>
      <c r="BV14">
        <f>IF($J$4="",1,--(OR(SUMPRODUCT(--(TRIM(MID(SUBSTITUTE(SUBSTITUTE($J$4,"/",","),",",REPT(" ",99)),(ROW($1:$8)-1)*99+1,99))&lt;&gt;""),--ISNUMBER(SEARCH(TRIM(MID(SUBSTITUTE(SUBSTITUTE($J$4,"/",","),",",REPT(" ",99)),(ROW($1:$8)-1)*99+1,99)),IFERROR(('Final Calculation Sheet'!$I$13)&amp;"",""))))&gt;0,AND(ISNUMBER(SEARCH("blank",$J$4)),NOT(ISNUMBER(SEARCH("nonblank",$J$4))),IFERROR(('Final Calculation Sheet'!$I$13)&amp;"","")=""),AND(OR(ISNUMBER(SEARCH("nonblank",$J$4)),ISNUMBER(SEARCH("&lt;&gt;",$J$4))),IFERROR(('Final Calculation Sheet'!$I$13)&amp;"","")&lt;&gt;""),AND(TRIM($J$4)="",IFERROR(('Final Calculation Sheet'!$I$13)&amp;"","")=""))))</f>
        <v/>
      </c>
      <c r="BW14">
        <f>IF($K$4="",1,--(OR(SUMPRODUCT(--(TRIM(MID(SUBSTITUTE(SUBSTITUTE($K$4,"/",","),",",REPT(" ",99)),(ROW($1:$8)-1)*99+1,99))&lt;&gt;""),--ISNUMBER(SEARCH(TRIM(MID(SUBSTITUTE(SUBSTITUTE($K$4,"/",","),",",REPT(" ",99)),(ROW($1:$8)-1)*99+1,99)),IFERROR(('Final Calculation Sheet'!$J$13)&amp;"",""))))&gt;0,AND(ISNUMBER(SEARCH("blank",$K$4)),NOT(ISNUMBER(SEARCH("nonblank",$K$4))),IFERROR(('Final Calculation Sheet'!$J$13)&amp;"","")=""),AND(OR(ISNUMBER(SEARCH("nonblank",$K$4)),ISNUMBER(SEARCH("&lt;&gt;",$K$4))),IFERROR(('Final Calculation Sheet'!$J$13)&amp;"","")&lt;&gt;""),AND(TRIM($K$4)="",IFERROR(('Final Calculation Sheet'!$J$13)&amp;"","")=""))))</f>
        <v/>
      </c>
      <c r="BX14">
        <f>IF($L$4="",1,--(OR(SUMPRODUCT(--(TRIM(MID(SUBSTITUTE(SUBSTITUTE($L$4,"/",","),",",REPT(" ",99)),(ROW($1:$8)-1)*99+1,99))&lt;&gt;""),--ISNUMBER(SEARCH(TRIM(MID(SUBSTITUTE(SUBSTITUTE($L$4,"/",","),",",REPT(" ",99)),(ROW($1:$8)-1)*99+1,99)),IFERROR(('Final Calculation Sheet'!$K$13)&amp;"",""))))&gt;0,AND(ISNUMBER(SEARCH("blank",$L$4)),NOT(ISNUMBER(SEARCH("nonblank",$L$4))),IFERROR(('Final Calculation Sheet'!$K$13)&amp;"","")=""),AND(OR(ISNUMBER(SEARCH("nonblank",$L$4)),ISNUMBER(SEARCH("&lt;&gt;",$L$4))),IFERROR(('Final Calculation Sheet'!$K$13)&amp;"","")&lt;&gt;""),AND(TRIM($L$4)="",IFERROR(('Final Calculation Sheet'!$K$13)&amp;"","")=""))))</f>
        <v/>
      </c>
      <c r="BY14">
        <f>IF($M$4="",1,--(OR(SUMPRODUCT(--(TRIM(MID(SUBSTITUTE(SUBSTITUTE($M$4,"/",","),",",REPT(" ",99)),(ROW($1:$8)-1)*99+1,99))&lt;&gt;""),--ISNUMBER(SEARCH(TRIM(MID(SUBSTITUTE(SUBSTITUTE($M$4,"/",","),",",REPT(" ",99)),(ROW($1:$8)-1)*99+1,99)),IFERROR(('Final Calculation Sheet'!$L$13)&amp;"",""))))&gt;0,AND(ISNUMBER(SEARCH("blank",$M$4)),NOT(ISNUMBER(SEARCH("nonblank",$M$4))),IFERROR(('Final Calculation Sheet'!$L$13)&amp;"","")=""),AND(OR(ISNUMBER(SEARCH("nonblank",$M$4)),ISNUMBER(SEARCH("&lt;&gt;",$M$4))),IFERROR(('Final Calculation Sheet'!$L$13)&amp;"","")&lt;&gt;""),AND(TRIM($M$4)="",IFERROR(('Final Calculation Sheet'!$L$13)&amp;"","")=""))))</f>
        <v/>
      </c>
      <c r="BZ14">
        <f>IF($N$4="",1,--(OR(SUMPRODUCT(--(TRIM(MID(SUBSTITUTE(SUBSTITUTE($N$4,"/",","),",",REPT(" ",99)),(ROW($1:$8)-1)*99+1,99))&lt;&gt;""),--ISNUMBER(SEARCH(TRIM(MID(SUBSTITUTE(SUBSTITUTE($N$4,"/",","),",",REPT(" ",99)),(ROW($1:$8)-1)*99+1,99)),IFERROR(('Final Calculation Sheet'!$M$13)&amp;"",""))))&gt;0,AND(ISNUMBER(SEARCH("blank",$N$4)),NOT(ISNUMBER(SEARCH("nonblank",$N$4))),IFERROR(('Final Calculation Sheet'!$M$13)&amp;"","")=""),AND(OR(ISNUMBER(SEARCH("nonblank",$N$4)),ISNUMBER(SEARCH("&lt;&gt;",$N$4))),IFERROR(('Final Calculation Sheet'!$M$13)&amp;"","")&lt;&gt;""),AND(TRIM($N$4)="",IFERROR(('Final Calculation Sheet'!$M$13)&amp;"","")=""))))</f>
        <v/>
      </c>
      <c r="CA14">
        <f>IF($O$4="",1,--(OR(SUMPRODUCT(--(TRIM(MID(SUBSTITUTE(SUBSTITUTE($O$4,"/",","),",",REPT(" ",99)),(ROW($1:$8)-1)*99+1,99))&lt;&gt;""),--ISNUMBER(SEARCH(TRIM(MID(SUBSTITUTE(SUBSTITUTE($O$4,"/",","),",",REPT(" ",99)),(ROW($1:$8)-1)*99+1,99)),IFERROR(('Final Calculation Sheet'!$N$13)&amp;"",""))))&gt;0,AND(ISNUMBER(SEARCH("blank",$O$4)),NOT(ISNUMBER(SEARCH("nonblank",$O$4))),IFERROR(('Final Calculation Sheet'!$N$13)&amp;"","")=""),AND(OR(ISNUMBER(SEARCH("nonblank",$O$4)),ISNUMBER(SEARCH("&lt;&gt;",$O$4))),IFERROR(('Final Calculation Sheet'!$N$13)&amp;"","")&lt;&gt;""),AND(TRIM($O$4)="",IFERROR(('Final Calculation Sheet'!$N$13)&amp;"","")=""))))</f>
        <v/>
      </c>
      <c r="CB14">
        <f>IF($P$4="",1,--(OR(SUMPRODUCT(--(TRIM(MID(SUBSTITUTE(SUBSTITUTE($P$4,"/",","),",",REPT(" ",99)),(ROW($1:$8)-1)*99+1,99))&lt;&gt;""),--ISNUMBER(SEARCH(TRIM(MID(SUBSTITUTE(SUBSTITUTE($P$4,"/",","),",",REPT(" ",99)),(ROW($1:$8)-1)*99+1,99)),IFERROR(('Final Calculation Sheet'!$O$13)&amp;"",""))))&gt;0,AND(ISNUMBER(SEARCH("blank",$P$4)),NOT(ISNUMBER(SEARCH("nonblank",$P$4))),IFERROR(('Final Calculation Sheet'!$O$13)&amp;"","")=""),AND(OR(ISNUMBER(SEARCH("nonblank",$P$4)),ISNUMBER(SEARCH("&lt;&gt;",$P$4))),IFERROR(('Final Calculation Sheet'!$O$13)&amp;"","")&lt;&gt;""),AND(TRIM($P$4)="",IFERROR(('Final Calculation Sheet'!$O$13)&amp;"","")=""))))</f>
        <v/>
      </c>
      <c r="CC14">
        <f>IF($Q$4="",1,--(OR(SUMPRODUCT(--(TRIM(MID(SUBSTITUTE(SUBSTITUTE($Q$4,"/",","),",",REPT(" ",99)),(ROW($1:$8)-1)*99+1,99))&lt;&gt;""),--ISNUMBER(SEARCH(TRIM(MID(SUBSTITUTE(SUBSTITUTE($Q$4,"/",","),",",REPT(" ",99)),(ROW($1:$8)-1)*99+1,99)),IFERROR(('Final Calculation Sheet'!$P$13)&amp;"",""))))&gt;0,AND(ISNUMBER(SEARCH("blank",$Q$4)),NOT(ISNUMBER(SEARCH("nonblank",$Q$4))),IFERROR(('Final Calculation Sheet'!$P$13)&amp;"","")=""),AND(OR(ISNUMBER(SEARCH("nonblank",$Q$4)),ISNUMBER(SEARCH("&lt;&gt;",$Q$4))),IFERROR(('Final Calculation Sheet'!$P$13)&amp;"","")&lt;&gt;""),AND(TRIM($Q$4)="",IFERROR(('Final Calculation Sheet'!$P$13)&amp;"","")=""))))</f>
        <v/>
      </c>
      <c r="CD14">
        <f>IF($R$4="",1,--(OR(SUMPRODUCT(--(TRIM(MID(SUBSTITUTE(SUBSTITUTE($R$4,"/",","),",",REPT(" ",99)),(ROW($1:$8)-1)*99+1,99))&lt;&gt;""),--ISNUMBER(SEARCH(TRIM(MID(SUBSTITUTE(SUBSTITUTE($R$4,"/",","),",",REPT(" ",99)),(ROW($1:$8)-1)*99+1,99)),IFERROR(('Final Calculation Sheet'!$Q$13)&amp;"",""))))&gt;0,AND(ISNUMBER(SEARCH("blank",$R$4)),NOT(ISNUMBER(SEARCH("nonblank",$R$4))),IFERROR(('Final Calculation Sheet'!$Q$13)&amp;"","")=""),AND(OR(ISNUMBER(SEARCH("nonblank",$R$4)),ISNUMBER(SEARCH("&lt;&gt;",$R$4))),IFERROR(('Final Calculation Sheet'!$Q$13)&amp;"","")&lt;&gt;""),AND(TRIM($R$4)="",IFERROR(('Final Calculation Sheet'!$Q$13)&amp;"","")=""))))</f>
        <v/>
      </c>
      <c r="CE14">
        <f>IF($S$4="",1,--(OR(SUMPRODUCT(--(TRIM(MID(SUBSTITUTE(SUBSTITUTE($S$4,"/",","),",",REPT(" ",99)),(ROW($1:$8)-1)*99+1,99))&lt;&gt;""),--ISNUMBER(SEARCH(TRIM(MID(SUBSTITUTE(SUBSTITUTE($S$4,"/",","),",",REPT(" ",99)),(ROW($1:$8)-1)*99+1,99)),IFERROR(('Final Calculation Sheet'!$R$13)&amp;"",""))))&gt;0,AND(ISNUMBER(SEARCH("blank",$S$4)),NOT(ISNUMBER(SEARCH("nonblank",$S$4))),IFERROR(('Final Calculation Sheet'!$R$13)&amp;"","")=""),AND(OR(ISNUMBER(SEARCH("nonblank",$S$4)),ISNUMBER(SEARCH("&lt;&gt;",$S$4))),IFERROR(('Final Calculation Sheet'!$R$13)&amp;"","")&lt;&gt;""),AND(TRIM($S$4)="",IFERROR(('Final Calculation Sheet'!$R$13)&amp;"","")=""))))</f>
        <v/>
      </c>
      <c r="CF14">
        <f>IF($T$4="",1,--(OR(SUMPRODUCT(--(TRIM(MID(SUBSTITUTE(SUBSTITUTE($T$4,"/",","),",",REPT(" ",99)),(ROW($1:$8)-1)*99+1,99))&lt;&gt;""),--ISNUMBER(SEARCH(TRIM(MID(SUBSTITUTE(SUBSTITUTE($T$4,"/",","),",",REPT(" ",99)),(ROW($1:$8)-1)*99+1,99)),IFERROR(('Final Calculation Sheet'!$S$13)&amp;"",""))))&gt;0,AND(ISNUMBER(SEARCH("blank",$T$4)),NOT(ISNUMBER(SEARCH("nonblank",$T$4))),IFERROR(('Final Calculation Sheet'!$S$13)&amp;"","")=""),AND(OR(ISNUMBER(SEARCH("nonblank",$T$4)),ISNUMBER(SEARCH("&lt;&gt;",$T$4))),IFERROR(('Final Calculation Sheet'!$S$13)&amp;"","")&lt;&gt;""),AND(TRIM($T$4)="",IFERROR(('Final Calculation Sheet'!$S$13)&amp;"","")=""))))</f>
        <v/>
      </c>
      <c r="CG14">
        <f>IF($U$4="",1,--(OR(SUMPRODUCT(--(TRIM(MID(SUBSTITUTE(SUBSTITUTE($U$4,"/",","),",",REPT(" ",99)),(ROW($1:$8)-1)*99+1,99))&lt;&gt;""),--ISNUMBER(SEARCH(TRIM(MID(SUBSTITUTE(SUBSTITUTE($U$4,"/",","),",",REPT(" ",99)),(ROW($1:$8)-1)*99+1,99)),IFERROR(('Final Calculation Sheet'!$T$13)&amp;"",""))))&gt;0,AND(ISNUMBER(SEARCH("blank",$U$4)),NOT(ISNUMBER(SEARCH("nonblank",$U$4))),IFERROR(('Final Calculation Sheet'!$T$13)&amp;"","")=""),AND(OR(ISNUMBER(SEARCH("nonblank",$U$4)),ISNUMBER(SEARCH("&lt;&gt;",$U$4))),IFERROR(('Final Calculation Sheet'!$T$13)&amp;"","")&lt;&gt;""),AND(TRIM($U$4)="",IFERROR(('Final Calculation Sheet'!$T$13)&amp;"","")=""))))</f>
        <v/>
      </c>
      <c r="CH14">
        <f>IF($V$4="",1,--(OR(SUMPRODUCT(--(TRIM(MID(SUBSTITUTE(SUBSTITUTE($V$4,"/",","),",",REPT(" ",99)),(ROW($1:$8)-1)*99+1,99))&lt;&gt;""),--ISNUMBER(SEARCH(TRIM(MID(SUBSTITUTE(SUBSTITUTE($V$4,"/",","),",",REPT(" ",99)),(ROW($1:$8)-1)*99+1,99)),IFERROR(('Final Calculation Sheet'!$U$13)&amp;"",""))))&gt;0,AND(ISNUMBER(SEARCH("blank",$V$4)),NOT(ISNUMBER(SEARCH("nonblank",$V$4))),IFERROR(('Final Calculation Sheet'!$U$13)&amp;"","")=""),AND(OR(ISNUMBER(SEARCH("nonblank",$V$4)),ISNUMBER(SEARCH("&lt;&gt;",$V$4))),IFERROR(('Final Calculation Sheet'!$U$13)&amp;"","")&lt;&gt;""),AND(TRIM($V$4)="",IFERROR(('Final Calculation Sheet'!$U$13)&amp;"","")=""))))</f>
        <v/>
      </c>
      <c r="CI14">
        <f>IF($W$4="",1,--(OR(SUMPRODUCT(--(TRIM(MID(SUBSTITUTE(SUBSTITUTE($W$4,"/",","),",",REPT(" ",99)),(ROW($1:$8)-1)*99+1,99))&lt;&gt;""),--ISNUMBER(SEARCH(TRIM(MID(SUBSTITUTE(SUBSTITUTE($W$4,"/",","),",",REPT(" ",99)),(ROW($1:$8)-1)*99+1,99)),IFERROR(('Final Calculation Sheet'!$V$13)&amp;"",""))))&gt;0,AND(ISNUMBER(SEARCH("blank",$W$4)),NOT(ISNUMBER(SEARCH("nonblank",$W$4))),IFERROR(('Final Calculation Sheet'!$V$13)&amp;"","")=""),AND(OR(ISNUMBER(SEARCH("nonblank",$W$4)),ISNUMBER(SEARCH("&lt;&gt;",$W$4))),IFERROR(('Final Calculation Sheet'!$V$13)&amp;"","")&lt;&gt;""),AND(TRIM($W$4)="",IFERROR(('Final Calculation Sheet'!$V$13)&amp;"","")=""))))</f>
        <v/>
      </c>
      <c r="CJ14">
        <f>IF($X$4="",1,--(OR(SUMPRODUCT(--(TRIM(MID(SUBSTITUTE(SUBSTITUTE($X$4,"/",","),",",REPT(" ",99)),(ROW($1:$8)-1)*99+1,99))&lt;&gt;""),--ISNUMBER(SEARCH(TRIM(MID(SUBSTITUTE(SUBSTITUTE($X$4,"/",","),",",REPT(" ",99)),(ROW($1:$8)-1)*99+1,99)),IFERROR(('Final Calculation Sheet'!$W$13)&amp;"",""))))&gt;0,AND(ISNUMBER(SEARCH("blank",$X$4)),NOT(ISNUMBER(SEARCH("nonblank",$X$4))),IFERROR(('Final Calculation Sheet'!$W$13)&amp;"","")=""),AND(OR(ISNUMBER(SEARCH("nonblank",$X$4)),ISNUMBER(SEARCH("&lt;&gt;",$X$4))),IFERROR(('Final Calculation Sheet'!$W$13)&amp;"","")&lt;&gt;""),AND(TRIM($X$4)="",IFERROR(('Final Calculation Sheet'!$W$13)&amp;"","")=""))))</f>
        <v/>
      </c>
      <c r="CK14">
        <f>IF($Y$4="",1,--(OR(SUMPRODUCT(--(TRIM(MID(SUBSTITUTE(SUBSTITUTE($Y$4,"/",","),",",REPT(" ",99)),(ROW($1:$8)-1)*99+1,99))&lt;&gt;""),--ISNUMBER(SEARCH(TRIM(MID(SUBSTITUTE(SUBSTITUTE($Y$4,"/",","),",",REPT(" ",99)),(ROW($1:$8)-1)*99+1,99)),IFERROR(('Final Calculation Sheet'!$X$13)&amp;"",""))))&gt;0,AND(ISNUMBER(SEARCH("blank",$Y$4)),NOT(ISNUMBER(SEARCH("nonblank",$Y$4))),IFERROR(('Final Calculation Sheet'!$X$13)&amp;"","")=""),AND(OR(ISNUMBER(SEARCH("nonblank",$Y$4)),ISNUMBER(SEARCH("&lt;&gt;",$Y$4))),IFERROR(('Final Calculation Sheet'!$X$13)&amp;"","")&lt;&gt;""),AND(TRIM($Y$4)="",IFERROR(('Final Calculation Sheet'!$X$13)&amp;"","")=""))))</f>
        <v/>
      </c>
      <c r="CL14">
        <f>IF($Z$4="",1,--(OR(SUMPRODUCT(--(TRIM(MID(SUBSTITUTE(SUBSTITUTE($Z$4,"/",","),",",REPT(" ",99)),(ROW($1:$8)-1)*99+1,99))&lt;&gt;""),--ISNUMBER(SEARCH(TRIM(MID(SUBSTITUTE(SUBSTITUTE($Z$4,"/",","),",",REPT(" ",99)),(ROW($1:$8)-1)*99+1,99)),IFERROR(('Final Calculation Sheet'!$Y$13)&amp;"",""))))&gt;0,AND(ISNUMBER(SEARCH("blank",$Z$4)),NOT(ISNUMBER(SEARCH("nonblank",$Z$4))),IFERROR(('Final Calculation Sheet'!$Y$13)&amp;"","")=""),AND(OR(ISNUMBER(SEARCH("nonblank",$Z$4)),ISNUMBER(SEARCH("&lt;&gt;",$Z$4))),IFERROR(('Final Calculation Sheet'!$Y$13)&amp;"","")&lt;&gt;""),AND(TRIM($Z$4)="",IFERROR(('Final Calculation Sheet'!$Y$13)&amp;"","")=""))))</f>
        <v/>
      </c>
      <c r="CM14">
        <f>IF($AA$4="",1,--(OR(SUMPRODUCT(--(TRIM(MID(SUBSTITUTE(SUBSTITUTE($AA$4,"/",","),",",REPT(" ",99)),(ROW($1:$8)-1)*99+1,99))&lt;&gt;""),--ISNUMBER(SEARCH(TRIM(MID(SUBSTITUTE(SUBSTITUTE($AA$4,"/",","),",",REPT(" ",99)),(ROW($1:$8)-1)*99+1,99)),IFERROR(('Final Calculation Sheet'!$Z$13)&amp;"",""))))&gt;0,AND(ISNUMBER(SEARCH("blank",$AA$4)),NOT(ISNUMBER(SEARCH("nonblank",$AA$4))),IFERROR(('Final Calculation Sheet'!$Z$13)&amp;"","")=""),AND(OR(ISNUMBER(SEARCH("nonblank",$AA$4)),ISNUMBER(SEARCH("&lt;&gt;",$AA$4))),IFERROR(('Final Calculation Sheet'!$Z$13)&amp;"","")&lt;&gt;""),AND(TRIM($AA$4)="",IFERROR(('Final Calculation Sheet'!$Z$13)&amp;"","")=""))))</f>
        <v/>
      </c>
      <c r="CN14">
        <f>IF($AB$4="",1,--(OR(SUMPRODUCT(--(TRIM(MID(SUBSTITUTE(SUBSTITUTE($AB$4,"/",","),",",REPT(" ",99)),(ROW($1:$8)-1)*99+1,99))&lt;&gt;""),--ISNUMBER(SEARCH(TRIM(MID(SUBSTITUTE(SUBSTITUTE($AB$4,"/",","),",",REPT(" ",99)),(ROW($1:$8)-1)*99+1,99)),IFERROR(('Final Calculation Sheet'!$AA$13)&amp;"",""))))&gt;0,AND(ISNUMBER(SEARCH("blank",$AB$4)),NOT(ISNUMBER(SEARCH("nonblank",$AB$4))),IFERROR(('Final Calculation Sheet'!$AA$13)&amp;"","")=""),AND(OR(ISNUMBER(SEARCH("nonblank",$AB$4)),ISNUMBER(SEARCH("&lt;&gt;",$AB$4))),IFERROR(('Final Calculation Sheet'!$AA$13)&amp;"","")&lt;&gt;""),AND(TRIM($AB$4)="",IFERROR(('Final Calculation Sheet'!$AA$13)&amp;"","")=""))))</f>
        <v/>
      </c>
      <c r="CO14">
        <f>IF($AC$4="",1,--(OR(SUMPRODUCT(--(TRIM(MID(SUBSTITUTE(SUBSTITUTE($AC$4,"/",","),",",REPT(" ",99)),(ROW($1:$8)-1)*99+1,99))&lt;&gt;""),--ISNUMBER(SEARCH(TRIM(MID(SUBSTITUTE(SUBSTITUTE($AC$4,"/",","),",",REPT(" ",99)),(ROW($1:$8)-1)*99+1,99)),IFERROR(('Final Calculation Sheet'!$AB$13)&amp;"",""))))&gt;0,AND(ISNUMBER(SEARCH("blank",$AC$4)),NOT(ISNUMBER(SEARCH("nonblank",$AC$4))),IFERROR(('Final Calculation Sheet'!$AB$13)&amp;"","")=""),AND(OR(ISNUMBER(SEARCH("nonblank",$AC$4)),ISNUMBER(SEARCH("&lt;&gt;",$AC$4))),IFERROR(('Final Calculation Sheet'!$AB$13)&amp;"","")&lt;&gt;""),AND(TRIM($AC$4)="",IFERROR(('Final Calculation Sheet'!$AB$13)&amp;"","")=""))))</f>
        <v/>
      </c>
      <c r="CP14">
        <f>IF($AD$4="",1,--(OR(SUMPRODUCT(--(TRIM(MID(SUBSTITUTE(SUBSTITUTE($AD$4,"/",","),",",REPT(" ",99)),(ROW($1:$8)-1)*99+1,99))&lt;&gt;""),--ISNUMBER(SEARCH(TRIM(MID(SUBSTITUTE(SUBSTITUTE($AD$4,"/",","),",",REPT(" ",99)),(ROW($1:$8)-1)*99+1,99)),IFERROR(('Final Calculation Sheet'!$AC$13)&amp;"",""))))&gt;0,AND(ISNUMBER(SEARCH("blank",$AD$4)),NOT(ISNUMBER(SEARCH("nonblank",$AD$4))),IFERROR(('Final Calculation Sheet'!$AC$13)&amp;"","")=""),AND(OR(ISNUMBER(SEARCH("nonblank",$AD$4)),ISNUMBER(SEARCH("&lt;&gt;",$AD$4))),IFERROR(('Final Calculation Sheet'!$AC$13)&amp;"","")&lt;&gt;""),AND(TRIM($AD$4)="",IFERROR(('Final Calculation Sheet'!$AC$13)&amp;"","")=""))))</f>
        <v/>
      </c>
      <c r="CQ14">
        <f>IF($AE$4="",1,--(OR(SUMPRODUCT(--(TRIM(MID(SUBSTITUTE(SUBSTITUTE($AE$4,"/",","),",",REPT(" ",99)),(ROW($1:$8)-1)*99+1,99))&lt;&gt;""),--ISNUMBER(SEARCH(TRIM(MID(SUBSTITUTE(SUBSTITUTE($AE$4,"/",","),",",REPT(" ",99)),(ROW($1:$8)-1)*99+1,99)),IFERROR(('Final Calculation Sheet'!$AD$13)&amp;"",""))))&gt;0,AND(ISNUMBER(SEARCH("blank",$AE$4)),NOT(ISNUMBER(SEARCH("nonblank",$AE$4))),IFERROR(('Final Calculation Sheet'!$AD$13)&amp;"","")=""),AND(OR(ISNUMBER(SEARCH("nonblank",$AE$4)),ISNUMBER(SEARCH("&lt;&gt;",$AE$4))),IFERROR(('Final Calculation Sheet'!$AD$13)&amp;"","")&lt;&gt;""),AND(TRIM($AE$4)="",IFERROR(('Final Calculation Sheet'!$AD$13)&amp;"","")=""))))</f>
        <v/>
      </c>
      <c r="CR14">
        <f>IF($AF$4="",1,--(OR(SUMPRODUCT(--(TRIM(MID(SUBSTITUTE(SUBSTITUTE($AF$4,"/",","),",",REPT(" ",99)),(ROW($1:$8)-1)*99+1,99))&lt;&gt;""),--ISNUMBER(SEARCH(TRIM(MID(SUBSTITUTE(SUBSTITUTE($AF$4,"/",","),",",REPT(" ",99)),(ROW($1:$8)-1)*99+1,99)),IFERROR(('Final Calculation Sheet'!$AE$13)&amp;"",""))))&gt;0,AND(ISNUMBER(SEARCH("blank",$AF$4)),NOT(ISNUMBER(SEARCH("nonblank",$AF$4))),IFERROR(('Final Calculation Sheet'!$AE$13)&amp;"","")=""),AND(OR(ISNUMBER(SEARCH("nonblank",$AF$4)),ISNUMBER(SEARCH("&lt;&gt;",$AF$4))),IFERROR(('Final Calculation Sheet'!$AE$13)&amp;"","")&lt;&gt;""),AND(TRIM($AF$4)="",IFERROR(('Final Calculation Sheet'!$AE$13)&amp;"","")=""))))</f>
        <v/>
      </c>
      <c r="CS14">
        <f>IF($AG$4="",1,--(OR(SUMPRODUCT(--(TRIM(MID(SUBSTITUTE(SUBSTITUTE($AG$4,"/",","),",",REPT(" ",99)),(ROW($1:$8)-1)*99+1,99))&lt;&gt;""),--ISNUMBER(SEARCH(TRIM(MID(SUBSTITUTE(SUBSTITUTE($AG$4,"/",","),",",REPT(" ",99)),(ROW($1:$8)-1)*99+1,99)),IFERROR(('Final Calculation Sheet'!$AF$13)&amp;"",""))))&gt;0,AND(ISNUMBER(SEARCH("blank",$AG$4)),NOT(ISNUMBER(SEARCH("nonblank",$AG$4))),IFERROR(('Final Calculation Sheet'!$AF$13)&amp;"","")=""),AND(OR(ISNUMBER(SEARCH("nonblank",$AG$4)),ISNUMBER(SEARCH("&lt;&gt;",$AG$4))),IFERROR(('Final Calculation Sheet'!$AF$13)&amp;"","")&lt;&gt;""),AND(TRIM($AG$4)="",IFERROR(('Final Calculation Sheet'!$AF$13)&amp;"","")=""))))</f>
        <v/>
      </c>
      <c r="CT14">
        <f>IF($AH$4="",1,--(OR(SUMPRODUCT(--(TRIM(MID(SUBSTITUTE(SUBSTITUTE($AH$4,"/",","),",",REPT(" ",99)),(ROW($1:$8)-1)*99+1,99))&lt;&gt;""),--ISNUMBER(SEARCH(TRIM(MID(SUBSTITUTE(SUBSTITUTE($AH$4,"/",","),",",REPT(" ",99)),(ROW($1:$8)-1)*99+1,99)),IFERROR(('Final Calculation Sheet'!$AG$13)&amp;"",""))))&gt;0,AND(ISNUMBER(SEARCH("blank",$AH$4)),NOT(ISNUMBER(SEARCH("nonblank",$AH$4))),IFERROR(('Final Calculation Sheet'!$AG$13)&amp;"","")=""),AND(OR(ISNUMBER(SEARCH("nonblank",$AH$4)),ISNUMBER(SEARCH("&lt;&gt;",$AH$4))),IFERROR(('Final Calculation Sheet'!$AG$13)&amp;"","")&lt;&gt;""),AND(TRIM($AH$4)="",IFERROR(('Final Calculation Sheet'!$AG$13)&amp;"","")=""))))</f>
        <v/>
      </c>
      <c r="CU14">
        <f>IF($AI$4="",1,--(OR(SUMPRODUCT(--(TRIM(MID(SUBSTITUTE(SUBSTITUTE($AI$4,"/",","),",",REPT(" ",99)),(ROW($1:$8)-1)*99+1,99))&lt;&gt;""),--ISNUMBER(SEARCH(TRIM(MID(SUBSTITUTE(SUBSTITUTE($AI$4,"/",","),",",REPT(" ",99)),(ROW($1:$8)-1)*99+1,99)),IFERROR((IF('Final Calculation Sheet'!$AD$13&lt;=0,"SETTLED","OUTSTANDING"))&amp;"",""))))&gt;0,AND(ISNUMBER(SEARCH("blank",$AI$4)),NOT(ISNUMBER(SEARCH("nonblank",$AI$4))),IFERROR((IF('Final Calculation Sheet'!$AD$13&lt;=0,"SETTLED","OUTSTANDING"))&amp;"","")=""),AND(OR(ISNUMBER(SEARCH("nonblank",$AI$4)),ISNUMBER(SEARCH("&lt;&gt;",$AI$4))),IFERROR((IF('Final Calculation Sheet'!$AD$13&lt;=0,"SETTLED","OUTSTANDING"))&amp;"","")&lt;&gt;""),AND(TRIM($AI$4)="",IFERROR((IF('Final Calculation Sheet'!$AD$13&lt;=0,"SETTLED","OUTSTANDING"))&amp;"","")=""))))</f>
        <v/>
      </c>
    </row>
    <row r="15" ht="15" customHeight="1" s="77">
      <c r="A15" s="67">
        <f>IF($BJ14&gt;0,INDEX($BA$5:$BA$41,MATCH(14,$BB$5:$BB$41,0)),IF(OR($BI14=1,$BL14=1,$BH14&gt;0),"∑",""))</f>
        <v/>
      </c>
      <c r="B15" s="68">
        <f>IF($BJ14&gt;0,IF(INDEX('Final Calculation Sheet'!$F$4:$F$40,$BJ14-3)="","",INDEX('Final Calculation Sheet'!$F$4:$F$40,$BJ14-3)),"")</f>
        <v/>
      </c>
      <c r="C15" s="68">
        <f>IF($BJ14&gt;0,IF(INDEX('Final Calculation Sheet'!$G$4:$G$40,$BJ14-3)="","",INDEX('Final Calculation Sheet'!$G$4:$G$40,$BJ14-3)),IF(OR($BI14=1,$BL14=1,$BH14&gt;0),IF($BI14=1,37,IF($BL14=1,37-INDEX($BD$4:$BD$13,10),INDEX($BD$4:$BD$13,$BH14)))&amp;" lot(s)",""))</f>
        <v/>
      </c>
      <c r="D15" s="69">
        <f>IF($BJ14&gt;0,IF(INDEX('Final Calculation Sheet'!$B$4:$B$40,$BJ14-3)="","",INDEX('Final Calculation Sheet'!$B$4:$B$40,$BJ14-3)),IF(OR($BI14=1,$BL14=1,$BH14&gt;0),IF($BI14=1,"GRAND TOTAL  —  matching + remaining",IF($BL14=1,"TOTAL MATCHED  —  every group together",IF($BH14=10,"REMAINING  —  did not match the search",IF($BH14=9,IF(COUNTIF($A$4:$AI$4,"&lt;&gt;")&gt;0,"FILTERED LOTS  —  column fields","ALL LOTS  —  nothing typed in the box"),"GROUP "&amp;$BH14&amp;" TOTAL  —  lots matching  "&amp;INDEX($AR$6:$AY$6,$BH14))))),""))</f>
        <v/>
      </c>
      <c r="E15" s="69">
        <f>IF($BJ14&gt;0,IF(INDEX('Final Calculation Sheet'!$D$4:$D$40,$BJ14-3)="","",INDEX('Final Calculation Sheet'!$D$4:$D$40,$BJ14-3)),IF(OR($BI14=1,$BL14=1,$BH14&gt;0),"–",""))</f>
        <v/>
      </c>
      <c r="F15" s="69">
        <f>IF($BJ14&gt;0,IF(INDEX('Final Calculation Sheet'!$A$4:$A$40,$BJ14-3)="","",INDEX('Final Calculation Sheet'!$A$4:$A$40,$BJ14-3)),IF(OR($BI14=1,$BL14=1,$BH14&gt;0),IF($BI14=1,SUM('Final Calculation Sheet'!$A$4:$A$40),IF($BL14=1,SUM('Final Calculation Sheet'!$A$4:$A$40)-SUMIFS('Final Calculation Sheet'!$A$4:$A$40,$AZ$5:$AZ$41,10),SUMIFS('Final Calculation Sheet'!$A$4:$A$40,$AZ$5:$AZ$41,$BH14))),""))</f>
        <v/>
      </c>
      <c r="G15" s="69">
        <f>IF($BJ14&gt;0,IF(INDEX('Final Calculation Sheet'!$E$4:$E$40,$BJ14-3)="","",INDEX('Final Calculation Sheet'!$E$4:$E$40,$BJ14-3)),IF(OR($BI14=1,$BL14=1,$BH14&gt;0),"–",""))</f>
        <v/>
      </c>
      <c r="H15" s="70">
        <f>IF($BJ14&gt;0,IF(INDEX('Final Calculation Sheet'!$C$4:$C$40,$BJ14-3)="","",INDEX('Final Calculation Sheet'!$C$4:$C$40,$BJ14-3)),IF(OR($BI14=1,$BL14=1,$BH14&gt;0),"–",""))</f>
        <v/>
      </c>
      <c r="I15" s="70">
        <f>IF($BJ14&gt;0,IF(INDEX('Final Calculation Sheet'!$H$4:$H$40,$BJ14-3)="","",INDEX('Final Calculation Sheet'!$H$4:$H$40,$BJ14-3)),IF(OR($BI14=1,$BL14=1,$BH14&gt;0),IF($BI14=1,SUM('Final Calculation Sheet'!$H$4:$H$40),IF($BL14=1,SUM('Final Calculation Sheet'!$H$4:$H$40)-SUMIFS('Final Calculation Sheet'!$H$4:$H$40,$AZ$5:$AZ$41,10),SUMIFS('Final Calculation Sheet'!$H$4:$H$40,$AZ$5:$AZ$41,$BH14))),""))</f>
        <v/>
      </c>
      <c r="J15" s="70">
        <f>IF($BJ14&gt;0,IF(INDEX('Final Calculation Sheet'!$I$4:$I$40,$BJ14-3)="","",INDEX('Final Calculation Sheet'!$I$4:$I$40,$BJ14-3)),IF(OR($BI14=1,$BL14=1,$BH14&gt;0),IF($BI14=1,SUM('Final Calculation Sheet'!$I$4:$I$40),IF($BL14=1,SUM('Final Calculation Sheet'!$I$4:$I$40)-SUMIFS('Final Calculation Sheet'!$I$4:$I$40,$AZ$5:$AZ$41,10),SUMIFS('Final Calculation Sheet'!$I$4:$I$40,$AZ$5:$AZ$41,$BH14))),""))</f>
        <v/>
      </c>
      <c r="K15" s="70">
        <f>IF($BJ14&gt;0,IF(INDEX('Final Calculation Sheet'!$J$4:$J$40,$BJ14-3)="","",INDEX('Final Calculation Sheet'!$J$4:$J$40,$BJ14-3)),IF(OR($BI14=1,$BL14=1,$BH14&gt;0),IF($BI14=1,SUM('Final Calculation Sheet'!$J$4:$J$40),IF($BL14=1,SUM('Final Calculation Sheet'!$J$4:$J$40)-SUMIFS('Final Calculation Sheet'!$J$4:$J$40,$AZ$5:$AZ$41,10),SUMIFS('Final Calculation Sheet'!$J$4:$J$40,$AZ$5:$AZ$41,$BH14))),""))</f>
        <v/>
      </c>
      <c r="L15" s="70">
        <f>IF($BJ14&gt;0,IF(INDEX('Final Calculation Sheet'!$K$4:$K$40,$BJ14-3)="","",INDEX('Final Calculation Sheet'!$K$4:$K$40,$BJ14-3)),IF(OR($BI14=1,$BL14=1,$BH14&gt;0),IF($BI14=1,SUM('Final Calculation Sheet'!$K$4:$K$40),IF($BL14=1,SUM('Final Calculation Sheet'!$K$4:$K$40)-SUMIFS('Final Calculation Sheet'!$K$4:$K$40,$AZ$5:$AZ$41,10),SUMIFS('Final Calculation Sheet'!$K$4:$K$40,$AZ$5:$AZ$41,$BH14))),""))</f>
        <v/>
      </c>
      <c r="M15" s="70">
        <f>IF($BJ14&gt;0,IF(INDEX('Final Calculation Sheet'!$L$4:$L$40,$BJ14-3)="","",INDEX('Final Calculation Sheet'!$L$4:$L$40,$BJ14-3)),IF(OR($BI14=1,$BL14=1,$BH14&gt;0),IF($BI14=1,SUM('Final Calculation Sheet'!$L$4:$L$40),IF($BL14=1,SUM('Final Calculation Sheet'!$L$4:$L$40)-SUMIFS('Final Calculation Sheet'!$L$4:$L$40,$AZ$5:$AZ$41,10),SUMIFS('Final Calculation Sheet'!$L$4:$L$40,$AZ$5:$AZ$41,$BH14))),""))</f>
        <v/>
      </c>
      <c r="N15" s="70">
        <f>IF($BJ14&gt;0,IF(INDEX('Final Calculation Sheet'!$M$4:$M$40,$BJ14-3)="","",INDEX('Final Calculation Sheet'!$M$4:$M$40,$BJ14-3)),IF(OR($BI14=1,$BL14=1,$BH14&gt;0),IF($BI14=1,SUM('Final Calculation Sheet'!$M$4:$M$40),IF($BL14=1,SUM('Final Calculation Sheet'!$M$4:$M$40)-SUMIFS('Final Calculation Sheet'!$M$4:$M$40,$AZ$5:$AZ$41,10),SUMIFS('Final Calculation Sheet'!$M$4:$M$40,$AZ$5:$AZ$41,$BH14))),""))</f>
        <v/>
      </c>
      <c r="O15" s="71">
        <f>IF($BJ14&gt;0,IF(INDEX('Final Calculation Sheet'!$N$4:$N$40,$BJ14-3)="","",INDEX('Final Calculation Sheet'!$N$4:$N$40,$BJ14-3)),IF(OR($BI14=1,$BL14=1,$BH14&gt;0),IF($BI14=1,SUM('Final Calculation Sheet'!$N$4:$N$40),IF($BL14=1,SUM('Final Calculation Sheet'!$N$4:$N$40)-SUMIFS('Final Calculation Sheet'!$N$4:$N$40,$AZ$5:$AZ$41,10),SUMIFS('Final Calculation Sheet'!$N$4:$N$40,$AZ$5:$AZ$41,$BH14))),""))</f>
        <v/>
      </c>
      <c r="P15" s="70">
        <f>IF($BJ14&gt;0,IF(INDEX('Final Calculation Sheet'!$O$4:$O$40,$BJ14-3)="","",INDEX('Final Calculation Sheet'!$O$4:$O$40,$BJ14-3)),IF(OR($BI14=1,$BL14=1,$BH14&gt;0),IF($BI14=1,SUM('Final Calculation Sheet'!$O$4:$O$40),IF($BL14=1,SUM('Final Calculation Sheet'!$O$4:$O$40)-SUMIFS('Final Calculation Sheet'!$O$4:$O$40,$AZ$5:$AZ$41,10),SUMIFS('Final Calculation Sheet'!$O$4:$O$40,$AZ$5:$AZ$41,$BH14))),""))</f>
        <v/>
      </c>
      <c r="Q15" s="70">
        <f>IF($BJ14&gt;0,IF(INDEX('Final Calculation Sheet'!$P$4:$P$40,$BJ14-3)="","",INDEX('Final Calculation Sheet'!$P$4:$P$40,$BJ14-3)),IF(OR($BI14=1,$BL14=1,$BH14&gt;0),IF($BI14=1,SUM('Final Calculation Sheet'!$P$4:$P$40),IF($BL14=1,SUM('Final Calculation Sheet'!$P$4:$P$40)-SUMIFS('Final Calculation Sheet'!$P$4:$P$40,$AZ$5:$AZ$41,10),SUMIFS('Final Calculation Sheet'!$P$4:$P$40,$AZ$5:$AZ$41,$BH14))),""))</f>
        <v/>
      </c>
      <c r="R15" s="72">
        <f>IF($BJ14&gt;0,IF(INDEX('Final Calculation Sheet'!$Q$4:$Q$40,$BJ14-3)="","",INDEX('Final Calculation Sheet'!$Q$4:$Q$40,$BJ14-3)),IF(OR($BI14=1,$BL14=1,$BH14&gt;0),"–",""))</f>
        <v/>
      </c>
      <c r="S15" s="70">
        <f>IF($BJ14&gt;0,IF(INDEX('Final Calculation Sheet'!$R$4:$R$40,$BJ14-3)="","",INDEX('Final Calculation Sheet'!$R$4:$R$40,$BJ14-3)),IF(OR($BI14=1,$BL14=1,$BH14&gt;0),IF($BI14=1,SUM('Final Calculation Sheet'!$R$4:$R$40),IF($BL14=1,SUM('Final Calculation Sheet'!$R$4:$R$40)-SUMIFS('Final Calculation Sheet'!$R$4:$R$40,$AZ$5:$AZ$41,10),SUMIFS('Final Calculation Sheet'!$R$4:$R$40,$AZ$5:$AZ$41,$BH14))),""))</f>
        <v/>
      </c>
      <c r="T15" s="70">
        <f>IF($BJ14&gt;0,IF(INDEX('Final Calculation Sheet'!$S$4:$S$40,$BJ14-3)="","",INDEX('Final Calculation Sheet'!$S$4:$S$40,$BJ14-3)),IF(OR($BI14=1,$BL14=1,$BH14&gt;0),IF($BI14=1,SUM('Final Calculation Sheet'!$S$4:$S$40),IF($BL14=1,SUM('Final Calculation Sheet'!$S$4:$S$40)-SUMIFS('Final Calculation Sheet'!$S$4:$S$40,$AZ$5:$AZ$41,10),SUMIFS('Final Calculation Sheet'!$S$4:$S$40,$AZ$5:$AZ$41,$BH14))),""))</f>
        <v/>
      </c>
      <c r="U15" s="70">
        <f>IF($BJ14&gt;0,IF(INDEX('Final Calculation Sheet'!$T$4:$T$40,$BJ14-3)="","",INDEX('Final Calculation Sheet'!$T$4:$T$40,$BJ14-3)),IF(OR($BI14=1,$BL14=1,$BH14&gt;0),IF($BI14=1,SUM('Final Calculation Sheet'!$T$4:$T$40),IF($BL14=1,SUM('Final Calculation Sheet'!$T$4:$T$40)-SUMIFS('Final Calculation Sheet'!$T$4:$T$40,$AZ$5:$AZ$41,10),SUMIFS('Final Calculation Sheet'!$T$4:$T$40,$AZ$5:$AZ$41,$BH14))),""))</f>
        <v/>
      </c>
      <c r="V15" s="73">
        <f>IF($BJ14&gt;0,IF(INDEX('Final Calculation Sheet'!$U$4:$U$40,$BJ14-3)="","",INDEX('Final Calculation Sheet'!$U$4:$U$40,$BJ14-3)),IF(OR($BI14=1,$BL14=1,$BH14&gt;0),IF($BI14=1,SUM('Final Calculation Sheet'!$U$4:$U$40),IF($BL14=1,SUM('Final Calculation Sheet'!$U$4:$U$40)-SUMIFS('Final Calculation Sheet'!$U$4:$U$40,$AZ$5:$AZ$41,10),SUMIFS('Final Calculation Sheet'!$U$4:$U$40,$AZ$5:$AZ$41,$BH14))),""))</f>
        <v/>
      </c>
      <c r="W15" s="70">
        <f>IF($BJ14&gt;0,IF(INDEX('Final Calculation Sheet'!$V$4:$V$40,$BJ14-3)="","",INDEX('Final Calculation Sheet'!$V$4:$V$40,$BJ14-3)),IF(OR($BI14=1,$BL14=1,$BH14&gt;0),"–",""))</f>
        <v/>
      </c>
      <c r="X15" s="70">
        <f>IF($BJ14&gt;0,IF(INDEX('Final Calculation Sheet'!$W$4:$W$40,$BJ14-3)="","",INDEX('Final Calculation Sheet'!$W$4:$W$40,$BJ14-3)),IF(OR($BI14=1,$BL14=1,$BH14&gt;0),IF($BI14=1,SUM('Final Calculation Sheet'!$W$4:$W$40),IF($BL14=1,SUM('Final Calculation Sheet'!$W$4:$W$40)-SUMIFS('Final Calculation Sheet'!$W$4:$W$40,$AZ$5:$AZ$41,10),SUMIFS('Final Calculation Sheet'!$W$4:$W$40,$AZ$5:$AZ$41,$BH14))),""))</f>
        <v/>
      </c>
      <c r="Y15" s="70">
        <f>IF($BJ14&gt;0,IF(INDEX('Final Calculation Sheet'!$X$4:$X$40,$BJ14-3)="","",INDEX('Final Calculation Sheet'!$X$4:$X$40,$BJ14-3)),IF(OR($BI14=1,$BL14=1,$BH14&gt;0),IF($BI14=1,SUM('Final Calculation Sheet'!$X$4:$X$40),IF($BL14=1,SUM('Final Calculation Sheet'!$X$4:$X$40)-SUMIFS('Final Calculation Sheet'!$X$4:$X$40,$AZ$5:$AZ$41,10),SUMIFS('Final Calculation Sheet'!$X$4:$X$40,$AZ$5:$AZ$41,$BH14))),""))</f>
        <v/>
      </c>
      <c r="Z15" s="70">
        <f>IF($BJ14&gt;0,IF(INDEX('Final Calculation Sheet'!$Y$4:$Y$40,$BJ14-3)="","",INDEX('Final Calculation Sheet'!$Y$4:$Y$40,$BJ14-3)),IF(OR($BI14=1,$BL14=1,$BH14&gt;0),"–",""))</f>
        <v/>
      </c>
      <c r="AA15" s="70">
        <f>IF($BJ14&gt;0,IF(INDEX('Final Calculation Sheet'!$Z$4:$Z$40,$BJ14-3)="","",INDEX('Final Calculation Sheet'!$Z$4:$Z$40,$BJ14-3)),IF(OR($BI14=1,$BL14=1,$BH14&gt;0),IF($BI14=1,SUM('Final Calculation Sheet'!$Z$4:$Z$40),IF($BL14=1,SUM('Final Calculation Sheet'!$Z$4:$Z$40)-SUMIFS('Final Calculation Sheet'!$Z$4:$Z$40,$AZ$5:$AZ$41,10),SUMIFS('Final Calculation Sheet'!$Z$4:$Z$40,$AZ$5:$AZ$41,$BH14))),""))</f>
        <v/>
      </c>
      <c r="AB15" s="70">
        <f>IF($BJ14&gt;0,IF(INDEX('Final Calculation Sheet'!$AA$4:$AA$40,$BJ14-3)="","",INDEX('Final Calculation Sheet'!$AA$4:$AA$40,$BJ14-3)),IF(OR($BI14=1,$BL14=1,$BH14&gt;0),IF($BI14=1,SUM('Final Calculation Sheet'!$AA$4:$AA$40),IF($BL14=1,SUM('Final Calculation Sheet'!$AA$4:$AA$40)-SUMIFS('Final Calculation Sheet'!$AA$4:$AA$40,$AZ$5:$AZ$41,10),SUMIFS('Final Calculation Sheet'!$AA$4:$AA$40,$AZ$5:$AZ$41,$BH14))),""))</f>
        <v/>
      </c>
      <c r="AC15" s="70">
        <f>IF($BJ14&gt;0,IF(INDEX('Final Calculation Sheet'!$AB$4:$AB$40,$BJ14-3)="","",INDEX('Final Calculation Sheet'!$AB$4:$AB$40,$BJ14-3)),IF(OR($BI14=1,$BL14=1,$BH14&gt;0),"–",""))</f>
        <v/>
      </c>
      <c r="AD15" s="70">
        <f>IF($BJ14&gt;0,IF(INDEX('Final Calculation Sheet'!$AC$4:$AC$40,$BJ14-3)="","",INDEX('Final Calculation Sheet'!$AC$4:$AC$40,$BJ14-3)),IF(OR($BI14=1,$BL14=1,$BH14&gt;0),IF($BI14=1,SUM('Final Calculation Sheet'!$AC$4:$AC$40),IF($BL14=1,SUM('Final Calculation Sheet'!$AC$4:$AC$40)-SUMIFS('Final Calculation Sheet'!$AC$4:$AC$40,$AZ$5:$AZ$41,10),SUMIFS('Final Calculation Sheet'!$AC$4:$AC$40,$AZ$5:$AZ$41,$BH14))),""))</f>
        <v/>
      </c>
      <c r="AE15" s="70">
        <f>IF($BJ14&gt;0,IF(INDEX('Final Calculation Sheet'!$AD$4:$AD$40,$BJ14-3)="","",INDEX('Final Calculation Sheet'!$AD$4:$AD$40,$BJ14-3)),IF(OR($BI14=1,$BL14=1,$BH14&gt;0),IF($BI14=1,SUM('Final Calculation Sheet'!$AD$4:$AD$40),IF($BL14=1,SUM('Final Calculation Sheet'!$AD$4:$AD$40)-SUMIFS('Final Calculation Sheet'!$AD$4:$AD$40,$AZ$5:$AZ$41,10),SUMIFS('Final Calculation Sheet'!$AD$4:$AD$40,$AZ$5:$AZ$41,$BH14))),""))</f>
        <v/>
      </c>
      <c r="AF15" s="70">
        <f>IF($BJ14&gt;0,IF(INDEX('Final Calculation Sheet'!$AE$4:$AE$40,$BJ14-3)="","",INDEX('Final Calculation Sheet'!$AE$4:$AE$40,$BJ14-3)),IF(OR($BI14=1,$BL14=1,$BH14&gt;0),"–",""))</f>
        <v/>
      </c>
      <c r="AG15" s="74">
        <f>IF($BJ14&gt;0,IF(INDEX('Final Calculation Sheet'!$AF$4:$AF$40,$BJ14-3)="","",INDEX('Final Calculation Sheet'!$AF$4:$AF$40,$BJ14-3)),IF(OR($BI14=1,$BL14=1,$BH14&gt;0),"–",""))</f>
        <v/>
      </c>
      <c r="AH15" s="70">
        <f>IF($BJ14&gt;0,IF(INDEX('Final Calculation Sheet'!$AG$4:$AG$40,$BJ14-3)="","",INDEX('Final Calculation Sheet'!$AG$4:$AG$40,$BJ14-3)),IF(OR($BI14=1,$BL14=1,$BH14&gt;0),"–",""))</f>
        <v/>
      </c>
      <c r="AI15" s="75">
        <f>IF($BJ14&gt;0,IF(INDEX('Final Calculation Sheet'!$AD$4:$AD$40,$BJ14-3)="","",IF(INDEX('Final Calculation Sheet'!$AD$4:$AD$40,$BJ14-3)&lt;=0,"SETTLED","OUTSTANDING")),IF(OR($BI14=1,$BL14=1,$BH14&gt;0),IF(IF($BI14=1,SUM('Final Calculation Sheet'!$AD$4:$AD$40),IF($BL14=1,SUM('Final Calculation Sheet'!$AD$4:$AD$40)-SUMIFS('Final Calculation Sheet'!$AD$4:$AD$40,$AZ$5:$AZ$41,10),SUMIFS('Final Calculation Sheet'!$AD$4:$AD$40,$AZ$5:$AZ$41,$BH14)))&lt;=0,"ALL SETTLED","OUTSTANDING"),""))</f>
        <v/>
      </c>
      <c r="AK15">
        <f>IF($F$3="Lot No.",'Final Calculation Sheet'!$F$14,IF($F$3="Buyer",'Final Calculation Sheet'!$G$14,IF($F$3="Lot Name",'Final Calculation Sheet'!$B$14,IF($F$3="Bid Sheet",'Final Calculation Sheet'!$D$14,IF($F$3="Unit",'Final Calculation Sheet'!$E$14,'Final Calculation Sheet'!$F$14&amp;" "&amp;'Final Calculation Sheet'!$G$14&amp;" "&amp;'Final Calculation Sheet'!$B$14)))))</f>
        <v/>
      </c>
      <c r="AM15">
        <f>IF(COUNTIF($BM15:$CU15,0)&gt;0,0,IF($B$3="",1,IF(AND(IF(COUNTIF($AR$9:$AY$9,1)=0,TRUE,SUMPRODUCT(($AR$9:$AY$9=1)*($AR$6:$AY$6&lt;&gt;"")*ISNUMBER(SEARCH($AR$6:$AY$6,$AK15)))&gt;0),IF(COUNTIF($AR$9:$AY$9,2)=0,TRUE,SUMPRODUCT(($AR$9:$AY$9=2)*($AR$6:$AY$6&lt;&gt;"")*ISNUMBER(SEARCH($AR$6:$AY$6,$AK15)))&gt;0),IF(COUNTIF($AR$9:$AY$9,3)=0,TRUE,SUMPRODUCT(($AR$9:$AY$9=3)*($AR$6:$AY$6&lt;&gt;"")*ISNUMBER(SEARCH($AR$6:$AY$6,$AK15)))&gt;0),IF(COUNTIF($AR$9:$AY$9,4)=0,TRUE,SUMPRODUCT(($AR$9:$AY$9=4)*($AR$6:$AY$6&lt;&gt;"")*ISNUMBER(SEARCH($AR$6:$AY$6,$AK15)))&gt;0),IF(COUNTIF($AR$9:$AY$9,5)=0,TRUE,SUMPRODUCT(($AR$9:$AY$9=5)*($AR$6:$AY$6&lt;&gt;"")*ISNUMBER(SEARCH($AR$6:$AY$6,$AK15)))&gt;0),IF(COUNTIF($AR$9:$AY$9,6)=0,TRUE,SUMPRODUCT(($AR$9:$AY$9=6)*($AR$6:$AY$6&lt;&gt;"")*ISNUMBER(SEARCH($AR$6:$AY$6,$AK15)))&gt;0),IF(COUNTIF($AR$9:$AY$9,7)=0,TRUE,SUMPRODUCT(($AR$9:$AY$9=7)*($AR$6:$AY$6&lt;&gt;"")*ISNUMBER(SEARCH($AR$6:$AY$6,$AK15)))&gt;0),IF(COUNTIF($AR$9:$AY$9,8)=0,TRUE,SUMPRODUCT(($AR$9:$AY$9=8)*($AR$6:$AY$6&lt;&gt;"")*ISNUMBER(SEARCH($AR$6:$AY$6,$AK15)))&gt;0)),1,0)))</f>
        <v/>
      </c>
      <c r="AZ15">
        <f>IF($B$3="",IF(COUNTIF($A$4:$AI$4,"&lt;&gt;")=0,9,IF($AM15=1,9,10)),IF($AM15=0,10,IF(AND($AR$6&lt;&gt;"",ISNUMBER(SEARCH($AR$6,$AK15))),1,IF(AND($AS$6&lt;&gt;"",ISNUMBER(SEARCH($AS$6,$AK15))),2,IF(AND($AT$6&lt;&gt;"",ISNUMBER(SEARCH($AT$6,$AK15))),3,IF(AND($AU$6&lt;&gt;"",ISNUMBER(SEARCH($AU$6,$AK15))),4,IF(AND($AV$6&lt;&gt;"",ISNUMBER(SEARCH($AV$6,$AK15))),5,IF(AND($AW$6&lt;&gt;"",ISNUMBER(SEARCH($AW$6,$AK15))),6,IF(AND($AX$6&lt;&gt;"",ISNUMBER(SEARCH($AX$6,$AK15))),7,IF(AND($AY$6&lt;&gt;"",ISNUMBER(SEARCH($AY$6,$AK15))),8,0))))))))))</f>
        <v/>
      </c>
      <c r="BA15">
        <f>SUMPRODUCT(($AZ$5:$AZ$41=$AZ15)*($BC$5:$BC$41&lt;$BC15))+1</f>
        <v/>
      </c>
      <c r="BB15">
        <f>IF(INDEX($BF$4:$BF$13,$AZ15)=0,0,INDEX($BE$4:$BE$13,$AZ15)+$BA15-1)</f>
        <v/>
      </c>
      <c r="BC15" t="n">
        <v>14</v>
      </c>
      <c r="BH15">
        <f>IFERROR(MATCH(15,$BF$4:$BF$13,0),0)</f>
        <v/>
      </c>
      <c r="BI15">
        <f>IF(15=$BG$5,1,0)</f>
        <v/>
      </c>
      <c r="BJ15">
        <f>IF(OR($BH15&gt;0,$BI15=1,$BL15=1),0,IFERROR(INDEX($BC$5:$BC$41,MATCH(15,$BB$5:$BB$41,0)),0))</f>
        <v/>
      </c>
      <c r="BK15">
        <f>IF($BJ15&gt;0,IF(INDEX($AZ$5:$AZ$41,MATCH(15,$BB$5:$BB$41,0))=10,1,0),IF($BH15=10,1,0))</f>
        <v/>
      </c>
      <c r="BL15">
        <f>IF(15=$BG$4,1,0)</f>
        <v/>
      </c>
      <c r="BM1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5">
        <f>IF($B$4="",1,--(OR(SUMPRODUCT(--(TRIM(MID(SUBSTITUTE(SUBSTITUTE($B$4,"/",","),",",REPT(" ",99)),(ROW($1:$8)-1)*99+1,99))&lt;&gt;""),--ISNUMBER(SEARCH(TRIM(MID(SUBSTITUTE(SUBSTITUTE($B$4,"/",","),",",REPT(" ",99)),(ROW($1:$8)-1)*99+1,99)),IFERROR(('Final Calculation Sheet'!$F$14)&amp;"",""))))&gt;0,AND(ISNUMBER(SEARCH("blank",$B$4)),NOT(ISNUMBER(SEARCH("nonblank",$B$4))),IFERROR(('Final Calculation Sheet'!$F$14)&amp;"","")=""),AND(OR(ISNUMBER(SEARCH("nonblank",$B$4)),ISNUMBER(SEARCH("&lt;&gt;",$B$4))),IFERROR(('Final Calculation Sheet'!$F$14)&amp;"","")&lt;&gt;""),AND(TRIM($B$4)="",IFERROR(('Final Calculation Sheet'!$F$14)&amp;"","")=""))))</f>
        <v/>
      </c>
      <c r="BO15">
        <f>IF($C$4="",1,--(OR(SUMPRODUCT(--(TRIM(MID(SUBSTITUTE(SUBSTITUTE($C$4,"/",","),",",REPT(" ",99)),(ROW($1:$8)-1)*99+1,99))&lt;&gt;""),--ISNUMBER(SEARCH(TRIM(MID(SUBSTITUTE(SUBSTITUTE($C$4,"/",","),",",REPT(" ",99)),(ROW($1:$8)-1)*99+1,99)),IFERROR(('Final Calculation Sheet'!$G$14)&amp;"",""))))&gt;0,AND(ISNUMBER(SEARCH("blank",$C$4)),NOT(ISNUMBER(SEARCH("nonblank",$C$4))),IFERROR(('Final Calculation Sheet'!$G$14)&amp;"","")=""),AND(OR(ISNUMBER(SEARCH("nonblank",$C$4)),ISNUMBER(SEARCH("&lt;&gt;",$C$4))),IFERROR(('Final Calculation Sheet'!$G$14)&amp;"","")&lt;&gt;""),AND(TRIM($C$4)="",IFERROR(('Final Calculation Sheet'!$G$14)&amp;"","")=""))))</f>
        <v/>
      </c>
      <c r="BP15">
        <f>IF($D$4="",1,--(OR(SUMPRODUCT(--(TRIM(MID(SUBSTITUTE(SUBSTITUTE($D$4,"/",","),",",REPT(" ",99)),(ROW($1:$8)-1)*99+1,99))&lt;&gt;""),--ISNUMBER(SEARCH(TRIM(MID(SUBSTITUTE(SUBSTITUTE($D$4,"/",","),",",REPT(" ",99)),(ROW($1:$8)-1)*99+1,99)),IFERROR(('Final Calculation Sheet'!$B$14)&amp;"",""))))&gt;0,AND(ISNUMBER(SEARCH("blank",$D$4)),NOT(ISNUMBER(SEARCH("nonblank",$D$4))),IFERROR(('Final Calculation Sheet'!$B$14)&amp;"","")=""),AND(OR(ISNUMBER(SEARCH("nonblank",$D$4)),ISNUMBER(SEARCH("&lt;&gt;",$D$4))),IFERROR(('Final Calculation Sheet'!$B$14)&amp;"","")&lt;&gt;""),AND(TRIM($D$4)="",IFERROR(('Final Calculation Sheet'!$B$14)&amp;"","")=""))))</f>
        <v/>
      </c>
      <c r="BQ15">
        <f>IF($E$4="",1,--(OR(SUMPRODUCT(--(TRIM(MID(SUBSTITUTE(SUBSTITUTE($E$4,"/",","),",",REPT(" ",99)),(ROW($1:$8)-1)*99+1,99))&lt;&gt;""),--ISNUMBER(SEARCH(TRIM(MID(SUBSTITUTE(SUBSTITUTE($E$4,"/",","),",",REPT(" ",99)),(ROW($1:$8)-1)*99+1,99)),IFERROR(('Final Calculation Sheet'!$D$14)&amp;"",""))))&gt;0,AND(ISNUMBER(SEARCH("blank",$E$4)),NOT(ISNUMBER(SEARCH("nonblank",$E$4))),IFERROR(('Final Calculation Sheet'!$D$14)&amp;"","")=""),AND(OR(ISNUMBER(SEARCH("nonblank",$E$4)),ISNUMBER(SEARCH("&lt;&gt;",$E$4))),IFERROR(('Final Calculation Sheet'!$D$14)&amp;"","")&lt;&gt;""),AND(TRIM($E$4)="",IFERROR(('Final Calculation Sheet'!$D$14)&amp;"","")=""))))</f>
        <v/>
      </c>
      <c r="BR15">
        <f>IF($F$4="",1,--(OR(SUMPRODUCT(--(TRIM(MID(SUBSTITUTE(SUBSTITUTE($F$4,"/",","),",",REPT(" ",99)),(ROW($1:$8)-1)*99+1,99))&lt;&gt;""),--ISNUMBER(SEARCH(TRIM(MID(SUBSTITUTE(SUBSTITUTE($F$4,"/",","),",",REPT(" ",99)),(ROW($1:$8)-1)*99+1,99)),IFERROR(('Final Calculation Sheet'!$A$14)&amp;"",""))))&gt;0,AND(ISNUMBER(SEARCH("blank",$F$4)),NOT(ISNUMBER(SEARCH("nonblank",$F$4))),IFERROR(('Final Calculation Sheet'!$A$14)&amp;"","")=""),AND(OR(ISNUMBER(SEARCH("nonblank",$F$4)),ISNUMBER(SEARCH("&lt;&gt;",$F$4))),IFERROR(('Final Calculation Sheet'!$A$14)&amp;"","")&lt;&gt;""),AND(TRIM($F$4)="",IFERROR(('Final Calculation Sheet'!$A$14)&amp;"","")=""))))</f>
        <v/>
      </c>
      <c r="BS15">
        <f>IF($G$4="",1,--(OR(SUMPRODUCT(--(TRIM(MID(SUBSTITUTE(SUBSTITUTE($G$4,"/",","),",",REPT(" ",99)),(ROW($1:$8)-1)*99+1,99))&lt;&gt;""),--ISNUMBER(SEARCH(TRIM(MID(SUBSTITUTE(SUBSTITUTE($G$4,"/",","),",",REPT(" ",99)),(ROW($1:$8)-1)*99+1,99)),IFERROR(('Final Calculation Sheet'!$E$14)&amp;"",""))))&gt;0,AND(ISNUMBER(SEARCH("blank",$G$4)),NOT(ISNUMBER(SEARCH("nonblank",$G$4))),IFERROR(('Final Calculation Sheet'!$E$14)&amp;"","")=""),AND(OR(ISNUMBER(SEARCH("nonblank",$G$4)),ISNUMBER(SEARCH("&lt;&gt;",$G$4))),IFERROR(('Final Calculation Sheet'!$E$14)&amp;"","")&lt;&gt;""),AND(TRIM($G$4)="",IFERROR(('Final Calculation Sheet'!$E$14)&amp;"","")=""))))</f>
        <v/>
      </c>
      <c r="BT15">
        <f>IF($H$4="",1,--(OR(SUMPRODUCT(--(TRIM(MID(SUBSTITUTE(SUBSTITUTE($H$4,"/",","),",",REPT(" ",99)),(ROW($1:$8)-1)*99+1,99))&lt;&gt;""),--ISNUMBER(SEARCH(TRIM(MID(SUBSTITUTE(SUBSTITUTE($H$4,"/",","),",",REPT(" ",99)),(ROW($1:$8)-1)*99+1,99)),IFERROR(('Final Calculation Sheet'!$C$14)&amp;"",""))))&gt;0,AND(ISNUMBER(SEARCH("blank",$H$4)),NOT(ISNUMBER(SEARCH("nonblank",$H$4))),IFERROR(('Final Calculation Sheet'!$C$14)&amp;"","")=""),AND(OR(ISNUMBER(SEARCH("nonblank",$H$4)),ISNUMBER(SEARCH("&lt;&gt;",$H$4))),IFERROR(('Final Calculation Sheet'!$C$14)&amp;"","")&lt;&gt;""),AND(TRIM($H$4)="",IFERROR(('Final Calculation Sheet'!$C$14)&amp;"","")=""))))</f>
        <v/>
      </c>
      <c r="BU15">
        <f>IF($I$4="",1,--(OR(SUMPRODUCT(--(TRIM(MID(SUBSTITUTE(SUBSTITUTE($I$4,"/",","),",",REPT(" ",99)),(ROW($1:$8)-1)*99+1,99))&lt;&gt;""),--ISNUMBER(SEARCH(TRIM(MID(SUBSTITUTE(SUBSTITUTE($I$4,"/",","),",",REPT(" ",99)),(ROW($1:$8)-1)*99+1,99)),IFERROR(('Final Calculation Sheet'!$H$14)&amp;"",""))))&gt;0,AND(ISNUMBER(SEARCH("blank",$I$4)),NOT(ISNUMBER(SEARCH("nonblank",$I$4))),IFERROR(('Final Calculation Sheet'!$H$14)&amp;"","")=""),AND(OR(ISNUMBER(SEARCH("nonblank",$I$4)),ISNUMBER(SEARCH("&lt;&gt;",$I$4))),IFERROR(('Final Calculation Sheet'!$H$14)&amp;"","")&lt;&gt;""),AND(TRIM($I$4)="",IFERROR(('Final Calculation Sheet'!$H$14)&amp;"","")=""))))</f>
        <v/>
      </c>
      <c r="BV15">
        <f>IF($J$4="",1,--(OR(SUMPRODUCT(--(TRIM(MID(SUBSTITUTE(SUBSTITUTE($J$4,"/",","),",",REPT(" ",99)),(ROW($1:$8)-1)*99+1,99))&lt;&gt;""),--ISNUMBER(SEARCH(TRIM(MID(SUBSTITUTE(SUBSTITUTE($J$4,"/",","),",",REPT(" ",99)),(ROW($1:$8)-1)*99+1,99)),IFERROR(('Final Calculation Sheet'!$I$14)&amp;"",""))))&gt;0,AND(ISNUMBER(SEARCH("blank",$J$4)),NOT(ISNUMBER(SEARCH("nonblank",$J$4))),IFERROR(('Final Calculation Sheet'!$I$14)&amp;"","")=""),AND(OR(ISNUMBER(SEARCH("nonblank",$J$4)),ISNUMBER(SEARCH("&lt;&gt;",$J$4))),IFERROR(('Final Calculation Sheet'!$I$14)&amp;"","")&lt;&gt;""),AND(TRIM($J$4)="",IFERROR(('Final Calculation Sheet'!$I$14)&amp;"","")=""))))</f>
        <v/>
      </c>
      <c r="BW15">
        <f>IF($K$4="",1,--(OR(SUMPRODUCT(--(TRIM(MID(SUBSTITUTE(SUBSTITUTE($K$4,"/",","),",",REPT(" ",99)),(ROW($1:$8)-1)*99+1,99))&lt;&gt;""),--ISNUMBER(SEARCH(TRIM(MID(SUBSTITUTE(SUBSTITUTE($K$4,"/",","),",",REPT(" ",99)),(ROW($1:$8)-1)*99+1,99)),IFERROR(('Final Calculation Sheet'!$J$14)&amp;"",""))))&gt;0,AND(ISNUMBER(SEARCH("blank",$K$4)),NOT(ISNUMBER(SEARCH("nonblank",$K$4))),IFERROR(('Final Calculation Sheet'!$J$14)&amp;"","")=""),AND(OR(ISNUMBER(SEARCH("nonblank",$K$4)),ISNUMBER(SEARCH("&lt;&gt;",$K$4))),IFERROR(('Final Calculation Sheet'!$J$14)&amp;"","")&lt;&gt;""),AND(TRIM($K$4)="",IFERROR(('Final Calculation Sheet'!$J$14)&amp;"","")=""))))</f>
        <v/>
      </c>
      <c r="BX15">
        <f>IF($L$4="",1,--(OR(SUMPRODUCT(--(TRIM(MID(SUBSTITUTE(SUBSTITUTE($L$4,"/",","),",",REPT(" ",99)),(ROW($1:$8)-1)*99+1,99))&lt;&gt;""),--ISNUMBER(SEARCH(TRIM(MID(SUBSTITUTE(SUBSTITUTE($L$4,"/",","),",",REPT(" ",99)),(ROW($1:$8)-1)*99+1,99)),IFERROR(('Final Calculation Sheet'!$K$14)&amp;"",""))))&gt;0,AND(ISNUMBER(SEARCH("blank",$L$4)),NOT(ISNUMBER(SEARCH("nonblank",$L$4))),IFERROR(('Final Calculation Sheet'!$K$14)&amp;"","")=""),AND(OR(ISNUMBER(SEARCH("nonblank",$L$4)),ISNUMBER(SEARCH("&lt;&gt;",$L$4))),IFERROR(('Final Calculation Sheet'!$K$14)&amp;"","")&lt;&gt;""),AND(TRIM($L$4)="",IFERROR(('Final Calculation Sheet'!$K$14)&amp;"","")=""))))</f>
        <v/>
      </c>
      <c r="BY15">
        <f>IF($M$4="",1,--(OR(SUMPRODUCT(--(TRIM(MID(SUBSTITUTE(SUBSTITUTE($M$4,"/",","),",",REPT(" ",99)),(ROW($1:$8)-1)*99+1,99))&lt;&gt;""),--ISNUMBER(SEARCH(TRIM(MID(SUBSTITUTE(SUBSTITUTE($M$4,"/",","),",",REPT(" ",99)),(ROW($1:$8)-1)*99+1,99)),IFERROR(('Final Calculation Sheet'!$L$14)&amp;"",""))))&gt;0,AND(ISNUMBER(SEARCH("blank",$M$4)),NOT(ISNUMBER(SEARCH("nonblank",$M$4))),IFERROR(('Final Calculation Sheet'!$L$14)&amp;"","")=""),AND(OR(ISNUMBER(SEARCH("nonblank",$M$4)),ISNUMBER(SEARCH("&lt;&gt;",$M$4))),IFERROR(('Final Calculation Sheet'!$L$14)&amp;"","")&lt;&gt;""),AND(TRIM($M$4)="",IFERROR(('Final Calculation Sheet'!$L$14)&amp;"","")=""))))</f>
        <v/>
      </c>
      <c r="BZ15">
        <f>IF($N$4="",1,--(OR(SUMPRODUCT(--(TRIM(MID(SUBSTITUTE(SUBSTITUTE($N$4,"/",","),",",REPT(" ",99)),(ROW($1:$8)-1)*99+1,99))&lt;&gt;""),--ISNUMBER(SEARCH(TRIM(MID(SUBSTITUTE(SUBSTITUTE($N$4,"/",","),",",REPT(" ",99)),(ROW($1:$8)-1)*99+1,99)),IFERROR(('Final Calculation Sheet'!$M$14)&amp;"",""))))&gt;0,AND(ISNUMBER(SEARCH("blank",$N$4)),NOT(ISNUMBER(SEARCH("nonblank",$N$4))),IFERROR(('Final Calculation Sheet'!$M$14)&amp;"","")=""),AND(OR(ISNUMBER(SEARCH("nonblank",$N$4)),ISNUMBER(SEARCH("&lt;&gt;",$N$4))),IFERROR(('Final Calculation Sheet'!$M$14)&amp;"","")&lt;&gt;""),AND(TRIM($N$4)="",IFERROR(('Final Calculation Sheet'!$M$14)&amp;"","")=""))))</f>
        <v/>
      </c>
      <c r="CA15">
        <f>IF($O$4="",1,--(OR(SUMPRODUCT(--(TRIM(MID(SUBSTITUTE(SUBSTITUTE($O$4,"/",","),",",REPT(" ",99)),(ROW($1:$8)-1)*99+1,99))&lt;&gt;""),--ISNUMBER(SEARCH(TRIM(MID(SUBSTITUTE(SUBSTITUTE($O$4,"/",","),",",REPT(" ",99)),(ROW($1:$8)-1)*99+1,99)),IFERROR(('Final Calculation Sheet'!$N$14)&amp;"",""))))&gt;0,AND(ISNUMBER(SEARCH("blank",$O$4)),NOT(ISNUMBER(SEARCH("nonblank",$O$4))),IFERROR(('Final Calculation Sheet'!$N$14)&amp;"","")=""),AND(OR(ISNUMBER(SEARCH("nonblank",$O$4)),ISNUMBER(SEARCH("&lt;&gt;",$O$4))),IFERROR(('Final Calculation Sheet'!$N$14)&amp;"","")&lt;&gt;""),AND(TRIM($O$4)="",IFERROR(('Final Calculation Sheet'!$N$14)&amp;"","")=""))))</f>
        <v/>
      </c>
      <c r="CB15">
        <f>IF($P$4="",1,--(OR(SUMPRODUCT(--(TRIM(MID(SUBSTITUTE(SUBSTITUTE($P$4,"/",","),",",REPT(" ",99)),(ROW($1:$8)-1)*99+1,99))&lt;&gt;""),--ISNUMBER(SEARCH(TRIM(MID(SUBSTITUTE(SUBSTITUTE($P$4,"/",","),",",REPT(" ",99)),(ROW($1:$8)-1)*99+1,99)),IFERROR(('Final Calculation Sheet'!$O$14)&amp;"",""))))&gt;0,AND(ISNUMBER(SEARCH("blank",$P$4)),NOT(ISNUMBER(SEARCH("nonblank",$P$4))),IFERROR(('Final Calculation Sheet'!$O$14)&amp;"","")=""),AND(OR(ISNUMBER(SEARCH("nonblank",$P$4)),ISNUMBER(SEARCH("&lt;&gt;",$P$4))),IFERROR(('Final Calculation Sheet'!$O$14)&amp;"","")&lt;&gt;""),AND(TRIM($P$4)="",IFERROR(('Final Calculation Sheet'!$O$14)&amp;"","")=""))))</f>
        <v/>
      </c>
      <c r="CC15">
        <f>IF($Q$4="",1,--(OR(SUMPRODUCT(--(TRIM(MID(SUBSTITUTE(SUBSTITUTE($Q$4,"/",","),",",REPT(" ",99)),(ROW($1:$8)-1)*99+1,99))&lt;&gt;""),--ISNUMBER(SEARCH(TRIM(MID(SUBSTITUTE(SUBSTITUTE($Q$4,"/",","),",",REPT(" ",99)),(ROW($1:$8)-1)*99+1,99)),IFERROR(('Final Calculation Sheet'!$P$14)&amp;"",""))))&gt;0,AND(ISNUMBER(SEARCH("blank",$Q$4)),NOT(ISNUMBER(SEARCH("nonblank",$Q$4))),IFERROR(('Final Calculation Sheet'!$P$14)&amp;"","")=""),AND(OR(ISNUMBER(SEARCH("nonblank",$Q$4)),ISNUMBER(SEARCH("&lt;&gt;",$Q$4))),IFERROR(('Final Calculation Sheet'!$P$14)&amp;"","")&lt;&gt;""),AND(TRIM($Q$4)="",IFERROR(('Final Calculation Sheet'!$P$14)&amp;"","")=""))))</f>
        <v/>
      </c>
      <c r="CD15">
        <f>IF($R$4="",1,--(OR(SUMPRODUCT(--(TRIM(MID(SUBSTITUTE(SUBSTITUTE($R$4,"/",","),",",REPT(" ",99)),(ROW($1:$8)-1)*99+1,99))&lt;&gt;""),--ISNUMBER(SEARCH(TRIM(MID(SUBSTITUTE(SUBSTITUTE($R$4,"/",","),",",REPT(" ",99)),(ROW($1:$8)-1)*99+1,99)),IFERROR(('Final Calculation Sheet'!$Q$14)&amp;"",""))))&gt;0,AND(ISNUMBER(SEARCH("blank",$R$4)),NOT(ISNUMBER(SEARCH("nonblank",$R$4))),IFERROR(('Final Calculation Sheet'!$Q$14)&amp;"","")=""),AND(OR(ISNUMBER(SEARCH("nonblank",$R$4)),ISNUMBER(SEARCH("&lt;&gt;",$R$4))),IFERROR(('Final Calculation Sheet'!$Q$14)&amp;"","")&lt;&gt;""),AND(TRIM($R$4)="",IFERROR(('Final Calculation Sheet'!$Q$14)&amp;"","")=""))))</f>
        <v/>
      </c>
      <c r="CE15">
        <f>IF($S$4="",1,--(OR(SUMPRODUCT(--(TRIM(MID(SUBSTITUTE(SUBSTITUTE($S$4,"/",","),",",REPT(" ",99)),(ROW($1:$8)-1)*99+1,99))&lt;&gt;""),--ISNUMBER(SEARCH(TRIM(MID(SUBSTITUTE(SUBSTITUTE($S$4,"/",","),",",REPT(" ",99)),(ROW($1:$8)-1)*99+1,99)),IFERROR(('Final Calculation Sheet'!$R$14)&amp;"",""))))&gt;0,AND(ISNUMBER(SEARCH("blank",$S$4)),NOT(ISNUMBER(SEARCH("nonblank",$S$4))),IFERROR(('Final Calculation Sheet'!$R$14)&amp;"","")=""),AND(OR(ISNUMBER(SEARCH("nonblank",$S$4)),ISNUMBER(SEARCH("&lt;&gt;",$S$4))),IFERROR(('Final Calculation Sheet'!$R$14)&amp;"","")&lt;&gt;""),AND(TRIM($S$4)="",IFERROR(('Final Calculation Sheet'!$R$14)&amp;"","")=""))))</f>
        <v/>
      </c>
      <c r="CF15">
        <f>IF($T$4="",1,--(OR(SUMPRODUCT(--(TRIM(MID(SUBSTITUTE(SUBSTITUTE($T$4,"/",","),",",REPT(" ",99)),(ROW($1:$8)-1)*99+1,99))&lt;&gt;""),--ISNUMBER(SEARCH(TRIM(MID(SUBSTITUTE(SUBSTITUTE($T$4,"/",","),",",REPT(" ",99)),(ROW($1:$8)-1)*99+1,99)),IFERROR(('Final Calculation Sheet'!$S$14)&amp;"",""))))&gt;0,AND(ISNUMBER(SEARCH("blank",$T$4)),NOT(ISNUMBER(SEARCH("nonblank",$T$4))),IFERROR(('Final Calculation Sheet'!$S$14)&amp;"","")=""),AND(OR(ISNUMBER(SEARCH("nonblank",$T$4)),ISNUMBER(SEARCH("&lt;&gt;",$T$4))),IFERROR(('Final Calculation Sheet'!$S$14)&amp;"","")&lt;&gt;""),AND(TRIM($T$4)="",IFERROR(('Final Calculation Sheet'!$S$14)&amp;"","")=""))))</f>
        <v/>
      </c>
      <c r="CG15">
        <f>IF($U$4="",1,--(OR(SUMPRODUCT(--(TRIM(MID(SUBSTITUTE(SUBSTITUTE($U$4,"/",","),",",REPT(" ",99)),(ROW($1:$8)-1)*99+1,99))&lt;&gt;""),--ISNUMBER(SEARCH(TRIM(MID(SUBSTITUTE(SUBSTITUTE($U$4,"/",","),",",REPT(" ",99)),(ROW($1:$8)-1)*99+1,99)),IFERROR(('Final Calculation Sheet'!$T$14)&amp;"",""))))&gt;0,AND(ISNUMBER(SEARCH("blank",$U$4)),NOT(ISNUMBER(SEARCH("nonblank",$U$4))),IFERROR(('Final Calculation Sheet'!$T$14)&amp;"","")=""),AND(OR(ISNUMBER(SEARCH("nonblank",$U$4)),ISNUMBER(SEARCH("&lt;&gt;",$U$4))),IFERROR(('Final Calculation Sheet'!$T$14)&amp;"","")&lt;&gt;""),AND(TRIM($U$4)="",IFERROR(('Final Calculation Sheet'!$T$14)&amp;"","")=""))))</f>
        <v/>
      </c>
      <c r="CH15">
        <f>IF($V$4="",1,--(OR(SUMPRODUCT(--(TRIM(MID(SUBSTITUTE(SUBSTITUTE($V$4,"/",","),",",REPT(" ",99)),(ROW($1:$8)-1)*99+1,99))&lt;&gt;""),--ISNUMBER(SEARCH(TRIM(MID(SUBSTITUTE(SUBSTITUTE($V$4,"/",","),",",REPT(" ",99)),(ROW($1:$8)-1)*99+1,99)),IFERROR(('Final Calculation Sheet'!$U$14)&amp;"",""))))&gt;0,AND(ISNUMBER(SEARCH("blank",$V$4)),NOT(ISNUMBER(SEARCH("nonblank",$V$4))),IFERROR(('Final Calculation Sheet'!$U$14)&amp;"","")=""),AND(OR(ISNUMBER(SEARCH("nonblank",$V$4)),ISNUMBER(SEARCH("&lt;&gt;",$V$4))),IFERROR(('Final Calculation Sheet'!$U$14)&amp;"","")&lt;&gt;""),AND(TRIM($V$4)="",IFERROR(('Final Calculation Sheet'!$U$14)&amp;"","")=""))))</f>
        <v/>
      </c>
      <c r="CI15">
        <f>IF($W$4="",1,--(OR(SUMPRODUCT(--(TRIM(MID(SUBSTITUTE(SUBSTITUTE($W$4,"/",","),",",REPT(" ",99)),(ROW($1:$8)-1)*99+1,99))&lt;&gt;""),--ISNUMBER(SEARCH(TRIM(MID(SUBSTITUTE(SUBSTITUTE($W$4,"/",","),",",REPT(" ",99)),(ROW($1:$8)-1)*99+1,99)),IFERROR(('Final Calculation Sheet'!$V$14)&amp;"",""))))&gt;0,AND(ISNUMBER(SEARCH("blank",$W$4)),NOT(ISNUMBER(SEARCH("nonblank",$W$4))),IFERROR(('Final Calculation Sheet'!$V$14)&amp;"","")=""),AND(OR(ISNUMBER(SEARCH("nonblank",$W$4)),ISNUMBER(SEARCH("&lt;&gt;",$W$4))),IFERROR(('Final Calculation Sheet'!$V$14)&amp;"","")&lt;&gt;""),AND(TRIM($W$4)="",IFERROR(('Final Calculation Sheet'!$V$14)&amp;"","")=""))))</f>
        <v/>
      </c>
      <c r="CJ15">
        <f>IF($X$4="",1,--(OR(SUMPRODUCT(--(TRIM(MID(SUBSTITUTE(SUBSTITUTE($X$4,"/",","),",",REPT(" ",99)),(ROW($1:$8)-1)*99+1,99))&lt;&gt;""),--ISNUMBER(SEARCH(TRIM(MID(SUBSTITUTE(SUBSTITUTE($X$4,"/",","),",",REPT(" ",99)),(ROW($1:$8)-1)*99+1,99)),IFERROR(('Final Calculation Sheet'!$W$14)&amp;"",""))))&gt;0,AND(ISNUMBER(SEARCH("blank",$X$4)),NOT(ISNUMBER(SEARCH("nonblank",$X$4))),IFERROR(('Final Calculation Sheet'!$W$14)&amp;"","")=""),AND(OR(ISNUMBER(SEARCH("nonblank",$X$4)),ISNUMBER(SEARCH("&lt;&gt;",$X$4))),IFERROR(('Final Calculation Sheet'!$W$14)&amp;"","")&lt;&gt;""),AND(TRIM($X$4)="",IFERROR(('Final Calculation Sheet'!$W$14)&amp;"","")=""))))</f>
        <v/>
      </c>
      <c r="CK15">
        <f>IF($Y$4="",1,--(OR(SUMPRODUCT(--(TRIM(MID(SUBSTITUTE(SUBSTITUTE($Y$4,"/",","),",",REPT(" ",99)),(ROW($1:$8)-1)*99+1,99))&lt;&gt;""),--ISNUMBER(SEARCH(TRIM(MID(SUBSTITUTE(SUBSTITUTE($Y$4,"/",","),",",REPT(" ",99)),(ROW($1:$8)-1)*99+1,99)),IFERROR(('Final Calculation Sheet'!$X$14)&amp;"",""))))&gt;0,AND(ISNUMBER(SEARCH("blank",$Y$4)),NOT(ISNUMBER(SEARCH("nonblank",$Y$4))),IFERROR(('Final Calculation Sheet'!$X$14)&amp;"","")=""),AND(OR(ISNUMBER(SEARCH("nonblank",$Y$4)),ISNUMBER(SEARCH("&lt;&gt;",$Y$4))),IFERROR(('Final Calculation Sheet'!$X$14)&amp;"","")&lt;&gt;""),AND(TRIM($Y$4)="",IFERROR(('Final Calculation Sheet'!$X$14)&amp;"","")=""))))</f>
        <v/>
      </c>
      <c r="CL15">
        <f>IF($Z$4="",1,--(OR(SUMPRODUCT(--(TRIM(MID(SUBSTITUTE(SUBSTITUTE($Z$4,"/",","),",",REPT(" ",99)),(ROW($1:$8)-1)*99+1,99))&lt;&gt;""),--ISNUMBER(SEARCH(TRIM(MID(SUBSTITUTE(SUBSTITUTE($Z$4,"/",","),",",REPT(" ",99)),(ROW($1:$8)-1)*99+1,99)),IFERROR(('Final Calculation Sheet'!$Y$14)&amp;"",""))))&gt;0,AND(ISNUMBER(SEARCH("blank",$Z$4)),NOT(ISNUMBER(SEARCH("nonblank",$Z$4))),IFERROR(('Final Calculation Sheet'!$Y$14)&amp;"","")=""),AND(OR(ISNUMBER(SEARCH("nonblank",$Z$4)),ISNUMBER(SEARCH("&lt;&gt;",$Z$4))),IFERROR(('Final Calculation Sheet'!$Y$14)&amp;"","")&lt;&gt;""),AND(TRIM($Z$4)="",IFERROR(('Final Calculation Sheet'!$Y$14)&amp;"","")=""))))</f>
        <v/>
      </c>
      <c r="CM15">
        <f>IF($AA$4="",1,--(OR(SUMPRODUCT(--(TRIM(MID(SUBSTITUTE(SUBSTITUTE($AA$4,"/",","),",",REPT(" ",99)),(ROW($1:$8)-1)*99+1,99))&lt;&gt;""),--ISNUMBER(SEARCH(TRIM(MID(SUBSTITUTE(SUBSTITUTE($AA$4,"/",","),",",REPT(" ",99)),(ROW($1:$8)-1)*99+1,99)),IFERROR(('Final Calculation Sheet'!$Z$14)&amp;"",""))))&gt;0,AND(ISNUMBER(SEARCH("blank",$AA$4)),NOT(ISNUMBER(SEARCH("nonblank",$AA$4))),IFERROR(('Final Calculation Sheet'!$Z$14)&amp;"","")=""),AND(OR(ISNUMBER(SEARCH("nonblank",$AA$4)),ISNUMBER(SEARCH("&lt;&gt;",$AA$4))),IFERROR(('Final Calculation Sheet'!$Z$14)&amp;"","")&lt;&gt;""),AND(TRIM($AA$4)="",IFERROR(('Final Calculation Sheet'!$Z$14)&amp;"","")=""))))</f>
        <v/>
      </c>
      <c r="CN15">
        <f>IF($AB$4="",1,--(OR(SUMPRODUCT(--(TRIM(MID(SUBSTITUTE(SUBSTITUTE($AB$4,"/",","),",",REPT(" ",99)),(ROW($1:$8)-1)*99+1,99))&lt;&gt;""),--ISNUMBER(SEARCH(TRIM(MID(SUBSTITUTE(SUBSTITUTE($AB$4,"/",","),",",REPT(" ",99)),(ROW($1:$8)-1)*99+1,99)),IFERROR(('Final Calculation Sheet'!$AA$14)&amp;"",""))))&gt;0,AND(ISNUMBER(SEARCH("blank",$AB$4)),NOT(ISNUMBER(SEARCH("nonblank",$AB$4))),IFERROR(('Final Calculation Sheet'!$AA$14)&amp;"","")=""),AND(OR(ISNUMBER(SEARCH("nonblank",$AB$4)),ISNUMBER(SEARCH("&lt;&gt;",$AB$4))),IFERROR(('Final Calculation Sheet'!$AA$14)&amp;"","")&lt;&gt;""),AND(TRIM($AB$4)="",IFERROR(('Final Calculation Sheet'!$AA$14)&amp;"","")=""))))</f>
        <v/>
      </c>
      <c r="CO15">
        <f>IF($AC$4="",1,--(OR(SUMPRODUCT(--(TRIM(MID(SUBSTITUTE(SUBSTITUTE($AC$4,"/",","),",",REPT(" ",99)),(ROW($1:$8)-1)*99+1,99))&lt;&gt;""),--ISNUMBER(SEARCH(TRIM(MID(SUBSTITUTE(SUBSTITUTE($AC$4,"/",","),",",REPT(" ",99)),(ROW($1:$8)-1)*99+1,99)),IFERROR(('Final Calculation Sheet'!$AB$14)&amp;"",""))))&gt;0,AND(ISNUMBER(SEARCH("blank",$AC$4)),NOT(ISNUMBER(SEARCH("nonblank",$AC$4))),IFERROR(('Final Calculation Sheet'!$AB$14)&amp;"","")=""),AND(OR(ISNUMBER(SEARCH("nonblank",$AC$4)),ISNUMBER(SEARCH("&lt;&gt;",$AC$4))),IFERROR(('Final Calculation Sheet'!$AB$14)&amp;"","")&lt;&gt;""),AND(TRIM($AC$4)="",IFERROR(('Final Calculation Sheet'!$AB$14)&amp;"","")=""))))</f>
        <v/>
      </c>
      <c r="CP15">
        <f>IF($AD$4="",1,--(OR(SUMPRODUCT(--(TRIM(MID(SUBSTITUTE(SUBSTITUTE($AD$4,"/",","),",",REPT(" ",99)),(ROW($1:$8)-1)*99+1,99))&lt;&gt;""),--ISNUMBER(SEARCH(TRIM(MID(SUBSTITUTE(SUBSTITUTE($AD$4,"/",","),",",REPT(" ",99)),(ROW($1:$8)-1)*99+1,99)),IFERROR(('Final Calculation Sheet'!$AC$14)&amp;"",""))))&gt;0,AND(ISNUMBER(SEARCH("blank",$AD$4)),NOT(ISNUMBER(SEARCH("nonblank",$AD$4))),IFERROR(('Final Calculation Sheet'!$AC$14)&amp;"","")=""),AND(OR(ISNUMBER(SEARCH("nonblank",$AD$4)),ISNUMBER(SEARCH("&lt;&gt;",$AD$4))),IFERROR(('Final Calculation Sheet'!$AC$14)&amp;"","")&lt;&gt;""),AND(TRIM($AD$4)="",IFERROR(('Final Calculation Sheet'!$AC$14)&amp;"","")=""))))</f>
        <v/>
      </c>
      <c r="CQ15">
        <f>IF($AE$4="",1,--(OR(SUMPRODUCT(--(TRIM(MID(SUBSTITUTE(SUBSTITUTE($AE$4,"/",","),",",REPT(" ",99)),(ROW($1:$8)-1)*99+1,99))&lt;&gt;""),--ISNUMBER(SEARCH(TRIM(MID(SUBSTITUTE(SUBSTITUTE($AE$4,"/",","),",",REPT(" ",99)),(ROW($1:$8)-1)*99+1,99)),IFERROR(('Final Calculation Sheet'!$AD$14)&amp;"",""))))&gt;0,AND(ISNUMBER(SEARCH("blank",$AE$4)),NOT(ISNUMBER(SEARCH("nonblank",$AE$4))),IFERROR(('Final Calculation Sheet'!$AD$14)&amp;"","")=""),AND(OR(ISNUMBER(SEARCH("nonblank",$AE$4)),ISNUMBER(SEARCH("&lt;&gt;",$AE$4))),IFERROR(('Final Calculation Sheet'!$AD$14)&amp;"","")&lt;&gt;""),AND(TRIM($AE$4)="",IFERROR(('Final Calculation Sheet'!$AD$14)&amp;"","")=""))))</f>
        <v/>
      </c>
      <c r="CR15">
        <f>IF($AF$4="",1,--(OR(SUMPRODUCT(--(TRIM(MID(SUBSTITUTE(SUBSTITUTE($AF$4,"/",","),",",REPT(" ",99)),(ROW($1:$8)-1)*99+1,99))&lt;&gt;""),--ISNUMBER(SEARCH(TRIM(MID(SUBSTITUTE(SUBSTITUTE($AF$4,"/",","),",",REPT(" ",99)),(ROW($1:$8)-1)*99+1,99)),IFERROR(('Final Calculation Sheet'!$AE$14)&amp;"",""))))&gt;0,AND(ISNUMBER(SEARCH("blank",$AF$4)),NOT(ISNUMBER(SEARCH("nonblank",$AF$4))),IFERROR(('Final Calculation Sheet'!$AE$14)&amp;"","")=""),AND(OR(ISNUMBER(SEARCH("nonblank",$AF$4)),ISNUMBER(SEARCH("&lt;&gt;",$AF$4))),IFERROR(('Final Calculation Sheet'!$AE$14)&amp;"","")&lt;&gt;""),AND(TRIM($AF$4)="",IFERROR(('Final Calculation Sheet'!$AE$14)&amp;"","")=""))))</f>
        <v/>
      </c>
      <c r="CS15">
        <f>IF($AG$4="",1,--(OR(SUMPRODUCT(--(TRIM(MID(SUBSTITUTE(SUBSTITUTE($AG$4,"/",","),",",REPT(" ",99)),(ROW($1:$8)-1)*99+1,99))&lt;&gt;""),--ISNUMBER(SEARCH(TRIM(MID(SUBSTITUTE(SUBSTITUTE($AG$4,"/",","),",",REPT(" ",99)),(ROW($1:$8)-1)*99+1,99)),IFERROR(('Final Calculation Sheet'!$AF$14)&amp;"",""))))&gt;0,AND(ISNUMBER(SEARCH("blank",$AG$4)),NOT(ISNUMBER(SEARCH("nonblank",$AG$4))),IFERROR(('Final Calculation Sheet'!$AF$14)&amp;"","")=""),AND(OR(ISNUMBER(SEARCH("nonblank",$AG$4)),ISNUMBER(SEARCH("&lt;&gt;",$AG$4))),IFERROR(('Final Calculation Sheet'!$AF$14)&amp;"","")&lt;&gt;""),AND(TRIM($AG$4)="",IFERROR(('Final Calculation Sheet'!$AF$14)&amp;"","")=""))))</f>
        <v/>
      </c>
      <c r="CT15">
        <f>IF($AH$4="",1,--(OR(SUMPRODUCT(--(TRIM(MID(SUBSTITUTE(SUBSTITUTE($AH$4,"/",","),",",REPT(" ",99)),(ROW($1:$8)-1)*99+1,99))&lt;&gt;""),--ISNUMBER(SEARCH(TRIM(MID(SUBSTITUTE(SUBSTITUTE($AH$4,"/",","),",",REPT(" ",99)),(ROW($1:$8)-1)*99+1,99)),IFERROR(('Final Calculation Sheet'!$AG$14)&amp;"",""))))&gt;0,AND(ISNUMBER(SEARCH("blank",$AH$4)),NOT(ISNUMBER(SEARCH("nonblank",$AH$4))),IFERROR(('Final Calculation Sheet'!$AG$14)&amp;"","")=""),AND(OR(ISNUMBER(SEARCH("nonblank",$AH$4)),ISNUMBER(SEARCH("&lt;&gt;",$AH$4))),IFERROR(('Final Calculation Sheet'!$AG$14)&amp;"","")&lt;&gt;""),AND(TRIM($AH$4)="",IFERROR(('Final Calculation Sheet'!$AG$14)&amp;"","")=""))))</f>
        <v/>
      </c>
      <c r="CU15">
        <f>IF($AI$4="",1,--(OR(SUMPRODUCT(--(TRIM(MID(SUBSTITUTE(SUBSTITUTE($AI$4,"/",","),",",REPT(" ",99)),(ROW($1:$8)-1)*99+1,99))&lt;&gt;""),--ISNUMBER(SEARCH(TRIM(MID(SUBSTITUTE(SUBSTITUTE($AI$4,"/",","),",",REPT(" ",99)),(ROW($1:$8)-1)*99+1,99)),IFERROR((IF('Final Calculation Sheet'!$AD$14&lt;=0,"SETTLED","OUTSTANDING"))&amp;"",""))))&gt;0,AND(ISNUMBER(SEARCH("blank",$AI$4)),NOT(ISNUMBER(SEARCH("nonblank",$AI$4))),IFERROR((IF('Final Calculation Sheet'!$AD$14&lt;=0,"SETTLED","OUTSTANDING"))&amp;"","")=""),AND(OR(ISNUMBER(SEARCH("nonblank",$AI$4)),ISNUMBER(SEARCH("&lt;&gt;",$AI$4))),IFERROR((IF('Final Calculation Sheet'!$AD$14&lt;=0,"SETTLED","OUTSTANDING"))&amp;"","")&lt;&gt;""),AND(TRIM($AI$4)="",IFERROR((IF('Final Calculation Sheet'!$AD$14&lt;=0,"SETTLED","OUTSTANDING"))&amp;"","")=""))))</f>
        <v/>
      </c>
    </row>
    <row r="16" ht="15" customHeight="1" s="77">
      <c r="A16" s="67">
        <f>IF($BJ15&gt;0,INDEX($BA$5:$BA$41,MATCH(15,$BB$5:$BB$41,0)),IF(OR($BI15=1,$BL15=1,$BH15&gt;0),"∑",""))</f>
        <v/>
      </c>
      <c r="B16" s="68">
        <f>IF($BJ15&gt;0,IF(INDEX('Final Calculation Sheet'!$F$4:$F$40,$BJ15-3)="","",INDEX('Final Calculation Sheet'!$F$4:$F$40,$BJ15-3)),"")</f>
        <v/>
      </c>
      <c r="C16" s="68">
        <f>IF($BJ15&gt;0,IF(INDEX('Final Calculation Sheet'!$G$4:$G$40,$BJ15-3)="","",INDEX('Final Calculation Sheet'!$G$4:$G$40,$BJ15-3)),IF(OR($BI15=1,$BL15=1,$BH15&gt;0),IF($BI15=1,37,IF($BL15=1,37-INDEX($BD$4:$BD$13,10),INDEX($BD$4:$BD$13,$BH15)))&amp;" lot(s)",""))</f>
        <v/>
      </c>
      <c r="D16" s="69">
        <f>IF($BJ15&gt;0,IF(INDEX('Final Calculation Sheet'!$B$4:$B$40,$BJ15-3)="","",INDEX('Final Calculation Sheet'!$B$4:$B$40,$BJ15-3)),IF(OR($BI15=1,$BL15=1,$BH15&gt;0),IF($BI15=1,"GRAND TOTAL  —  matching + remaining",IF($BL15=1,"TOTAL MATCHED  —  every group together",IF($BH15=10,"REMAINING  —  did not match the search",IF($BH15=9,IF(COUNTIF($A$4:$AI$4,"&lt;&gt;")&gt;0,"FILTERED LOTS  —  column fields","ALL LOTS  —  nothing typed in the box"),"GROUP "&amp;$BH15&amp;" TOTAL  —  lots matching  "&amp;INDEX($AR$6:$AY$6,$BH15))))),""))</f>
        <v/>
      </c>
      <c r="E16" s="69">
        <f>IF($BJ15&gt;0,IF(INDEX('Final Calculation Sheet'!$D$4:$D$40,$BJ15-3)="","",INDEX('Final Calculation Sheet'!$D$4:$D$40,$BJ15-3)),IF(OR($BI15=1,$BL15=1,$BH15&gt;0),"–",""))</f>
        <v/>
      </c>
      <c r="F16" s="69">
        <f>IF($BJ15&gt;0,IF(INDEX('Final Calculation Sheet'!$A$4:$A$40,$BJ15-3)="","",INDEX('Final Calculation Sheet'!$A$4:$A$40,$BJ15-3)),IF(OR($BI15=1,$BL15=1,$BH15&gt;0),IF($BI15=1,SUM('Final Calculation Sheet'!$A$4:$A$40),IF($BL15=1,SUM('Final Calculation Sheet'!$A$4:$A$40)-SUMIFS('Final Calculation Sheet'!$A$4:$A$40,$AZ$5:$AZ$41,10),SUMIFS('Final Calculation Sheet'!$A$4:$A$40,$AZ$5:$AZ$41,$BH15))),""))</f>
        <v/>
      </c>
      <c r="G16" s="69">
        <f>IF($BJ15&gt;0,IF(INDEX('Final Calculation Sheet'!$E$4:$E$40,$BJ15-3)="","",INDEX('Final Calculation Sheet'!$E$4:$E$40,$BJ15-3)),IF(OR($BI15=1,$BL15=1,$BH15&gt;0),"–",""))</f>
        <v/>
      </c>
      <c r="H16" s="70">
        <f>IF($BJ15&gt;0,IF(INDEX('Final Calculation Sheet'!$C$4:$C$40,$BJ15-3)="","",INDEX('Final Calculation Sheet'!$C$4:$C$40,$BJ15-3)),IF(OR($BI15=1,$BL15=1,$BH15&gt;0),"–",""))</f>
        <v/>
      </c>
      <c r="I16" s="70">
        <f>IF($BJ15&gt;0,IF(INDEX('Final Calculation Sheet'!$H$4:$H$40,$BJ15-3)="","",INDEX('Final Calculation Sheet'!$H$4:$H$40,$BJ15-3)),IF(OR($BI15=1,$BL15=1,$BH15&gt;0),IF($BI15=1,SUM('Final Calculation Sheet'!$H$4:$H$40),IF($BL15=1,SUM('Final Calculation Sheet'!$H$4:$H$40)-SUMIFS('Final Calculation Sheet'!$H$4:$H$40,$AZ$5:$AZ$41,10),SUMIFS('Final Calculation Sheet'!$H$4:$H$40,$AZ$5:$AZ$41,$BH15))),""))</f>
        <v/>
      </c>
      <c r="J16" s="70">
        <f>IF($BJ15&gt;0,IF(INDEX('Final Calculation Sheet'!$I$4:$I$40,$BJ15-3)="","",INDEX('Final Calculation Sheet'!$I$4:$I$40,$BJ15-3)),IF(OR($BI15=1,$BL15=1,$BH15&gt;0),IF($BI15=1,SUM('Final Calculation Sheet'!$I$4:$I$40),IF($BL15=1,SUM('Final Calculation Sheet'!$I$4:$I$40)-SUMIFS('Final Calculation Sheet'!$I$4:$I$40,$AZ$5:$AZ$41,10),SUMIFS('Final Calculation Sheet'!$I$4:$I$40,$AZ$5:$AZ$41,$BH15))),""))</f>
        <v/>
      </c>
      <c r="K16" s="70">
        <f>IF($BJ15&gt;0,IF(INDEX('Final Calculation Sheet'!$J$4:$J$40,$BJ15-3)="","",INDEX('Final Calculation Sheet'!$J$4:$J$40,$BJ15-3)),IF(OR($BI15=1,$BL15=1,$BH15&gt;0),IF($BI15=1,SUM('Final Calculation Sheet'!$J$4:$J$40),IF($BL15=1,SUM('Final Calculation Sheet'!$J$4:$J$40)-SUMIFS('Final Calculation Sheet'!$J$4:$J$40,$AZ$5:$AZ$41,10),SUMIFS('Final Calculation Sheet'!$J$4:$J$40,$AZ$5:$AZ$41,$BH15))),""))</f>
        <v/>
      </c>
      <c r="L16" s="70">
        <f>IF($BJ15&gt;0,IF(INDEX('Final Calculation Sheet'!$K$4:$K$40,$BJ15-3)="","",INDEX('Final Calculation Sheet'!$K$4:$K$40,$BJ15-3)),IF(OR($BI15=1,$BL15=1,$BH15&gt;0),IF($BI15=1,SUM('Final Calculation Sheet'!$K$4:$K$40),IF($BL15=1,SUM('Final Calculation Sheet'!$K$4:$K$40)-SUMIFS('Final Calculation Sheet'!$K$4:$K$40,$AZ$5:$AZ$41,10),SUMIFS('Final Calculation Sheet'!$K$4:$K$40,$AZ$5:$AZ$41,$BH15))),""))</f>
        <v/>
      </c>
      <c r="M16" s="70">
        <f>IF($BJ15&gt;0,IF(INDEX('Final Calculation Sheet'!$L$4:$L$40,$BJ15-3)="","",INDEX('Final Calculation Sheet'!$L$4:$L$40,$BJ15-3)),IF(OR($BI15=1,$BL15=1,$BH15&gt;0),IF($BI15=1,SUM('Final Calculation Sheet'!$L$4:$L$40),IF($BL15=1,SUM('Final Calculation Sheet'!$L$4:$L$40)-SUMIFS('Final Calculation Sheet'!$L$4:$L$40,$AZ$5:$AZ$41,10),SUMIFS('Final Calculation Sheet'!$L$4:$L$40,$AZ$5:$AZ$41,$BH15))),""))</f>
        <v/>
      </c>
      <c r="N16" s="70">
        <f>IF($BJ15&gt;0,IF(INDEX('Final Calculation Sheet'!$M$4:$M$40,$BJ15-3)="","",INDEX('Final Calculation Sheet'!$M$4:$M$40,$BJ15-3)),IF(OR($BI15=1,$BL15=1,$BH15&gt;0),IF($BI15=1,SUM('Final Calculation Sheet'!$M$4:$M$40),IF($BL15=1,SUM('Final Calculation Sheet'!$M$4:$M$40)-SUMIFS('Final Calculation Sheet'!$M$4:$M$40,$AZ$5:$AZ$41,10),SUMIFS('Final Calculation Sheet'!$M$4:$M$40,$AZ$5:$AZ$41,$BH15))),""))</f>
        <v/>
      </c>
      <c r="O16" s="71">
        <f>IF($BJ15&gt;0,IF(INDEX('Final Calculation Sheet'!$N$4:$N$40,$BJ15-3)="","",INDEX('Final Calculation Sheet'!$N$4:$N$40,$BJ15-3)),IF(OR($BI15=1,$BL15=1,$BH15&gt;0),IF($BI15=1,SUM('Final Calculation Sheet'!$N$4:$N$40),IF($BL15=1,SUM('Final Calculation Sheet'!$N$4:$N$40)-SUMIFS('Final Calculation Sheet'!$N$4:$N$40,$AZ$5:$AZ$41,10),SUMIFS('Final Calculation Sheet'!$N$4:$N$40,$AZ$5:$AZ$41,$BH15))),""))</f>
        <v/>
      </c>
      <c r="P16" s="70">
        <f>IF($BJ15&gt;0,IF(INDEX('Final Calculation Sheet'!$O$4:$O$40,$BJ15-3)="","",INDEX('Final Calculation Sheet'!$O$4:$O$40,$BJ15-3)),IF(OR($BI15=1,$BL15=1,$BH15&gt;0),IF($BI15=1,SUM('Final Calculation Sheet'!$O$4:$O$40),IF($BL15=1,SUM('Final Calculation Sheet'!$O$4:$O$40)-SUMIFS('Final Calculation Sheet'!$O$4:$O$40,$AZ$5:$AZ$41,10),SUMIFS('Final Calculation Sheet'!$O$4:$O$40,$AZ$5:$AZ$41,$BH15))),""))</f>
        <v/>
      </c>
      <c r="Q16" s="70">
        <f>IF($BJ15&gt;0,IF(INDEX('Final Calculation Sheet'!$P$4:$P$40,$BJ15-3)="","",INDEX('Final Calculation Sheet'!$P$4:$P$40,$BJ15-3)),IF(OR($BI15=1,$BL15=1,$BH15&gt;0),IF($BI15=1,SUM('Final Calculation Sheet'!$P$4:$P$40),IF($BL15=1,SUM('Final Calculation Sheet'!$P$4:$P$40)-SUMIFS('Final Calculation Sheet'!$P$4:$P$40,$AZ$5:$AZ$41,10),SUMIFS('Final Calculation Sheet'!$P$4:$P$40,$AZ$5:$AZ$41,$BH15))),""))</f>
        <v/>
      </c>
      <c r="R16" s="72">
        <f>IF($BJ15&gt;0,IF(INDEX('Final Calculation Sheet'!$Q$4:$Q$40,$BJ15-3)="","",INDEX('Final Calculation Sheet'!$Q$4:$Q$40,$BJ15-3)),IF(OR($BI15=1,$BL15=1,$BH15&gt;0),"–",""))</f>
        <v/>
      </c>
      <c r="S16" s="70">
        <f>IF($BJ15&gt;0,IF(INDEX('Final Calculation Sheet'!$R$4:$R$40,$BJ15-3)="","",INDEX('Final Calculation Sheet'!$R$4:$R$40,$BJ15-3)),IF(OR($BI15=1,$BL15=1,$BH15&gt;0),IF($BI15=1,SUM('Final Calculation Sheet'!$R$4:$R$40),IF($BL15=1,SUM('Final Calculation Sheet'!$R$4:$R$40)-SUMIFS('Final Calculation Sheet'!$R$4:$R$40,$AZ$5:$AZ$41,10),SUMIFS('Final Calculation Sheet'!$R$4:$R$40,$AZ$5:$AZ$41,$BH15))),""))</f>
        <v/>
      </c>
      <c r="T16" s="70">
        <f>IF($BJ15&gt;0,IF(INDEX('Final Calculation Sheet'!$S$4:$S$40,$BJ15-3)="","",INDEX('Final Calculation Sheet'!$S$4:$S$40,$BJ15-3)),IF(OR($BI15=1,$BL15=1,$BH15&gt;0),IF($BI15=1,SUM('Final Calculation Sheet'!$S$4:$S$40),IF($BL15=1,SUM('Final Calculation Sheet'!$S$4:$S$40)-SUMIFS('Final Calculation Sheet'!$S$4:$S$40,$AZ$5:$AZ$41,10),SUMIFS('Final Calculation Sheet'!$S$4:$S$40,$AZ$5:$AZ$41,$BH15))),""))</f>
        <v/>
      </c>
      <c r="U16" s="70">
        <f>IF($BJ15&gt;0,IF(INDEX('Final Calculation Sheet'!$T$4:$T$40,$BJ15-3)="","",INDEX('Final Calculation Sheet'!$T$4:$T$40,$BJ15-3)),IF(OR($BI15=1,$BL15=1,$BH15&gt;0),IF($BI15=1,SUM('Final Calculation Sheet'!$T$4:$T$40),IF($BL15=1,SUM('Final Calculation Sheet'!$T$4:$T$40)-SUMIFS('Final Calculation Sheet'!$T$4:$T$40,$AZ$5:$AZ$41,10),SUMIFS('Final Calculation Sheet'!$T$4:$T$40,$AZ$5:$AZ$41,$BH15))),""))</f>
        <v/>
      </c>
      <c r="V16" s="73">
        <f>IF($BJ15&gt;0,IF(INDEX('Final Calculation Sheet'!$U$4:$U$40,$BJ15-3)="","",INDEX('Final Calculation Sheet'!$U$4:$U$40,$BJ15-3)),IF(OR($BI15=1,$BL15=1,$BH15&gt;0),IF($BI15=1,SUM('Final Calculation Sheet'!$U$4:$U$40),IF($BL15=1,SUM('Final Calculation Sheet'!$U$4:$U$40)-SUMIFS('Final Calculation Sheet'!$U$4:$U$40,$AZ$5:$AZ$41,10),SUMIFS('Final Calculation Sheet'!$U$4:$U$40,$AZ$5:$AZ$41,$BH15))),""))</f>
        <v/>
      </c>
      <c r="W16" s="70">
        <f>IF($BJ15&gt;0,IF(INDEX('Final Calculation Sheet'!$V$4:$V$40,$BJ15-3)="","",INDEX('Final Calculation Sheet'!$V$4:$V$40,$BJ15-3)),IF(OR($BI15=1,$BL15=1,$BH15&gt;0),"–",""))</f>
        <v/>
      </c>
      <c r="X16" s="70">
        <f>IF($BJ15&gt;0,IF(INDEX('Final Calculation Sheet'!$W$4:$W$40,$BJ15-3)="","",INDEX('Final Calculation Sheet'!$W$4:$W$40,$BJ15-3)),IF(OR($BI15=1,$BL15=1,$BH15&gt;0),IF($BI15=1,SUM('Final Calculation Sheet'!$W$4:$W$40),IF($BL15=1,SUM('Final Calculation Sheet'!$W$4:$W$40)-SUMIFS('Final Calculation Sheet'!$W$4:$W$40,$AZ$5:$AZ$41,10),SUMIFS('Final Calculation Sheet'!$W$4:$W$40,$AZ$5:$AZ$41,$BH15))),""))</f>
        <v/>
      </c>
      <c r="Y16" s="70">
        <f>IF($BJ15&gt;0,IF(INDEX('Final Calculation Sheet'!$X$4:$X$40,$BJ15-3)="","",INDEX('Final Calculation Sheet'!$X$4:$X$40,$BJ15-3)),IF(OR($BI15=1,$BL15=1,$BH15&gt;0),IF($BI15=1,SUM('Final Calculation Sheet'!$X$4:$X$40),IF($BL15=1,SUM('Final Calculation Sheet'!$X$4:$X$40)-SUMIFS('Final Calculation Sheet'!$X$4:$X$40,$AZ$5:$AZ$41,10),SUMIFS('Final Calculation Sheet'!$X$4:$X$40,$AZ$5:$AZ$41,$BH15))),""))</f>
        <v/>
      </c>
      <c r="Z16" s="70">
        <f>IF($BJ15&gt;0,IF(INDEX('Final Calculation Sheet'!$Y$4:$Y$40,$BJ15-3)="","",INDEX('Final Calculation Sheet'!$Y$4:$Y$40,$BJ15-3)),IF(OR($BI15=1,$BL15=1,$BH15&gt;0),"–",""))</f>
        <v/>
      </c>
      <c r="AA16" s="70">
        <f>IF($BJ15&gt;0,IF(INDEX('Final Calculation Sheet'!$Z$4:$Z$40,$BJ15-3)="","",INDEX('Final Calculation Sheet'!$Z$4:$Z$40,$BJ15-3)),IF(OR($BI15=1,$BL15=1,$BH15&gt;0),IF($BI15=1,SUM('Final Calculation Sheet'!$Z$4:$Z$40),IF($BL15=1,SUM('Final Calculation Sheet'!$Z$4:$Z$40)-SUMIFS('Final Calculation Sheet'!$Z$4:$Z$40,$AZ$5:$AZ$41,10),SUMIFS('Final Calculation Sheet'!$Z$4:$Z$40,$AZ$5:$AZ$41,$BH15))),""))</f>
        <v/>
      </c>
      <c r="AB16" s="70">
        <f>IF($BJ15&gt;0,IF(INDEX('Final Calculation Sheet'!$AA$4:$AA$40,$BJ15-3)="","",INDEX('Final Calculation Sheet'!$AA$4:$AA$40,$BJ15-3)),IF(OR($BI15=1,$BL15=1,$BH15&gt;0),IF($BI15=1,SUM('Final Calculation Sheet'!$AA$4:$AA$40),IF($BL15=1,SUM('Final Calculation Sheet'!$AA$4:$AA$40)-SUMIFS('Final Calculation Sheet'!$AA$4:$AA$40,$AZ$5:$AZ$41,10),SUMIFS('Final Calculation Sheet'!$AA$4:$AA$40,$AZ$5:$AZ$41,$BH15))),""))</f>
        <v/>
      </c>
      <c r="AC16" s="70">
        <f>IF($BJ15&gt;0,IF(INDEX('Final Calculation Sheet'!$AB$4:$AB$40,$BJ15-3)="","",INDEX('Final Calculation Sheet'!$AB$4:$AB$40,$BJ15-3)),IF(OR($BI15=1,$BL15=1,$BH15&gt;0),"–",""))</f>
        <v/>
      </c>
      <c r="AD16" s="70">
        <f>IF($BJ15&gt;0,IF(INDEX('Final Calculation Sheet'!$AC$4:$AC$40,$BJ15-3)="","",INDEX('Final Calculation Sheet'!$AC$4:$AC$40,$BJ15-3)),IF(OR($BI15=1,$BL15=1,$BH15&gt;0),IF($BI15=1,SUM('Final Calculation Sheet'!$AC$4:$AC$40),IF($BL15=1,SUM('Final Calculation Sheet'!$AC$4:$AC$40)-SUMIFS('Final Calculation Sheet'!$AC$4:$AC$40,$AZ$5:$AZ$41,10),SUMIFS('Final Calculation Sheet'!$AC$4:$AC$40,$AZ$5:$AZ$41,$BH15))),""))</f>
        <v/>
      </c>
      <c r="AE16" s="70">
        <f>IF($BJ15&gt;0,IF(INDEX('Final Calculation Sheet'!$AD$4:$AD$40,$BJ15-3)="","",INDEX('Final Calculation Sheet'!$AD$4:$AD$40,$BJ15-3)),IF(OR($BI15=1,$BL15=1,$BH15&gt;0),IF($BI15=1,SUM('Final Calculation Sheet'!$AD$4:$AD$40),IF($BL15=1,SUM('Final Calculation Sheet'!$AD$4:$AD$40)-SUMIFS('Final Calculation Sheet'!$AD$4:$AD$40,$AZ$5:$AZ$41,10),SUMIFS('Final Calculation Sheet'!$AD$4:$AD$40,$AZ$5:$AZ$41,$BH15))),""))</f>
        <v/>
      </c>
      <c r="AF16" s="70">
        <f>IF($BJ15&gt;0,IF(INDEX('Final Calculation Sheet'!$AE$4:$AE$40,$BJ15-3)="","",INDEX('Final Calculation Sheet'!$AE$4:$AE$40,$BJ15-3)),IF(OR($BI15=1,$BL15=1,$BH15&gt;0),"–",""))</f>
        <v/>
      </c>
      <c r="AG16" s="74">
        <f>IF($BJ15&gt;0,IF(INDEX('Final Calculation Sheet'!$AF$4:$AF$40,$BJ15-3)="","",INDEX('Final Calculation Sheet'!$AF$4:$AF$40,$BJ15-3)),IF(OR($BI15=1,$BL15=1,$BH15&gt;0),"–",""))</f>
        <v/>
      </c>
      <c r="AH16" s="70">
        <f>IF($BJ15&gt;0,IF(INDEX('Final Calculation Sheet'!$AG$4:$AG$40,$BJ15-3)="","",INDEX('Final Calculation Sheet'!$AG$4:$AG$40,$BJ15-3)),IF(OR($BI15=1,$BL15=1,$BH15&gt;0),"–",""))</f>
        <v/>
      </c>
      <c r="AI16" s="75">
        <f>IF($BJ15&gt;0,IF(INDEX('Final Calculation Sheet'!$AD$4:$AD$40,$BJ15-3)="","",IF(INDEX('Final Calculation Sheet'!$AD$4:$AD$40,$BJ15-3)&lt;=0,"SETTLED","OUTSTANDING")),IF(OR($BI15=1,$BL15=1,$BH15&gt;0),IF(IF($BI15=1,SUM('Final Calculation Sheet'!$AD$4:$AD$40),IF($BL15=1,SUM('Final Calculation Sheet'!$AD$4:$AD$40)-SUMIFS('Final Calculation Sheet'!$AD$4:$AD$40,$AZ$5:$AZ$41,10),SUMIFS('Final Calculation Sheet'!$AD$4:$AD$40,$AZ$5:$AZ$41,$BH15)))&lt;=0,"ALL SETTLED","OUTSTANDING"),""))</f>
        <v/>
      </c>
      <c r="AK16">
        <f>IF($F$3="Lot No.",'Final Calculation Sheet'!$F$15,IF($F$3="Buyer",'Final Calculation Sheet'!$G$15,IF($F$3="Lot Name",'Final Calculation Sheet'!$B$15,IF($F$3="Bid Sheet",'Final Calculation Sheet'!$D$15,IF($F$3="Unit",'Final Calculation Sheet'!$E$15,'Final Calculation Sheet'!$F$15&amp;" "&amp;'Final Calculation Sheet'!$G$15&amp;" "&amp;'Final Calculation Sheet'!$B$15)))))</f>
        <v/>
      </c>
      <c r="AM16">
        <f>IF(COUNTIF($BM16:$CU16,0)&gt;0,0,IF($B$3="",1,IF(AND(IF(COUNTIF($AR$9:$AY$9,1)=0,TRUE,SUMPRODUCT(($AR$9:$AY$9=1)*($AR$6:$AY$6&lt;&gt;"")*ISNUMBER(SEARCH($AR$6:$AY$6,$AK16)))&gt;0),IF(COUNTIF($AR$9:$AY$9,2)=0,TRUE,SUMPRODUCT(($AR$9:$AY$9=2)*($AR$6:$AY$6&lt;&gt;"")*ISNUMBER(SEARCH($AR$6:$AY$6,$AK16)))&gt;0),IF(COUNTIF($AR$9:$AY$9,3)=0,TRUE,SUMPRODUCT(($AR$9:$AY$9=3)*($AR$6:$AY$6&lt;&gt;"")*ISNUMBER(SEARCH($AR$6:$AY$6,$AK16)))&gt;0),IF(COUNTIF($AR$9:$AY$9,4)=0,TRUE,SUMPRODUCT(($AR$9:$AY$9=4)*($AR$6:$AY$6&lt;&gt;"")*ISNUMBER(SEARCH($AR$6:$AY$6,$AK16)))&gt;0),IF(COUNTIF($AR$9:$AY$9,5)=0,TRUE,SUMPRODUCT(($AR$9:$AY$9=5)*($AR$6:$AY$6&lt;&gt;"")*ISNUMBER(SEARCH($AR$6:$AY$6,$AK16)))&gt;0),IF(COUNTIF($AR$9:$AY$9,6)=0,TRUE,SUMPRODUCT(($AR$9:$AY$9=6)*($AR$6:$AY$6&lt;&gt;"")*ISNUMBER(SEARCH($AR$6:$AY$6,$AK16)))&gt;0),IF(COUNTIF($AR$9:$AY$9,7)=0,TRUE,SUMPRODUCT(($AR$9:$AY$9=7)*($AR$6:$AY$6&lt;&gt;"")*ISNUMBER(SEARCH($AR$6:$AY$6,$AK16)))&gt;0),IF(COUNTIF($AR$9:$AY$9,8)=0,TRUE,SUMPRODUCT(($AR$9:$AY$9=8)*($AR$6:$AY$6&lt;&gt;"")*ISNUMBER(SEARCH($AR$6:$AY$6,$AK16)))&gt;0)),1,0)))</f>
        <v/>
      </c>
      <c r="AZ16">
        <f>IF($B$3="",IF(COUNTIF($A$4:$AI$4,"&lt;&gt;")=0,9,IF($AM16=1,9,10)),IF($AM16=0,10,IF(AND($AR$6&lt;&gt;"",ISNUMBER(SEARCH($AR$6,$AK16))),1,IF(AND($AS$6&lt;&gt;"",ISNUMBER(SEARCH($AS$6,$AK16))),2,IF(AND($AT$6&lt;&gt;"",ISNUMBER(SEARCH($AT$6,$AK16))),3,IF(AND($AU$6&lt;&gt;"",ISNUMBER(SEARCH($AU$6,$AK16))),4,IF(AND($AV$6&lt;&gt;"",ISNUMBER(SEARCH($AV$6,$AK16))),5,IF(AND($AW$6&lt;&gt;"",ISNUMBER(SEARCH($AW$6,$AK16))),6,IF(AND($AX$6&lt;&gt;"",ISNUMBER(SEARCH($AX$6,$AK16))),7,IF(AND($AY$6&lt;&gt;"",ISNUMBER(SEARCH($AY$6,$AK16))),8,0))))))))))</f>
        <v/>
      </c>
      <c r="BA16">
        <f>SUMPRODUCT(($AZ$5:$AZ$41=$AZ16)*($BC$5:$BC$41&lt;$BC16))+1</f>
        <v/>
      </c>
      <c r="BB16">
        <f>IF(INDEX($BF$4:$BF$13,$AZ16)=0,0,INDEX($BE$4:$BE$13,$AZ16)+$BA16-1)</f>
        <v/>
      </c>
      <c r="BC16" t="n">
        <v>15</v>
      </c>
      <c r="BH16">
        <f>IFERROR(MATCH(16,$BF$4:$BF$13,0),0)</f>
        <v/>
      </c>
      <c r="BI16">
        <f>IF(16=$BG$5,1,0)</f>
        <v/>
      </c>
      <c r="BJ16">
        <f>IF(OR($BH16&gt;0,$BI16=1,$BL16=1),0,IFERROR(INDEX($BC$5:$BC$41,MATCH(16,$BB$5:$BB$41,0)),0))</f>
        <v/>
      </c>
      <c r="BK16">
        <f>IF($BJ16&gt;0,IF(INDEX($AZ$5:$AZ$41,MATCH(16,$BB$5:$BB$41,0))=10,1,0),IF($BH16=10,1,0))</f>
        <v/>
      </c>
      <c r="BL16">
        <f>IF(16=$BG$4,1,0)</f>
        <v/>
      </c>
      <c r="BM1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6">
        <f>IF($B$4="",1,--(OR(SUMPRODUCT(--(TRIM(MID(SUBSTITUTE(SUBSTITUTE($B$4,"/",","),",",REPT(" ",99)),(ROW($1:$8)-1)*99+1,99))&lt;&gt;""),--ISNUMBER(SEARCH(TRIM(MID(SUBSTITUTE(SUBSTITUTE($B$4,"/",","),",",REPT(" ",99)),(ROW($1:$8)-1)*99+1,99)),IFERROR(('Final Calculation Sheet'!$F$15)&amp;"",""))))&gt;0,AND(ISNUMBER(SEARCH("blank",$B$4)),NOT(ISNUMBER(SEARCH("nonblank",$B$4))),IFERROR(('Final Calculation Sheet'!$F$15)&amp;"","")=""),AND(OR(ISNUMBER(SEARCH("nonblank",$B$4)),ISNUMBER(SEARCH("&lt;&gt;",$B$4))),IFERROR(('Final Calculation Sheet'!$F$15)&amp;"","")&lt;&gt;""),AND(TRIM($B$4)="",IFERROR(('Final Calculation Sheet'!$F$15)&amp;"","")=""))))</f>
        <v/>
      </c>
      <c r="BO16">
        <f>IF($C$4="",1,--(OR(SUMPRODUCT(--(TRIM(MID(SUBSTITUTE(SUBSTITUTE($C$4,"/",","),",",REPT(" ",99)),(ROW($1:$8)-1)*99+1,99))&lt;&gt;""),--ISNUMBER(SEARCH(TRIM(MID(SUBSTITUTE(SUBSTITUTE($C$4,"/",","),",",REPT(" ",99)),(ROW($1:$8)-1)*99+1,99)),IFERROR(('Final Calculation Sheet'!$G$15)&amp;"",""))))&gt;0,AND(ISNUMBER(SEARCH("blank",$C$4)),NOT(ISNUMBER(SEARCH("nonblank",$C$4))),IFERROR(('Final Calculation Sheet'!$G$15)&amp;"","")=""),AND(OR(ISNUMBER(SEARCH("nonblank",$C$4)),ISNUMBER(SEARCH("&lt;&gt;",$C$4))),IFERROR(('Final Calculation Sheet'!$G$15)&amp;"","")&lt;&gt;""),AND(TRIM($C$4)="",IFERROR(('Final Calculation Sheet'!$G$15)&amp;"","")=""))))</f>
        <v/>
      </c>
      <c r="BP16">
        <f>IF($D$4="",1,--(OR(SUMPRODUCT(--(TRIM(MID(SUBSTITUTE(SUBSTITUTE($D$4,"/",","),",",REPT(" ",99)),(ROW($1:$8)-1)*99+1,99))&lt;&gt;""),--ISNUMBER(SEARCH(TRIM(MID(SUBSTITUTE(SUBSTITUTE($D$4,"/",","),",",REPT(" ",99)),(ROW($1:$8)-1)*99+1,99)),IFERROR(('Final Calculation Sheet'!$B$15)&amp;"",""))))&gt;0,AND(ISNUMBER(SEARCH("blank",$D$4)),NOT(ISNUMBER(SEARCH("nonblank",$D$4))),IFERROR(('Final Calculation Sheet'!$B$15)&amp;"","")=""),AND(OR(ISNUMBER(SEARCH("nonblank",$D$4)),ISNUMBER(SEARCH("&lt;&gt;",$D$4))),IFERROR(('Final Calculation Sheet'!$B$15)&amp;"","")&lt;&gt;""),AND(TRIM($D$4)="",IFERROR(('Final Calculation Sheet'!$B$15)&amp;"","")=""))))</f>
        <v/>
      </c>
      <c r="BQ16">
        <f>IF($E$4="",1,--(OR(SUMPRODUCT(--(TRIM(MID(SUBSTITUTE(SUBSTITUTE($E$4,"/",","),",",REPT(" ",99)),(ROW($1:$8)-1)*99+1,99))&lt;&gt;""),--ISNUMBER(SEARCH(TRIM(MID(SUBSTITUTE(SUBSTITUTE($E$4,"/",","),",",REPT(" ",99)),(ROW($1:$8)-1)*99+1,99)),IFERROR(('Final Calculation Sheet'!$D$15)&amp;"",""))))&gt;0,AND(ISNUMBER(SEARCH("blank",$E$4)),NOT(ISNUMBER(SEARCH("nonblank",$E$4))),IFERROR(('Final Calculation Sheet'!$D$15)&amp;"","")=""),AND(OR(ISNUMBER(SEARCH("nonblank",$E$4)),ISNUMBER(SEARCH("&lt;&gt;",$E$4))),IFERROR(('Final Calculation Sheet'!$D$15)&amp;"","")&lt;&gt;""),AND(TRIM($E$4)="",IFERROR(('Final Calculation Sheet'!$D$15)&amp;"","")=""))))</f>
        <v/>
      </c>
      <c r="BR16">
        <f>IF($F$4="",1,--(OR(SUMPRODUCT(--(TRIM(MID(SUBSTITUTE(SUBSTITUTE($F$4,"/",","),",",REPT(" ",99)),(ROW($1:$8)-1)*99+1,99))&lt;&gt;""),--ISNUMBER(SEARCH(TRIM(MID(SUBSTITUTE(SUBSTITUTE($F$4,"/",","),",",REPT(" ",99)),(ROW($1:$8)-1)*99+1,99)),IFERROR(('Final Calculation Sheet'!$A$15)&amp;"",""))))&gt;0,AND(ISNUMBER(SEARCH("blank",$F$4)),NOT(ISNUMBER(SEARCH("nonblank",$F$4))),IFERROR(('Final Calculation Sheet'!$A$15)&amp;"","")=""),AND(OR(ISNUMBER(SEARCH("nonblank",$F$4)),ISNUMBER(SEARCH("&lt;&gt;",$F$4))),IFERROR(('Final Calculation Sheet'!$A$15)&amp;"","")&lt;&gt;""),AND(TRIM($F$4)="",IFERROR(('Final Calculation Sheet'!$A$15)&amp;"","")=""))))</f>
        <v/>
      </c>
      <c r="BS16">
        <f>IF($G$4="",1,--(OR(SUMPRODUCT(--(TRIM(MID(SUBSTITUTE(SUBSTITUTE($G$4,"/",","),",",REPT(" ",99)),(ROW($1:$8)-1)*99+1,99))&lt;&gt;""),--ISNUMBER(SEARCH(TRIM(MID(SUBSTITUTE(SUBSTITUTE($G$4,"/",","),",",REPT(" ",99)),(ROW($1:$8)-1)*99+1,99)),IFERROR(('Final Calculation Sheet'!$E$15)&amp;"",""))))&gt;0,AND(ISNUMBER(SEARCH("blank",$G$4)),NOT(ISNUMBER(SEARCH("nonblank",$G$4))),IFERROR(('Final Calculation Sheet'!$E$15)&amp;"","")=""),AND(OR(ISNUMBER(SEARCH("nonblank",$G$4)),ISNUMBER(SEARCH("&lt;&gt;",$G$4))),IFERROR(('Final Calculation Sheet'!$E$15)&amp;"","")&lt;&gt;""),AND(TRIM($G$4)="",IFERROR(('Final Calculation Sheet'!$E$15)&amp;"","")=""))))</f>
        <v/>
      </c>
      <c r="BT16">
        <f>IF($H$4="",1,--(OR(SUMPRODUCT(--(TRIM(MID(SUBSTITUTE(SUBSTITUTE($H$4,"/",","),",",REPT(" ",99)),(ROW($1:$8)-1)*99+1,99))&lt;&gt;""),--ISNUMBER(SEARCH(TRIM(MID(SUBSTITUTE(SUBSTITUTE($H$4,"/",","),",",REPT(" ",99)),(ROW($1:$8)-1)*99+1,99)),IFERROR(('Final Calculation Sheet'!$C$15)&amp;"",""))))&gt;0,AND(ISNUMBER(SEARCH("blank",$H$4)),NOT(ISNUMBER(SEARCH("nonblank",$H$4))),IFERROR(('Final Calculation Sheet'!$C$15)&amp;"","")=""),AND(OR(ISNUMBER(SEARCH("nonblank",$H$4)),ISNUMBER(SEARCH("&lt;&gt;",$H$4))),IFERROR(('Final Calculation Sheet'!$C$15)&amp;"","")&lt;&gt;""),AND(TRIM($H$4)="",IFERROR(('Final Calculation Sheet'!$C$15)&amp;"","")=""))))</f>
        <v/>
      </c>
      <c r="BU16">
        <f>IF($I$4="",1,--(OR(SUMPRODUCT(--(TRIM(MID(SUBSTITUTE(SUBSTITUTE($I$4,"/",","),",",REPT(" ",99)),(ROW($1:$8)-1)*99+1,99))&lt;&gt;""),--ISNUMBER(SEARCH(TRIM(MID(SUBSTITUTE(SUBSTITUTE($I$4,"/",","),",",REPT(" ",99)),(ROW($1:$8)-1)*99+1,99)),IFERROR(('Final Calculation Sheet'!$H$15)&amp;"",""))))&gt;0,AND(ISNUMBER(SEARCH("blank",$I$4)),NOT(ISNUMBER(SEARCH("nonblank",$I$4))),IFERROR(('Final Calculation Sheet'!$H$15)&amp;"","")=""),AND(OR(ISNUMBER(SEARCH("nonblank",$I$4)),ISNUMBER(SEARCH("&lt;&gt;",$I$4))),IFERROR(('Final Calculation Sheet'!$H$15)&amp;"","")&lt;&gt;""),AND(TRIM($I$4)="",IFERROR(('Final Calculation Sheet'!$H$15)&amp;"","")=""))))</f>
        <v/>
      </c>
      <c r="BV16">
        <f>IF($J$4="",1,--(OR(SUMPRODUCT(--(TRIM(MID(SUBSTITUTE(SUBSTITUTE($J$4,"/",","),",",REPT(" ",99)),(ROW($1:$8)-1)*99+1,99))&lt;&gt;""),--ISNUMBER(SEARCH(TRIM(MID(SUBSTITUTE(SUBSTITUTE($J$4,"/",","),",",REPT(" ",99)),(ROW($1:$8)-1)*99+1,99)),IFERROR(('Final Calculation Sheet'!$I$15)&amp;"",""))))&gt;0,AND(ISNUMBER(SEARCH("blank",$J$4)),NOT(ISNUMBER(SEARCH("nonblank",$J$4))),IFERROR(('Final Calculation Sheet'!$I$15)&amp;"","")=""),AND(OR(ISNUMBER(SEARCH("nonblank",$J$4)),ISNUMBER(SEARCH("&lt;&gt;",$J$4))),IFERROR(('Final Calculation Sheet'!$I$15)&amp;"","")&lt;&gt;""),AND(TRIM($J$4)="",IFERROR(('Final Calculation Sheet'!$I$15)&amp;"","")=""))))</f>
        <v/>
      </c>
      <c r="BW16">
        <f>IF($K$4="",1,--(OR(SUMPRODUCT(--(TRIM(MID(SUBSTITUTE(SUBSTITUTE($K$4,"/",","),",",REPT(" ",99)),(ROW($1:$8)-1)*99+1,99))&lt;&gt;""),--ISNUMBER(SEARCH(TRIM(MID(SUBSTITUTE(SUBSTITUTE($K$4,"/",","),",",REPT(" ",99)),(ROW($1:$8)-1)*99+1,99)),IFERROR(('Final Calculation Sheet'!$J$15)&amp;"",""))))&gt;0,AND(ISNUMBER(SEARCH("blank",$K$4)),NOT(ISNUMBER(SEARCH("nonblank",$K$4))),IFERROR(('Final Calculation Sheet'!$J$15)&amp;"","")=""),AND(OR(ISNUMBER(SEARCH("nonblank",$K$4)),ISNUMBER(SEARCH("&lt;&gt;",$K$4))),IFERROR(('Final Calculation Sheet'!$J$15)&amp;"","")&lt;&gt;""),AND(TRIM($K$4)="",IFERROR(('Final Calculation Sheet'!$J$15)&amp;"","")=""))))</f>
        <v/>
      </c>
      <c r="BX16">
        <f>IF($L$4="",1,--(OR(SUMPRODUCT(--(TRIM(MID(SUBSTITUTE(SUBSTITUTE($L$4,"/",","),",",REPT(" ",99)),(ROW($1:$8)-1)*99+1,99))&lt;&gt;""),--ISNUMBER(SEARCH(TRIM(MID(SUBSTITUTE(SUBSTITUTE($L$4,"/",","),",",REPT(" ",99)),(ROW($1:$8)-1)*99+1,99)),IFERROR(('Final Calculation Sheet'!$K$15)&amp;"",""))))&gt;0,AND(ISNUMBER(SEARCH("blank",$L$4)),NOT(ISNUMBER(SEARCH("nonblank",$L$4))),IFERROR(('Final Calculation Sheet'!$K$15)&amp;"","")=""),AND(OR(ISNUMBER(SEARCH("nonblank",$L$4)),ISNUMBER(SEARCH("&lt;&gt;",$L$4))),IFERROR(('Final Calculation Sheet'!$K$15)&amp;"","")&lt;&gt;""),AND(TRIM($L$4)="",IFERROR(('Final Calculation Sheet'!$K$15)&amp;"","")=""))))</f>
        <v/>
      </c>
      <c r="BY16">
        <f>IF($M$4="",1,--(OR(SUMPRODUCT(--(TRIM(MID(SUBSTITUTE(SUBSTITUTE($M$4,"/",","),",",REPT(" ",99)),(ROW($1:$8)-1)*99+1,99))&lt;&gt;""),--ISNUMBER(SEARCH(TRIM(MID(SUBSTITUTE(SUBSTITUTE($M$4,"/",","),",",REPT(" ",99)),(ROW($1:$8)-1)*99+1,99)),IFERROR(('Final Calculation Sheet'!$L$15)&amp;"",""))))&gt;0,AND(ISNUMBER(SEARCH("blank",$M$4)),NOT(ISNUMBER(SEARCH("nonblank",$M$4))),IFERROR(('Final Calculation Sheet'!$L$15)&amp;"","")=""),AND(OR(ISNUMBER(SEARCH("nonblank",$M$4)),ISNUMBER(SEARCH("&lt;&gt;",$M$4))),IFERROR(('Final Calculation Sheet'!$L$15)&amp;"","")&lt;&gt;""),AND(TRIM($M$4)="",IFERROR(('Final Calculation Sheet'!$L$15)&amp;"","")=""))))</f>
        <v/>
      </c>
      <c r="BZ16">
        <f>IF($N$4="",1,--(OR(SUMPRODUCT(--(TRIM(MID(SUBSTITUTE(SUBSTITUTE($N$4,"/",","),",",REPT(" ",99)),(ROW($1:$8)-1)*99+1,99))&lt;&gt;""),--ISNUMBER(SEARCH(TRIM(MID(SUBSTITUTE(SUBSTITUTE($N$4,"/",","),",",REPT(" ",99)),(ROW($1:$8)-1)*99+1,99)),IFERROR(('Final Calculation Sheet'!$M$15)&amp;"",""))))&gt;0,AND(ISNUMBER(SEARCH("blank",$N$4)),NOT(ISNUMBER(SEARCH("nonblank",$N$4))),IFERROR(('Final Calculation Sheet'!$M$15)&amp;"","")=""),AND(OR(ISNUMBER(SEARCH("nonblank",$N$4)),ISNUMBER(SEARCH("&lt;&gt;",$N$4))),IFERROR(('Final Calculation Sheet'!$M$15)&amp;"","")&lt;&gt;""),AND(TRIM($N$4)="",IFERROR(('Final Calculation Sheet'!$M$15)&amp;"","")=""))))</f>
        <v/>
      </c>
      <c r="CA16">
        <f>IF($O$4="",1,--(OR(SUMPRODUCT(--(TRIM(MID(SUBSTITUTE(SUBSTITUTE($O$4,"/",","),",",REPT(" ",99)),(ROW($1:$8)-1)*99+1,99))&lt;&gt;""),--ISNUMBER(SEARCH(TRIM(MID(SUBSTITUTE(SUBSTITUTE($O$4,"/",","),",",REPT(" ",99)),(ROW($1:$8)-1)*99+1,99)),IFERROR(('Final Calculation Sheet'!$N$15)&amp;"",""))))&gt;0,AND(ISNUMBER(SEARCH("blank",$O$4)),NOT(ISNUMBER(SEARCH("nonblank",$O$4))),IFERROR(('Final Calculation Sheet'!$N$15)&amp;"","")=""),AND(OR(ISNUMBER(SEARCH("nonblank",$O$4)),ISNUMBER(SEARCH("&lt;&gt;",$O$4))),IFERROR(('Final Calculation Sheet'!$N$15)&amp;"","")&lt;&gt;""),AND(TRIM($O$4)="",IFERROR(('Final Calculation Sheet'!$N$15)&amp;"","")=""))))</f>
        <v/>
      </c>
      <c r="CB16">
        <f>IF($P$4="",1,--(OR(SUMPRODUCT(--(TRIM(MID(SUBSTITUTE(SUBSTITUTE($P$4,"/",","),",",REPT(" ",99)),(ROW($1:$8)-1)*99+1,99))&lt;&gt;""),--ISNUMBER(SEARCH(TRIM(MID(SUBSTITUTE(SUBSTITUTE($P$4,"/",","),",",REPT(" ",99)),(ROW($1:$8)-1)*99+1,99)),IFERROR(('Final Calculation Sheet'!$O$15)&amp;"",""))))&gt;0,AND(ISNUMBER(SEARCH("blank",$P$4)),NOT(ISNUMBER(SEARCH("nonblank",$P$4))),IFERROR(('Final Calculation Sheet'!$O$15)&amp;"","")=""),AND(OR(ISNUMBER(SEARCH("nonblank",$P$4)),ISNUMBER(SEARCH("&lt;&gt;",$P$4))),IFERROR(('Final Calculation Sheet'!$O$15)&amp;"","")&lt;&gt;""),AND(TRIM($P$4)="",IFERROR(('Final Calculation Sheet'!$O$15)&amp;"","")=""))))</f>
        <v/>
      </c>
      <c r="CC16">
        <f>IF($Q$4="",1,--(OR(SUMPRODUCT(--(TRIM(MID(SUBSTITUTE(SUBSTITUTE($Q$4,"/",","),",",REPT(" ",99)),(ROW($1:$8)-1)*99+1,99))&lt;&gt;""),--ISNUMBER(SEARCH(TRIM(MID(SUBSTITUTE(SUBSTITUTE($Q$4,"/",","),",",REPT(" ",99)),(ROW($1:$8)-1)*99+1,99)),IFERROR(('Final Calculation Sheet'!$P$15)&amp;"",""))))&gt;0,AND(ISNUMBER(SEARCH("blank",$Q$4)),NOT(ISNUMBER(SEARCH("nonblank",$Q$4))),IFERROR(('Final Calculation Sheet'!$P$15)&amp;"","")=""),AND(OR(ISNUMBER(SEARCH("nonblank",$Q$4)),ISNUMBER(SEARCH("&lt;&gt;",$Q$4))),IFERROR(('Final Calculation Sheet'!$P$15)&amp;"","")&lt;&gt;""),AND(TRIM($Q$4)="",IFERROR(('Final Calculation Sheet'!$P$15)&amp;"","")=""))))</f>
        <v/>
      </c>
      <c r="CD16">
        <f>IF($R$4="",1,--(OR(SUMPRODUCT(--(TRIM(MID(SUBSTITUTE(SUBSTITUTE($R$4,"/",","),",",REPT(" ",99)),(ROW($1:$8)-1)*99+1,99))&lt;&gt;""),--ISNUMBER(SEARCH(TRIM(MID(SUBSTITUTE(SUBSTITUTE($R$4,"/",","),",",REPT(" ",99)),(ROW($1:$8)-1)*99+1,99)),IFERROR(('Final Calculation Sheet'!$Q$15)&amp;"",""))))&gt;0,AND(ISNUMBER(SEARCH("blank",$R$4)),NOT(ISNUMBER(SEARCH("nonblank",$R$4))),IFERROR(('Final Calculation Sheet'!$Q$15)&amp;"","")=""),AND(OR(ISNUMBER(SEARCH("nonblank",$R$4)),ISNUMBER(SEARCH("&lt;&gt;",$R$4))),IFERROR(('Final Calculation Sheet'!$Q$15)&amp;"","")&lt;&gt;""),AND(TRIM($R$4)="",IFERROR(('Final Calculation Sheet'!$Q$15)&amp;"","")=""))))</f>
        <v/>
      </c>
      <c r="CE16">
        <f>IF($S$4="",1,--(OR(SUMPRODUCT(--(TRIM(MID(SUBSTITUTE(SUBSTITUTE($S$4,"/",","),",",REPT(" ",99)),(ROW($1:$8)-1)*99+1,99))&lt;&gt;""),--ISNUMBER(SEARCH(TRIM(MID(SUBSTITUTE(SUBSTITUTE($S$4,"/",","),",",REPT(" ",99)),(ROW($1:$8)-1)*99+1,99)),IFERROR(('Final Calculation Sheet'!$R$15)&amp;"",""))))&gt;0,AND(ISNUMBER(SEARCH("blank",$S$4)),NOT(ISNUMBER(SEARCH("nonblank",$S$4))),IFERROR(('Final Calculation Sheet'!$R$15)&amp;"","")=""),AND(OR(ISNUMBER(SEARCH("nonblank",$S$4)),ISNUMBER(SEARCH("&lt;&gt;",$S$4))),IFERROR(('Final Calculation Sheet'!$R$15)&amp;"","")&lt;&gt;""),AND(TRIM($S$4)="",IFERROR(('Final Calculation Sheet'!$R$15)&amp;"","")=""))))</f>
        <v/>
      </c>
      <c r="CF16">
        <f>IF($T$4="",1,--(OR(SUMPRODUCT(--(TRIM(MID(SUBSTITUTE(SUBSTITUTE($T$4,"/",","),",",REPT(" ",99)),(ROW($1:$8)-1)*99+1,99))&lt;&gt;""),--ISNUMBER(SEARCH(TRIM(MID(SUBSTITUTE(SUBSTITUTE($T$4,"/",","),",",REPT(" ",99)),(ROW($1:$8)-1)*99+1,99)),IFERROR(('Final Calculation Sheet'!$S$15)&amp;"",""))))&gt;0,AND(ISNUMBER(SEARCH("blank",$T$4)),NOT(ISNUMBER(SEARCH("nonblank",$T$4))),IFERROR(('Final Calculation Sheet'!$S$15)&amp;"","")=""),AND(OR(ISNUMBER(SEARCH("nonblank",$T$4)),ISNUMBER(SEARCH("&lt;&gt;",$T$4))),IFERROR(('Final Calculation Sheet'!$S$15)&amp;"","")&lt;&gt;""),AND(TRIM($T$4)="",IFERROR(('Final Calculation Sheet'!$S$15)&amp;"","")=""))))</f>
        <v/>
      </c>
      <c r="CG16">
        <f>IF($U$4="",1,--(OR(SUMPRODUCT(--(TRIM(MID(SUBSTITUTE(SUBSTITUTE($U$4,"/",","),",",REPT(" ",99)),(ROW($1:$8)-1)*99+1,99))&lt;&gt;""),--ISNUMBER(SEARCH(TRIM(MID(SUBSTITUTE(SUBSTITUTE($U$4,"/",","),",",REPT(" ",99)),(ROW($1:$8)-1)*99+1,99)),IFERROR(('Final Calculation Sheet'!$T$15)&amp;"",""))))&gt;0,AND(ISNUMBER(SEARCH("blank",$U$4)),NOT(ISNUMBER(SEARCH("nonblank",$U$4))),IFERROR(('Final Calculation Sheet'!$T$15)&amp;"","")=""),AND(OR(ISNUMBER(SEARCH("nonblank",$U$4)),ISNUMBER(SEARCH("&lt;&gt;",$U$4))),IFERROR(('Final Calculation Sheet'!$T$15)&amp;"","")&lt;&gt;""),AND(TRIM($U$4)="",IFERROR(('Final Calculation Sheet'!$T$15)&amp;"","")=""))))</f>
        <v/>
      </c>
      <c r="CH16">
        <f>IF($V$4="",1,--(OR(SUMPRODUCT(--(TRIM(MID(SUBSTITUTE(SUBSTITUTE($V$4,"/",","),",",REPT(" ",99)),(ROW($1:$8)-1)*99+1,99))&lt;&gt;""),--ISNUMBER(SEARCH(TRIM(MID(SUBSTITUTE(SUBSTITUTE($V$4,"/",","),",",REPT(" ",99)),(ROW($1:$8)-1)*99+1,99)),IFERROR(('Final Calculation Sheet'!$U$15)&amp;"",""))))&gt;0,AND(ISNUMBER(SEARCH("blank",$V$4)),NOT(ISNUMBER(SEARCH("nonblank",$V$4))),IFERROR(('Final Calculation Sheet'!$U$15)&amp;"","")=""),AND(OR(ISNUMBER(SEARCH("nonblank",$V$4)),ISNUMBER(SEARCH("&lt;&gt;",$V$4))),IFERROR(('Final Calculation Sheet'!$U$15)&amp;"","")&lt;&gt;""),AND(TRIM($V$4)="",IFERROR(('Final Calculation Sheet'!$U$15)&amp;"","")=""))))</f>
        <v/>
      </c>
      <c r="CI16">
        <f>IF($W$4="",1,--(OR(SUMPRODUCT(--(TRIM(MID(SUBSTITUTE(SUBSTITUTE($W$4,"/",","),",",REPT(" ",99)),(ROW($1:$8)-1)*99+1,99))&lt;&gt;""),--ISNUMBER(SEARCH(TRIM(MID(SUBSTITUTE(SUBSTITUTE($W$4,"/",","),",",REPT(" ",99)),(ROW($1:$8)-1)*99+1,99)),IFERROR(('Final Calculation Sheet'!$V$15)&amp;"",""))))&gt;0,AND(ISNUMBER(SEARCH("blank",$W$4)),NOT(ISNUMBER(SEARCH("nonblank",$W$4))),IFERROR(('Final Calculation Sheet'!$V$15)&amp;"","")=""),AND(OR(ISNUMBER(SEARCH("nonblank",$W$4)),ISNUMBER(SEARCH("&lt;&gt;",$W$4))),IFERROR(('Final Calculation Sheet'!$V$15)&amp;"","")&lt;&gt;""),AND(TRIM($W$4)="",IFERROR(('Final Calculation Sheet'!$V$15)&amp;"","")=""))))</f>
        <v/>
      </c>
      <c r="CJ16">
        <f>IF($X$4="",1,--(OR(SUMPRODUCT(--(TRIM(MID(SUBSTITUTE(SUBSTITUTE($X$4,"/",","),",",REPT(" ",99)),(ROW($1:$8)-1)*99+1,99))&lt;&gt;""),--ISNUMBER(SEARCH(TRIM(MID(SUBSTITUTE(SUBSTITUTE($X$4,"/",","),",",REPT(" ",99)),(ROW($1:$8)-1)*99+1,99)),IFERROR(('Final Calculation Sheet'!$W$15)&amp;"",""))))&gt;0,AND(ISNUMBER(SEARCH("blank",$X$4)),NOT(ISNUMBER(SEARCH("nonblank",$X$4))),IFERROR(('Final Calculation Sheet'!$W$15)&amp;"","")=""),AND(OR(ISNUMBER(SEARCH("nonblank",$X$4)),ISNUMBER(SEARCH("&lt;&gt;",$X$4))),IFERROR(('Final Calculation Sheet'!$W$15)&amp;"","")&lt;&gt;""),AND(TRIM($X$4)="",IFERROR(('Final Calculation Sheet'!$W$15)&amp;"","")=""))))</f>
        <v/>
      </c>
      <c r="CK16">
        <f>IF($Y$4="",1,--(OR(SUMPRODUCT(--(TRIM(MID(SUBSTITUTE(SUBSTITUTE($Y$4,"/",","),",",REPT(" ",99)),(ROW($1:$8)-1)*99+1,99))&lt;&gt;""),--ISNUMBER(SEARCH(TRIM(MID(SUBSTITUTE(SUBSTITUTE($Y$4,"/",","),",",REPT(" ",99)),(ROW($1:$8)-1)*99+1,99)),IFERROR(('Final Calculation Sheet'!$X$15)&amp;"",""))))&gt;0,AND(ISNUMBER(SEARCH("blank",$Y$4)),NOT(ISNUMBER(SEARCH("nonblank",$Y$4))),IFERROR(('Final Calculation Sheet'!$X$15)&amp;"","")=""),AND(OR(ISNUMBER(SEARCH("nonblank",$Y$4)),ISNUMBER(SEARCH("&lt;&gt;",$Y$4))),IFERROR(('Final Calculation Sheet'!$X$15)&amp;"","")&lt;&gt;""),AND(TRIM($Y$4)="",IFERROR(('Final Calculation Sheet'!$X$15)&amp;"","")=""))))</f>
        <v/>
      </c>
      <c r="CL16">
        <f>IF($Z$4="",1,--(OR(SUMPRODUCT(--(TRIM(MID(SUBSTITUTE(SUBSTITUTE($Z$4,"/",","),",",REPT(" ",99)),(ROW($1:$8)-1)*99+1,99))&lt;&gt;""),--ISNUMBER(SEARCH(TRIM(MID(SUBSTITUTE(SUBSTITUTE($Z$4,"/",","),",",REPT(" ",99)),(ROW($1:$8)-1)*99+1,99)),IFERROR(('Final Calculation Sheet'!$Y$15)&amp;"",""))))&gt;0,AND(ISNUMBER(SEARCH("blank",$Z$4)),NOT(ISNUMBER(SEARCH("nonblank",$Z$4))),IFERROR(('Final Calculation Sheet'!$Y$15)&amp;"","")=""),AND(OR(ISNUMBER(SEARCH("nonblank",$Z$4)),ISNUMBER(SEARCH("&lt;&gt;",$Z$4))),IFERROR(('Final Calculation Sheet'!$Y$15)&amp;"","")&lt;&gt;""),AND(TRIM($Z$4)="",IFERROR(('Final Calculation Sheet'!$Y$15)&amp;"","")=""))))</f>
        <v/>
      </c>
      <c r="CM16">
        <f>IF($AA$4="",1,--(OR(SUMPRODUCT(--(TRIM(MID(SUBSTITUTE(SUBSTITUTE($AA$4,"/",","),",",REPT(" ",99)),(ROW($1:$8)-1)*99+1,99))&lt;&gt;""),--ISNUMBER(SEARCH(TRIM(MID(SUBSTITUTE(SUBSTITUTE($AA$4,"/",","),",",REPT(" ",99)),(ROW($1:$8)-1)*99+1,99)),IFERROR(('Final Calculation Sheet'!$Z$15)&amp;"",""))))&gt;0,AND(ISNUMBER(SEARCH("blank",$AA$4)),NOT(ISNUMBER(SEARCH("nonblank",$AA$4))),IFERROR(('Final Calculation Sheet'!$Z$15)&amp;"","")=""),AND(OR(ISNUMBER(SEARCH("nonblank",$AA$4)),ISNUMBER(SEARCH("&lt;&gt;",$AA$4))),IFERROR(('Final Calculation Sheet'!$Z$15)&amp;"","")&lt;&gt;""),AND(TRIM($AA$4)="",IFERROR(('Final Calculation Sheet'!$Z$15)&amp;"","")=""))))</f>
        <v/>
      </c>
      <c r="CN16">
        <f>IF($AB$4="",1,--(OR(SUMPRODUCT(--(TRIM(MID(SUBSTITUTE(SUBSTITUTE($AB$4,"/",","),",",REPT(" ",99)),(ROW($1:$8)-1)*99+1,99))&lt;&gt;""),--ISNUMBER(SEARCH(TRIM(MID(SUBSTITUTE(SUBSTITUTE($AB$4,"/",","),",",REPT(" ",99)),(ROW($1:$8)-1)*99+1,99)),IFERROR(('Final Calculation Sheet'!$AA$15)&amp;"",""))))&gt;0,AND(ISNUMBER(SEARCH("blank",$AB$4)),NOT(ISNUMBER(SEARCH("nonblank",$AB$4))),IFERROR(('Final Calculation Sheet'!$AA$15)&amp;"","")=""),AND(OR(ISNUMBER(SEARCH("nonblank",$AB$4)),ISNUMBER(SEARCH("&lt;&gt;",$AB$4))),IFERROR(('Final Calculation Sheet'!$AA$15)&amp;"","")&lt;&gt;""),AND(TRIM($AB$4)="",IFERROR(('Final Calculation Sheet'!$AA$15)&amp;"","")=""))))</f>
        <v/>
      </c>
      <c r="CO16">
        <f>IF($AC$4="",1,--(OR(SUMPRODUCT(--(TRIM(MID(SUBSTITUTE(SUBSTITUTE($AC$4,"/",","),",",REPT(" ",99)),(ROW($1:$8)-1)*99+1,99))&lt;&gt;""),--ISNUMBER(SEARCH(TRIM(MID(SUBSTITUTE(SUBSTITUTE($AC$4,"/",","),",",REPT(" ",99)),(ROW($1:$8)-1)*99+1,99)),IFERROR(('Final Calculation Sheet'!$AB$15)&amp;"",""))))&gt;0,AND(ISNUMBER(SEARCH("blank",$AC$4)),NOT(ISNUMBER(SEARCH("nonblank",$AC$4))),IFERROR(('Final Calculation Sheet'!$AB$15)&amp;"","")=""),AND(OR(ISNUMBER(SEARCH("nonblank",$AC$4)),ISNUMBER(SEARCH("&lt;&gt;",$AC$4))),IFERROR(('Final Calculation Sheet'!$AB$15)&amp;"","")&lt;&gt;""),AND(TRIM($AC$4)="",IFERROR(('Final Calculation Sheet'!$AB$15)&amp;"","")=""))))</f>
        <v/>
      </c>
      <c r="CP16">
        <f>IF($AD$4="",1,--(OR(SUMPRODUCT(--(TRIM(MID(SUBSTITUTE(SUBSTITUTE($AD$4,"/",","),",",REPT(" ",99)),(ROW($1:$8)-1)*99+1,99))&lt;&gt;""),--ISNUMBER(SEARCH(TRIM(MID(SUBSTITUTE(SUBSTITUTE($AD$4,"/",","),",",REPT(" ",99)),(ROW($1:$8)-1)*99+1,99)),IFERROR(('Final Calculation Sheet'!$AC$15)&amp;"",""))))&gt;0,AND(ISNUMBER(SEARCH("blank",$AD$4)),NOT(ISNUMBER(SEARCH("nonblank",$AD$4))),IFERROR(('Final Calculation Sheet'!$AC$15)&amp;"","")=""),AND(OR(ISNUMBER(SEARCH("nonblank",$AD$4)),ISNUMBER(SEARCH("&lt;&gt;",$AD$4))),IFERROR(('Final Calculation Sheet'!$AC$15)&amp;"","")&lt;&gt;""),AND(TRIM($AD$4)="",IFERROR(('Final Calculation Sheet'!$AC$15)&amp;"","")=""))))</f>
        <v/>
      </c>
      <c r="CQ16">
        <f>IF($AE$4="",1,--(OR(SUMPRODUCT(--(TRIM(MID(SUBSTITUTE(SUBSTITUTE($AE$4,"/",","),",",REPT(" ",99)),(ROW($1:$8)-1)*99+1,99))&lt;&gt;""),--ISNUMBER(SEARCH(TRIM(MID(SUBSTITUTE(SUBSTITUTE($AE$4,"/",","),",",REPT(" ",99)),(ROW($1:$8)-1)*99+1,99)),IFERROR(('Final Calculation Sheet'!$AD$15)&amp;"",""))))&gt;0,AND(ISNUMBER(SEARCH("blank",$AE$4)),NOT(ISNUMBER(SEARCH("nonblank",$AE$4))),IFERROR(('Final Calculation Sheet'!$AD$15)&amp;"","")=""),AND(OR(ISNUMBER(SEARCH("nonblank",$AE$4)),ISNUMBER(SEARCH("&lt;&gt;",$AE$4))),IFERROR(('Final Calculation Sheet'!$AD$15)&amp;"","")&lt;&gt;""),AND(TRIM($AE$4)="",IFERROR(('Final Calculation Sheet'!$AD$15)&amp;"","")=""))))</f>
        <v/>
      </c>
      <c r="CR16">
        <f>IF($AF$4="",1,--(OR(SUMPRODUCT(--(TRIM(MID(SUBSTITUTE(SUBSTITUTE($AF$4,"/",","),",",REPT(" ",99)),(ROW($1:$8)-1)*99+1,99))&lt;&gt;""),--ISNUMBER(SEARCH(TRIM(MID(SUBSTITUTE(SUBSTITUTE($AF$4,"/",","),",",REPT(" ",99)),(ROW($1:$8)-1)*99+1,99)),IFERROR(('Final Calculation Sheet'!$AE$15)&amp;"",""))))&gt;0,AND(ISNUMBER(SEARCH("blank",$AF$4)),NOT(ISNUMBER(SEARCH("nonblank",$AF$4))),IFERROR(('Final Calculation Sheet'!$AE$15)&amp;"","")=""),AND(OR(ISNUMBER(SEARCH("nonblank",$AF$4)),ISNUMBER(SEARCH("&lt;&gt;",$AF$4))),IFERROR(('Final Calculation Sheet'!$AE$15)&amp;"","")&lt;&gt;""),AND(TRIM($AF$4)="",IFERROR(('Final Calculation Sheet'!$AE$15)&amp;"","")=""))))</f>
        <v/>
      </c>
      <c r="CS16">
        <f>IF($AG$4="",1,--(OR(SUMPRODUCT(--(TRIM(MID(SUBSTITUTE(SUBSTITUTE($AG$4,"/",","),",",REPT(" ",99)),(ROW($1:$8)-1)*99+1,99))&lt;&gt;""),--ISNUMBER(SEARCH(TRIM(MID(SUBSTITUTE(SUBSTITUTE($AG$4,"/",","),",",REPT(" ",99)),(ROW($1:$8)-1)*99+1,99)),IFERROR(('Final Calculation Sheet'!$AF$15)&amp;"",""))))&gt;0,AND(ISNUMBER(SEARCH("blank",$AG$4)),NOT(ISNUMBER(SEARCH("nonblank",$AG$4))),IFERROR(('Final Calculation Sheet'!$AF$15)&amp;"","")=""),AND(OR(ISNUMBER(SEARCH("nonblank",$AG$4)),ISNUMBER(SEARCH("&lt;&gt;",$AG$4))),IFERROR(('Final Calculation Sheet'!$AF$15)&amp;"","")&lt;&gt;""),AND(TRIM($AG$4)="",IFERROR(('Final Calculation Sheet'!$AF$15)&amp;"","")=""))))</f>
        <v/>
      </c>
      <c r="CT16">
        <f>IF($AH$4="",1,--(OR(SUMPRODUCT(--(TRIM(MID(SUBSTITUTE(SUBSTITUTE($AH$4,"/",","),",",REPT(" ",99)),(ROW($1:$8)-1)*99+1,99))&lt;&gt;""),--ISNUMBER(SEARCH(TRIM(MID(SUBSTITUTE(SUBSTITUTE($AH$4,"/",","),",",REPT(" ",99)),(ROW($1:$8)-1)*99+1,99)),IFERROR(('Final Calculation Sheet'!$AG$15)&amp;"",""))))&gt;0,AND(ISNUMBER(SEARCH("blank",$AH$4)),NOT(ISNUMBER(SEARCH("nonblank",$AH$4))),IFERROR(('Final Calculation Sheet'!$AG$15)&amp;"","")=""),AND(OR(ISNUMBER(SEARCH("nonblank",$AH$4)),ISNUMBER(SEARCH("&lt;&gt;",$AH$4))),IFERROR(('Final Calculation Sheet'!$AG$15)&amp;"","")&lt;&gt;""),AND(TRIM($AH$4)="",IFERROR(('Final Calculation Sheet'!$AG$15)&amp;"","")=""))))</f>
        <v/>
      </c>
      <c r="CU16">
        <f>IF($AI$4="",1,--(OR(SUMPRODUCT(--(TRIM(MID(SUBSTITUTE(SUBSTITUTE($AI$4,"/",","),",",REPT(" ",99)),(ROW($1:$8)-1)*99+1,99))&lt;&gt;""),--ISNUMBER(SEARCH(TRIM(MID(SUBSTITUTE(SUBSTITUTE($AI$4,"/",","),",",REPT(" ",99)),(ROW($1:$8)-1)*99+1,99)),IFERROR((IF('Final Calculation Sheet'!$AD$15&lt;=0,"SETTLED","OUTSTANDING"))&amp;"",""))))&gt;0,AND(ISNUMBER(SEARCH("blank",$AI$4)),NOT(ISNUMBER(SEARCH("nonblank",$AI$4))),IFERROR((IF('Final Calculation Sheet'!$AD$15&lt;=0,"SETTLED","OUTSTANDING"))&amp;"","")=""),AND(OR(ISNUMBER(SEARCH("nonblank",$AI$4)),ISNUMBER(SEARCH("&lt;&gt;",$AI$4))),IFERROR((IF('Final Calculation Sheet'!$AD$15&lt;=0,"SETTLED","OUTSTANDING"))&amp;"","")&lt;&gt;""),AND(TRIM($AI$4)="",IFERROR((IF('Final Calculation Sheet'!$AD$15&lt;=0,"SETTLED","OUTSTANDING"))&amp;"","")=""))))</f>
        <v/>
      </c>
    </row>
    <row r="17" ht="15" customHeight="1" s="77">
      <c r="A17" s="67">
        <f>IF($BJ16&gt;0,INDEX($BA$5:$BA$41,MATCH(16,$BB$5:$BB$41,0)),IF(OR($BI16=1,$BL16=1,$BH16&gt;0),"∑",""))</f>
        <v/>
      </c>
      <c r="B17" s="68">
        <f>IF($BJ16&gt;0,IF(INDEX('Final Calculation Sheet'!$F$4:$F$40,$BJ16-3)="","",INDEX('Final Calculation Sheet'!$F$4:$F$40,$BJ16-3)),"")</f>
        <v/>
      </c>
      <c r="C17" s="68">
        <f>IF($BJ16&gt;0,IF(INDEX('Final Calculation Sheet'!$G$4:$G$40,$BJ16-3)="","",INDEX('Final Calculation Sheet'!$G$4:$G$40,$BJ16-3)),IF(OR($BI16=1,$BL16=1,$BH16&gt;0),IF($BI16=1,37,IF($BL16=1,37-INDEX($BD$4:$BD$13,10),INDEX($BD$4:$BD$13,$BH16)))&amp;" lot(s)",""))</f>
        <v/>
      </c>
      <c r="D17" s="69">
        <f>IF($BJ16&gt;0,IF(INDEX('Final Calculation Sheet'!$B$4:$B$40,$BJ16-3)="","",INDEX('Final Calculation Sheet'!$B$4:$B$40,$BJ16-3)),IF(OR($BI16=1,$BL16=1,$BH16&gt;0),IF($BI16=1,"GRAND TOTAL  —  matching + remaining",IF($BL16=1,"TOTAL MATCHED  —  every group together",IF($BH16=10,"REMAINING  —  did not match the search",IF($BH16=9,IF(COUNTIF($A$4:$AI$4,"&lt;&gt;")&gt;0,"FILTERED LOTS  —  column fields","ALL LOTS  —  nothing typed in the box"),"GROUP "&amp;$BH16&amp;" TOTAL  —  lots matching  "&amp;INDEX($AR$6:$AY$6,$BH16))))),""))</f>
        <v/>
      </c>
      <c r="E17" s="69">
        <f>IF($BJ16&gt;0,IF(INDEX('Final Calculation Sheet'!$D$4:$D$40,$BJ16-3)="","",INDEX('Final Calculation Sheet'!$D$4:$D$40,$BJ16-3)),IF(OR($BI16=1,$BL16=1,$BH16&gt;0),"–",""))</f>
        <v/>
      </c>
      <c r="F17" s="69">
        <f>IF($BJ16&gt;0,IF(INDEX('Final Calculation Sheet'!$A$4:$A$40,$BJ16-3)="","",INDEX('Final Calculation Sheet'!$A$4:$A$40,$BJ16-3)),IF(OR($BI16=1,$BL16=1,$BH16&gt;0),IF($BI16=1,SUM('Final Calculation Sheet'!$A$4:$A$40),IF($BL16=1,SUM('Final Calculation Sheet'!$A$4:$A$40)-SUMIFS('Final Calculation Sheet'!$A$4:$A$40,$AZ$5:$AZ$41,10),SUMIFS('Final Calculation Sheet'!$A$4:$A$40,$AZ$5:$AZ$41,$BH16))),""))</f>
        <v/>
      </c>
      <c r="G17" s="69">
        <f>IF($BJ16&gt;0,IF(INDEX('Final Calculation Sheet'!$E$4:$E$40,$BJ16-3)="","",INDEX('Final Calculation Sheet'!$E$4:$E$40,$BJ16-3)),IF(OR($BI16=1,$BL16=1,$BH16&gt;0),"–",""))</f>
        <v/>
      </c>
      <c r="H17" s="70">
        <f>IF($BJ16&gt;0,IF(INDEX('Final Calculation Sheet'!$C$4:$C$40,$BJ16-3)="","",INDEX('Final Calculation Sheet'!$C$4:$C$40,$BJ16-3)),IF(OR($BI16=1,$BL16=1,$BH16&gt;0),"–",""))</f>
        <v/>
      </c>
      <c r="I17" s="70">
        <f>IF($BJ16&gt;0,IF(INDEX('Final Calculation Sheet'!$H$4:$H$40,$BJ16-3)="","",INDEX('Final Calculation Sheet'!$H$4:$H$40,$BJ16-3)),IF(OR($BI16=1,$BL16=1,$BH16&gt;0),IF($BI16=1,SUM('Final Calculation Sheet'!$H$4:$H$40),IF($BL16=1,SUM('Final Calculation Sheet'!$H$4:$H$40)-SUMIFS('Final Calculation Sheet'!$H$4:$H$40,$AZ$5:$AZ$41,10),SUMIFS('Final Calculation Sheet'!$H$4:$H$40,$AZ$5:$AZ$41,$BH16))),""))</f>
        <v/>
      </c>
      <c r="J17" s="70">
        <f>IF($BJ16&gt;0,IF(INDEX('Final Calculation Sheet'!$I$4:$I$40,$BJ16-3)="","",INDEX('Final Calculation Sheet'!$I$4:$I$40,$BJ16-3)),IF(OR($BI16=1,$BL16=1,$BH16&gt;0),IF($BI16=1,SUM('Final Calculation Sheet'!$I$4:$I$40),IF($BL16=1,SUM('Final Calculation Sheet'!$I$4:$I$40)-SUMIFS('Final Calculation Sheet'!$I$4:$I$40,$AZ$5:$AZ$41,10),SUMIFS('Final Calculation Sheet'!$I$4:$I$40,$AZ$5:$AZ$41,$BH16))),""))</f>
        <v/>
      </c>
      <c r="K17" s="70">
        <f>IF($BJ16&gt;0,IF(INDEX('Final Calculation Sheet'!$J$4:$J$40,$BJ16-3)="","",INDEX('Final Calculation Sheet'!$J$4:$J$40,$BJ16-3)),IF(OR($BI16=1,$BL16=1,$BH16&gt;0),IF($BI16=1,SUM('Final Calculation Sheet'!$J$4:$J$40),IF($BL16=1,SUM('Final Calculation Sheet'!$J$4:$J$40)-SUMIFS('Final Calculation Sheet'!$J$4:$J$40,$AZ$5:$AZ$41,10),SUMIFS('Final Calculation Sheet'!$J$4:$J$40,$AZ$5:$AZ$41,$BH16))),""))</f>
        <v/>
      </c>
      <c r="L17" s="70">
        <f>IF($BJ16&gt;0,IF(INDEX('Final Calculation Sheet'!$K$4:$K$40,$BJ16-3)="","",INDEX('Final Calculation Sheet'!$K$4:$K$40,$BJ16-3)),IF(OR($BI16=1,$BL16=1,$BH16&gt;0),IF($BI16=1,SUM('Final Calculation Sheet'!$K$4:$K$40),IF($BL16=1,SUM('Final Calculation Sheet'!$K$4:$K$40)-SUMIFS('Final Calculation Sheet'!$K$4:$K$40,$AZ$5:$AZ$41,10),SUMIFS('Final Calculation Sheet'!$K$4:$K$40,$AZ$5:$AZ$41,$BH16))),""))</f>
        <v/>
      </c>
      <c r="M17" s="70">
        <f>IF($BJ16&gt;0,IF(INDEX('Final Calculation Sheet'!$L$4:$L$40,$BJ16-3)="","",INDEX('Final Calculation Sheet'!$L$4:$L$40,$BJ16-3)),IF(OR($BI16=1,$BL16=1,$BH16&gt;0),IF($BI16=1,SUM('Final Calculation Sheet'!$L$4:$L$40),IF($BL16=1,SUM('Final Calculation Sheet'!$L$4:$L$40)-SUMIFS('Final Calculation Sheet'!$L$4:$L$40,$AZ$5:$AZ$41,10),SUMIFS('Final Calculation Sheet'!$L$4:$L$40,$AZ$5:$AZ$41,$BH16))),""))</f>
        <v/>
      </c>
      <c r="N17" s="70">
        <f>IF($BJ16&gt;0,IF(INDEX('Final Calculation Sheet'!$M$4:$M$40,$BJ16-3)="","",INDEX('Final Calculation Sheet'!$M$4:$M$40,$BJ16-3)),IF(OR($BI16=1,$BL16=1,$BH16&gt;0),IF($BI16=1,SUM('Final Calculation Sheet'!$M$4:$M$40),IF($BL16=1,SUM('Final Calculation Sheet'!$M$4:$M$40)-SUMIFS('Final Calculation Sheet'!$M$4:$M$40,$AZ$5:$AZ$41,10),SUMIFS('Final Calculation Sheet'!$M$4:$M$40,$AZ$5:$AZ$41,$BH16))),""))</f>
        <v/>
      </c>
      <c r="O17" s="71">
        <f>IF($BJ16&gt;0,IF(INDEX('Final Calculation Sheet'!$N$4:$N$40,$BJ16-3)="","",INDEX('Final Calculation Sheet'!$N$4:$N$40,$BJ16-3)),IF(OR($BI16=1,$BL16=1,$BH16&gt;0),IF($BI16=1,SUM('Final Calculation Sheet'!$N$4:$N$40),IF($BL16=1,SUM('Final Calculation Sheet'!$N$4:$N$40)-SUMIFS('Final Calculation Sheet'!$N$4:$N$40,$AZ$5:$AZ$41,10),SUMIFS('Final Calculation Sheet'!$N$4:$N$40,$AZ$5:$AZ$41,$BH16))),""))</f>
        <v/>
      </c>
      <c r="P17" s="70">
        <f>IF($BJ16&gt;0,IF(INDEX('Final Calculation Sheet'!$O$4:$O$40,$BJ16-3)="","",INDEX('Final Calculation Sheet'!$O$4:$O$40,$BJ16-3)),IF(OR($BI16=1,$BL16=1,$BH16&gt;0),IF($BI16=1,SUM('Final Calculation Sheet'!$O$4:$O$40),IF($BL16=1,SUM('Final Calculation Sheet'!$O$4:$O$40)-SUMIFS('Final Calculation Sheet'!$O$4:$O$40,$AZ$5:$AZ$41,10),SUMIFS('Final Calculation Sheet'!$O$4:$O$40,$AZ$5:$AZ$41,$BH16))),""))</f>
        <v/>
      </c>
      <c r="Q17" s="70">
        <f>IF($BJ16&gt;0,IF(INDEX('Final Calculation Sheet'!$P$4:$P$40,$BJ16-3)="","",INDEX('Final Calculation Sheet'!$P$4:$P$40,$BJ16-3)),IF(OR($BI16=1,$BL16=1,$BH16&gt;0),IF($BI16=1,SUM('Final Calculation Sheet'!$P$4:$P$40),IF($BL16=1,SUM('Final Calculation Sheet'!$P$4:$P$40)-SUMIFS('Final Calculation Sheet'!$P$4:$P$40,$AZ$5:$AZ$41,10),SUMIFS('Final Calculation Sheet'!$P$4:$P$40,$AZ$5:$AZ$41,$BH16))),""))</f>
        <v/>
      </c>
      <c r="R17" s="72">
        <f>IF($BJ16&gt;0,IF(INDEX('Final Calculation Sheet'!$Q$4:$Q$40,$BJ16-3)="","",INDEX('Final Calculation Sheet'!$Q$4:$Q$40,$BJ16-3)),IF(OR($BI16=1,$BL16=1,$BH16&gt;0),"–",""))</f>
        <v/>
      </c>
      <c r="S17" s="70">
        <f>IF($BJ16&gt;0,IF(INDEX('Final Calculation Sheet'!$R$4:$R$40,$BJ16-3)="","",INDEX('Final Calculation Sheet'!$R$4:$R$40,$BJ16-3)),IF(OR($BI16=1,$BL16=1,$BH16&gt;0),IF($BI16=1,SUM('Final Calculation Sheet'!$R$4:$R$40),IF($BL16=1,SUM('Final Calculation Sheet'!$R$4:$R$40)-SUMIFS('Final Calculation Sheet'!$R$4:$R$40,$AZ$5:$AZ$41,10),SUMIFS('Final Calculation Sheet'!$R$4:$R$40,$AZ$5:$AZ$41,$BH16))),""))</f>
        <v/>
      </c>
      <c r="T17" s="70">
        <f>IF($BJ16&gt;0,IF(INDEX('Final Calculation Sheet'!$S$4:$S$40,$BJ16-3)="","",INDEX('Final Calculation Sheet'!$S$4:$S$40,$BJ16-3)),IF(OR($BI16=1,$BL16=1,$BH16&gt;0),IF($BI16=1,SUM('Final Calculation Sheet'!$S$4:$S$40),IF($BL16=1,SUM('Final Calculation Sheet'!$S$4:$S$40)-SUMIFS('Final Calculation Sheet'!$S$4:$S$40,$AZ$5:$AZ$41,10),SUMIFS('Final Calculation Sheet'!$S$4:$S$40,$AZ$5:$AZ$41,$BH16))),""))</f>
        <v/>
      </c>
      <c r="U17" s="70">
        <f>IF($BJ16&gt;0,IF(INDEX('Final Calculation Sheet'!$T$4:$T$40,$BJ16-3)="","",INDEX('Final Calculation Sheet'!$T$4:$T$40,$BJ16-3)),IF(OR($BI16=1,$BL16=1,$BH16&gt;0),IF($BI16=1,SUM('Final Calculation Sheet'!$T$4:$T$40),IF($BL16=1,SUM('Final Calculation Sheet'!$T$4:$T$40)-SUMIFS('Final Calculation Sheet'!$T$4:$T$40,$AZ$5:$AZ$41,10),SUMIFS('Final Calculation Sheet'!$T$4:$T$40,$AZ$5:$AZ$41,$BH16))),""))</f>
        <v/>
      </c>
      <c r="V17" s="73">
        <f>IF($BJ16&gt;0,IF(INDEX('Final Calculation Sheet'!$U$4:$U$40,$BJ16-3)="","",INDEX('Final Calculation Sheet'!$U$4:$U$40,$BJ16-3)),IF(OR($BI16=1,$BL16=1,$BH16&gt;0),IF($BI16=1,SUM('Final Calculation Sheet'!$U$4:$U$40),IF($BL16=1,SUM('Final Calculation Sheet'!$U$4:$U$40)-SUMIFS('Final Calculation Sheet'!$U$4:$U$40,$AZ$5:$AZ$41,10),SUMIFS('Final Calculation Sheet'!$U$4:$U$40,$AZ$5:$AZ$41,$BH16))),""))</f>
        <v/>
      </c>
      <c r="W17" s="70">
        <f>IF($BJ16&gt;0,IF(INDEX('Final Calculation Sheet'!$V$4:$V$40,$BJ16-3)="","",INDEX('Final Calculation Sheet'!$V$4:$V$40,$BJ16-3)),IF(OR($BI16=1,$BL16=1,$BH16&gt;0),"–",""))</f>
        <v/>
      </c>
      <c r="X17" s="70">
        <f>IF($BJ16&gt;0,IF(INDEX('Final Calculation Sheet'!$W$4:$W$40,$BJ16-3)="","",INDEX('Final Calculation Sheet'!$W$4:$W$40,$BJ16-3)),IF(OR($BI16=1,$BL16=1,$BH16&gt;0),IF($BI16=1,SUM('Final Calculation Sheet'!$W$4:$W$40),IF($BL16=1,SUM('Final Calculation Sheet'!$W$4:$W$40)-SUMIFS('Final Calculation Sheet'!$W$4:$W$40,$AZ$5:$AZ$41,10),SUMIFS('Final Calculation Sheet'!$W$4:$W$40,$AZ$5:$AZ$41,$BH16))),""))</f>
        <v/>
      </c>
      <c r="Y17" s="70">
        <f>IF($BJ16&gt;0,IF(INDEX('Final Calculation Sheet'!$X$4:$X$40,$BJ16-3)="","",INDEX('Final Calculation Sheet'!$X$4:$X$40,$BJ16-3)),IF(OR($BI16=1,$BL16=1,$BH16&gt;0),IF($BI16=1,SUM('Final Calculation Sheet'!$X$4:$X$40),IF($BL16=1,SUM('Final Calculation Sheet'!$X$4:$X$40)-SUMIFS('Final Calculation Sheet'!$X$4:$X$40,$AZ$5:$AZ$41,10),SUMIFS('Final Calculation Sheet'!$X$4:$X$40,$AZ$5:$AZ$41,$BH16))),""))</f>
        <v/>
      </c>
      <c r="Z17" s="70">
        <f>IF($BJ16&gt;0,IF(INDEX('Final Calculation Sheet'!$Y$4:$Y$40,$BJ16-3)="","",INDEX('Final Calculation Sheet'!$Y$4:$Y$40,$BJ16-3)),IF(OR($BI16=1,$BL16=1,$BH16&gt;0),"–",""))</f>
        <v/>
      </c>
      <c r="AA17" s="70">
        <f>IF($BJ16&gt;0,IF(INDEX('Final Calculation Sheet'!$Z$4:$Z$40,$BJ16-3)="","",INDEX('Final Calculation Sheet'!$Z$4:$Z$40,$BJ16-3)),IF(OR($BI16=1,$BL16=1,$BH16&gt;0),IF($BI16=1,SUM('Final Calculation Sheet'!$Z$4:$Z$40),IF($BL16=1,SUM('Final Calculation Sheet'!$Z$4:$Z$40)-SUMIFS('Final Calculation Sheet'!$Z$4:$Z$40,$AZ$5:$AZ$41,10),SUMIFS('Final Calculation Sheet'!$Z$4:$Z$40,$AZ$5:$AZ$41,$BH16))),""))</f>
        <v/>
      </c>
      <c r="AB17" s="70">
        <f>IF($BJ16&gt;0,IF(INDEX('Final Calculation Sheet'!$AA$4:$AA$40,$BJ16-3)="","",INDEX('Final Calculation Sheet'!$AA$4:$AA$40,$BJ16-3)),IF(OR($BI16=1,$BL16=1,$BH16&gt;0),IF($BI16=1,SUM('Final Calculation Sheet'!$AA$4:$AA$40),IF($BL16=1,SUM('Final Calculation Sheet'!$AA$4:$AA$40)-SUMIFS('Final Calculation Sheet'!$AA$4:$AA$40,$AZ$5:$AZ$41,10),SUMIFS('Final Calculation Sheet'!$AA$4:$AA$40,$AZ$5:$AZ$41,$BH16))),""))</f>
        <v/>
      </c>
      <c r="AC17" s="70">
        <f>IF($BJ16&gt;0,IF(INDEX('Final Calculation Sheet'!$AB$4:$AB$40,$BJ16-3)="","",INDEX('Final Calculation Sheet'!$AB$4:$AB$40,$BJ16-3)),IF(OR($BI16=1,$BL16=1,$BH16&gt;0),"–",""))</f>
        <v/>
      </c>
      <c r="AD17" s="70">
        <f>IF($BJ16&gt;0,IF(INDEX('Final Calculation Sheet'!$AC$4:$AC$40,$BJ16-3)="","",INDEX('Final Calculation Sheet'!$AC$4:$AC$40,$BJ16-3)),IF(OR($BI16=1,$BL16=1,$BH16&gt;0),IF($BI16=1,SUM('Final Calculation Sheet'!$AC$4:$AC$40),IF($BL16=1,SUM('Final Calculation Sheet'!$AC$4:$AC$40)-SUMIFS('Final Calculation Sheet'!$AC$4:$AC$40,$AZ$5:$AZ$41,10),SUMIFS('Final Calculation Sheet'!$AC$4:$AC$40,$AZ$5:$AZ$41,$BH16))),""))</f>
        <v/>
      </c>
      <c r="AE17" s="70">
        <f>IF($BJ16&gt;0,IF(INDEX('Final Calculation Sheet'!$AD$4:$AD$40,$BJ16-3)="","",INDEX('Final Calculation Sheet'!$AD$4:$AD$40,$BJ16-3)),IF(OR($BI16=1,$BL16=1,$BH16&gt;0),IF($BI16=1,SUM('Final Calculation Sheet'!$AD$4:$AD$40),IF($BL16=1,SUM('Final Calculation Sheet'!$AD$4:$AD$40)-SUMIFS('Final Calculation Sheet'!$AD$4:$AD$40,$AZ$5:$AZ$41,10),SUMIFS('Final Calculation Sheet'!$AD$4:$AD$40,$AZ$5:$AZ$41,$BH16))),""))</f>
        <v/>
      </c>
      <c r="AF17" s="70">
        <f>IF($BJ16&gt;0,IF(INDEX('Final Calculation Sheet'!$AE$4:$AE$40,$BJ16-3)="","",INDEX('Final Calculation Sheet'!$AE$4:$AE$40,$BJ16-3)),IF(OR($BI16=1,$BL16=1,$BH16&gt;0),"–",""))</f>
        <v/>
      </c>
      <c r="AG17" s="74">
        <f>IF($BJ16&gt;0,IF(INDEX('Final Calculation Sheet'!$AF$4:$AF$40,$BJ16-3)="","",INDEX('Final Calculation Sheet'!$AF$4:$AF$40,$BJ16-3)),IF(OR($BI16=1,$BL16=1,$BH16&gt;0),"–",""))</f>
        <v/>
      </c>
      <c r="AH17" s="70">
        <f>IF($BJ16&gt;0,IF(INDEX('Final Calculation Sheet'!$AG$4:$AG$40,$BJ16-3)="","",INDEX('Final Calculation Sheet'!$AG$4:$AG$40,$BJ16-3)),IF(OR($BI16=1,$BL16=1,$BH16&gt;0),"–",""))</f>
        <v/>
      </c>
      <c r="AI17" s="75">
        <f>IF($BJ16&gt;0,IF(INDEX('Final Calculation Sheet'!$AD$4:$AD$40,$BJ16-3)="","",IF(INDEX('Final Calculation Sheet'!$AD$4:$AD$40,$BJ16-3)&lt;=0,"SETTLED","OUTSTANDING")),IF(OR($BI16=1,$BL16=1,$BH16&gt;0),IF(IF($BI16=1,SUM('Final Calculation Sheet'!$AD$4:$AD$40),IF($BL16=1,SUM('Final Calculation Sheet'!$AD$4:$AD$40)-SUMIFS('Final Calculation Sheet'!$AD$4:$AD$40,$AZ$5:$AZ$41,10),SUMIFS('Final Calculation Sheet'!$AD$4:$AD$40,$AZ$5:$AZ$41,$BH16)))&lt;=0,"ALL SETTLED","OUTSTANDING"),""))</f>
        <v/>
      </c>
      <c r="AK17">
        <f>IF($F$3="Lot No.",'Final Calculation Sheet'!$F$16,IF($F$3="Buyer",'Final Calculation Sheet'!$G$16,IF($F$3="Lot Name",'Final Calculation Sheet'!$B$16,IF($F$3="Bid Sheet",'Final Calculation Sheet'!$D$16,IF($F$3="Unit",'Final Calculation Sheet'!$E$16,'Final Calculation Sheet'!$F$16&amp;" "&amp;'Final Calculation Sheet'!$G$16&amp;" "&amp;'Final Calculation Sheet'!$B$16)))))</f>
        <v/>
      </c>
      <c r="AM17">
        <f>IF(COUNTIF($BM17:$CU17,0)&gt;0,0,IF($B$3="",1,IF(AND(IF(COUNTIF($AR$9:$AY$9,1)=0,TRUE,SUMPRODUCT(($AR$9:$AY$9=1)*($AR$6:$AY$6&lt;&gt;"")*ISNUMBER(SEARCH($AR$6:$AY$6,$AK17)))&gt;0),IF(COUNTIF($AR$9:$AY$9,2)=0,TRUE,SUMPRODUCT(($AR$9:$AY$9=2)*($AR$6:$AY$6&lt;&gt;"")*ISNUMBER(SEARCH($AR$6:$AY$6,$AK17)))&gt;0),IF(COUNTIF($AR$9:$AY$9,3)=0,TRUE,SUMPRODUCT(($AR$9:$AY$9=3)*($AR$6:$AY$6&lt;&gt;"")*ISNUMBER(SEARCH($AR$6:$AY$6,$AK17)))&gt;0),IF(COUNTIF($AR$9:$AY$9,4)=0,TRUE,SUMPRODUCT(($AR$9:$AY$9=4)*($AR$6:$AY$6&lt;&gt;"")*ISNUMBER(SEARCH($AR$6:$AY$6,$AK17)))&gt;0),IF(COUNTIF($AR$9:$AY$9,5)=0,TRUE,SUMPRODUCT(($AR$9:$AY$9=5)*($AR$6:$AY$6&lt;&gt;"")*ISNUMBER(SEARCH($AR$6:$AY$6,$AK17)))&gt;0),IF(COUNTIF($AR$9:$AY$9,6)=0,TRUE,SUMPRODUCT(($AR$9:$AY$9=6)*($AR$6:$AY$6&lt;&gt;"")*ISNUMBER(SEARCH($AR$6:$AY$6,$AK17)))&gt;0),IF(COUNTIF($AR$9:$AY$9,7)=0,TRUE,SUMPRODUCT(($AR$9:$AY$9=7)*($AR$6:$AY$6&lt;&gt;"")*ISNUMBER(SEARCH($AR$6:$AY$6,$AK17)))&gt;0),IF(COUNTIF($AR$9:$AY$9,8)=0,TRUE,SUMPRODUCT(($AR$9:$AY$9=8)*($AR$6:$AY$6&lt;&gt;"")*ISNUMBER(SEARCH($AR$6:$AY$6,$AK17)))&gt;0)),1,0)))</f>
        <v/>
      </c>
      <c r="AZ17">
        <f>IF($B$3="",IF(COUNTIF($A$4:$AI$4,"&lt;&gt;")=0,9,IF($AM17=1,9,10)),IF($AM17=0,10,IF(AND($AR$6&lt;&gt;"",ISNUMBER(SEARCH($AR$6,$AK17))),1,IF(AND($AS$6&lt;&gt;"",ISNUMBER(SEARCH($AS$6,$AK17))),2,IF(AND($AT$6&lt;&gt;"",ISNUMBER(SEARCH($AT$6,$AK17))),3,IF(AND($AU$6&lt;&gt;"",ISNUMBER(SEARCH($AU$6,$AK17))),4,IF(AND($AV$6&lt;&gt;"",ISNUMBER(SEARCH($AV$6,$AK17))),5,IF(AND($AW$6&lt;&gt;"",ISNUMBER(SEARCH($AW$6,$AK17))),6,IF(AND($AX$6&lt;&gt;"",ISNUMBER(SEARCH($AX$6,$AK17))),7,IF(AND($AY$6&lt;&gt;"",ISNUMBER(SEARCH($AY$6,$AK17))),8,0))))))))))</f>
        <v/>
      </c>
      <c r="BA17">
        <f>SUMPRODUCT(($AZ$5:$AZ$41=$AZ17)*($BC$5:$BC$41&lt;$BC17))+1</f>
        <v/>
      </c>
      <c r="BB17">
        <f>IF(INDEX($BF$4:$BF$13,$AZ17)=0,0,INDEX($BE$4:$BE$13,$AZ17)+$BA17-1)</f>
        <v/>
      </c>
      <c r="BC17" t="n">
        <v>16</v>
      </c>
      <c r="BH17">
        <f>IFERROR(MATCH(17,$BF$4:$BF$13,0),0)</f>
        <v/>
      </c>
      <c r="BI17">
        <f>IF(17=$BG$5,1,0)</f>
        <v/>
      </c>
      <c r="BJ17">
        <f>IF(OR($BH17&gt;0,$BI17=1,$BL17=1),0,IFERROR(INDEX($BC$5:$BC$41,MATCH(17,$BB$5:$BB$41,0)),0))</f>
        <v/>
      </c>
      <c r="BK17">
        <f>IF($BJ17&gt;0,IF(INDEX($AZ$5:$AZ$41,MATCH(17,$BB$5:$BB$41,0))=10,1,0),IF($BH17=10,1,0))</f>
        <v/>
      </c>
      <c r="BL17">
        <f>IF(17=$BG$4,1,0)</f>
        <v/>
      </c>
      <c r="BM1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7">
        <f>IF($B$4="",1,--(OR(SUMPRODUCT(--(TRIM(MID(SUBSTITUTE(SUBSTITUTE($B$4,"/",","),",",REPT(" ",99)),(ROW($1:$8)-1)*99+1,99))&lt;&gt;""),--ISNUMBER(SEARCH(TRIM(MID(SUBSTITUTE(SUBSTITUTE($B$4,"/",","),",",REPT(" ",99)),(ROW($1:$8)-1)*99+1,99)),IFERROR(('Final Calculation Sheet'!$F$16)&amp;"",""))))&gt;0,AND(ISNUMBER(SEARCH("blank",$B$4)),NOT(ISNUMBER(SEARCH("nonblank",$B$4))),IFERROR(('Final Calculation Sheet'!$F$16)&amp;"","")=""),AND(OR(ISNUMBER(SEARCH("nonblank",$B$4)),ISNUMBER(SEARCH("&lt;&gt;",$B$4))),IFERROR(('Final Calculation Sheet'!$F$16)&amp;"","")&lt;&gt;""),AND(TRIM($B$4)="",IFERROR(('Final Calculation Sheet'!$F$16)&amp;"","")=""))))</f>
        <v/>
      </c>
      <c r="BO17">
        <f>IF($C$4="",1,--(OR(SUMPRODUCT(--(TRIM(MID(SUBSTITUTE(SUBSTITUTE($C$4,"/",","),",",REPT(" ",99)),(ROW($1:$8)-1)*99+1,99))&lt;&gt;""),--ISNUMBER(SEARCH(TRIM(MID(SUBSTITUTE(SUBSTITUTE($C$4,"/",","),",",REPT(" ",99)),(ROW($1:$8)-1)*99+1,99)),IFERROR(('Final Calculation Sheet'!$G$16)&amp;"",""))))&gt;0,AND(ISNUMBER(SEARCH("blank",$C$4)),NOT(ISNUMBER(SEARCH("nonblank",$C$4))),IFERROR(('Final Calculation Sheet'!$G$16)&amp;"","")=""),AND(OR(ISNUMBER(SEARCH("nonblank",$C$4)),ISNUMBER(SEARCH("&lt;&gt;",$C$4))),IFERROR(('Final Calculation Sheet'!$G$16)&amp;"","")&lt;&gt;""),AND(TRIM($C$4)="",IFERROR(('Final Calculation Sheet'!$G$16)&amp;"","")=""))))</f>
        <v/>
      </c>
      <c r="BP17">
        <f>IF($D$4="",1,--(OR(SUMPRODUCT(--(TRIM(MID(SUBSTITUTE(SUBSTITUTE($D$4,"/",","),",",REPT(" ",99)),(ROW($1:$8)-1)*99+1,99))&lt;&gt;""),--ISNUMBER(SEARCH(TRIM(MID(SUBSTITUTE(SUBSTITUTE($D$4,"/",","),",",REPT(" ",99)),(ROW($1:$8)-1)*99+1,99)),IFERROR(('Final Calculation Sheet'!$B$16)&amp;"",""))))&gt;0,AND(ISNUMBER(SEARCH("blank",$D$4)),NOT(ISNUMBER(SEARCH("nonblank",$D$4))),IFERROR(('Final Calculation Sheet'!$B$16)&amp;"","")=""),AND(OR(ISNUMBER(SEARCH("nonblank",$D$4)),ISNUMBER(SEARCH("&lt;&gt;",$D$4))),IFERROR(('Final Calculation Sheet'!$B$16)&amp;"","")&lt;&gt;""),AND(TRIM($D$4)="",IFERROR(('Final Calculation Sheet'!$B$16)&amp;"","")=""))))</f>
        <v/>
      </c>
      <c r="BQ17">
        <f>IF($E$4="",1,--(OR(SUMPRODUCT(--(TRIM(MID(SUBSTITUTE(SUBSTITUTE($E$4,"/",","),",",REPT(" ",99)),(ROW($1:$8)-1)*99+1,99))&lt;&gt;""),--ISNUMBER(SEARCH(TRIM(MID(SUBSTITUTE(SUBSTITUTE($E$4,"/",","),",",REPT(" ",99)),(ROW($1:$8)-1)*99+1,99)),IFERROR(('Final Calculation Sheet'!$D$16)&amp;"",""))))&gt;0,AND(ISNUMBER(SEARCH("blank",$E$4)),NOT(ISNUMBER(SEARCH("nonblank",$E$4))),IFERROR(('Final Calculation Sheet'!$D$16)&amp;"","")=""),AND(OR(ISNUMBER(SEARCH("nonblank",$E$4)),ISNUMBER(SEARCH("&lt;&gt;",$E$4))),IFERROR(('Final Calculation Sheet'!$D$16)&amp;"","")&lt;&gt;""),AND(TRIM($E$4)="",IFERROR(('Final Calculation Sheet'!$D$16)&amp;"","")=""))))</f>
        <v/>
      </c>
      <c r="BR17">
        <f>IF($F$4="",1,--(OR(SUMPRODUCT(--(TRIM(MID(SUBSTITUTE(SUBSTITUTE($F$4,"/",","),",",REPT(" ",99)),(ROW($1:$8)-1)*99+1,99))&lt;&gt;""),--ISNUMBER(SEARCH(TRIM(MID(SUBSTITUTE(SUBSTITUTE($F$4,"/",","),",",REPT(" ",99)),(ROW($1:$8)-1)*99+1,99)),IFERROR(('Final Calculation Sheet'!$A$16)&amp;"",""))))&gt;0,AND(ISNUMBER(SEARCH("blank",$F$4)),NOT(ISNUMBER(SEARCH("nonblank",$F$4))),IFERROR(('Final Calculation Sheet'!$A$16)&amp;"","")=""),AND(OR(ISNUMBER(SEARCH("nonblank",$F$4)),ISNUMBER(SEARCH("&lt;&gt;",$F$4))),IFERROR(('Final Calculation Sheet'!$A$16)&amp;"","")&lt;&gt;""),AND(TRIM($F$4)="",IFERROR(('Final Calculation Sheet'!$A$16)&amp;"","")=""))))</f>
        <v/>
      </c>
      <c r="BS17">
        <f>IF($G$4="",1,--(OR(SUMPRODUCT(--(TRIM(MID(SUBSTITUTE(SUBSTITUTE($G$4,"/",","),",",REPT(" ",99)),(ROW($1:$8)-1)*99+1,99))&lt;&gt;""),--ISNUMBER(SEARCH(TRIM(MID(SUBSTITUTE(SUBSTITUTE($G$4,"/",","),",",REPT(" ",99)),(ROW($1:$8)-1)*99+1,99)),IFERROR(('Final Calculation Sheet'!$E$16)&amp;"",""))))&gt;0,AND(ISNUMBER(SEARCH("blank",$G$4)),NOT(ISNUMBER(SEARCH("nonblank",$G$4))),IFERROR(('Final Calculation Sheet'!$E$16)&amp;"","")=""),AND(OR(ISNUMBER(SEARCH("nonblank",$G$4)),ISNUMBER(SEARCH("&lt;&gt;",$G$4))),IFERROR(('Final Calculation Sheet'!$E$16)&amp;"","")&lt;&gt;""),AND(TRIM($G$4)="",IFERROR(('Final Calculation Sheet'!$E$16)&amp;"","")=""))))</f>
        <v/>
      </c>
      <c r="BT17">
        <f>IF($H$4="",1,--(OR(SUMPRODUCT(--(TRIM(MID(SUBSTITUTE(SUBSTITUTE($H$4,"/",","),",",REPT(" ",99)),(ROW($1:$8)-1)*99+1,99))&lt;&gt;""),--ISNUMBER(SEARCH(TRIM(MID(SUBSTITUTE(SUBSTITUTE($H$4,"/",","),",",REPT(" ",99)),(ROW($1:$8)-1)*99+1,99)),IFERROR(('Final Calculation Sheet'!$C$16)&amp;"",""))))&gt;0,AND(ISNUMBER(SEARCH("blank",$H$4)),NOT(ISNUMBER(SEARCH("nonblank",$H$4))),IFERROR(('Final Calculation Sheet'!$C$16)&amp;"","")=""),AND(OR(ISNUMBER(SEARCH("nonblank",$H$4)),ISNUMBER(SEARCH("&lt;&gt;",$H$4))),IFERROR(('Final Calculation Sheet'!$C$16)&amp;"","")&lt;&gt;""),AND(TRIM($H$4)="",IFERROR(('Final Calculation Sheet'!$C$16)&amp;"","")=""))))</f>
        <v/>
      </c>
      <c r="BU17">
        <f>IF($I$4="",1,--(OR(SUMPRODUCT(--(TRIM(MID(SUBSTITUTE(SUBSTITUTE($I$4,"/",","),",",REPT(" ",99)),(ROW($1:$8)-1)*99+1,99))&lt;&gt;""),--ISNUMBER(SEARCH(TRIM(MID(SUBSTITUTE(SUBSTITUTE($I$4,"/",","),",",REPT(" ",99)),(ROW($1:$8)-1)*99+1,99)),IFERROR(('Final Calculation Sheet'!$H$16)&amp;"",""))))&gt;0,AND(ISNUMBER(SEARCH("blank",$I$4)),NOT(ISNUMBER(SEARCH("nonblank",$I$4))),IFERROR(('Final Calculation Sheet'!$H$16)&amp;"","")=""),AND(OR(ISNUMBER(SEARCH("nonblank",$I$4)),ISNUMBER(SEARCH("&lt;&gt;",$I$4))),IFERROR(('Final Calculation Sheet'!$H$16)&amp;"","")&lt;&gt;""),AND(TRIM($I$4)="",IFERROR(('Final Calculation Sheet'!$H$16)&amp;"","")=""))))</f>
        <v/>
      </c>
      <c r="BV17">
        <f>IF($J$4="",1,--(OR(SUMPRODUCT(--(TRIM(MID(SUBSTITUTE(SUBSTITUTE($J$4,"/",","),",",REPT(" ",99)),(ROW($1:$8)-1)*99+1,99))&lt;&gt;""),--ISNUMBER(SEARCH(TRIM(MID(SUBSTITUTE(SUBSTITUTE($J$4,"/",","),",",REPT(" ",99)),(ROW($1:$8)-1)*99+1,99)),IFERROR(('Final Calculation Sheet'!$I$16)&amp;"",""))))&gt;0,AND(ISNUMBER(SEARCH("blank",$J$4)),NOT(ISNUMBER(SEARCH("nonblank",$J$4))),IFERROR(('Final Calculation Sheet'!$I$16)&amp;"","")=""),AND(OR(ISNUMBER(SEARCH("nonblank",$J$4)),ISNUMBER(SEARCH("&lt;&gt;",$J$4))),IFERROR(('Final Calculation Sheet'!$I$16)&amp;"","")&lt;&gt;""),AND(TRIM($J$4)="",IFERROR(('Final Calculation Sheet'!$I$16)&amp;"","")=""))))</f>
        <v/>
      </c>
      <c r="BW17">
        <f>IF($K$4="",1,--(OR(SUMPRODUCT(--(TRIM(MID(SUBSTITUTE(SUBSTITUTE($K$4,"/",","),",",REPT(" ",99)),(ROW($1:$8)-1)*99+1,99))&lt;&gt;""),--ISNUMBER(SEARCH(TRIM(MID(SUBSTITUTE(SUBSTITUTE($K$4,"/",","),",",REPT(" ",99)),(ROW($1:$8)-1)*99+1,99)),IFERROR(('Final Calculation Sheet'!$J$16)&amp;"",""))))&gt;0,AND(ISNUMBER(SEARCH("blank",$K$4)),NOT(ISNUMBER(SEARCH("nonblank",$K$4))),IFERROR(('Final Calculation Sheet'!$J$16)&amp;"","")=""),AND(OR(ISNUMBER(SEARCH("nonblank",$K$4)),ISNUMBER(SEARCH("&lt;&gt;",$K$4))),IFERROR(('Final Calculation Sheet'!$J$16)&amp;"","")&lt;&gt;""),AND(TRIM($K$4)="",IFERROR(('Final Calculation Sheet'!$J$16)&amp;"","")=""))))</f>
        <v/>
      </c>
      <c r="BX17">
        <f>IF($L$4="",1,--(OR(SUMPRODUCT(--(TRIM(MID(SUBSTITUTE(SUBSTITUTE($L$4,"/",","),",",REPT(" ",99)),(ROW($1:$8)-1)*99+1,99))&lt;&gt;""),--ISNUMBER(SEARCH(TRIM(MID(SUBSTITUTE(SUBSTITUTE($L$4,"/",","),",",REPT(" ",99)),(ROW($1:$8)-1)*99+1,99)),IFERROR(('Final Calculation Sheet'!$K$16)&amp;"",""))))&gt;0,AND(ISNUMBER(SEARCH("blank",$L$4)),NOT(ISNUMBER(SEARCH("nonblank",$L$4))),IFERROR(('Final Calculation Sheet'!$K$16)&amp;"","")=""),AND(OR(ISNUMBER(SEARCH("nonblank",$L$4)),ISNUMBER(SEARCH("&lt;&gt;",$L$4))),IFERROR(('Final Calculation Sheet'!$K$16)&amp;"","")&lt;&gt;""),AND(TRIM($L$4)="",IFERROR(('Final Calculation Sheet'!$K$16)&amp;"","")=""))))</f>
        <v/>
      </c>
      <c r="BY17">
        <f>IF($M$4="",1,--(OR(SUMPRODUCT(--(TRIM(MID(SUBSTITUTE(SUBSTITUTE($M$4,"/",","),",",REPT(" ",99)),(ROW($1:$8)-1)*99+1,99))&lt;&gt;""),--ISNUMBER(SEARCH(TRIM(MID(SUBSTITUTE(SUBSTITUTE($M$4,"/",","),",",REPT(" ",99)),(ROW($1:$8)-1)*99+1,99)),IFERROR(('Final Calculation Sheet'!$L$16)&amp;"",""))))&gt;0,AND(ISNUMBER(SEARCH("blank",$M$4)),NOT(ISNUMBER(SEARCH("nonblank",$M$4))),IFERROR(('Final Calculation Sheet'!$L$16)&amp;"","")=""),AND(OR(ISNUMBER(SEARCH("nonblank",$M$4)),ISNUMBER(SEARCH("&lt;&gt;",$M$4))),IFERROR(('Final Calculation Sheet'!$L$16)&amp;"","")&lt;&gt;""),AND(TRIM($M$4)="",IFERROR(('Final Calculation Sheet'!$L$16)&amp;"","")=""))))</f>
        <v/>
      </c>
      <c r="BZ17">
        <f>IF($N$4="",1,--(OR(SUMPRODUCT(--(TRIM(MID(SUBSTITUTE(SUBSTITUTE($N$4,"/",","),",",REPT(" ",99)),(ROW($1:$8)-1)*99+1,99))&lt;&gt;""),--ISNUMBER(SEARCH(TRIM(MID(SUBSTITUTE(SUBSTITUTE($N$4,"/",","),",",REPT(" ",99)),(ROW($1:$8)-1)*99+1,99)),IFERROR(('Final Calculation Sheet'!$M$16)&amp;"",""))))&gt;0,AND(ISNUMBER(SEARCH("blank",$N$4)),NOT(ISNUMBER(SEARCH("nonblank",$N$4))),IFERROR(('Final Calculation Sheet'!$M$16)&amp;"","")=""),AND(OR(ISNUMBER(SEARCH("nonblank",$N$4)),ISNUMBER(SEARCH("&lt;&gt;",$N$4))),IFERROR(('Final Calculation Sheet'!$M$16)&amp;"","")&lt;&gt;""),AND(TRIM($N$4)="",IFERROR(('Final Calculation Sheet'!$M$16)&amp;"","")=""))))</f>
        <v/>
      </c>
      <c r="CA17">
        <f>IF($O$4="",1,--(OR(SUMPRODUCT(--(TRIM(MID(SUBSTITUTE(SUBSTITUTE($O$4,"/",","),",",REPT(" ",99)),(ROW($1:$8)-1)*99+1,99))&lt;&gt;""),--ISNUMBER(SEARCH(TRIM(MID(SUBSTITUTE(SUBSTITUTE($O$4,"/",","),",",REPT(" ",99)),(ROW($1:$8)-1)*99+1,99)),IFERROR(('Final Calculation Sheet'!$N$16)&amp;"",""))))&gt;0,AND(ISNUMBER(SEARCH("blank",$O$4)),NOT(ISNUMBER(SEARCH("nonblank",$O$4))),IFERROR(('Final Calculation Sheet'!$N$16)&amp;"","")=""),AND(OR(ISNUMBER(SEARCH("nonblank",$O$4)),ISNUMBER(SEARCH("&lt;&gt;",$O$4))),IFERROR(('Final Calculation Sheet'!$N$16)&amp;"","")&lt;&gt;""),AND(TRIM($O$4)="",IFERROR(('Final Calculation Sheet'!$N$16)&amp;"","")=""))))</f>
        <v/>
      </c>
      <c r="CB17">
        <f>IF($P$4="",1,--(OR(SUMPRODUCT(--(TRIM(MID(SUBSTITUTE(SUBSTITUTE($P$4,"/",","),",",REPT(" ",99)),(ROW($1:$8)-1)*99+1,99))&lt;&gt;""),--ISNUMBER(SEARCH(TRIM(MID(SUBSTITUTE(SUBSTITUTE($P$4,"/",","),",",REPT(" ",99)),(ROW($1:$8)-1)*99+1,99)),IFERROR(('Final Calculation Sheet'!$O$16)&amp;"",""))))&gt;0,AND(ISNUMBER(SEARCH("blank",$P$4)),NOT(ISNUMBER(SEARCH("nonblank",$P$4))),IFERROR(('Final Calculation Sheet'!$O$16)&amp;"","")=""),AND(OR(ISNUMBER(SEARCH("nonblank",$P$4)),ISNUMBER(SEARCH("&lt;&gt;",$P$4))),IFERROR(('Final Calculation Sheet'!$O$16)&amp;"","")&lt;&gt;""),AND(TRIM($P$4)="",IFERROR(('Final Calculation Sheet'!$O$16)&amp;"","")=""))))</f>
        <v/>
      </c>
      <c r="CC17">
        <f>IF($Q$4="",1,--(OR(SUMPRODUCT(--(TRIM(MID(SUBSTITUTE(SUBSTITUTE($Q$4,"/",","),",",REPT(" ",99)),(ROW($1:$8)-1)*99+1,99))&lt;&gt;""),--ISNUMBER(SEARCH(TRIM(MID(SUBSTITUTE(SUBSTITUTE($Q$4,"/",","),",",REPT(" ",99)),(ROW($1:$8)-1)*99+1,99)),IFERROR(('Final Calculation Sheet'!$P$16)&amp;"",""))))&gt;0,AND(ISNUMBER(SEARCH("blank",$Q$4)),NOT(ISNUMBER(SEARCH("nonblank",$Q$4))),IFERROR(('Final Calculation Sheet'!$P$16)&amp;"","")=""),AND(OR(ISNUMBER(SEARCH("nonblank",$Q$4)),ISNUMBER(SEARCH("&lt;&gt;",$Q$4))),IFERROR(('Final Calculation Sheet'!$P$16)&amp;"","")&lt;&gt;""),AND(TRIM($Q$4)="",IFERROR(('Final Calculation Sheet'!$P$16)&amp;"","")=""))))</f>
        <v/>
      </c>
      <c r="CD17">
        <f>IF($R$4="",1,--(OR(SUMPRODUCT(--(TRIM(MID(SUBSTITUTE(SUBSTITUTE($R$4,"/",","),",",REPT(" ",99)),(ROW($1:$8)-1)*99+1,99))&lt;&gt;""),--ISNUMBER(SEARCH(TRIM(MID(SUBSTITUTE(SUBSTITUTE($R$4,"/",","),",",REPT(" ",99)),(ROW($1:$8)-1)*99+1,99)),IFERROR(('Final Calculation Sheet'!$Q$16)&amp;"",""))))&gt;0,AND(ISNUMBER(SEARCH("blank",$R$4)),NOT(ISNUMBER(SEARCH("nonblank",$R$4))),IFERROR(('Final Calculation Sheet'!$Q$16)&amp;"","")=""),AND(OR(ISNUMBER(SEARCH("nonblank",$R$4)),ISNUMBER(SEARCH("&lt;&gt;",$R$4))),IFERROR(('Final Calculation Sheet'!$Q$16)&amp;"","")&lt;&gt;""),AND(TRIM($R$4)="",IFERROR(('Final Calculation Sheet'!$Q$16)&amp;"","")=""))))</f>
        <v/>
      </c>
      <c r="CE17">
        <f>IF($S$4="",1,--(OR(SUMPRODUCT(--(TRIM(MID(SUBSTITUTE(SUBSTITUTE($S$4,"/",","),",",REPT(" ",99)),(ROW($1:$8)-1)*99+1,99))&lt;&gt;""),--ISNUMBER(SEARCH(TRIM(MID(SUBSTITUTE(SUBSTITUTE($S$4,"/",","),",",REPT(" ",99)),(ROW($1:$8)-1)*99+1,99)),IFERROR(('Final Calculation Sheet'!$R$16)&amp;"",""))))&gt;0,AND(ISNUMBER(SEARCH("blank",$S$4)),NOT(ISNUMBER(SEARCH("nonblank",$S$4))),IFERROR(('Final Calculation Sheet'!$R$16)&amp;"","")=""),AND(OR(ISNUMBER(SEARCH("nonblank",$S$4)),ISNUMBER(SEARCH("&lt;&gt;",$S$4))),IFERROR(('Final Calculation Sheet'!$R$16)&amp;"","")&lt;&gt;""),AND(TRIM($S$4)="",IFERROR(('Final Calculation Sheet'!$R$16)&amp;"","")=""))))</f>
        <v/>
      </c>
      <c r="CF17">
        <f>IF($T$4="",1,--(OR(SUMPRODUCT(--(TRIM(MID(SUBSTITUTE(SUBSTITUTE($T$4,"/",","),",",REPT(" ",99)),(ROW($1:$8)-1)*99+1,99))&lt;&gt;""),--ISNUMBER(SEARCH(TRIM(MID(SUBSTITUTE(SUBSTITUTE($T$4,"/",","),",",REPT(" ",99)),(ROW($1:$8)-1)*99+1,99)),IFERROR(('Final Calculation Sheet'!$S$16)&amp;"",""))))&gt;0,AND(ISNUMBER(SEARCH("blank",$T$4)),NOT(ISNUMBER(SEARCH("nonblank",$T$4))),IFERROR(('Final Calculation Sheet'!$S$16)&amp;"","")=""),AND(OR(ISNUMBER(SEARCH("nonblank",$T$4)),ISNUMBER(SEARCH("&lt;&gt;",$T$4))),IFERROR(('Final Calculation Sheet'!$S$16)&amp;"","")&lt;&gt;""),AND(TRIM($T$4)="",IFERROR(('Final Calculation Sheet'!$S$16)&amp;"","")=""))))</f>
        <v/>
      </c>
      <c r="CG17">
        <f>IF($U$4="",1,--(OR(SUMPRODUCT(--(TRIM(MID(SUBSTITUTE(SUBSTITUTE($U$4,"/",","),",",REPT(" ",99)),(ROW($1:$8)-1)*99+1,99))&lt;&gt;""),--ISNUMBER(SEARCH(TRIM(MID(SUBSTITUTE(SUBSTITUTE($U$4,"/",","),",",REPT(" ",99)),(ROW($1:$8)-1)*99+1,99)),IFERROR(('Final Calculation Sheet'!$T$16)&amp;"",""))))&gt;0,AND(ISNUMBER(SEARCH("blank",$U$4)),NOT(ISNUMBER(SEARCH("nonblank",$U$4))),IFERROR(('Final Calculation Sheet'!$T$16)&amp;"","")=""),AND(OR(ISNUMBER(SEARCH("nonblank",$U$4)),ISNUMBER(SEARCH("&lt;&gt;",$U$4))),IFERROR(('Final Calculation Sheet'!$T$16)&amp;"","")&lt;&gt;""),AND(TRIM($U$4)="",IFERROR(('Final Calculation Sheet'!$T$16)&amp;"","")=""))))</f>
        <v/>
      </c>
      <c r="CH17">
        <f>IF($V$4="",1,--(OR(SUMPRODUCT(--(TRIM(MID(SUBSTITUTE(SUBSTITUTE($V$4,"/",","),",",REPT(" ",99)),(ROW($1:$8)-1)*99+1,99))&lt;&gt;""),--ISNUMBER(SEARCH(TRIM(MID(SUBSTITUTE(SUBSTITUTE($V$4,"/",","),",",REPT(" ",99)),(ROW($1:$8)-1)*99+1,99)),IFERROR(('Final Calculation Sheet'!$U$16)&amp;"",""))))&gt;0,AND(ISNUMBER(SEARCH("blank",$V$4)),NOT(ISNUMBER(SEARCH("nonblank",$V$4))),IFERROR(('Final Calculation Sheet'!$U$16)&amp;"","")=""),AND(OR(ISNUMBER(SEARCH("nonblank",$V$4)),ISNUMBER(SEARCH("&lt;&gt;",$V$4))),IFERROR(('Final Calculation Sheet'!$U$16)&amp;"","")&lt;&gt;""),AND(TRIM($V$4)="",IFERROR(('Final Calculation Sheet'!$U$16)&amp;"","")=""))))</f>
        <v/>
      </c>
      <c r="CI17">
        <f>IF($W$4="",1,--(OR(SUMPRODUCT(--(TRIM(MID(SUBSTITUTE(SUBSTITUTE($W$4,"/",","),",",REPT(" ",99)),(ROW($1:$8)-1)*99+1,99))&lt;&gt;""),--ISNUMBER(SEARCH(TRIM(MID(SUBSTITUTE(SUBSTITUTE($W$4,"/",","),",",REPT(" ",99)),(ROW($1:$8)-1)*99+1,99)),IFERROR(('Final Calculation Sheet'!$V$16)&amp;"",""))))&gt;0,AND(ISNUMBER(SEARCH("blank",$W$4)),NOT(ISNUMBER(SEARCH("nonblank",$W$4))),IFERROR(('Final Calculation Sheet'!$V$16)&amp;"","")=""),AND(OR(ISNUMBER(SEARCH("nonblank",$W$4)),ISNUMBER(SEARCH("&lt;&gt;",$W$4))),IFERROR(('Final Calculation Sheet'!$V$16)&amp;"","")&lt;&gt;""),AND(TRIM($W$4)="",IFERROR(('Final Calculation Sheet'!$V$16)&amp;"","")=""))))</f>
        <v/>
      </c>
      <c r="CJ17">
        <f>IF($X$4="",1,--(OR(SUMPRODUCT(--(TRIM(MID(SUBSTITUTE(SUBSTITUTE($X$4,"/",","),",",REPT(" ",99)),(ROW($1:$8)-1)*99+1,99))&lt;&gt;""),--ISNUMBER(SEARCH(TRIM(MID(SUBSTITUTE(SUBSTITUTE($X$4,"/",","),",",REPT(" ",99)),(ROW($1:$8)-1)*99+1,99)),IFERROR(('Final Calculation Sheet'!$W$16)&amp;"",""))))&gt;0,AND(ISNUMBER(SEARCH("blank",$X$4)),NOT(ISNUMBER(SEARCH("nonblank",$X$4))),IFERROR(('Final Calculation Sheet'!$W$16)&amp;"","")=""),AND(OR(ISNUMBER(SEARCH("nonblank",$X$4)),ISNUMBER(SEARCH("&lt;&gt;",$X$4))),IFERROR(('Final Calculation Sheet'!$W$16)&amp;"","")&lt;&gt;""),AND(TRIM($X$4)="",IFERROR(('Final Calculation Sheet'!$W$16)&amp;"","")=""))))</f>
        <v/>
      </c>
      <c r="CK17">
        <f>IF($Y$4="",1,--(OR(SUMPRODUCT(--(TRIM(MID(SUBSTITUTE(SUBSTITUTE($Y$4,"/",","),",",REPT(" ",99)),(ROW($1:$8)-1)*99+1,99))&lt;&gt;""),--ISNUMBER(SEARCH(TRIM(MID(SUBSTITUTE(SUBSTITUTE($Y$4,"/",","),",",REPT(" ",99)),(ROW($1:$8)-1)*99+1,99)),IFERROR(('Final Calculation Sheet'!$X$16)&amp;"",""))))&gt;0,AND(ISNUMBER(SEARCH("blank",$Y$4)),NOT(ISNUMBER(SEARCH("nonblank",$Y$4))),IFERROR(('Final Calculation Sheet'!$X$16)&amp;"","")=""),AND(OR(ISNUMBER(SEARCH("nonblank",$Y$4)),ISNUMBER(SEARCH("&lt;&gt;",$Y$4))),IFERROR(('Final Calculation Sheet'!$X$16)&amp;"","")&lt;&gt;""),AND(TRIM($Y$4)="",IFERROR(('Final Calculation Sheet'!$X$16)&amp;"","")=""))))</f>
        <v/>
      </c>
      <c r="CL17">
        <f>IF($Z$4="",1,--(OR(SUMPRODUCT(--(TRIM(MID(SUBSTITUTE(SUBSTITUTE($Z$4,"/",","),",",REPT(" ",99)),(ROW($1:$8)-1)*99+1,99))&lt;&gt;""),--ISNUMBER(SEARCH(TRIM(MID(SUBSTITUTE(SUBSTITUTE($Z$4,"/",","),",",REPT(" ",99)),(ROW($1:$8)-1)*99+1,99)),IFERROR(('Final Calculation Sheet'!$Y$16)&amp;"",""))))&gt;0,AND(ISNUMBER(SEARCH("blank",$Z$4)),NOT(ISNUMBER(SEARCH("nonblank",$Z$4))),IFERROR(('Final Calculation Sheet'!$Y$16)&amp;"","")=""),AND(OR(ISNUMBER(SEARCH("nonblank",$Z$4)),ISNUMBER(SEARCH("&lt;&gt;",$Z$4))),IFERROR(('Final Calculation Sheet'!$Y$16)&amp;"","")&lt;&gt;""),AND(TRIM($Z$4)="",IFERROR(('Final Calculation Sheet'!$Y$16)&amp;"","")=""))))</f>
        <v/>
      </c>
      <c r="CM17">
        <f>IF($AA$4="",1,--(OR(SUMPRODUCT(--(TRIM(MID(SUBSTITUTE(SUBSTITUTE($AA$4,"/",","),",",REPT(" ",99)),(ROW($1:$8)-1)*99+1,99))&lt;&gt;""),--ISNUMBER(SEARCH(TRIM(MID(SUBSTITUTE(SUBSTITUTE($AA$4,"/",","),",",REPT(" ",99)),(ROW($1:$8)-1)*99+1,99)),IFERROR(('Final Calculation Sheet'!$Z$16)&amp;"",""))))&gt;0,AND(ISNUMBER(SEARCH("blank",$AA$4)),NOT(ISNUMBER(SEARCH("nonblank",$AA$4))),IFERROR(('Final Calculation Sheet'!$Z$16)&amp;"","")=""),AND(OR(ISNUMBER(SEARCH("nonblank",$AA$4)),ISNUMBER(SEARCH("&lt;&gt;",$AA$4))),IFERROR(('Final Calculation Sheet'!$Z$16)&amp;"","")&lt;&gt;""),AND(TRIM($AA$4)="",IFERROR(('Final Calculation Sheet'!$Z$16)&amp;"","")=""))))</f>
        <v/>
      </c>
      <c r="CN17">
        <f>IF($AB$4="",1,--(OR(SUMPRODUCT(--(TRIM(MID(SUBSTITUTE(SUBSTITUTE($AB$4,"/",","),",",REPT(" ",99)),(ROW($1:$8)-1)*99+1,99))&lt;&gt;""),--ISNUMBER(SEARCH(TRIM(MID(SUBSTITUTE(SUBSTITUTE($AB$4,"/",","),",",REPT(" ",99)),(ROW($1:$8)-1)*99+1,99)),IFERROR(('Final Calculation Sheet'!$AA$16)&amp;"",""))))&gt;0,AND(ISNUMBER(SEARCH("blank",$AB$4)),NOT(ISNUMBER(SEARCH("nonblank",$AB$4))),IFERROR(('Final Calculation Sheet'!$AA$16)&amp;"","")=""),AND(OR(ISNUMBER(SEARCH("nonblank",$AB$4)),ISNUMBER(SEARCH("&lt;&gt;",$AB$4))),IFERROR(('Final Calculation Sheet'!$AA$16)&amp;"","")&lt;&gt;""),AND(TRIM($AB$4)="",IFERROR(('Final Calculation Sheet'!$AA$16)&amp;"","")=""))))</f>
        <v/>
      </c>
      <c r="CO17">
        <f>IF($AC$4="",1,--(OR(SUMPRODUCT(--(TRIM(MID(SUBSTITUTE(SUBSTITUTE($AC$4,"/",","),",",REPT(" ",99)),(ROW($1:$8)-1)*99+1,99))&lt;&gt;""),--ISNUMBER(SEARCH(TRIM(MID(SUBSTITUTE(SUBSTITUTE($AC$4,"/",","),",",REPT(" ",99)),(ROW($1:$8)-1)*99+1,99)),IFERROR(('Final Calculation Sheet'!$AB$16)&amp;"",""))))&gt;0,AND(ISNUMBER(SEARCH("blank",$AC$4)),NOT(ISNUMBER(SEARCH("nonblank",$AC$4))),IFERROR(('Final Calculation Sheet'!$AB$16)&amp;"","")=""),AND(OR(ISNUMBER(SEARCH("nonblank",$AC$4)),ISNUMBER(SEARCH("&lt;&gt;",$AC$4))),IFERROR(('Final Calculation Sheet'!$AB$16)&amp;"","")&lt;&gt;""),AND(TRIM($AC$4)="",IFERROR(('Final Calculation Sheet'!$AB$16)&amp;"","")=""))))</f>
        <v/>
      </c>
      <c r="CP17">
        <f>IF($AD$4="",1,--(OR(SUMPRODUCT(--(TRIM(MID(SUBSTITUTE(SUBSTITUTE($AD$4,"/",","),",",REPT(" ",99)),(ROW($1:$8)-1)*99+1,99))&lt;&gt;""),--ISNUMBER(SEARCH(TRIM(MID(SUBSTITUTE(SUBSTITUTE($AD$4,"/",","),",",REPT(" ",99)),(ROW($1:$8)-1)*99+1,99)),IFERROR(('Final Calculation Sheet'!$AC$16)&amp;"",""))))&gt;0,AND(ISNUMBER(SEARCH("blank",$AD$4)),NOT(ISNUMBER(SEARCH("nonblank",$AD$4))),IFERROR(('Final Calculation Sheet'!$AC$16)&amp;"","")=""),AND(OR(ISNUMBER(SEARCH("nonblank",$AD$4)),ISNUMBER(SEARCH("&lt;&gt;",$AD$4))),IFERROR(('Final Calculation Sheet'!$AC$16)&amp;"","")&lt;&gt;""),AND(TRIM($AD$4)="",IFERROR(('Final Calculation Sheet'!$AC$16)&amp;"","")=""))))</f>
        <v/>
      </c>
      <c r="CQ17">
        <f>IF($AE$4="",1,--(OR(SUMPRODUCT(--(TRIM(MID(SUBSTITUTE(SUBSTITUTE($AE$4,"/",","),",",REPT(" ",99)),(ROW($1:$8)-1)*99+1,99))&lt;&gt;""),--ISNUMBER(SEARCH(TRIM(MID(SUBSTITUTE(SUBSTITUTE($AE$4,"/",","),",",REPT(" ",99)),(ROW($1:$8)-1)*99+1,99)),IFERROR(('Final Calculation Sheet'!$AD$16)&amp;"",""))))&gt;0,AND(ISNUMBER(SEARCH("blank",$AE$4)),NOT(ISNUMBER(SEARCH("nonblank",$AE$4))),IFERROR(('Final Calculation Sheet'!$AD$16)&amp;"","")=""),AND(OR(ISNUMBER(SEARCH("nonblank",$AE$4)),ISNUMBER(SEARCH("&lt;&gt;",$AE$4))),IFERROR(('Final Calculation Sheet'!$AD$16)&amp;"","")&lt;&gt;""),AND(TRIM($AE$4)="",IFERROR(('Final Calculation Sheet'!$AD$16)&amp;"","")=""))))</f>
        <v/>
      </c>
      <c r="CR17">
        <f>IF($AF$4="",1,--(OR(SUMPRODUCT(--(TRIM(MID(SUBSTITUTE(SUBSTITUTE($AF$4,"/",","),",",REPT(" ",99)),(ROW($1:$8)-1)*99+1,99))&lt;&gt;""),--ISNUMBER(SEARCH(TRIM(MID(SUBSTITUTE(SUBSTITUTE($AF$4,"/",","),",",REPT(" ",99)),(ROW($1:$8)-1)*99+1,99)),IFERROR(('Final Calculation Sheet'!$AE$16)&amp;"",""))))&gt;0,AND(ISNUMBER(SEARCH("blank",$AF$4)),NOT(ISNUMBER(SEARCH("nonblank",$AF$4))),IFERROR(('Final Calculation Sheet'!$AE$16)&amp;"","")=""),AND(OR(ISNUMBER(SEARCH("nonblank",$AF$4)),ISNUMBER(SEARCH("&lt;&gt;",$AF$4))),IFERROR(('Final Calculation Sheet'!$AE$16)&amp;"","")&lt;&gt;""),AND(TRIM($AF$4)="",IFERROR(('Final Calculation Sheet'!$AE$16)&amp;"","")=""))))</f>
        <v/>
      </c>
      <c r="CS17">
        <f>IF($AG$4="",1,--(OR(SUMPRODUCT(--(TRIM(MID(SUBSTITUTE(SUBSTITUTE($AG$4,"/",","),",",REPT(" ",99)),(ROW($1:$8)-1)*99+1,99))&lt;&gt;""),--ISNUMBER(SEARCH(TRIM(MID(SUBSTITUTE(SUBSTITUTE($AG$4,"/",","),",",REPT(" ",99)),(ROW($1:$8)-1)*99+1,99)),IFERROR(('Final Calculation Sheet'!$AF$16)&amp;"",""))))&gt;0,AND(ISNUMBER(SEARCH("blank",$AG$4)),NOT(ISNUMBER(SEARCH("nonblank",$AG$4))),IFERROR(('Final Calculation Sheet'!$AF$16)&amp;"","")=""),AND(OR(ISNUMBER(SEARCH("nonblank",$AG$4)),ISNUMBER(SEARCH("&lt;&gt;",$AG$4))),IFERROR(('Final Calculation Sheet'!$AF$16)&amp;"","")&lt;&gt;""),AND(TRIM($AG$4)="",IFERROR(('Final Calculation Sheet'!$AF$16)&amp;"","")=""))))</f>
        <v/>
      </c>
      <c r="CT17">
        <f>IF($AH$4="",1,--(OR(SUMPRODUCT(--(TRIM(MID(SUBSTITUTE(SUBSTITUTE($AH$4,"/",","),",",REPT(" ",99)),(ROW($1:$8)-1)*99+1,99))&lt;&gt;""),--ISNUMBER(SEARCH(TRIM(MID(SUBSTITUTE(SUBSTITUTE($AH$4,"/",","),",",REPT(" ",99)),(ROW($1:$8)-1)*99+1,99)),IFERROR(('Final Calculation Sheet'!$AG$16)&amp;"",""))))&gt;0,AND(ISNUMBER(SEARCH("blank",$AH$4)),NOT(ISNUMBER(SEARCH("nonblank",$AH$4))),IFERROR(('Final Calculation Sheet'!$AG$16)&amp;"","")=""),AND(OR(ISNUMBER(SEARCH("nonblank",$AH$4)),ISNUMBER(SEARCH("&lt;&gt;",$AH$4))),IFERROR(('Final Calculation Sheet'!$AG$16)&amp;"","")&lt;&gt;""),AND(TRIM($AH$4)="",IFERROR(('Final Calculation Sheet'!$AG$16)&amp;"","")=""))))</f>
        <v/>
      </c>
      <c r="CU17">
        <f>IF($AI$4="",1,--(OR(SUMPRODUCT(--(TRIM(MID(SUBSTITUTE(SUBSTITUTE($AI$4,"/",","),",",REPT(" ",99)),(ROW($1:$8)-1)*99+1,99))&lt;&gt;""),--ISNUMBER(SEARCH(TRIM(MID(SUBSTITUTE(SUBSTITUTE($AI$4,"/",","),",",REPT(" ",99)),(ROW($1:$8)-1)*99+1,99)),IFERROR((IF('Final Calculation Sheet'!$AD$16&lt;=0,"SETTLED","OUTSTANDING"))&amp;"",""))))&gt;0,AND(ISNUMBER(SEARCH("blank",$AI$4)),NOT(ISNUMBER(SEARCH("nonblank",$AI$4))),IFERROR((IF('Final Calculation Sheet'!$AD$16&lt;=0,"SETTLED","OUTSTANDING"))&amp;"","")=""),AND(OR(ISNUMBER(SEARCH("nonblank",$AI$4)),ISNUMBER(SEARCH("&lt;&gt;",$AI$4))),IFERROR((IF('Final Calculation Sheet'!$AD$16&lt;=0,"SETTLED","OUTSTANDING"))&amp;"","")&lt;&gt;""),AND(TRIM($AI$4)="",IFERROR((IF('Final Calculation Sheet'!$AD$16&lt;=0,"SETTLED","OUTSTANDING"))&amp;"","")=""))))</f>
        <v/>
      </c>
    </row>
    <row r="18" ht="15" customHeight="1" s="77">
      <c r="A18" s="67">
        <f>IF($BJ17&gt;0,INDEX($BA$5:$BA$41,MATCH(17,$BB$5:$BB$41,0)),IF(OR($BI17=1,$BL17=1,$BH17&gt;0),"∑",""))</f>
        <v/>
      </c>
      <c r="B18" s="68">
        <f>IF($BJ17&gt;0,IF(INDEX('Final Calculation Sheet'!$F$4:$F$40,$BJ17-3)="","",INDEX('Final Calculation Sheet'!$F$4:$F$40,$BJ17-3)),"")</f>
        <v/>
      </c>
      <c r="C18" s="68">
        <f>IF($BJ17&gt;0,IF(INDEX('Final Calculation Sheet'!$G$4:$G$40,$BJ17-3)="","",INDEX('Final Calculation Sheet'!$G$4:$G$40,$BJ17-3)),IF(OR($BI17=1,$BL17=1,$BH17&gt;0),IF($BI17=1,37,IF($BL17=1,37-INDEX($BD$4:$BD$13,10),INDEX($BD$4:$BD$13,$BH17)))&amp;" lot(s)",""))</f>
        <v/>
      </c>
      <c r="D18" s="69">
        <f>IF($BJ17&gt;0,IF(INDEX('Final Calculation Sheet'!$B$4:$B$40,$BJ17-3)="","",INDEX('Final Calculation Sheet'!$B$4:$B$40,$BJ17-3)),IF(OR($BI17=1,$BL17=1,$BH17&gt;0),IF($BI17=1,"GRAND TOTAL  —  matching + remaining",IF($BL17=1,"TOTAL MATCHED  —  every group together",IF($BH17=10,"REMAINING  —  did not match the search",IF($BH17=9,IF(COUNTIF($A$4:$AI$4,"&lt;&gt;")&gt;0,"FILTERED LOTS  —  column fields","ALL LOTS  —  nothing typed in the box"),"GROUP "&amp;$BH17&amp;" TOTAL  —  lots matching  "&amp;INDEX($AR$6:$AY$6,$BH17))))),""))</f>
        <v/>
      </c>
      <c r="E18" s="69">
        <f>IF($BJ17&gt;0,IF(INDEX('Final Calculation Sheet'!$D$4:$D$40,$BJ17-3)="","",INDEX('Final Calculation Sheet'!$D$4:$D$40,$BJ17-3)),IF(OR($BI17=1,$BL17=1,$BH17&gt;0),"–",""))</f>
        <v/>
      </c>
      <c r="F18" s="69">
        <f>IF($BJ17&gt;0,IF(INDEX('Final Calculation Sheet'!$A$4:$A$40,$BJ17-3)="","",INDEX('Final Calculation Sheet'!$A$4:$A$40,$BJ17-3)),IF(OR($BI17=1,$BL17=1,$BH17&gt;0),IF($BI17=1,SUM('Final Calculation Sheet'!$A$4:$A$40),IF($BL17=1,SUM('Final Calculation Sheet'!$A$4:$A$40)-SUMIFS('Final Calculation Sheet'!$A$4:$A$40,$AZ$5:$AZ$41,10),SUMIFS('Final Calculation Sheet'!$A$4:$A$40,$AZ$5:$AZ$41,$BH17))),""))</f>
        <v/>
      </c>
      <c r="G18" s="69">
        <f>IF($BJ17&gt;0,IF(INDEX('Final Calculation Sheet'!$E$4:$E$40,$BJ17-3)="","",INDEX('Final Calculation Sheet'!$E$4:$E$40,$BJ17-3)),IF(OR($BI17=1,$BL17=1,$BH17&gt;0),"–",""))</f>
        <v/>
      </c>
      <c r="H18" s="70">
        <f>IF($BJ17&gt;0,IF(INDEX('Final Calculation Sheet'!$C$4:$C$40,$BJ17-3)="","",INDEX('Final Calculation Sheet'!$C$4:$C$40,$BJ17-3)),IF(OR($BI17=1,$BL17=1,$BH17&gt;0),"–",""))</f>
        <v/>
      </c>
      <c r="I18" s="70">
        <f>IF($BJ17&gt;0,IF(INDEX('Final Calculation Sheet'!$H$4:$H$40,$BJ17-3)="","",INDEX('Final Calculation Sheet'!$H$4:$H$40,$BJ17-3)),IF(OR($BI17=1,$BL17=1,$BH17&gt;0),IF($BI17=1,SUM('Final Calculation Sheet'!$H$4:$H$40),IF($BL17=1,SUM('Final Calculation Sheet'!$H$4:$H$40)-SUMIFS('Final Calculation Sheet'!$H$4:$H$40,$AZ$5:$AZ$41,10),SUMIFS('Final Calculation Sheet'!$H$4:$H$40,$AZ$5:$AZ$41,$BH17))),""))</f>
        <v/>
      </c>
      <c r="J18" s="70">
        <f>IF($BJ17&gt;0,IF(INDEX('Final Calculation Sheet'!$I$4:$I$40,$BJ17-3)="","",INDEX('Final Calculation Sheet'!$I$4:$I$40,$BJ17-3)),IF(OR($BI17=1,$BL17=1,$BH17&gt;0),IF($BI17=1,SUM('Final Calculation Sheet'!$I$4:$I$40),IF($BL17=1,SUM('Final Calculation Sheet'!$I$4:$I$40)-SUMIFS('Final Calculation Sheet'!$I$4:$I$40,$AZ$5:$AZ$41,10),SUMIFS('Final Calculation Sheet'!$I$4:$I$40,$AZ$5:$AZ$41,$BH17))),""))</f>
        <v/>
      </c>
      <c r="K18" s="70">
        <f>IF($BJ17&gt;0,IF(INDEX('Final Calculation Sheet'!$J$4:$J$40,$BJ17-3)="","",INDEX('Final Calculation Sheet'!$J$4:$J$40,$BJ17-3)),IF(OR($BI17=1,$BL17=1,$BH17&gt;0),IF($BI17=1,SUM('Final Calculation Sheet'!$J$4:$J$40),IF($BL17=1,SUM('Final Calculation Sheet'!$J$4:$J$40)-SUMIFS('Final Calculation Sheet'!$J$4:$J$40,$AZ$5:$AZ$41,10),SUMIFS('Final Calculation Sheet'!$J$4:$J$40,$AZ$5:$AZ$41,$BH17))),""))</f>
        <v/>
      </c>
      <c r="L18" s="70">
        <f>IF($BJ17&gt;0,IF(INDEX('Final Calculation Sheet'!$K$4:$K$40,$BJ17-3)="","",INDEX('Final Calculation Sheet'!$K$4:$K$40,$BJ17-3)),IF(OR($BI17=1,$BL17=1,$BH17&gt;0),IF($BI17=1,SUM('Final Calculation Sheet'!$K$4:$K$40),IF($BL17=1,SUM('Final Calculation Sheet'!$K$4:$K$40)-SUMIFS('Final Calculation Sheet'!$K$4:$K$40,$AZ$5:$AZ$41,10),SUMIFS('Final Calculation Sheet'!$K$4:$K$40,$AZ$5:$AZ$41,$BH17))),""))</f>
        <v/>
      </c>
      <c r="M18" s="70">
        <f>IF($BJ17&gt;0,IF(INDEX('Final Calculation Sheet'!$L$4:$L$40,$BJ17-3)="","",INDEX('Final Calculation Sheet'!$L$4:$L$40,$BJ17-3)),IF(OR($BI17=1,$BL17=1,$BH17&gt;0),IF($BI17=1,SUM('Final Calculation Sheet'!$L$4:$L$40),IF($BL17=1,SUM('Final Calculation Sheet'!$L$4:$L$40)-SUMIFS('Final Calculation Sheet'!$L$4:$L$40,$AZ$5:$AZ$41,10),SUMIFS('Final Calculation Sheet'!$L$4:$L$40,$AZ$5:$AZ$41,$BH17))),""))</f>
        <v/>
      </c>
      <c r="N18" s="70">
        <f>IF($BJ17&gt;0,IF(INDEX('Final Calculation Sheet'!$M$4:$M$40,$BJ17-3)="","",INDEX('Final Calculation Sheet'!$M$4:$M$40,$BJ17-3)),IF(OR($BI17=1,$BL17=1,$BH17&gt;0),IF($BI17=1,SUM('Final Calculation Sheet'!$M$4:$M$40),IF($BL17=1,SUM('Final Calculation Sheet'!$M$4:$M$40)-SUMIFS('Final Calculation Sheet'!$M$4:$M$40,$AZ$5:$AZ$41,10),SUMIFS('Final Calculation Sheet'!$M$4:$M$40,$AZ$5:$AZ$41,$BH17))),""))</f>
        <v/>
      </c>
      <c r="O18" s="71">
        <f>IF($BJ17&gt;0,IF(INDEX('Final Calculation Sheet'!$N$4:$N$40,$BJ17-3)="","",INDEX('Final Calculation Sheet'!$N$4:$N$40,$BJ17-3)),IF(OR($BI17=1,$BL17=1,$BH17&gt;0),IF($BI17=1,SUM('Final Calculation Sheet'!$N$4:$N$40),IF($BL17=1,SUM('Final Calculation Sheet'!$N$4:$N$40)-SUMIFS('Final Calculation Sheet'!$N$4:$N$40,$AZ$5:$AZ$41,10),SUMIFS('Final Calculation Sheet'!$N$4:$N$40,$AZ$5:$AZ$41,$BH17))),""))</f>
        <v/>
      </c>
      <c r="P18" s="70">
        <f>IF($BJ17&gt;0,IF(INDEX('Final Calculation Sheet'!$O$4:$O$40,$BJ17-3)="","",INDEX('Final Calculation Sheet'!$O$4:$O$40,$BJ17-3)),IF(OR($BI17=1,$BL17=1,$BH17&gt;0),IF($BI17=1,SUM('Final Calculation Sheet'!$O$4:$O$40),IF($BL17=1,SUM('Final Calculation Sheet'!$O$4:$O$40)-SUMIFS('Final Calculation Sheet'!$O$4:$O$40,$AZ$5:$AZ$41,10),SUMIFS('Final Calculation Sheet'!$O$4:$O$40,$AZ$5:$AZ$41,$BH17))),""))</f>
        <v/>
      </c>
      <c r="Q18" s="70">
        <f>IF($BJ17&gt;0,IF(INDEX('Final Calculation Sheet'!$P$4:$P$40,$BJ17-3)="","",INDEX('Final Calculation Sheet'!$P$4:$P$40,$BJ17-3)),IF(OR($BI17=1,$BL17=1,$BH17&gt;0),IF($BI17=1,SUM('Final Calculation Sheet'!$P$4:$P$40),IF($BL17=1,SUM('Final Calculation Sheet'!$P$4:$P$40)-SUMIFS('Final Calculation Sheet'!$P$4:$P$40,$AZ$5:$AZ$41,10),SUMIFS('Final Calculation Sheet'!$P$4:$P$40,$AZ$5:$AZ$41,$BH17))),""))</f>
        <v/>
      </c>
      <c r="R18" s="72">
        <f>IF($BJ17&gt;0,IF(INDEX('Final Calculation Sheet'!$Q$4:$Q$40,$BJ17-3)="","",INDEX('Final Calculation Sheet'!$Q$4:$Q$40,$BJ17-3)),IF(OR($BI17=1,$BL17=1,$BH17&gt;0),"–",""))</f>
        <v/>
      </c>
      <c r="S18" s="70">
        <f>IF($BJ17&gt;0,IF(INDEX('Final Calculation Sheet'!$R$4:$R$40,$BJ17-3)="","",INDEX('Final Calculation Sheet'!$R$4:$R$40,$BJ17-3)),IF(OR($BI17=1,$BL17=1,$BH17&gt;0),IF($BI17=1,SUM('Final Calculation Sheet'!$R$4:$R$40),IF($BL17=1,SUM('Final Calculation Sheet'!$R$4:$R$40)-SUMIFS('Final Calculation Sheet'!$R$4:$R$40,$AZ$5:$AZ$41,10),SUMIFS('Final Calculation Sheet'!$R$4:$R$40,$AZ$5:$AZ$41,$BH17))),""))</f>
        <v/>
      </c>
      <c r="T18" s="70">
        <f>IF($BJ17&gt;0,IF(INDEX('Final Calculation Sheet'!$S$4:$S$40,$BJ17-3)="","",INDEX('Final Calculation Sheet'!$S$4:$S$40,$BJ17-3)),IF(OR($BI17=1,$BL17=1,$BH17&gt;0),IF($BI17=1,SUM('Final Calculation Sheet'!$S$4:$S$40),IF($BL17=1,SUM('Final Calculation Sheet'!$S$4:$S$40)-SUMIFS('Final Calculation Sheet'!$S$4:$S$40,$AZ$5:$AZ$41,10),SUMIFS('Final Calculation Sheet'!$S$4:$S$40,$AZ$5:$AZ$41,$BH17))),""))</f>
        <v/>
      </c>
      <c r="U18" s="70">
        <f>IF($BJ17&gt;0,IF(INDEX('Final Calculation Sheet'!$T$4:$T$40,$BJ17-3)="","",INDEX('Final Calculation Sheet'!$T$4:$T$40,$BJ17-3)),IF(OR($BI17=1,$BL17=1,$BH17&gt;0),IF($BI17=1,SUM('Final Calculation Sheet'!$T$4:$T$40),IF($BL17=1,SUM('Final Calculation Sheet'!$T$4:$T$40)-SUMIFS('Final Calculation Sheet'!$T$4:$T$40,$AZ$5:$AZ$41,10),SUMIFS('Final Calculation Sheet'!$T$4:$T$40,$AZ$5:$AZ$41,$BH17))),""))</f>
        <v/>
      </c>
      <c r="V18" s="73">
        <f>IF($BJ17&gt;0,IF(INDEX('Final Calculation Sheet'!$U$4:$U$40,$BJ17-3)="","",INDEX('Final Calculation Sheet'!$U$4:$U$40,$BJ17-3)),IF(OR($BI17=1,$BL17=1,$BH17&gt;0),IF($BI17=1,SUM('Final Calculation Sheet'!$U$4:$U$40),IF($BL17=1,SUM('Final Calculation Sheet'!$U$4:$U$40)-SUMIFS('Final Calculation Sheet'!$U$4:$U$40,$AZ$5:$AZ$41,10),SUMIFS('Final Calculation Sheet'!$U$4:$U$40,$AZ$5:$AZ$41,$BH17))),""))</f>
        <v/>
      </c>
      <c r="W18" s="70">
        <f>IF($BJ17&gt;0,IF(INDEX('Final Calculation Sheet'!$V$4:$V$40,$BJ17-3)="","",INDEX('Final Calculation Sheet'!$V$4:$V$40,$BJ17-3)),IF(OR($BI17=1,$BL17=1,$BH17&gt;0),"–",""))</f>
        <v/>
      </c>
      <c r="X18" s="70">
        <f>IF($BJ17&gt;0,IF(INDEX('Final Calculation Sheet'!$W$4:$W$40,$BJ17-3)="","",INDEX('Final Calculation Sheet'!$W$4:$W$40,$BJ17-3)),IF(OR($BI17=1,$BL17=1,$BH17&gt;0),IF($BI17=1,SUM('Final Calculation Sheet'!$W$4:$W$40),IF($BL17=1,SUM('Final Calculation Sheet'!$W$4:$W$40)-SUMIFS('Final Calculation Sheet'!$W$4:$W$40,$AZ$5:$AZ$41,10),SUMIFS('Final Calculation Sheet'!$W$4:$W$40,$AZ$5:$AZ$41,$BH17))),""))</f>
        <v/>
      </c>
      <c r="Y18" s="70">
        <f>IF($BJ17&gt;0,IF(INDEX('Final Calculation Sheet'!$X$4:$X$40,$BJ17-3)="","",INDEX('Final Calculation Sheet'!$X$4:$X$40,$BJ17-3)),IF(OR($BI17=1,$BL17=1,$BH17&gt;0),IF($BI17=1,SUM('Final Calculation Sheet'!$X$4:$X$40),IF($BL17=1,SUM('Final Calculation Sheet'!$X$4:$X$40)-SUMIFS('Final Calculation Sheet'!$X$4:$X$40,$AZ$5:$AZ$41,10),SUMIFS('Final Calculation Sheet'!$X$4:$X$40,$AZ$5:$AZ$41,$BH17))),""))</f>
        <v/>
      </c>
      <c r="Z18" s="70">
        <f>IF($BJ17&gt;0,IF(INDEX('Final Calculation Sheet'!$Y$4:$Y$40,$BJ17-3)="","",INDEX('Final Calculation Sheet'!$Y$4:$Y$40,$BJ17-3)),IF(OR($BI17=1,$BL17=1,$BH17&gt;0),"–",""))</f>
        <v/>
      </c>
      <c r="AA18" s="70">
        <f>IF($BJ17&gt;0,IF(INDEX('Final Calculation Sheet'!$Z$4:$Z$40,$BJ17-3)="","",INDEX('Final Calculation Sheet'!$Z$4:$Z$40,$BJ17-3)),IF(OR($BI17=1,$BL17=1,$BH17&gt;0),IF($BI17=1,SUM('Final Calculation Sheet'!$Z$4:$Z$40),IF($BL17=1,SUM('Final Calculation Sheet'!$Z$4:$Z$40)-SUMIFS('Final Calculation Sheet'!$Z$4:$Z$40,$AZ$5:$AZ$41,10),SUMIFS('Final Calculation Sheet'!$Z$4:$Z$40,$AZ$5:$AZ$41,$BH17))),""))</f>
        <v/>
      </c>
      <c r="AB18" s="70">
        <f>IF($BJ17&gt;0,IF(INDEX('Final Calculation Sheet'!$AA$4:$AA$40,$BJ17-3)="","",INDEX('Final Calculation Sheet'!$AA$4:$AA$40,$BJ17-3)),IF(OR($BI17=1,$BL17=1,$BH17&gt;0),IF($BI17=1,SUM('Final Calculation Sheet'!$AA$4:$AA$40),IF($BL17=1,SUM('Final Calculation Sheet'!$AA$4:$AA$40)-SUMIFS('Final Calculation Sheet'!$AA$4:$AA$40,$AZ$5:$AZ$41,10),SUMIFS('Final Calculation Sheet'!$AA$4:$AA$40,$AZ$5:$AZ$41,$BH17))),""))</f>
        <v/>
      </c>
      <c r="AC18" s="70">
        <f>IF($BJ17&gt;0,IF(INDEX('Final Calculation Sheet'!$AB$4:$AB$40,$BJ17-3)="","",INDEX('Final Calculation Sheet'!$AB$4:$AB$40,$BJ17-3)),IF(OR($BI17=1,$BL17=1,$BH17&gt;0),"–",""))</f>
        <v/>
      </c>
      <c r="AD18" s="70">
        <f>IF($BJ17&gt;0,IF(INDEX('Final Calculation Sheet'!$AC$4:$AC$40,$BJ17-3)="","",INDEX('Final Calculation Sheet'!$AC$4:$AC$40,$BJ17-3)),IF(OR($BI17=1,$BL17=1,$BH17&gt;0),IF($BI17=1,SUM('Final Calculation Sheet'!$AC$4:$AC$40),IF($BL17=1,SUM('Final Calculation Sheet'!$AC$4:$AC$40)-SUMIFS('Final Calculation Sheet'!$AC$4:$AC$40,$AZ$5:$AZ$41,10),SUMIFS('Final Calculation Sheet'!$AC$4:$AC$40,$AZ$5:$AZ$41,$BH17))),""))</f>
        <v/>
      </c>
      <c r="AE18" s="70">
        <f>IF($BJ17&gt;0,IF(INDEX('Final Calculation Sheet'!$AD$4:$AD$40,$BJ17-3)="","",INDEX('Final Calculation Sheet'!$AD$4:$AD$40,$BJ17-3)),IF(OR($BI17=1,$BL17=1,$BH17&gt;0),IF($BI17=1,SUM('Final Calculation Sheet'!$AD$4:$AD$40),IF($BL17=1,SUM('Final Calculation Sheet'!$AD$4:$AD$40)-SUMIFS('Final Calculation Sheet'!$AD$4:$AD$40,$AZ$5:$AZ$41,10),SUMIFS('Final Calculation Sheet'!$AD$4:$AD$40,$AZ$5:$AZ$41,$BH17))),""))</f>
        <v/>
      </c>
      <c r="AF18" s="70">
        <f>IF($BJ17&gt;0,IF(INDEX('Final Calculation Sheet'!$AE$4:$AE$40,$BJ17-3)="","",INDEX('Final Calculation Sheet'!$AE$4:$AE$40,$BJ17-3)),IF(OR($BI17=1,$BL17=1,$BH17&gt;0),"–",""))</f>
        <v/>
      </c>
      <c r="AG18" s="74">
        <f>IF($BJ17&gt;0,IF(INDEX('Final Calculation Sheet'!$AF$4:$AF$40,$BJ17-3)="","",INDEX('Final Calculation Sheet'!$AF$4:$AF$40,$BJ17-3)),IF(OR($BI17=1,$BL17=1,$BH17&gt;0),"–",""))</f>
        <v/>
      </c>
      <c r="AH18" s="70">
        <f>IF($BJ17&gt;0,IF(INDEX('Final Calculation Sheet'!$AG$4:$AG$40,$BJ17-3)="","",INDEX('Final Calculation Sheet'!$AG$4:$AG$40,$BJ17-3)),IF(OR($BI17=1,$BL17=1,$BH17&gt;0),"–",""))</f>
        <v/>
      </c>
      <c r="AI18" s="75">
        <f>IF($BJ17&gt;0,IF(INDEX('Final Calculation Sheet'!$AD$4:$AD$40,$BJ17-3)="","",IF(INDEX('Final Calculation Sheet'!$AD$4:$AD$40,$BJ17-3)&lt;=0,"SETTLED","OUTSTANDING")),IF(OR($BI17=1,$BL17=1,$BH17&gt;0),IF(IF($BI17=1,SUM('Final Calculation Sheet'!$AD$4:$AD$40),IF($BL17=1,SUM('Final Calculation Sheet'!$AD$4:$AD$40)-SUMIFS('Final Calculation Sheet'!$AD$4:$AD$40,$AZ$5:$AZ$41,10),SUMIFS('Final Calculation Sheet'!$AD$4:$AD$40,$AZ$5:$AZ$41,$BH17)))&lt;=0,"ALL SETTLED","OUTSTANDING"),""))</f>
        <v/>
      </c>
      <c r="AK18">
        <f>IF($F$3="Lot No.",'Final Calculation Sheet'!$F$17,IF($F$3="Buyer",'Final Calculation Sheet'!$G$17,IF($F$3="Lot Name",'Final Calculation Sheet'!$B$17,IF($F$3="Bid Sheet",'Final Calculation Sheet'!$D$17,IF($F$3="Unit",'Final Calculation Sheet'!$E$17,'Final Calculation Sheet'!$F$17&amp;" "&amp;'Final Calculation Sheet'!$G$17&amp;" "&amp;'Final Calculation Sheet'!$B$17)))))</f>
        <v/>
      </c>
      <c r="AM18">
        <f>IF(COUNTIF($BM18:$CU18,0)&gt;0,0,IF($B$3="",1,IF(AND(IF(COUNTIF($AR$9:$AY$9,1)=0,TRUE,SUMPRODUCT(($AR$9:$AY$9=1)*($AR$6:$AY$6&lt;&gt;"")*ISNUMBER(SEARCH($AR$6:$AY$6,$AK18)))&gt;0),IF(COUNTIF($AR$9:$AY$9,2)=0,TRUE,SUMPRODUCT(($AR$9:$AY$9=2)*($AR$6:$AY$6&lt;&gt;"")*ISNUMBER(SEARCH($AR$6:$AY$6,$AK18)))&gt;0),IF(COUNTIF($AR$9:$AY$9,3)=0,TRUE,SUMPRODUCT(($AR$9:$AY$9=3)*($AR$6:$AY$6&lt;&gt;"")*ISNUMBER(SEARCH($AR$6:$AY$6,$AK18)))&gt;0),IF(COUNTIF($AR$9:$AY$9,4)=0,TRUE,SUMPRODUCT(($AR$9:$AY$9=4)*($AR$6:$AY$6&lt;&gt;"")*ISNUMBER(SEARCH($AR$6:$AY$6,$AK18)))&gt;0),IF(COUNTIF($AR$9:$AY$9,5)=0,TRUE,SUMPRODUCT(($AR$9:$AY$9=5)*($AR$6:$AY$6&lt;&gt;"")*ISNUMBER(SEARCH($AR$6:$AY$6,$AK18)))&gt;0),IF(COUNTIF($AR$9:$AY$9,6)=0,TRUE,SUMPRODUCT(($AR$9:$AY$9=6)*($AR$6:$AY$6&lt;&gt;"")*ISNUMBER(SEARCH($AR$6:$AY$6,$AK18)))&gt;0),IF(COUNTIF($AR$9:$AY$9,7)=0,TRUE,SUMPRODUCT(($AR$9:$AY$9=7)*($AR$6:$AY$6&lt;&gt;"")*ISNUMBER(SEARCH($AR$6:$AY$6,$AK18)))&gt;0),IF(COUNTIF($AR$9:$AY$9,8)=0,TRUE,SUMPRODUCT(($AR$9:$AY$9=8)*($AR$6:$AY$6&lt;&gt;"")*ISNUMBER(SEARCH($AR$6:$AY$6,$AK18)))&gt;0)),1,0)))</f>
        <v/>
      </c>
      <c r="AZ18">
        <f>IF($B$3="",IF(COUNTIF($A$4:$AI$4,"&lt;&gt;")=0,9,IF($AM18=1,9,10)),IF($AM18=0,10,IF(AND($AR$6&lt;&gt;"",ISNUMBER(SEARCH($AR$6,$AK18))),1,IF(AND($AS$6&lt;&gt;"",ISNUMBER(SEARCH($AS$6,$AK18))),2,IF(AND($AT$6&lt;&gt;"",ISNUMBER(SEARCH($AT$6,$AK18))),3,IF(AND($AU$6&lt;&gt;"",ISNUMBER(SEARCH($AU$6,$AK18))),4,IF(AND($AV$6&lt;&gt;"",ISNUMBER(SEARCH($AV$6,$AK18))),5,IF(AND($AW$6&lt;&gt;"",ISNUMBER(SEARCH($AW$6,$AK18))),6,IF(AND($AX$6&lt;&gt;"",ISNUMBER(SEARCH($AX$6,$AK18))),7,IF(AND($AY$6&lt;&gt;"",ISNUMBER(SEARCH($AY$6,$AK18))),8,0))))))))))</f>
        <v/>
      </c>
      <c r="BA18">
        <f>SUMPRODUCT(($AZ$5:$AZ$41=$AZ18)*($BC$5:$BC$41&lt;$BC18))+1</f>
        <v/>
      </c>
      <c r="BB18">
        <f>IF(INDEX($BF$4:$BF$13,$AZ18)=0,0,INDEX($BE$4:$BE$13,$AZ18)+$BA18-1)</f>
        <v/>
      </c>
      <c r="BC18" t="n">
        <v>17</v>
      </c>
      <c r="BH18">
        <f>IFERROR(MATCH(18,$BF$4:$BF$13,0),0)</f>
        <v/>
      </c>
      <c r="BI18">
        <f>IF(18=$BG$5,1,0)</f>
        <v/>
      </c>
      <c r="BJ18">
        <f>IF(OR($BH18&gt;0,$BI18=1,$BL18=1),0,IFERROR(INDEX($BC$5:$BC$41,MATCH(18,$BB$5:$BB$41,0)),0))</f>
        <v/>
      </c>
      <c r="BK18">
        <f>IF($BJ18&gt;0,IF(INDEX($AZ$5:$AZ$41,MATCH(18,$BB$5:$BB$41,0))=10,1,0),IF($BH18=10,1,0))</f>
        <v/>
      </c>
      <c r="BL18">
        <f>IF(18=$BG$4,1,0)</f>
        <v/>
      </c>
      <c r="BM1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8">
        <f>IF($B$4="",1,--(OR(SUMPRODUCT(--(TRIM(MID(SUBSTITUTE(SUBSTITUTE($B$4,"/",","),",",REPT(" ",99)),(ROW($1:$8)-1)*99+1,99))&lt;&gt;""),--ISNUMBER(SEARCH(TRIM(MID(SUBSTITUTE(SUBSTITUTE($B$4,"/",","),",",REPT(" ",99)),(ROW($1:$8)-1)*99+1,99)),IFERROR(('Final Calculation Sheet'!$F$17)&amp;"",""))))&gt;0,AND(ISNUMBER(SEARCH("blank",$B$4)),NOT(ISNUMBER(SEARCH("nonblank",$B$4))),IFERROR(('Final Calculation Sheet'!$F$17)&amp;"","")=""),AND(OR(ISNUMBER(SEARCH("nonblank",$B$4)),ISNUMBER(SEARCH("&lt;&gt;",$B$4))),IFERROR(('Final Calculation Sheet'!$F$17)&amp;"","")&lt;&gt;""),AND(TRIM($B$4)="",IFERROR(('Final Calculation Sheet'!$F$17)&amp;"","")=""))))</f>
        <v/>
      </c>
      <c r="BO18">
        <f>IF($C$4="",1,--(OR(SUMPRODUCT(--(TRIM(MID(SUBSTITUTE(SUBSTITUTE($C$4,"/",","),",",REPT(" ",99)),(ROW($1:$8)-1)*99+1,99))&lt;&gt;""),--ISNUMBER(SEARCH(TRIM(MID(SUBSTITUTE(SUBSTITUTE($C$4,"/",","),",",REPT(" ",99)),(ROW($1:$8)-1)*99+1,99)),IFERROR(('Final Calculation Sheet'!$G$17)&amp;"",""))))&gt;0,AND(ISNUMBER(SEARCH("blank",$C$4)),NOT(ISNUMBER(SEARCH("nonblank",$C$4))),IFERROR(('Final Calculation Sheet'!$G$17)&amp;"","")=""),AND(OR(ISNUMBER(SEARCH("nonblank",$C$4)),ISNUMBER(SEARCH("&lt;&gt;",$C$4))),IFERROR(('Final Calculation Sheet'!$G$17)&amp;"","")&lt;&gt;""),AND(TRIM($C$4)="",IFERROR(('Final Calculation Sheet'!$G$17)&amp;"","")=""))))</f>
        <v/>
      </c>
      <c r="BP18">
        <f>IF($D$4="",1,--(OR(SUMPRODUCT(--(TRIM(MID(SUBSTITUTE(SUBSTITUTE($D$4,"/",","),",",REPT(" ",99)),(ROW($1:$8)-1)*99+1,99))&lt;&gt;""),--ISNUMBER(SEARCH(TRIM(MID(SUBSTITUTE(SUBSTITUTE($D$4,"/",","),",",REPT(" ",99)),(ROW($1:$8)-1)*99+1,99)),IFERROR(('Final Calculation Sheet'!$B$17)&amp;"",""))))&gt;0,AND(ISNUMBER(SEARCH("blank",$D$4)),NOT(ISNUMBER(SEARCH("nonblank",$D$4))),IFERROR(('Final Calculation Sheet'!$B$17)&amp;"","")=""),AND(OR(ISNUMBER(SEARCH("nonblank",$D$4)),ISNUMBER(SEARCH("&lt;&gt;",$D$4))),IFERROR(('Final Calculation Sheet'!$B$17)&amp;"","")&lt;&gt;""),AND(TRIM($D$4)="",IFERROR(('Final Calculation Sheet'!$B$17)&amp;"","")=""))))</f>
        <v/>
      </c>
      <c r="BQ18">
        <f>IF($E$4="",1,--(OR(SUMPRODUCT(--(TRIM(MID(SUBSTITUTE(SUBSTITUTE($E$4,"/",","),",",REPT(" ",99)),(ROW($1:$8)-1)*99+1,99))&lt;&gt;""),--ISNUMBER(SEARCH(TRIM(MID(SUBSTITUTE(SUBSTITUTE($E$4,"/",","),",",REPT(" ",99)),(ROW($1:$8)-1)*99+1,99)),IFERROR(('Final Calculation Sheet'!$D$17)&amp;"",""))))&gt;0,AND(ISNUMBER(SEARCH("blank",$E$4)),NOT(ISNUMBER(SEARCH("nonblank",$E$4))),IFERROR(('Final Calculation Sheet'!$D$17)&amp;"","")=""),AND(OR(ISNUMBER(SEARCH("nonblank",$E$4)),ISNUMBER(SEARCH("&lt;&gt;",$E$4))),IFERROR(('Final Calculation Sheet'!$D$17)&amp;"","")&lt;&gt;""),AND(TRIM($E$4)="",IFERROR(('Final Calculation Sheet'!$D$17)&amp;"","")=""))))</f>
        <v/>
      </c>
      <c r="BR18">
        <f>IF($F$4="",1,--(OR(SUMPRODUCT(--(TRIM(MID(SUBSTITUTE(SUBSTITUTE($F$4,"/",","),",",REPT(" ",99)),(ROW($1:$8)-1)*99+1,99))&lt;&gt;""),--ISNUMBER(SEARCH(TRIM(MID(SUBSTITUTE(SUBSTITUTE($F$4,"/",","),",",REPT(" ",99)),(ROW($1:$8)-1)*99+1,99)),IFERROR(('Final Calculation Sheet'!$A$17)&amp;"",""))))&gt;0,AND(ISNUMBER(SEARCH("blank",$F$4)),NOT(ISNUMBER(SEARCH("nonblank",$F$4))),IFERROR(('Final Calculation Sheet'!$A$17)&amp;"","")=""),AND(OR(ISNUMBER(SEARCH("nonblank",$F$4)),ISNUMBER(SEARCH("&lt;&gt;",$F$4))),IFERROR(('Final Calculation Sheet'!$A$17)&amp;"","")&lt;&gt;""),AND(TRIM($F$4)="",IFERROR(('Final Calculation Sheet'!$A$17)&amp;"","")=""))))</f>
        <v/>
      </c>
      <c r="BS18">
        <f>IF($G$4="",1,--(OR(SUMPRODUCT(--(TRIM(MID(SUBSTITUTE(SUBSTITUTE($G$4,"/",","),",",REPT(" ",99)),(ROW($1:$8)-1)*99+1,99))&lt;&gt;""),--ISNUMBER(SEARCH(TRIM(MID(SUBSTITUTE(SUBSTITUTE($G$4,"/",","),",",REPT(" ",99)),(ROW($1:$8)-1)*99+1,99)),IFERROR(('Final Calculation Sheet'!$E$17)&amp;"",""))))&gt;0,AND(ISNUMBER(SEARCH("blank",$G$4)),NOT(ISNUMBER(SEARCH("nonblank",$G$4))),IFERROR(('Final Calculation Sheet'!$E$17)&amp;"","")=""),AND(OR(ISNUMBER(SEARCH("nonblank",$G$4)),ISNUMBER(SEARCH("&lt;&gt;",$G$4))),IFERROR(('Final Calculation Sheet'!$E$17)&amp;"","")&lt;&gt;""),AND(TRIM($G$4)="",IFERROR(('Final Calculation Sheet'!$E$17)&amp;"","")=""))))</f>
        <v/>
      </c>
      <c r="BT18">
        <f>IF($H$4="",1,--(OR(SUMPRODUCT(--(TRIM(MID(SUBSTITUTE(SUBSTITUTE($H$4,"/",","),",",REPT(" ",99)),(ROW($1:$8)-1)*99+1,99))&lt;&gt;""),--ISNUMBER(SEARCH(TRIM(MID(SUBSTITUTE(SUBSTITUTE($H$4,"/",","),",",REPT(" ",99)),(ROW($1:$8)-1)*99+1,99)),IFERROR(('Final Calculation Sheet'!$C$17)&amp;"",""))))&gt;0,AND(ISNUMBER(SEARCH("blank",$H$4)),NOT(ISNUMBER(SEARCH("nonblank",$H$4))),IFERROR(('Final Calculation Sheet'!$C$17)&amp;"","")=""),AND(OR(ISNUMBER(SEARCH("nonblank",$H$4)),ISNUMBER(SEARCH("&lt;&gt;",$H$4))),IFERROR(('Final Calculation Sheet'!$C$17)&amp;"","")&lt;&gt;""),AND(TRIM($H$4)="",IFERROR(('Final Calculation Sheet'!$C$17)&amp;"","")=""))))</f>
        <v/>
      </c>
      <c r="BU18">
        <f>IF($I$4="",1,--(OR(SUMPRODUCT(--(TRIM(MID(SUBSTITUTE(SUBSTITUTE($I$4,"/",","),",",REPT(" ",99)),(ROW($1:$8)-1)*99+1,99))&lt;&gt;""),--ISNUMBER(SEARCH(TRIM(MID(SUBSTITUTE(SUBSTITUTE($I$4,"/",","),",",REPT(" ",99)),(ROW($1:$8)-1)*99+1,99)),IFERROR(('Final Calculation Sheet'!$H$17)&amp;"",""))))&gt;0,AND(ISNUMBER(SEARCH("blank",$I$4)),NOT(ISNUMBER(SEARCH("nonblank",$I$4))),IFERROR(('Final Calculation Sheet'!$H$17)&amp;"","")=""),AND(OR(ISNUMBER(SEARCH("nonblank",$I$4)),ISNUMBER(SEARCH("&lt;&gt;",$I$4))),IFERROR(('Final Calculation Sheet'!$H$17)&amp;"","")&lt;&gt;""),AND(TRIM($I$4)="",IFERROR(('Final Calculation Sheet'!$H$17)&amp;"","")=""))))</f>
        <v/>
      </c>
      <c r="BV18">
        <f>IF($J$4="",1,--(OR(SUMPRODUCT(--(TRIM(MID(SUBSTITUTE(SUBSTITUTE($J$4,"/",","),",",REPT(" ",99)),(ROW($1:$8)-1)*99+1,99))&lt;&gt;""),--ISNUMBER(SEARCH(TRIM(MID(SUBSTITUTE(SUBSTITUTE($J$4,"/",","),",",REPT(" ",99)),(ROW($1:$8)-1)*99+1,99)),IFERROR(('Final Calculation Sheet'!$I$17)&amp;"",""))))&gt;0,AND(ISNUMBER(SEARCH("blank",$J$4)),NOT(ISNUMBER(SEARCH("nonblank",$J$4))),IFERROR(('Final Calculation Sheet'!$I$17)&amp;"","")=""),AND(OR(ISNUMBER(SEARCH("nonblank",$J$4)),ISNUMBER(SEARCH("&lt;&gt;",$J$4))),IFERROR(('Final Calculation Sheet'!$I$17)&amp;"","")&lt;&gt;""),AND(TRIM($J$4)="",IFERROR(('Final Calculation Sheet'!$I$17)&amp;"","")=""))))</f>
        <v/>
      </c>
      <c r="BW18">
        <f>IF($K$4="",1,--(OR(SUMPRODUCT(--(TRIM(MID(SUBSTITUTE(SUBSTITUTE($K$4,"/",","),",",REPT(" ",99)),(ROW($1:$8)-1)*99+1,99))&lt;&gt;""),--ISNUMBER(SEARCH(TRIM(MID(SUBSTITUTE(SUBSTITUTE($K$4,"/",","),",",REPT(" ",99)),(ROW($1:$8)-1)*99+1,99)),IFERROR(('Final Calculation Sheet'!$J$17)&amp;"",""))))&gt;0,AND(ISNUMBER(SEARCH("blank",$K$4)),NOT(ISNUMBER(SEARCH("nonblank",$K$4))),IFERROR(('Final Calculation Sheet'!$J$17)&amp;"","")=""),AND(OR(ISNUMBER(SEARCH("nonblank",$K$4)),ISNUMBER(SEARCH("&lt;&gt;",$K$4))),IFERROR(('Final Calculation Sheet'!$J$17)&amp;"","")&lt;&gt;""),AND(TRIM($K$4)="",IFERROR(('Final Calculation Sheet'!$J$17)&amp;"","")=""))))</f>
        <v/>
      </c>
      <c r="BX18">
        <f>IF($L$4="",1,--(OR(SUMPRODUCT(--(TRIM(MID(SUBSTITUTE(SUBSTITUTE($L$4,"/",","),",",REPT(" ",99)),(ROW($1:$8)-1)*99+1,99))&lt;&gt;""),--ISNUMBER(SEARCH(TRIM(MID(SUBSTITUTE(SUBSTITUTE($L$4,"/",","),",",REPT(" ",99)),(ROW($1:$8)-1)*99+1,99)),IFERROR(('Final Calculation Sheet'!$K$17)&amp;"",""))))&gt;0,AND(ISNUMBER(SEARCH("blank",$L$4)),NOT(ISNUMBER(SEARCH("nonblank",$L$4))),IFERROR(('Final Calculation Sheet'!$K$17)&amp;"","")=""),AND(OR(ISNUMBER(SEARCH("nonblank",$L$4)),ISNUMBER(SEARCH("&lt;&gt;",$L$4))),IFERROR(('Final Calculation Sheet'!$K$17)&amp;"","")&lt;&gt;""),AND(TRIM($L$4)="",IFERROR(('Final Calculation Sheet'!$K$17)&amp;"","")=""))))</f>
        <v/>
      </c>
      <c r="BY18">
        <f>IF($M$4="",1,--(OR(SUMPRODUCT(--(TRIM(MID(SUBSTITUTE(SUBSTITUTE($M$4,"/",","),",",REPT(" ",99)),(ROW($1:$8)-1)*99+1,99))&lt;&gt;""),--ISNUMBER(SEARCH(TRIM(MID(SUBSTITUTE(SUBSTITUTE($M$4,"/",","),",",REPT(" ",99)),(ROW($1:$8)-1)*99+1,99)),IFERROR(('Final Calculation Sheet'!$L$17)&amp;"",""))))&gt;0,AND(ISNUMBER(SEARCH("blank",$M$4)),NOT(ISNUMBER(SEARCH("nonblank",$M$4))),IFERROR(('Final Calculation Sheet'!$L$17)&amp;"","")=""),AND(OR(ISNUMBER(SEARCH("nonblank",$M$4)),ISNUMBER(SEARCH("&lt;&gt;",$M$4))),IFERROR(('Final Calculation Sheet'!$L$17)&amp;"","")&lt;&gt;""),AND(TRIM($M$4)="",IFERROR(('Final Calculation Sheet'!$L$17)&amp;"","")=""))))</f>
        <v/>
      </c>
      <c r="BZ18">
        <f>IF($N$4="",1,--(OR(SUMPRODUCT(--(TRIM(MID(SUBSTITUTE(SUBSTITUTE($N$4,"/",","),",",REPT(" ",99)),(ROW($1:$8)-1)*99+1,99))&lt;&gt;""),--ISNUMBER(SEARCH(TRIM(MID(SUBSTITUTE(SUBSTITUTE($N$4,"/",","),",",REPT(" ",99)),(ROW($1:$8)-1)*99+1,99)),IFERROR(('Final Calculation Sheet'!$M$17)&amp;"",""))))&gt;0,AND(ISNUMBER(SEARCH("blank",$N$4)),NOT(ISNUMBER(SEARCH("nonblank",$N$4))),IFERROR(('Final Calculation Sheet'!$M$17)&amp;"","")=""),AND(OR(ISNUMBER(SEARCH("nonblank",$N$4)),ISNUMBER(SEARCH("&lt;&gt;",$N$4))),IFERROR(('Final Calculation Sheet'!$M$17)&amp;"","")&lt;&gt;""),AND(TRIM($N$4)="",IFERROR(('Final Calculation Sheet'!$M$17)&amp;"","")=""))))</f>
        <v/>
      </c>
      <c r="CA18">
        <f>IF($O$4="",1,--(OR(SUMPRODUCT(--(TRIM(MID(SUBSTITUTE(SUBSTITUTE($O$4,"/",","),",",REPT(" ",99)),(ROW($1:$8)-1)*99+1,99))&lt;&gt;""),--ISNUMBER(SEARCH(TRIM(MID(SUBSTITUTE(SUBSTITUTE($O$4,"/",","),",",REPT(" ",99)),(ROW($1:$8)-1)*99+1,99)),IFERROR(('Final Calculation Sheet'!$N$17)&amp;"",""))))&gt;0,AND(ISNUMBER(SEARCH("blank",$O$4)),NOT(ISNUMBER(SEARCH("nonblank",$O$4))),IFERROR(('Final Calculation Sheet'!$N$17)&amp;"","")=""),AND(OR(ISNUMBER(SEARCH("nonblank",$O$4)),ISNUMBER(SEARCH("&lt;&gt;",$O$4))),IFERROR(('Final Calculation Sheet'!$N$17)&amp;"","")&lt;&gt;""),AND(TRIM($O$4)="",IFERROR(('Final Calculation Sheet'!$N$17)&amp;"","")=""))))</f>
        <v/>
      </c>
      <c r="CB18">
        <f>IF($P$4="",1,--(OR(SUMPRODUCT(--(TRIM(MID(SUBSTITUTE(SUBSTITUTE($P$4,"/",","),",",REPT(" ",99)),(ROW($1:$8)-1)*99+1,99))&lt;&gt;""),--ISNUMBER(SEARCH(TRIM(MID(SUBSTITUTE(SUBSTITUTE($P$4,"/",","),",",REPT(" ",99)),(ROW($1:$8)-1)*99+1,99)),IFERROR(('Final Calculation Sheet'!$O$17)&amp;"",""))))&gt;0,AND(ISNUMBER(SEARCH("blank",$P$4)),NOT(ISNUMBER(SEARCH("nonblank",$P$4))),IFERROR(('Final Calculation Sheet'!$O$17)&amp;"","")=""),AND(OR(ISNUMBER(SEARCH("nonblank",$P$4)),ISNUMBER(SEARCH("&lt;&gt;",$P$4))),IFERROR(('Final Calculation Sheet'!$O$17)&amp;"","")&lt;&gt;""),AND(TRIM($P$4)="",IFERROR(('Final Calculation Sheet'!$O$17)&amp;"","")=""))))</f>
        <v/>
      </c>
      <c r="CC18">
        <f>IF($Q$4="",1,--(OR(SUMPRODUCT(--(TRIM(MID(SUBSTITUTE(SUBSTITUTE($Q$4,"/",","),",",REPT(" ",99)),(ROW($1:$8)-1)*99+1,99))&lt;&gt;""),--ISNUMBER(SEARCH(TRIM(MID(SUBSTITUTE(SUBSTITUTE($Q$4,"/",","),",",REPT(" ",99)),(ROW($1:$8)-1)*99+1,99)),IFERROR(('Final Calculation Sheet'!$P$17)&amp;"",""))))&gt;0,AND(ISNUMBER(SEARCH("blank",$Q$4)),NOT(ISNUMBER(SEARCH("nonblank",$Q$4))),IFERROR(('Final Calculation Sheet'!$P$17)&amp;"","")=""),AND(OR(ISNUMBER(SEARCH("nonblank",$Q$4)),ISNUMBER(SEARCH("&lt;&gt;",$Q$4))),IFERROR(('Final Calculation Sheet'!$P$17)&amp;"","")&lt;&gt;""),AND(TRIM($Q$4)="",IFERROR(('Final Calculation Sheet'!$P$17)&amp;"","")=""))))</f>
        <v/>
      </c>
      <c r="CD18">
        <f>IF($R$4="",1,--(OR(SUMPRODUCT(--(TRIM(MID(SUBSTITUTE(SUBSTITUTE($R$4,"/",","),",",REPT(" ",99)),(ROW($1:$8)-1)*99+1,99))&lt;&gt;""),--ISNUMBER(SEARCH(TRIM(MID(SUBSTITUTE(SUBSTITUTE($R$4,"/",","),",",REPT(" ",99)),(ROW($1:$8)-1)*99+1,99)),IFERROR(('Final Calculation Sheet'!$Q$17)&amp;"",""))))&gt;0,AND(ISNUMBER(SEARCH("blank",$R$4)),NOT(ISNUMBER(SEARCH("nonblank",$R$4))),IFERROR(('Final Calculation Sheet'!$Q$17)&amp;"","")=""),AND(OR(ISNUMBER(SEARCH("nonblank",$R$4)),ISNUMBER(SEARCH("&lt;&gt;",$R$4))),IFERROR(('Final Calculation Sheet'!$Q$17)&amp;"","")&lt;&gt;""),AND(TRIM($R$4)="",IFERROR(('Final Calculation Sheet'!$Q$17)&amp;"","")=""))))</f>
        <v/>
      </c>
      <c r="CE18">
        <f>IF($S$4="",1,--(OR(SUMPRODUCT(--(TRIM(MID(SUBSTITUTE(SUBSTITUTE($S$4,"/",","),",",REPT(" ",99)),(ROW($1:$8)-1)*99+1,99))&lt;&gt;""),--ISNUMBER(SEARCH(TRIM(MID(SUBSTITUTE(SUBSTITUTE($S$4,"/",","),",",REPT(" ",99)),(ROW($1:$8)-1)*99+1,99)),IFERROR(('Final Calculation Sheet'!$R$17)&amp;"",""))))&gt;0,AND(ISNUMBER(SEARCH("blank",$S$4)),NOT(ISNUMBER(SEARCH("nonblank",$S$4))),IFERROR(('Final Calculation Sheet'!$R$17)&amp;"","")=""),AND(OR(ISNUMBER(SEARCH("nonblank",$S$4)),ISNUMBER(SEARCH("&lt;&gt;",$S$4))),IFERROR(('Final Calculation Sheet'!$R$17)&amp;"","")&lt;&gt;""),AND(TRIM($S$4)="",IFERROR(('Final Calculation Sheet'!$R$17)&amp;"","")=""))))</f>
        <v/>
      </c>
      <c r="CF18">
        <f>IF($T$4="",1,--(OR(SUMPRODUCT(--(TRIM(MID(SUBSTITUTE(SUBSTITUTE($T$4,"/",","),",",REPT(" ",99)),(ROW($1:$8)-1)*99+1,99))&lt;&gt;""),--ISNUMBER(SEARCH(TRIM(MID(SUBSTITUTE(SUBSTITUTE($T$4,"/",","),",",REPT(" ",99)),(ROW($1:$8)-1)*99+1,99)),IFERROR(('Final Calculation Sheet'!$S$17)&amp;"",""))))&gt;0,AND(ISNUMBER(SEARCH("blank",$T$4)),NOT(ISNUMBER(SEARCH("nonblank",$T$4))),IFERROR(('Final Calculation Sheet'!$S$17)&amp;"","")=""),AND(OR(ISNUMBER(SEARCH("nonblank",$T$4)),ISNUMBER(SEARCH("&lt;&gt;",$T$4))),IFERROR(('Final Calculation Sheet'!$S$17)&amp;"","")&lt;&gt;""),AND(TRIM($T$4)="",IFERROR(('Final Calculation Sheet'!$S$17)&amp;"","")=""))))</f>
        <v/>
      </c>
      <c r="CG18">
        <f>IF($U$4="",1,--(OR(SUMPRODUCT(--(TRIM(MID(SUBSTITUTE(SUBSTITUTE($U$4,"/",","),",",REPT(" ",99)),(ROW($1:$8)-1)*99+1,99))&lt;&gt;""),--ISNUMBER(SEARCH(TRIM(MID(SUBSTITUTE(SUBSTITUTE($U$4,"/",","),",",REPT(" ",99)),(ROW($1:$8)-1)*99+1,99)),IFERROR(('Final Calculation Sheet'!$T$17)&amp;"",""))))&gt;0,AND(ISNUMBER(SEARCH("blank",$U$4)),NOT(ISNUMBER(SEARCH("nonblank",$U$4))),IFERROR(('Final Calculation Sheet'!$T$17)&amp;"","")=""),AND(OR(ISNUMBER(SEARCH("nonblank",$U$4)),ISNUMBER(SEARCH("&lt;&gt;",$U$4))),IFERROR(('Final Calculation Sheet'!$T$17)&amp;"","")&lt;&gt;""),AND(TRIM($U$4)="",IFERROR(('Final Calculation Sheet'!$T$17)&amp;"","")=""))))</f>
        <v/>
      </c>
      <c r="CH18">
        <f>IF($V$4="",1,--(OR(SUMPRODUCT(--(TRIM(MID(SUBSTITUTE(SUBSTITUTE($V$4,"/",","),",",REPT(" ",99)),(ROW($1:$8)-1)*99+1,99))&lt;&gt;""),--ISNUMBER(SEARCH(TRIM(MID(SUBSTITUTE(SUBSTITUTE($V$4,"/",","),",",REPT(" ",99)),(ROW($1:$8)-1)*99+1,99)),IFERROR(('Final Calculation Sheet'!$U$17)&amp;"",""))))&gt;0,AND(ISNUMBER(SEARCH("blank",$V$4)),NOT(ISNUMBER(SEARCH("nonblank",$V$4))),IFERROR(('Final Calculation Sheet'!$U$17)&amp;"","")=""),AND(OR(ISNUMBER(SEARCH("nonblank",$V$4)),ISNUMBER(SEARCH("&lt;&gt;",$V$4))),IFERROR(('Final Calculation Sheet'!$U$17)&amp;"","")&lt;&gt;""),AND(TRIM($V$4)="",IFERROR(('Final Calculation Sheet'!$U$17)&amp;"","")=""))))</f>
        <v/>
      </c>
      <c r="CI18">
        <f>IF($W$4="",1,--(OR(SUMPRODUCT(--(TRIM(MID(SUBSTITUTE(SUBSTITUTE($W$4,"/",","),",",REPT(" ",99)),(ROW($1:$8)-1)*99+1,99))&lt;&gt;""),--ISNUMBER(SEARCH(TRIM(MID(SUBSTITUTE(SUBSTITUTE($W$4,"/",","),",",REPT(" ",99)),(ROW($1:$8)-1)*99+1,99)),IFERROR(('Final Calculation Sheet'!$V$17)&amp;"",""))))&gt;0,AND(ISNUMBER(SEARCH("blank",$W$4)),NOT(ISNUMBER(SEARCH("nonblank",$W$4))),IFERROR(('Final Calculation Sheet'!$V$17)&amp;"","")=""),AND(OR(ISNUMBER(SEARCH("nonblank",$W$4)),ISNUMBER(SEARCH("&lt;&gt;",$W$4))),IFERROR(('Final Calculation Sheet'!$V$17)&amp;"","")&lt;&gt;""),AND(TRIM($W$4)="",IFERROR(('Final Calculation Sheet'!$V$17)&amp;"","")=""))))</f>
        <v/>
      </c>
      <c r="CJ18">
        <f>IF($X$4="",1,--(OR(SUMPRODUCT(--(TRIM(MID(SUBSTITUTE(SUBSTITUTE($X$4,"/",","),",",REPT(" ",99)),(ROW($1:$8)-1)*99+1,99))&lt;&gt;""),--ISNUMBER(SEARCH(TRIM(MID(SUBSTITUTE(SUBSTITUTE($X$4,"/",","),",",REPT(" ",99)),(ROW($1:$8)-1)*99+1,99)),IFERROR(('Final Calculation Sheet'!$W$17)&amp;"",""))))&gt;0,AND(ISNUMBER(SEARCH("blank",$X$4)),NOT(ISNUMBER(SEARCH("nonblank",$X$4))),IFERROR(('Final Calculation Sheet'!$W$17)&amp;"","")=""),AND(OR(ISNUMBER(SEARCH("nonblank",$X$4)),ISNUMBER(SEARCH("&lt;&gt;",$X$4))),IFERROR(('Final Calculation Sheet'!$W$17)&amp;"","")&lt;&gt;""),AND(TRIM($X$4)="",IFERROR(('Final Calculation Sheet'!$W$17)&amp;"","")=""))))</f>
        <v/>
      </c>
      <c r="CK18">
        <f>IF($Y$4="",1,--(OR(SUMPRODUCT(--(TRIM(MID(SUBSTITUTE(SUBSTITUTE($Y$4,"/",","),",",REPT(" ",99)),(ROW($1:$8)-1)*99+1,99))&lt;&gt;""),--ISNUMBER(SEARCH(TRIM(MID(SUBSTITUTE(SUBSTITUTE($Y$4,"/",","),",",REPT(" ",99)),(ROW($1:$8)-1)*99+1,99)),IFERROR(('Final Calculation Sheet'!$X$17)&amp;"",""))))&gt;0,AND(ISNUMBER(SEARCH("blank",$Y$4)),NOT(ISNUMBER(SEARCH("nonblank",$Y$4))),IFERROR(('Final Calculation Sheet'!$X$17)&amp;"","")=""),AND(OR(ISNUMBER(SEARCH("nonblank",$Y$4)),ISNUMBER(SEARCH("&lt;&gt;",$Y$4))),IFERROR(('Final Calculation Sheet'!$X$17)&amp;"","")&lt;&gt;""),AND(TRIM($Y$4)="",IFERROR(('Final Calculation Sheet'!$X$17)&amp;"","")=""))))</f>
        <v/>
      </c>
      <c r="CL18">
        <f>IF($Z$4="",1,--(OR(SUMPRODUCT(--(TRIM(MID(SUBSTITUTE(SUBSTITUTE($Z$4,"/",","),",",REPT(" ",99)),(ROW($1:$8)-1)*99+1,99))&lt;&gt;""),--ISNUMBER(SEARCH(TRIM(MID(SUBSTITUTE(SUBSTITUTE($Z$4,"/",","),",",REPT(" ",99)),(ROW($1:$8)-1)*99+1,99)),IFERROR(('Final Calculation Sheet'!$Y$17)&amp;"",""))))&gt;0,AND(ISNUMBER(SEARCH("blank",$Z$4)),NOT(ISNUMBER(SEARCH("nonblank",$Z$4))),IFERROR(('Final Calculation Sheet'!$Y$17)&amp;"","")=""),AND(OR(ISNUMBER(SEARCH("nonblank",$Z$4)),ISNUMBER(SEARCH("&lt;&gt;",$Z$4))),IFERROR(('Final Calculation Sheet'!$Y$17)&amp;"","")&lt;&gt;""),AND(TRIM($Z$4)="",IFERROR(('Final Calculation Sheet'!$Y$17)&amp;"","")=""))))</f>
        <v/>
      </c>
      <c r="CM18">
        <f>IF($AA$4="",1,--(OR(SUMPRODUCT(--(TRIM(MID(SUBSTITUTE(SUBSTITUTE($AA$4,"/",","),",",REPT(" ",99)),(ROW($1:$8)-1)*99+1,99))&lt;&gt;""),--ISNUMBER(SEARCH(TRIM(MID(SUBSTITUTE(SUBSTITUTE($AA$4,"/",","),",",REPT(" ",99)),(ROW($1:$8)-1)*99+1,99)),IFERROR(('Final Calculation Sheet'!$Z$17)&amp;"",""))))&gt;0,AND(ISNUMBER(SEARCH("blank",$AA$4)),NOT(ISNUMBER(SEARCH("nonblank",$AA$4))),IFERROR(('Final Calculation Sheet'!$Z$17)&amp;"","")=""),AND(OR(ISNUMBER(SEARCH("nonblank",$AA$4)),ISNUMBER(SEARCH("&lt;&gt;",$AA$4))),IFERROR(('Final Calculation Sheet'!$Z$17)&amp;"","")&lt;&gt;""),AND(TRIM($AA$4)="",IFERROR(('Final Calculation Sheet'!$Z$17)&amp;"","")=""))))</f>
        <v/>
      </c>
      <c r="CN18">
        <f>IF($AB$4="",1,--(OR(SUMPRODUCT(--(TRIM(MID(SUBSTITUTE(SUBSTITUTE($AB$4,"/",","),",",REPT(" ",99)),(ROW($1:$8)-1)*99+1,99))&lt;&gt;""),--ISNUMBER(SEARCH(TRIM(MID(SUBSTITUTE(SUBSTITUTE($AB$4,"/",","),",",REPT(" ",99)),(ROW($1:$8)-1)*99+1,99)),IFERROR(('Final Calculation Sheet'!$AA$17)&amp;"",""))))&gt;0,AND(ISNUMBER(SEARCH("blank",$AB$4)),NOT(ISNUMBER(SEARCH("nonblank",$AB$4))),IFERROR(('Final Calculation Sheet'!$AA$17)&amp;"","")=""),AND(OR(ISNUMBER(SEARCH("nonblank",$AB$4)),ISNUMBER(SEARCH("&lt;&gt;",$AB$4))),IFERROR(('Final Calculation Sheet'!$AA$17)&amp;"","")&lt;&gt;""),AND(TRIM($AB$4)="",IFERROR(('Final Calculation Sheet'!$AA$17)&amp;"","")=""))))</f>
        <v/>
      </c>
      <c r="CO18">
        <f>IF($AC$4="",1,--(OR(SUMPRODUCT(--(TRIM(MID(SUBSTITUTE(SUBSTITUTE($AC$4,"/",","),",",REPT(" ",99)),(ROW($1:$8)-1)*99+1,99))&lt;&gt;""),--ISNUMBER(SEARCH(TRIM(MID(SUBSTITUTE(SUBSTITUTE($AC$4,"/",","),",",REPT(" ",99)),(ROW($1:$8)-1)*99+1,99)),IFERROR(('Final Calculation Sheet'!$AB$17)&amp;"",""))))&gt;0,AND(ISNUMBER(SEARCH("blank",$AC$4)),NOT(ISNUMBER(SEARCH("nonblank",$AC$4))),IFERROR(('Final Calculation Sheet'!$AB$17)&amp;"","")=""),AND(OR(ISNUMBER(SEARCH("nonblank",$AC$4)),ISNUMBER(SEARCH("&lt;&gt;",$AC$4))),IFERROR(('Final Calculation Sheet'!$AB$17)&amp;"","")&lt;&gt;""),AND(TRIM($AC$4)="",IFERROR(('Final Calculation Sheet'!$AB$17)&amp;"","")=""))))</f>
        <v/>
      </c>
      <c r="CP18">
        <f>IF($AD$4="",1,--(OR(SUMPRODUCT(--(TRIM(MID(SUBSTITUTE(SUBSTITUTE($AD$4,"/",","),",",REPT(" ",99)),(ROW($1:$8)-1)*99+1,99))&lt;&gt;""),--ISNUMBER(SEARCH(TRIM(MID(SUBSTITUTE(SUBSTITUTE($AD$4,"/",","),",",REPT(" ",99)),(ROW($1:$8)-1)*99+1,99)),IFERROR(('Final Calculation Sheet'!$AC$17)&amp;"",""))))&gt;0,AND(ISNUMBER(SEARCH("blank",$AD$4)),NOT(ISNUMBER(SEARCH("nonblank",$AD$4))),IFERROR(('Final Calculation Sheet'!$AC$17)&amp;"","")=""),AND(OR(ISNUMBER(SEARCH("nonblank",$AD$4)),ISNUMBER(SEARCH("&lt;&gt;",$AD$4))),IFERROR(('Final Calculation Sheet'!$AC$17)&amp;"","")&lt;&gt;""),AND(TRIM($AD$4)="",IFERROR(('Final Calculation Sheet'!$AC$17)&amp;"","")=""))))</f>
        <v/>
      </c>
      <c r="CQ18">
        <f>IF($AE$4="",1,--(OR(SUMPRODUCT(--(TRIM(MID(SUBSTITUTE(SUBSTITUTE($AE$4,"/",","),",",REPT(" ",99)),(ROW($1:$8)-1)*99+1,99))&lt;&gt;""),--ISNUMBER(SEARCH(TRIM(MID(SUBSTITUTE(SUBSTITUTE($AE$4,"/",","),",",REPT(" ",99)),(ROW($1:$8)-1)*99+1,99)),IFERROR(('Final Calculation Sheet'!$AD$17)&amp;"",""))))&gt;0,AND(ISNUMBER(SEARCH("blank",$AE$4)),NOT(ISNUMBER(SEARCH("nonblank",$AE$4))),IFERROR(('Final Calculation Sheet'!$AD$17)&amp;"","")=""),AND(OR(ISNUMBER(SEARCH("nonblank",$AE$4)),ISNUMBER(SEARCH("&lt;&gt;",$AE$4))),IFERROR(('Final Calculation Sheet'!$AD$17)&amp;"","")&lt;&gt;""),AND(TRIM($AE$4)="",IFERROR(('Final Calculation Sheet'!$AD$17)&amp;"","")=""))))</f>
        <v/>
      </c>
      <c r="CR18">
        <f>IF($AF$4="",1,--(OR(SUMPRODUCT(--(TRIM(MID(SUBSTITUTE(SUBSTITUTE($AF$4,"/",","),",",REPT(" ",99)),(ROW($1:$8)-1)*99+1,99))&lt;&gt;""),--ISNUMBER(SEARCH(TRIM(MID(SUBSTITUTE(SUBSTITUTE($AF$4,"/",","),",",REPT(" ",99)),(ROW($1:$8)-1)*99+1,99)),IFERROR(('Final Calculation Sheet'!$AE$17)&amp;"",""))))&gt;0,AND(ISNUMBER(SEARCH("blank",$AF$4)),NOT(ISNUMBER(SEARCH("nonblank",$AF$4))),IFERROR(('Final Calculation Sheet'!$AE$17)&amp;"","")=""),AND(OR(ISNUMBER(SEARCH("nonblank",$AF$4)),ISNUMBER(SEARCH("&lt;&gt;",$AF$4))),IFERROR(('Final Calculation Sheet'!$AE$17)&amp;"","")&lt;&gt;""),AND(TRIM($AF$4)="",IFERROR(('Final Calculation Sheet'!$AE$17)&amp;"","")=""))))</f>
        <v/>
      </c>
      <c r="CS18">
        <f>IF($AG$4="",1,--(OR(SUMPRODUCT(--(TRIM(MID(SUBSTITUTE(SUBSTITUTE($AG$4,"/",","),",",REPT(" ",99)),(ROW($1:$8)-1)*99+1,99))&lt;&gt;""),--ISNUMBER(SEARCH(TRIM(MID(SUBSTITUTE(SUBSTITUTE($AG$4,"/",","),",",REPT(" ",99)),(ROW($1:$8)-1)*99+1,99)),IFERROR(('Final Calculation Sheet'!$AF$17)&amp;"",""))))&gt;0,AND(ISNUMBER(SEARCH("blank",$AG$4)),NOT(ISNUMBER(SEARCH("nonblank",$AG$4))),IFERROR(('Final Calculation Sheet'!$AF$17)&amp;"","")=""),AND(OR(ISNUMBER(SEARCH("nonblank",$AG$4)),ISNUMBER(SEARCH("&lt;&gt;",$AG$4))),IFERROR(('Final Calculation Sheet'!$AF$17)&amp;"","")&lt;&gt;""),AND(TRIM($AG$4)="",IFERROR(('Final Calculation Sheet'!$AF$17)&amp;"","")=""))))</f>
        <v/>
      </c>
      <c r="CT18">
        <f>IF($AH$4="",1,--(OR(SUMPRODUCT(--(TRIM(MID(SUBSTITUTE(SUBSTITUTE($AH$4,"/",","),",",REPT(" ",99)),(ROW($1:$8)-1)*99+1,99))&lt;&gt;""),--ISNUMBER(SEARCH(TRIM(MID(SUBSTITUTE(SUBSTITUTE($AH$4,"/",","),",",REPT(" ",99)),(ROW($1:$8)-1)*99+1,99)),IFERROR(('Final Calculation Sheet'!$AG$17)&amp;"",""))))&gt;0,AND(ISNUMBER(SEARCH("blank",$AH$4)),NOT(ISNUMBER(SEARCH("nonblank",$AH$4))),IFERROR(('Final Calculation Sheet'!$AG$17)&amp;"","")=""),AND(OR(ISNUMBER(SEARCH("nonblank",$AH$4)),ISNUMBER(SEARCH("&lt;&gt;",$AH$4))),IFERROR(('Final Calculation Sheet'!$AG$17)&amp;"","")&lt;&gt;""),AND(TRIM($AH$4)="",IFERROR(('Final Calculation Sheet'!$AG$17)&amp;"","")=""))))</f>
        <v/>
      </c>
      <c r="CU18">
        <f>IF($AI$4="",1,--(OR(SUMPRODUCT(--(TRIM(MID(SUBSTITUTE(SUBSTITUTE($AI$4,"/",","),",",REPT(" ",99)),(ROW($1:$8)-1)*99+1,99))&lt;&gt;""),--ISNUMBER(SEARCH(TRIM(MID(SUBSTITUTE(SUBSTITUTE($AI$4,"/",","),",",REPT(" ",99)),(ROW($1:$8)-1)*99+1,99)),IFERROR((IF('Final Calculation Sheet'!$AD$17&lt;=0,"SETTLED","OUTSTANDING"))&amp;"",""))))&gt;0,AND(ISNUMBER(SEARCH("blank",$AI$4)),NOT(ISNUMBER(SEARCH("nonblank",$AI$4))),IFERROR((IF('Final Calculation Sheet'!$AD$17&lt;=0,"SETTLED","OUTSTANDING"))&amp;"","")=""),AND(OR(ISNUMBER(SEARCH("nonblank",$AI$4)),ISNUMBER(SEARCH("&lt;&gt;",$AI$4))),IFERROR((IF('Final Calculation Sheet'!$AD$17&lt;=0,"SETTLED","OUTSTANDING"))&amp;"","")&lt;&gt;""),AND(TRIM($AI$4)="",IFERROR((IF('Final Calculation Sheet'!$AD$17&lt;=0,"SETTLED","OUTSTANDING"))&amp;"","")=""))))</f>
        <v/>
      </c>
    </row>
    <row r="19" ht="15" customHeight="1" s="77">
      <c r="A19" s="67">
        <f>IF($BJ18&gt;0,INDEX($BA$5:$BA$41,MATCH(18,$BB$5:$BB$41,0)),IF(OR($BI18=1,$BL18=1,$BH18&gt;0),"∑",""))</f>
        <v/>
      </c>
      <c r="B19" s="68">
        <f>IF($BJ18&gt;0,IF(INDEX('Final Calculation Sheet'!$F$4:$F$40,$BJ18-3)="","",INDEX('Final Calculation Sheet'!$F$4:$F$40,$BJ18-3)),"")</f>
        <v/>
      </c>
      <c r="C19" s="68">
        <f>IF($BJ18&gt;0,IF(INDEX('Final Calculation Sheet'!$G$4:$G$40,$BJ18-3)="","",INDEX('Final Calculation Sheet'!$G$4:$G$40,$BJ18-3)),IF(OR($BI18=1,$BL18=1,$BH18&gt;0),IF($BI18=1,37,IF($BL18=1,37-INDEX($BD$4:$BD$13,10),INDEX($BD$4:$BD$13,$BH18)))&amp;" lot(s)",""))</f>
        <v/>
      </c>
      <c r="D19" s="69">
        <f>IF($BJ18&gt;0,IF(INDEX('Final Calculation Sheet'!$B$4:$B$40,$BJ18-3)="","",INDEX('Final Calculation Sheet'!$B$4:$B$40,$BJ18-3)),IF(OR($BI18=1,$BL18=1,$BH18&gt;0),IF($BI18=1,"GRAND TOTAL  —  matching + remaining",IF($BL18=1,"TOTAL MATCHED  —  every group together",IF($BH18=10,"REMAINING  —  did not match the search",IF($BH18=9,IF(COUNTIF($A$4:$AI$4,"&lt;&gt;")&gt;0,"FILTERED LOTS  —  column fields","ALL LOTS  —  nothing typed in the box"),"GROUP "&amp;$BH18&amp;" TOTAL  —  lots matching  "&amp;INDEX($AR$6:$AY$6,$BH18))))),""))</f>
        <v/>
      </c>
      <c r="E19" s="69">
        <f>IF($BJ18&gt;0,IF(INDEX('Final Calculation Sheet'!$D$4:$D$40,$BJ18-3)="","",INDEX('Final Calculation Sheet'!$D$4:$D$40,$BJ18-3)),IF(OR($BI18=1,$BL18=1,$BH18&gt;0),"–",""))</f>
        <v/>
      </c>
      <c r="F19" s="69">
        <f>IF($BJ18&gt;0,IF(INDEX('Final Calculation Sheet'!$A$4:$A$40,$BJ18-3)="","",INDEX('Final Calculation Sheet'!$A$4:$A$40,$BJ18-3)),IF(OR($BI18=1,$BL18=1,$BH18&gt;0),IF($BI18=1,SUM('Final Calculation Sheet'!$A$4:$A$40),IF($BL18=1,SUM('Final Calculation Sheet'!$A$4:$A$40)-SUMIFS('Final Calculation Sheet'!$A$4:$A$40,$AZ$5:$AZ$41,10),SUMIFS('Final Calculation Sheet'!$A$4:$A$40,$AZ$5:$AZ$41,$BH18))),""))</f>
        <v/>
      </c>
      <c r="G19" s="69">
        <f>IF($BJ18&gt;0,IF(INDEX('Final Calculation Sheet'!$E$4:$E$40,$BJ18-3)="","",INDEX('Final Calculation Sheet'!$E$4:$E$40,$BJ18-3)),IF(OR($BI18=1,$BL18=1,$BH18&gt;0),"–",""))</f>
        <v/>
      </c>
      <c r="H19" s="70">
        <f>IF($BJ18&gt;0,IF(INDEX('Final Calculation Sheet'!$C$4:$C$40,$BJ18-3)="","",INDEX('Final Calculation Sheet'!$C$4:$C$40,$BJ18-3)),IF(OR($BI18=1,$BL18=1,$BH18&gt;0),"–",""))</f>
        <v/>
      </c>
      <c r="I19" s="70">
        <f>IF($BJ18&gt;0,IF(INDEX('Final Calculation Sheet'!$H$4:$H$40,$BJ18-3)="","",INDEX('Final Calculation Sheet'!$H$4:$H$40,$BJ18-3)),IF(OR($BI18=1,$BL18=1,$BH18&gt;0),IF($BI18=1,SUM('Final Calculation Sheet'!$H$4:$H$40),IF($BL18=1,SUM('Final Calculation Sheet'!$H$4:$H$40)-SUMIFS('Final Calculation Sheet'!$H$4:$H$40,$AZ$5:$AZ$41,10),SUMIFS('Final Calculation Sheet'!$H$4:$H$40,$AZ$5:$AZ$41,$BH18))),""))</f>
        <v/>
      </c>
      <c r="J19" s="70">
        <f>IF($BJ18&gt;0,IF(INDEX('Final Calculation Sheet'!$I$4:$I$40,$BJ18-3)="","",INDEX('Final Calculation Sheet'!$I$4:$I$40,$BJ18-3)),IF(OR($BI18=1,$BL18=1,$BH18&gt;0),IF($BI18=1,SUM('Final Calculation Sheet'!$I$4:$I$40),IF($BL18=1,SUM('Final Calculation Sheet'!$I$4:$I$40)-SUMIFS('Final Calculation Sheet'!$I$4:$I$40,$AZ$5:$AZ$41,10),SUMIFS('Final Calculation Sheet'!$I$4:$I$40,$AZ$5:$AZ$41,$BH18))),""))</f>
        <v/>
      </c>
      <c r="K19" s="70">
        <f>IF($BJ18&gt;0,IF(INDEX('Final Calculation Sheet'!$J$4:$J$40,$BJ18-3)="","",INDEX('Final Calculation Sheet'!$J$4:$J$40,$BJ18-3)),IF(OR($BI18=1,$BL18=1,$BH18&gt;0),IF($BI18=1,SUM('Final Calculation Sheet'!$J$4:$J$40),IF($BL18=1,SUM('Final Calculation Sheet'!$J$4:$J$40)-SUMIFS('Final Calculation Sheet'!$J$4:$J$40,$AZ$5:$AZ$41,10),SUMIFS('Final Calculation Sheet'!$J$4:$J$40,$AZ$5:$AZ$41,$BH18))),""))</f>
        <v/>
      </c>
      <c r="L19" s="70">
        <f>IF($BJ18&gt;0,IF(INDEX('Final Calculation Sheet'!$K$4:$K$40,$BJ18-3)="","",INDEX('Final Calculation Sheet'!$K$4:$K$40,$BJ18-3)),IF(OR($BI18=1,$BL18=1,$BH18&gt;0),IF($BI18=1,SUM('Final Calculation Sheet'!$K$4:$K$40),IF($BL18=1,SUM('Final Calculation Sheet'!$K$4:$K$40)-SUMIFS('Final Calculation Sheet'!$K$4:$K$40,$AZ$5:$AZ$41,10),SUMIFS('Final Calculation Sheet'!$K$4:$K$40,$AZ$5:$AZ$41,$BH18))),""))</f>
        <v/>
      </c>
      <c r="M19" s="70">
        <f>IF($BJ18&gt;0,IF(INDEX('Final Calculation Sheet'!$L$4:$L$40,$BJ18-3)="","",INDEX('Final Calculation Sheet'!$L$4:$L$40,$BJ18-3)),IF(OR($BI18=1,$BL18=1,$BH18&gt;0),IF($BI18=1,SUM('Final Calculation Sheet'!$L$4:$L$40),IF($BL18=1,SUM('Final Calculation Sheet'!$L$4:$L$40)-SUMIFS('Final Calculation Sheet'!$L$4:$L$40,$AZ$5:$AZ$41,10),SUMIFS('Final Calculation Sheet'!$L$4:$L$40,$AZ$5:$AZ$41,$BH18))),""))</f>
        <v/>
      </c>
      <c r="N19" s="70">
        <f>IF($BJ18&gt;0,IF(INDEX('Final Calculation Sheet'!$M$4:$M$40,$BJ18-3)="","",INDEX('Final Calculation Sheet'!$M$4:$M$40,$BJ18-3)),IF(OR($BI18=1,$BL18=1,$BH18&gt;0),IF($BI18=1,SUM('Final Calculation Sheet'!$M$4:$M$40),IF($BL18=1,SUM('Final Calculation Sheet'!$M$4:$M$40)-SUMIFS('Final Calculation Sheet'!$M$4:$M$40,$AZ$5:$AZ$41,10),SUMIFS('Final Calculation Sheet'!$M$4:$M$40,$AZ$5:$AZ$41,$BH18))),""))</f>
        <v/>
      </c>
      <c r="O19" s="71">
        <f>IF($BJ18&gt;0,IF(INDEX('Final Calculation Sheet'!$N$4:$N$40,$BJ18-3)="","",INDEX('Final Calculation Sheet'!$N$4:$N$40,$BJ18-3)),IF(OR($BI18=1,$BL18=1,$BH18&gt;0),IF($BI18=1,SUM('Final Calculation Sheet'!$N$4:$N$40),IF($BL18=1,SUM('Final Calculation Sheet'!$N$4:$N$40)-SUMIFS('Final Calculation Sheet'!$N$4:$N$40,$AZ$5:$AZ$41,10),SUMIFS('Final Calculation Sheet'!$N$4:$N$40,$AZ$5:$AZ$41,$BH18))),""))</f>
        <v/>
      </c>
      <c r="P19" s="70">
        <f>IF($BJ18&gt;0,IF(INDEX('Final Calculation Sheet'!$O$4:$O$40,$BJ18-3)="","",INDEX('Final Calculation Sheet'!$O$4:$O$40,$BJ18-3)),IF(OR($BI18=1,$BL18=1,$BH18&gt;0),IF($BI18=1,SUM('Final Calculation Sheet'!$O$4:$O$40),IF($BL18=1,SUM('Final Calculation Sheet'!$O$4:$O$40)-SUMIFS('Final Calculation Sheet'!$O$4:$O$40,$AZ$5:$AZ$41,10),SUMIFS('Final Calculation Sheet'!$O$4:$O$40,$AZ$5:$AZ$41,$BH18))),""))</f>
        <v/>
      </c>
      <c r="Q19" s="70">
        <f>IF($BJ18&gt;0,IF(INDEX('Final Calculation Sheet'!$P$4:$P$40,$BJ18-3)="","",INDEX('Final Calculation Sheet'!$P$4:$P$40,$BJ18-3)),IF(OR($BI18=1,$BL18=1,$BH18&gt;0),IF($BI18=1,SUM('Final Calculation Sheet'!$P$4:$P$40),IF($BL18=1,SUM('Final Calculation Sheet'!$P$4:$P$40)-SUMIFS('Final Calculation Sheet'!$P$4:$P$40,$AZ$5:$AZ$41,10),SUMIFS('Final Calculation Sheet'!$P$4:$P$40,$AZ$5:$AZ$41,$BH18))),""))</f>
        <v/>
      </c>
      <c r="R19" s="72">
        <f>IF($BJ18&gt;0,IF(INDEX('Final Calculation Sheet'!$Q$4:$Q$40,$BJ18-3)="","",INDEX('Final Calculation Sheet'!$Q$4:$Q$40,$BJ18-3)),IF(OR($BI18=1,$BL18=1,$BH18&gt;0),"–",""))</f>
        <v/>
      </c>
      <c r="S19" s="70">
        <f>IF($BJ18&gt;0,IF(INDEX('Final Calculation Sheet'!$R$4:$R$40,$BJ18-3)="","",INDEX('Final Calculation Sheet'!$R$4:$R$40,$BJ18-3)),IF(OR($BI18=1,$BL18=1,$BH18&gt;0),IF($BI18=1,SUM('Final Calculation Sheet'!$R$4:$R$40),IF($BL18=1,SUM('Final Calculation Sheet'!$R$4:$R$40)-SUMIFS('Final Calculation Sheet'!$R$4:$R$40,$AZ$5:$AZ$41,10),SUMIFS('Final Calculation Sheet'!$R$4:$R$40,$AZ$5:$AZ$41,$BH18))),""))</f>
        <v/>
      </c>
      <c r="T19" s="70">
        <f>IF($BJ18&gt;0,IF(INDEX('Final Calculation Sheet'!$S$4:$S$40,$BJ18-3)="","",INDEX('Final Calculation Sheet'!$S$4:$S$40,$BJ18-3)),IF(OR($BI18=1,$BL18=1,$BH18&gt;0),IF($BI18=1,SUM('Final Calculation Sheet'!$S$4:$S$40),IF($BL18=1,SUM('Final Calculation Sheet'!$S$4:$S$40)-SUMIFS('Final Calculation Sheet'!$S$4:$S$40,$AZ$5:$AZ$41,10),SUMIFS('Final Calculation Sheet'!$S$4:$S$40,$AZ$5:$AZ$41,$BH18))),""))</f>
        <v/>
      </c>
      <c r="U19" s="70">
        <f>IF($BJ18&gt;0,IF(INDEX('Final Calculation Sheet'!$T$4:$T$40,$BJ18-3)="","",INDEX('Final Calculation Sheet'!$T$4:$T$40,$BJ18-3)),IF(OR($BI18=1,$BL18=1,$BH18&gt;0),IF($BI18=1,SUM('Final Calculation Sheet'!$T$4:$T$40),IF($BL18=1,SUM('Final Calculation Sheet'!$T$4:$T$40)-SUMIFS('Final Calculation Sheet'!$T$4:$T$40,$AZ$5:$AZ$41,10),SUMIFS('Final Calculation Sheet'!$T$4:$T$40,$AZ$5:$AZ$41,$BH18))),""))</f>
        <v/>
      </c>
      <c r="V19" s="73">
        <f>IF($BJ18&gt;0,IF(INDEX('Final Calculation Sheet'!$U$4:$U$40,$BJ18-3)="","",INDEX('Final Calculation Sheet'!$U$4:$U$40,$BJ18-3)),IF(OR($BI18=1,$BL18=1,$BH18&gt;0),IF($BI18=1,SUM('Final Calculation Sheet'!$U$4:$U$40),IF($BL18=1,SUM('Final Calculation Sheet'!$U$4:$U$40)-SUMIFS('Final Calculation Sheet'!$U$4:$U$40,$AZ$5:$AZ$41,10),SUMIFS('Final Calculation Sheet'!$U$4:$U$40,$AZ$5:$AZ$41,$BH18))),""))</f>
        <v/>
      </c>
      <c r="W19" s="70">
        <f>IF($BJ18&gt;0,IF(INDEX('Final Calculation Sheet'!$V$4:$V$40,$BJ18-3)="","",INDEX('Final Calculation Sheet'!$V$4:$V$40,$BJ18-3)),IF(OR($BI18=1,$BL18=1,$BH18&gt;0),"–",""))</f>
        <v/>
      </c>
      <c r="X19" s="70">
        <f>IF($BJ18&gt;0,IF(INDEX('Final Calculation Sheet'!$W$4:$W$40,$BJ18-3)="","",INDEX('Final Calculation Sheet'!$W$4:$W$40,$BJ18-3)),IF(OR($BI18=1,$BL18=1,$BH18&gt;0),IF($BI18=1,SUM('Final Calculation Sheet'!$W$4:$W$40),IF($BL18=1,SUM('Final Calculation Sheet'!$W$4:$W$40)-SUMIFS('Final Calculation Sheet'!$W$4:$W$40,$AZ$5:$AZ$41,10),SUMIFS('Final Calculation Sheet'!$W$4:$W$40,$AZ$5:$AZ$41,$BH18))),""))</f>
        <v/>
      </c>
      <c r="Y19" s="70">
        <f>IF($BJ18&gt;0,IF(INDEX('Final Calculation Sheet'!$X$4:$X$40,$BJ18-3)="","",INDEX('Final Calculation Sheet'!$X$4:$X$40,$BJ18-3)),IF(OR($BI18=1,$BL18=1,$BH18&gt;0),IF($BI18=1,SUM('Final Calculation Sheet'!$X$4:$X$40),IF($BL18=1,SUM('Final Calculation Sheet'!$X$4:$X$40)-SUMIFS('Final Calculation Sheet'!$X$4:$X$40,$AZ$5:$AZ$41,10),SUMIFS('Final Calculation Sheet'!$X$4:$X$40,$AZ$5:$AZ$41,$BH18))),""))</f>
        <v/>
      </c>
      <c r="Z19" s="70">
        <f>IF($BJ18&gt;0,IF(INDEX('Final Calculation Sheet'!$Y$4:$Y$40,$BJ18-3)="","",INDEX('Final Calculation Sheet'!$Y$4:$Y$40,$BJ18-3)),IF(OR($BI18=1,$BL18=1,$BH18&gt;0),"–",""))</f>
        <v/>
      </c>
      <c r="AA19" s="70">
        <f>IF($BJ18&gt;0,IF(INDEX('Final Calculation Sheet'!$Z$4:$Z$40,$BJ18-3)="","",INDEX('Final Calculation Sheet'!$Z$4:$Z$40,$BJ18-3)),IF(OR($BI18=1,$BL18=1,$BH18&gt;0),IF($BI18=1,SUM('Final Calculation Sheet'!$Z$4:$Z$40),IF($BL18=1,SUM('Final Calculation Sheet'!$Z$4:$Z$40)-SUMIFS('Final Calculation Sheet'!$Z$4:$Z$40,$AZ$5:$AZ$41,10),SUMIFS('Final Calculation Sheet'!$Z$4:$Z$40,$AZ$5:$AZ$41,$BH18))),""))</f>
        <v/>
      </c>
      <c r="AB19" s="70">
        <f>IF($BJ18&gt;0,IF(INDEX('Final Calculation Sheet'!$AA$4:$AA$40,$BJ18-3)="","",INDEX('Final Calculation Sheet'!$AA$4:$AA$40,$BJ18-3)),IF(OR($BI18=1,$BL18=1,$BH18&gt;0),IF($BI18=1,SUM('Final Calculation Sheet'!$AA$4:$AA$40),IF($BL18=1,SUM('Final Calculation Sheet'!$AA$4:$AA$40)-SUMIFS('Final Calculation Sheet'!$AA$4:$AA$40,$AZ$5:$AZ$41,10),SUMIFS('Final Calculation Sheet'!$AA$4:$AA$40,$AZ$5:$AZ$41,$BH18))),""))</f>
        <v/>
      </c>
      <c r="AC19" s="70">
        <f>IF($BJ18&gt;0,IF(INDEX('Final Calculation Sheet'!$AB$4:$AB$40,$BJ18-3)="","",INDEX('Final Calculation Sheet'!$AB$4:$AB$40,$BJ18-3)),IF(OR($BI18=1,$BL18=1,$BH18&gt;0),"–",""))</f>
        <v/>
      </c>
      <c r="AD19" s="70">
        <f>IF($BJ18&gt;0,IF(INDEX('Final Calculation Sheet'!$AC$4:$AC$40,$BJ18-3)="","",INDEX('Final Calculation Sheet'!$AC$4:$AC$40,$BJ18-3)),IF(OR($BI18=1,$BL18=1,$BH18&gt;0),IF($BI18=1,SUM('Final Calculation Sheet'!$AC$4:$AC$40),IF($BL18=1,SUM('Final Calculation Sheet'!$AC$4:$AC$40)-SUMIFS('Final Calculation Sheet'!$AC$4:$AC$40,$AZ$5:$AZ$41,10),SUMIFS('Final Calculation Sheet'!$AC$4:$AC$40,$AZ$5:$AZ$41,$BH18))),""))</f>
        <v/>
      </c>
      <c r="AE19" s="70">
        <f>IF($BJ18&gt;0,IF(INDEX('Final Calculation Sheet'!$AD$4:$AD$40,$BJ18-3)="","",INDEX('Final Calculation Sheet'!$AD$4:$AD$40,$BJ18-3)),IF(OR($BI18=1,$BL18=1,$BH18&gt;0),IF($BI18=1,SUM('Final Calculation Sheet'!$AD$4:$AD$40),IF($BL18=1,SUM('Final Calculation Sheet'!$AD$4:$AD$40)-SUMIFS('Final Calculation Sheet'!$AD$4:$AD$40,$AZ$5:$AZ$41,10),SUMIFS('Final Calculation Sheet'!$AD$4:$AD$40,$AZ$5:$AZ$41,$BH18))),""))</f>
        <v/>
      </c>
      <c r="AF19" s="70">
        <f>IF($BJ18&gt;0,IF(INDEX('Final Calculation Sheet'!$AE$4:$AE$40,$BJ18-3)="","",INDEX('Final Calculation Sheet'!$AE$4:$AE$40,$BJ18-3)),IF(OR($BI18=1,$BL18=1,$BH18&gt;0),"–",""))</f>
        <v/>
      </c>
      <c r="AG19" s="74">
        <f>IF($BJ18&gt;0,IF(INDEX('Final Calculation Sheet'!$AF$4:$AF$40,$BJ18-3)="","",INDEX('Final Calculation Sheet'!$AF$4:$AF$40,$BJ18-3)),IF(OR($BI18=1,$BL18=1,$BH18&gt;0),"–",""))</f>
        <v/>
      </c>
      <c r="AH19" s="70">
        <f>IF($BJ18&gt;0,IF(INDEX('Final Calculation Sheet'!$AG$4:$AG$40,$BJ18-3)="","",INDEX('Final Calculation Sheet'!$AG$4:$AG$40,$BJ18-3)),IF(OR($BI18=1,$BL18=1,$BH18&gt;0),"–",""))</f>
        <v/>
      </c>
      <c r="AI19" s="75">
        <f>IF($BJ18&gt;0,IF(INDEX('Final Calculation Sheet'!$AD$4:$AD$40,$BJ18-3)="","",IF(INDEX('Final Calculation Sheet'!$AD$4:$AD$40,$BJ18-3)&lt;=0,"SETTLED","OUTSTANDING")),IF(OR($BI18=1,$BL18=1,$BH18&gt;0),IF(IF($BI18=1,SUM('Final Calculation Sheet'!$AD$4:$AD$40),IF($BL18=1,SUM('Final Calculation Sheet'!$AD$4:$AD$40)-SUMIFS('Final Calculation Sheet'!$AD$4:$AD$40,$AZ$5:$AZ$41,10),SUMIFS('Final Calculation Sheet'!$AD$4:$AD$40,$AZ$5:$AZ$41,$BH18)))&lt;=0,"ALL SETTLED","OUTSTANDING"),""))</f>
        <v/>
      </c>
      <c r="AK19">
        <f>IF($F$3="Lot No.",'Final Calculation Sheet'!$F$18,IF($F$3="Buyer",'Final Calculation Sheet'!$G$18,IF($F$3="Lot Name",'Final Calculation Sheet'!$B$18,IF($F$3="Bid Sheet",'Final Calculation Sheet'!$D$18,IF($F$3="Unit",'Final Calculation Sheet'!$E$18,'Final Calculation Sheet'!$F$18&amp;" "&amp;'Final Calculation Sheet'!$G$18&amp;" "&amp;'Final Calculation Sheet'!$B$18)))))</f>
        <v/>
      </c>
      <c r="AM19">
        <f>IF(COUNTIF($BM19:$CU19,0)&gt;0,0,IF($B$3="",1,IF(AND(IF(COUNTIF($AR$9:$AY$9,1)=0,TRUE,SUMPRODUCT(($AR$9:$AY$9=1)*($AR$6:$AY$6&lt;&gt;"")*ISNUMBER(SEARCH($AR$6:$AY$6,$AK19)))&gt;0),IF(COUNTIF($AR$9:$AY$9,2)=0,TRUE,SUMPRODUCT(($AR$9:$AY$9=2)*($AR$6:$AY$6&lt;&gt;"")*ISNUMBER(SEARCH($AR$6:$AY$6,$AK19)))&gt;0),IF(COUNTIF($AR$9:$AY$9,3)=0,TRUE,SUMPRODUCT(($AR$9:$AY$9=3)*($AR$6:$AY$6&lt;&gt;"")*ISNUMBER(SEARCH($AR$6:$AY$6,$AK19)))&gt;0),IF(COUNTIF($AR$9:$AY$9,4)=0,TRUE,SUMPRODUCT(($AR$9:$AY$9=4)*($AR$6:$AY$6&lt;&gt;"")*ISNUMBER(SEARCH($AR$6:$AY$6,$AK19)))&gt;0),IF(COUNTIF($AR$9:$AY$9,5)=0,TRUE,SUMPRODUCT(($AR$9:$AY$9=5)*($AR$6:$AY$6&lt;&gt;"")*ISNUMBER(SEARCH($AR$6:$AY$6,$AK19)))&gt;0),IF(COUNTIF($AR$9:$AY$9,6)=0,TRUE,SUMPRODUCT(($AR$9:$AY$9=6)*($AR$6:$AY$6&lt;&gt;"")*ISNUMBER(SEARCH($AR$6:$AY$6,$AK19)))&gt;0),IF(COUNTIF($AR$9:$AY$9,7)=0,TRUE,SUMPRODUCT(($AR$9:$AY$9=7)*($AR$6:$AY$6&lt;&gt;"")*ISNUMBER(SEARCH($AR$6:$AY$6,$AK19)))&gt;0),IF(COUNTIF($AR$9:$AY$9,8)=0,TRUE,SUMPRODUCT(($AR$9:$AY$9=8)*($AR$6:$AY$6&lt;&gt;"")*ISNUMBER(SEARCH($AR$6:$AY$6,$AK19)))&gt;0)),1,0)))</f>
        <v/>
      </c>
      <c r="AZ19">
        <f>IF($B$3="",IF(COUNTIF($A$4:$AI$4,"&lt;&gt;")=0,9,IF($AM19=1,9,10)),IF($AM19=0,10,IF(AND($AR$6&lt;&gt;"",ISNUMBER(SEARCH($AR$6,$AK19))),1,IF(AND($AS$6&lt;&gt;"",ISNUMBER(SEARCH($AS$6,$AK19))),2,IF(AND($AT$6&lt;&gt;"",ISNUMBER(SEARCH($AT$6,$AK19))),3,IF(AND($AU$6&lt;&gt;"",ISNUMBER(SEARCH($AU$6,$AK19))),4,IF(AND($AV$6&lt;&gt;"",ISNUMBER(SEARCH($AV$6,$AK19))),5,IF(AND($AW$6&lt;&gt;"",ISNUMBER(SEARCH($AW$6,$AK19))),6,IF(AND($AX$6&lt;&gt;"",ISNUMBER(SEARCH($AX$6,$AK19))),7,IF(AND($AY$6&lt;&gt;"",ISNUMBER(SEARCH($AY$6,$AK19))),8,0))))))))))</f>
        <v/>
      </c>
      <c r="BA19">
        <f>SUMPRODUCT(($AZ$5:$AZ$41=$AZ19)*($BC$5:$BC$41&lt;$BC19))+1</f>
        <v/>
      </c>
      <c r="BB19">
        <f>IF(INDEX($BF$4:$BF$13,$AZ19)=0,0,INDEX($BE$4:$BE$13,$AZ19)+$BA19-1)</f>
        <v/>
      </c>
      <c r="BC19" t="n">
        <v>18</v>
      </c>
      <c r="BH19">
        <f>IFERROR(MATCH(19,$BF$4:$BF$13,0),0)</f>
        <v/>
      </c>
      <c r="BI19">
        <f>IF(19=$BG$5,1,0)</f>
        <v/>
      </c>
      <c r="BJ19">
        <f>IF(OR($BH19&gt;0,$BI19=1,$BL19=1),0,IFERROR(INDEX($BC$5:$BC$41,MATCH(19,$BB$5:$BB$41,0)),0))</f>
        <v/>
      </c>
      <c r="BK19">
        <f>IF($BJ19&gt;0,IF(INDEX($AZ$5:$AZ$41,MATCH(19,$BB$5:$BB$41,0))=10,1,0),IF($BH19=10,1,0))</f>
        <v/>
      </c>
      <c r="BL19">
        <f>IF(19=$BG$4,1,0)</f>
        <v/>
      </c>
      <c r="BM1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19">
        <f>IF($B$4="",1,--(OR(SUMPRODUCT(--(TRIM(MID(SUBSTITUTE(SUBSTITUTE($B$4,"/",","),",",REPT(" ",99)),(ROW($1:$8)-1)*99+1,99))&lt;&gt;""),--ISNUMBER(SEARCH(TRIM(MID(SUBSTITUTE(SUBSTITUTE($B$4,"/",","),",",REPT(" ",99)),(ROW($1:$8)-1)*99+1,99)),IFERROR(('Final Calculation Sheet'!$F$18)&amp;"",""))))&gt;0,AND(ISNUMBER(SEARCH("blank",$B$4)),NOT(ISNUMBER(SEARCH("nonblank",$B$4))),IFERROR(('Final Calculation Sheet'!$F$18)&amp;"","")=""),AND(OR(ISNUMBER(SEARCH("nonblank",$B$4)),ISNUMBER(SEARCH("&lt;&gt;",$B$4))),IFERROR(('Final Calculation Sheet'!$F$18)&amp;"","")&lt;&gt;""),AND(TRIM($B$4)="",IFERROR(('Final Calculation Sheet'!$F$18)&amp;"","")=""))))</f>
        <v/>
      </c>
      <c r="BO19">
        <f>IF($C$4="",1,--(OR(SUMPRODUCT(--(TRIM(MID(SUBSTITUTE(SUBSTITUTE($C$4,"/",","),",",REPT(" ",99)),(ROW($1:$8)-1)*99+1,99))&lt;&gt;""),--ISNUMBER(SEARCH(TRIM(MID(SUBSTITUTE(SUBSTITUTE($C$4,"/",","),",",REPT(" ",99)),(ROW($1:$8)-1)*99+1,99)),IFERROR(('Final Calculation Sheet'!$G$18)&amp;"",""))))&gt;0,AND(ISNUMBER(SEARCH("blank",$C$4)),NOT(ISNUMBER(SEARCH("nonblank",$C$4))),IFERROR(('Final Calculation Sheet'!$G$18)&amp;"","")=""),AND(OR(ISNUMBER(SEARCH("nonblank",$C$4)),ISNUMBER(SEARCH("&lt;&gt;",$C$4))),IFERROR(('Final Calculation Sheet'!$G$18)&amp;"","")&lt;&gt;""),AND(TRIM($C$4)="",IFERROR(('Final Calculation Sheet'!$G$18)&amp;"","")=""))))</f>
        <v/>
      </c>
      <c r="BP19">
        <f>IF($D$4="",1,--(OR(SUMPRODUCT(--(TRIM(MID(SUBSTITUTE(SUBSTITUTE($D$4,"/",","),",",REPT(" ",99)),(ROW($1:$8)-1)*99+1,99))&lt;&gt;""),--ISNUMBER(SEARCH(TRIM(MID(SUBSTITUTE(SUBSTITUTE($D$4,"/",","),",",REPT(" ",99)),(ROW($1:$8)-1)*99+1,99)),IFERROR(('Final Calculation Sheet'!$B$18)&amp;"",""))))&gt;0,AND(ISNUMBER(SEARCH("blank",$D$4)),NOT(ISNUMBER(SEARCH("nonblank",$D$4))),IFERROR(('Final Calculation Sheet'!$B$18)&amp;"","")=""),AND(OR(ISNUMBER(SEARCH("nonblank",$D$4)),ISNUMBER(SEARCH("&lt;&gt;",$D$4))),IFERROR(('Final Calculation Sheet'!$B$18)&amp;"","")&lt;&gt;""),AND(TRIM($D$4)="",IFERROR(('Final Calculation Sheet'!$B$18)&amp;"","")=""))))</f>
        <v/>
      </c>
      <c r="BQ19">
        <f>IF($E$4="",1,--(OR(SUMPRODUCT(--(TRIM(MID(SUBSTITUTE(SUBSTITUTE($E$4,"/",","),",",REPT(" ",99)),(ROW($1:$8)-1)*99+1,99))&lt;&gt;""),--ISNUMBER(SEARCH(TRIM(MID(SUBSTITUTE(SUBSTITUTE($E$4,"/",","),",",REPT(" ",99)),(ROW($1:$8)-1)*99+1,99)),IFERROR(('Final Calculation Sheet'!$D$18)&amp;"",""))))&gt;0,AND(ISNUMBER(SEARCH("blank",$E$4)),NOT(ISNUMBER(SEARCH("nonblank",$E$4))),IFERROR(('Final Calculation Sheet'!$D$18)&amp;"","")=""),AND(OR(ISNUMBER(SEARCH("nonblank",$E$4)),ISNUMBER(SEARCH("&lt;&gt;",$E$4))),IFERROR(('Final Calculation Sheet'!$D$18)&amp;"","")&lt;&gt;""),AND(TRIM($E$4)="",IFERROR(('Final Calculation Sheet'!$D$18)&amp;"","")=""))))</f>
        <v/>
      </c>
      <c r="BR19">
        <f>IF($F$4="",1,--(OR(SUMPRODUCT(--(TRIM(MID(SUBSTITUTE(SUBSTITUTE($F$4,"/",","),",",REPT(" ",99)),(ROW($1:$8)-1)*99+1,99))&lt;&gt;""),--ISNUMBER(SEARCH(TRIM(MID(SUBSTITUTE(SUBSTITUTE($F$4,"/",","),",",REPT(" ",99)),(ROW($1:$8)-1)*99+1,99)),IFERROR(('Final Calculation Sheet'!$A$18)&amp;"",""))))&gt;0,AND(ISNUMBER(SEARCH("blank",$F$4)),NOT(ISNUMBER(SEARCH("nonblank",$F$4))),IFERROR(('Final Calculation Sheet'!$A$18)&amp;"","")=""),AND(OR(ISNUMBER(SEARCH("nonblank",$F$4)),ISNUMBER(SEARCH("&lt;&gt;",$F$4))),IFERROR(('Final Calculation Sheet'!$A$18)&amp;"","")&lt;&gt;""),AND(TRIM($F$4)="",IFERROR(('Final Calculation Sheet'!$A$18)&amp;"","")=""))))</f>
        <v/>
      </c>
      <c r="BS19">
        <f>IF($G$4="",1,--(OR(SUMPRODUCT(--(TRIM(MID(SUBSTITUTE(SUBSTITUTE($G$4,"/",","),",",REPT(" ",99)),(ROW($1:$8)-1)*99+1,99))&lt;&gt;""),--ISNUMBER(SEARCH(TRIM(MID(SUBSTITUTE(SUBSTITUTE($G$4,"/",","),",",REPT(" ",99)),(ROW($1:$8)-1)*99+1,99)),IFERROR(('Final Calculation Sheet'!$E$18)&amp;"",""))))&gt;0,AND(ISNUMBER(SEARCH("blank",$G$4)),NOT(ISNUMBER(SEARCH("nonblank",$G$4))),IFERROR(('Final Calculation Sheet'!$E$18)&amp;"","")=""),AND(OR(ISNUMBER(SEARCH("nonblank",$G$4)),ISNUMBER(SEARCH("&lt;&gt;",$G$4))),IFERROR(('Final Calculation Sheet'!$E$18)&amp;"","")&lt;&gt;""),AND(TRIM($G$4)="",IFERROR(('Final Calculation Sheet'!$E$18)&amp;"","")=""))))</f>
        <v/>
      </c>
      <c r="BT19">
        <f>IF($H$4="",1,--(OR(SUMPRODUCT(--(TRIM(MID(SUBSTITUTE(SUBSTITUTE($H$4,"/",","),",",REPT(" ",99)),(ROW($1:$8)-1)*99+1,99))&lt;&gt;""),--ISNUMBER(SEARCH(TRIM(MID(SUBSTITUTE(SUBSTITUTE($H$4,"/",","),",",REPT(" ",99)),(ROW($1:$8)-1)*99+1,99)),IFERROR(('Final Calculation Sheet'!$C$18)&amp;"",""))))&gt;0,AND(ISNUMBER(SEARCH("blank",$H$4)),NOT(ISNUMBER(SEARCH("nonblank",$H$4))),IFERROR(('Final Calculation Sheet'!$C$18)&amp;"","")=""),AND(OR(ISNUMBER(SEARCH("nonblank",$H$4)),ISNUMBER(SEARCH("&lt;&gt;",$H$4))),IFERROR(('Final Calculation Sheet'!$C$18)&amp;"","")&lt;&gt;""),AND(TRIM($H$4)="",IFERROR(('Final Calculation Sheet'!$C$18)&amp;"","")=""))))</f>
        <v/>
      </c>
      <c r="BU19">
        <f>IF($I$4="",1,--(OR(SUMPRODUCT(--(TRIM(MID(SUBSTITUTE(SUBSTITUTE($I$4,"/",","),",",REPT(" ",99)),(ROW($1:$8)-1)*99+1,99))&lt;&gt;""),--ISNUMBER(SEARCH(TRIM(MID(SUBSTITUTE(SUBSTITUTE($I$4,"/",","),",",REPT(" ",99)),(ROW($1:$8)-1)*99+1,99)),IFERROR(('Final Calculation Sheet'!$H$18)&amp;"",""))))&gt;0,AND(ISNUMBER(SEARCH("blank",$I$4)),NOT(ISNUMBER(SEARCH("nonblank",$I$4))),IFERROR(('Final Calculation Sheet'!$H$18)&amp;"","")=""),AND(OR(ISNUMBER(SEARCH("nonblank",$I$4)),ISNUMBER(SEARCH("&lt;&gt;",$I$4))),IFERROR(('Final Calculation Sheet'!$H$18)&amp;"","")&lt;&gt;""),AND(TRIM($I$4)="",IFERROR(('Final Calculation Sheet'!$H$18)&amp;"","")=""))))</f>
        <v/>
      </c>
      <c r="BV19">
        <f>IF($J$4="",1,--(OR(SUMPRODUCT(--(TRIM(MID(SUBSTITUTE(SUBSTITUTE($J$4,"/",","),",",REPT(" ",99)),(ROW($1:$8)-1)*99+1,99))&lt;&gt;""),--ISNUMBER(SEARCH(TRIM(MID(SUBSTITUTE(SUBSTITUTE($J$4,"/",","),",",REPT(" ",99)),(ROW($1:$8)-1)*99+1,99)),IFERROR(('Final Calculation Sheet'!$I$18)&amp;"",""))))&gt;0,AND(ISNUMBER(SEARCH("blank",$J$4)),NOT(ISNUMBER(SEARCH("nonblank",$J$4))),IFERROR(('Final Calculation Sheet'!$I$18)&amp;"","")=""),AND(OR(ISNUMBER(SEARCH("nonblank",$J$4)),ISNUMBER(SEARCH("&lt;&gt;",$J$4))),IFERROR(('Final Calculation Sheet'!$I$18)&amp;"","")&lt;&gt;""),AND(TRIM($J$4)="",IFERROR(('Final Calculation Sheet'!$I$18)&amp;"","")=""))))</f>
        <v/>
      </c>
      <c r="BW19">
        <f>IF($K$4="",1,--(OR(SUMPRODUCT(--(TRIM(MID(SUBSTITUTE(SUBSTITUTE($K$4,"/",","),",",REPT(" ",99)),(ROW($1:$8)-1)*99+1,99))&lt;&gt;""),--ISNUMBER(SEARCH(TRIM(MID(SUBSTITUTE(SUBSTITUTE($K$4,"/",","),",",REPT(" ",99)),(ROW($1:$8)-1)*99+1,99)),IFERROR(('Final Calculation Sheet'!$J$18)&amp;"",""))))&gt;0,AND(ISNUMBER(SEARCH("blank",$K$4)),NOT(ISNUMBER(SEARCH("nonblank",$K$4))),IFERROR(('Final Calculation Sheet'!$J$18)&amp;"","")=""),AND(OR(ISNUMBER(SEARCH("nonblank",$K$4)),ISNUMBER(SEARCH("&lt;&gt;",$K$4))),IFERROR(('Final Calculation Sheet'!$J$18)&amp;"","")&lt;&gt;""),AND(TRIM($K$4)="",IFERROR(('Final Calculation Sheet'!$J$18)&amp;"","")=""))))</f>
        <v/>
      </c>
      <c r="BX19">
        <f>IF($L$4="",1,--(OR(SUMPRODUCT(--(TRIM(MID(SUBSTITUTE(SUBSTITUTE($L$4,"/",","),",",REPT(" ",99)),(ROW($1:$8)-1)*99+1,99))&lt;&gt;""),--ISNUMBER(SEARCH(TRIM(MID(SUBSTITUTE(SUBSTITUTE($L$4,"/",","),",",REPT(" ",99)),(ROW($1:$8)-1)*99+1,99)),IFERROR(('Final Calculation Sheet'!$K$18)&amp;"",""))))&gt;0,AND(ISNUMBER(SEARCH("blank",$L$4)),NOT(ISNUMBER(SEARCH("nonblank",$L$4))),IFERROR(('Final Calculation Sheet'!$K$18)&amp;"","")=""),AND(OR(ISNUMBER(SEARCH("nonblank",$L$4)),ISNUMBER(SEARCH("&lt;&gt;",$L$4))),IFERROR(('Final Calculation Sheet'!$K$18)&amp;"","")&lt;&gt;""),AND(TRIM($L$4)="",IFERROR(('Final Calculation Sheet'!$K$18)&amp;"","")=""))))</f>
        <v/>
      </c>
      <c r="BY19">
        <f>IF($M$4="",1,--(OR(SUMPRODUCT(--(TRIM(MID(SUBSTITUTE(SUBSTITUTE($M$4,"/",","),",",REPT(" ",99)),(ROW($1:$8)-1)*99+1,99))&lt;&gt;""),--ISNUMBER(SEARCH(TRIM(MID(SUBSTITUTE(SUBSTITUTE($M$4,"/",","),",",REPT(" ",99)),(ROW($1:$8)-1)*99+1,99)),IFERROR(('Final Calculation Sheet'!$L$18)&amp;"",""))))&gt;0,AND(ISNUMBER(SEARCH("blank",$M$4)),NOT(ISNUMBER(SEARCH("nonblank",$M$4))),IFERROR(('Final Calculation Sheet'!$L$18)&amp;"","")=""),AND(OR(ISNUMBER(SEARCH("nonblank",$M$4)),ISNUMBER(SEARCH("&lt;&gt;",$M$4))),IFERROR(('Final Calculation Sheet'!$L$18)&amp;"","")&lt;&gt;""),AND(TRIM($M$4)="",IFERROR(('Final Calculation Sheet'!$L$18)&amp;"","")=""))))</f>
        <v/>
      </c>
      <c r="BZ19">
        <f>IF($N$4="",1,--(OR(SUMPRODUCT(--(TRIM(MID(SUBSTITUTE(SUBSTITUTE($N$4,"/",","),",",REPT(" ",99)),(ROW($1:$8)-1)*99+1,99))&lt;&gt;""),--ISNUMBER(SEARCH(TRIM(MID(SUBSTITUTE(SUBSTITUTE($N$4,"/",","),",",REPT(" ",99)),(ROW($1:$8)-1)*99+1,99)),IFERROR(('Final Calculation Sheet'!$M$18)&amp;"",""))))&gt;0,AND(ISNUMBER(SEARCH("blank",$N$4)),NOT(ISNUMBER(SEARCH("nonblank",$N$4))),IFERROR(('Final Calculation Sheet'!$M$18)&amp;"","")=""),AND(OR(ISNUMBER(SEARCH("nonblank",$N$4)),ISNUMBER(SEARCH("&lt;&gt;",$N$4))),IFERROR(('Final Calculation Sheet'!$M$18)&amp;"","")&lt;&gt;""),AND(TRIM($N$4)="",IFERROR(('Final Calculation Sheet'!$M$18)&amp;"","")=""))))</f>
        <v/>
      </c>
      <c r="CA19">
        <f>IF($O$4="",1,--(OR(SUMPRODUCT(--(TRIM(MID(SUBSTITUTE(SUBSTITUTE($O$4,"/",","),",",REPT(" ",99)),(ROW($1:$8)-1)*99+1,99))&lt;&gt;""),--ISNUMBER(SEARCH(TRIM(MID(SUBSTITUTE(SUBSTITUTE($O$4,"/",","),",",REPT(" ",99)),(ROW($1:$8)-1)*99+1,99)),IFERROR(('Final Calculation Sheet'!$N$18)&amp;"",""))))&gt;0,AND(ISNUMBER(SEARCH("blank",$O$4)),NOT(ISNUMBER(SEARCH("nonblank",$O$4))),IFERROR(('Final Calculation Sheet'!$N$18)&amp;"","")=""),AND(OR(ISNUMBER(SEARCH("nonblank",$O$4)),ISNUMBER(SEARCH("&lt;&gt;",$O$4))),IFERROR(('Final Calculation Sheet'!$N$18)&amp;"","")&lt;&gt;""),AND(TRIM($O$4)="",IFERROR(('Final Calculation Sheet'!$N$18)&amp;"","")=""))))</f>
        <v/>
      </c>
      <c r="CB19">
        <f>IF($P$4="",1,--(OR(SUMPRODUCT(--(TRIM(MID(SUBSTITUTE(SUBSTITUTE($P$4,"/",","),",",REPT(" ",99)),(ROW($1:$8)-1)*99+1,99))&lt;&gt;""),--ISNUMBER(SEARCH(TRIM(MID(SUBSTITUTE(SUBSTITUTE($P$4,"/",","),",",REPT(" ",99)),(ROW($1:$8)-1)*99+1,99)),IFERROR(('Final Calculation Sheet'!$O$18)&amp;"",""))))&gt;0,AND(ISNUMBER(SEARCH("blank",$P$4)),NOT(ISNUMBER(SEARCH("nonblank",$P$4))),IFERROR(('Final Calculation Sheet'!$O$18)&amp;"","")=""),AND(OR(ISNUMBER(SEARCH("nonblank",$P$4)),ISNUMBER(SEARCH("&lt;&gt;",$P$4))),IFERROR(('Final Calculation Sheet'!$O$18)&amp;"","")&lt;&gt;""),AND(TRIM($P$4)="",IFERROR(('Final Calculation Sheet'!$O$18)&amp;"","")=""))))</f>
        <v/>
      </c>
      <c r="CC19">
        <f>IF($Q$4="",1,--(OR(SUMPRODUCT(--(TRIM(MID(SUBSTITUTE(SUBSTITUTE($Q$4,"/",","),",",REPT(" ",99)),(ROW($1:$8)-1)*99+1,99))&lt;&gt;""),--ISNUMBER(SEARCH(TRIM(MID(SUBSTITUTE(SUBSTITUTE($Q$4,"/",","),",",REPT(" ",99)),(ROW($1:$8)-1)*99+1,99)),IFERROR(('Final Calculation Sheet'!$P$18)&amp;"",""))))&gt;0,AND(ISNUMBER(SEARCH("blank",$Q$4)),NOT(ISNUMBER(SEARCH("nonblank",$Q$4))),IFERROR(('Final Calculation Sheet'!$P$18)&amp;"","")=""),AND(OR(ISNUMBER(SEARCH("nonblank",$Q$4)),ISNUMBER(SEARCH("&lt;&gt;",$Q$4))),IFERROR(('Final Calculation Sheet'!$P$18)&amp;"","")&lt;&gt;""),AND(TRIM($Q$4)="",IFERROR(('Final Calculation Sheet'!$P$18)&amp;"","")=""))))</f>
        <v/>
      </c>
      <c r="CD19">
        <f>IF($R$4="",1,--(OR(SUMPRODUCT(--(TRIM(MID(SUBSTITUTE(SUBSTITUTE($R$4,"/",","),",",REPT(" ",99)),(ROW($1:$8)-1)*99+1,99))&lt;&gt;""),--ISNUMBER(SEARCH(TRIM(MID(SUBSTITUTE(SUBSTITUTE($R$4,"/",","),",",REPT(" ",99)),(ROW($1:$8)-1)*99+1,99)),IFERROR(('Final Calculation Sheet'!$Q$18)&amp;"",""))))&gt;0,AND(ISNUMBER(SEARCH("blank",$R$4)),NOT(ISNUMBER(SEARCH("nonblank",$R$4))),IFERROR(('Final Calculation Sheet'!$Q$18)&amp;"","")=""),AND(OR(ISNUMBER(SEARCH("nonblank",$R$4)),ISNUMBER(SEARCH("&lt;&gt;",$R$4))),IFERROR(('Final Calculation Sheet'!$Q$18)&amp;"","")&lt;&gt;""),AND(TRIM($R$4)="",IFERROR(('Final Calculation Sheet'!$Q$18)&amp;"","")=""))))</f>
        <v/>
      </c>
      <c r="CE19">
        <f>IF($S$4="",1,--(OR(SUMPRODUCT(--(TRIM(MID(SUBSTITUTE(SUBSTITUTE($S$4,"/",","),",",REPT(" ",99)),(ROW($1:$8)-1)*99+1,99))&lt;&gt;""),--ISNUMBER(SEARCH(TRIM(MID(SUBSTITUTE(SUBSTITUTE($S$4,"/",","),",",REPT(" ",99)),(ROW($1:$8)-1)*99+1,99)),IFERROR(('Final Calculation Sheet'!$R$18)&amp;"",""))))&gt;0,AND(ISNUMBER(SEARCH("blank",$S$4)),NOT(ISNUMBER(SEARCH("nonblank",$S$4))),IFERROR(('Final Calculation Sheet'!$R$18)&amp;"","")=""),AND(OR(ISNUMBER(SEARCH("nonblank",$S$4)),ISNUMBER(SEARCH("&lt;&gt;",$S$4))),IFERROR(('Final Calculation Sheet'!$R$18)&amp;"","")&lt;&gt;""),AND(TRIM($S$4)="",IFERROR(('Final Calculation Sheet'!$R$18)&amp;"","")=""))))</f>
        <v/>
      </c>
      <c r="CF19">
        <f>IF($T$4="",1,--(OR(SUMPRODUCT(--(TRIM(MID(SUBSTITUTE(SUBSTITUTE($T$4,"/",","),",",REPT(" ",99)),(ROW($1:$8)-1)*99+1,99))&lt;&gt;""),--ISNUMBER(SEARCH(TRIM(MID(SUBSTITUTE(SUBSTITUTE($T$4,"/",","),",",REPT(" ",99)),(ROW($1:$8)-1)*99+1,99)),IFERROR(('Final Calculation Sheet'!$S$18)&amp;"",""))))&gt;0,AND(ISNUMBER(SEARCH("blank",$T$4)),NOT(ISNUMBER(SEARCH("nonblank",$T$4))),IFERROR(('Final Calculation Sheet'!$S$18)&amp;"","")=""),AND(OR(ISNUMBER(SEARCH("nonblank",$T$4)),ISNUMBER(SEARCH("&lt;&gt;",$T$4))),IFERROR(('Final Calculation Sheet'!$S$18)&amp;"","")&lt;&gt;""),AND(TRIM($T$4)="",IFERROR(('Final Calculation Sheet'!$S$18)&amp;"","")=""))))</f>
        <v/>
      </c>
      <c r="CG19">
        <f>IF($U$4="",1,--(OR(SUMPRODUCT(--(TRIM(MID(SUBSTITUTE(SUBSTITUTE($U$4,"/",","),",",REPT(" ",99)),(ROW($1:$8)-1)*99+1,99))&lt;&gt;""),--ISNUMBER(SEARCH(TRIM(MID(SUBSTITUTE(SUBSTITUTE($U$4,"/",","),",",REPT(" ",99)),(ROW($1:$8)-1)*99+1,99)),IFERROR(('Final Calculation Sheet'!$T$18)&amp;"",""))))&gt;0,AND(ISNUMBER(SEARCH("blank",$U$4)),NOT(ISNUMBER(SEARCH("nonblank",$U$4))),IFERROR(('Final Calculation Sheet'!$T$18)&amp;"","")=""),AND(OR(ISNUMBER(SEARCH("nonblank",$U$4)),ISNUMBER(SEARCH("&lt;&gt;",$U$4))),IFERROR(('Final Calculation Sheet'!$T$18)&amp;"","")&lt;&gt;""),AND(TRIM($U$4)="",IFERROR(('Final Calculation Sheet'!$T$18)&amp;"","")=""))))</f>
        <v/>
      </c>
      <c r="CH19">
        <f>IF($V$4="",1,--(OR(SUMPRODUCT(--(TRIM(MID(SUBSTITUTE(SUBSTITUTE($V$4,"/",","),",",REPT(" ",99)),(ROW($1:$8)-1)*99+1,99))&lt;&gt;""),--ISNUMBER(SEARCH(TRIM(MID(SUBSTITUTE(SUBSTITUTE($V$4,"/",","),",",REPT(" ",99)),(ROW($1:$8)-1)*99+1,99)),IFERROR(('Final Calculation Sheet'!$U$18)&amp;"",""))))&gt;0,AND(ISNUMBER(SEARCH("blank",$V$4)),NOT(ISNUMBER(SEARCH("nonblank",$V$4))),IFERROR(('Final Calculation Sheet'!$U$18)&amp;"","")=""),AND(OR(ISNUMBER(SEARCH("nonblank",$V$4)),ISNUMBER(SEARCH("&lt;&gt;",$V$4))),IFERROR(('Final Calculation Sheet'!$U$18)&amp;"","")&lt;&gt;""),AND(TRIM($V$4)="",IFERROR(('Final Calculation Sheet'!$U$18)&amp;"","")=""))))</f>
        <v/>
      </c>
      <c r="CI19">
        <f>IF($W$4="",1,--(OR(SUMPRODUCT(--(TRIM(MID(SUBSTITUTE(SUBSTITUTE($W$4,"/",","),",",REPT(" ",99)),(ROW($1:$8)-1)*99+1,99))&lt;&gt;""),--ISNUMBER(SEARCH(TRIM(MID(SUBSTITUTE(SUBSTITUTE($W$4,"/",","),",",REPT(" ",99)),(ROW($1:$8)-1)*99+1,99)),IFERROR(('Final Calculation Sheet'!$V$18)&amp;"",""))))&gt;0,AND(ISNUMBER(SEARCH("blank",$W$4)),NOT(ISNUMBER(SEARCH("nonblank",$W$4))),IFERROR(('Final Calculation Sheet'!$V$18)&amp;"","")=""),AND(OR(ISNUMBER(SEARCH("nonblank",$W$4)),ISNUMBER(SEARCH("&lt;&gt;",$W$4))),IFERROR(('Final Calculation Sheet'!$V$18)&amp;"","")&lt;&gt;""),AND(TRIM($W$4)="",IFERROR(('Final Calculation Sheet'!$V$18)&amp;"","")=""))))</f>
        <v/>
      </c>
      <c r="CJ19">
        <f>IF($X$4="",1,--(OR(SUMPRODUCT(--(TRIM(MID(SUBSTITUTE(SUBSTITUTE($X$4,"/",","),",",REPT(" ",99)),(ROW($1:$8)-1)*99+1,99))&lt;&gt;""),--ISNUMBER(SEARCH(TRIM(MID(SUBSTITUTE(SUBSTITUTE($X$4,"/",","),",",REPT(" ",99)),(ROW($1:$8)-1)*99+1,99)),IFERROR(('Final Calculation Sheet'!$W$18)&amp;"",""))))&gt;0,AND(ISNUMBER(SEARCH("blank",$X$4)),NOT(ISNUMBER(SEARCH("nonblank",$X$4))),IFERROR(('Final Calculation Sheet'!$W$18)&amp;"","")=""),AND(OR(ISNUMBER(SEARCH("nonblank",$X$4)),ISNUMBER(SEARCH("&lt;&gt;",$X$4))),IFERROR(('Final Calculation Sheet'!$W$18)&amp;"","")&lt;&gt;""),AND(TRIM($X$4)="",IFERROR(('Final Calculation Sheet'!$W$18)&amp;"","")=""))))</f>
        <v/>
      </c>
      <c r="CK19">
        <f>IF($Y$4="",1,--(OR(SUMPRODUCT(--(TRIM(MID(SUBSTITUTE(SUBSTITUTE($Y$4,"/",","),",",REPT(" ",99)),(ROW($1:$8)-1)*99+1,99))&lt;&gt;""),--ISNUMBER(SEARCH(TRIM(MID(SUBSTITUTE(SUBSTITUTE($Y$4,"/",","),",",REPT(" ",99)),(ROW($1:$8)-1)*99+1,99)),IFERROR(('Final Calculation Sheet'!$X$18)&amp;"",""))))&gt;0,AND(ISNUMBER(SEARCH("blank",$Y$4)),NOT(ISNUMBER(SEARCH("nonblank",$Y$4))),IFERROR(('Final Calculation Sheet'!$X$18)&amp;"","")=""),AND(OR(ISNUMBER(SEARCH("nonblank",$Y$4)),ISNUMBER(SEARCH("&lt;&gt;",$Y$4))),IFERROR(('Final Calculation Sheet'!$X$18)&amp;"","")&lt;&gt;""),AND(TRIM($Y$4)="",IFERROR(('Final Calculation Sheet'!$X$18)&amp;"","")=""))))</f>
        <v/>
      </c>
      <c r="CL19">
        <f>IF($Z$4="",1,--(OR(SUMPRODUCT(--(TRIM(MID(SUBSTITUTE(SUBSTITUTE($Z$4,"/",","),",",REPT(" ",99)),(ROW($1:$8)-1)*99+1,99))&lt;&gt;""),--ISNUMBER(SEARCH(TRIM(MID(SUBSTITUTE(SUBSTITUTE($Z$4,"/",","),",",REPT(" ",99)),(ROW($1:$8)-1)*99+1,99)),IFERROR(('Final Calculation Sheet'!$Y$18)&amp;"",""))))&gt;0,AND(ISNUMBER(SEARCH("blank",$Z$4)),NOT(ISNUMBER(SEARCH("nonblank",$Z$4))),IFERROR(('Final Calculation Sheet'!$Y$18)&amp;"","")=""),AND(OR(ISNUMBER(SEARCH("nonblank",$Z$4)),ISNUMBER(SEARCH("&lt;&gt;",$Z$4))),IFERROR(('Final Calculation Sheet'!$Y$18)&amp;"","")&lt;&gt;""),AND(TRIM($Z$4)="",IFERROR(('Final Calculation Sheet'!$Y$18)&amp;"","")=""))))</f>
        <v/>
      </c>
      <c r="CM19">
        <f>IF($AA$4="",1,--(OR(SUMPRODUCT(--(TRIM(MID(SUBSTITUTE(SUBSTITUTE($AA$4,"/",","),",",REPT(" ",99)),(ROW($1:$8)-1)*99+1,99))&lt;&gt;""),--ISNUMBER(SEARCH(TRIM(MID(SUBSTITUTE(SUBSTITUTE($AA$4,"/",","),",",REPT(" ",99)),(ROW($1:$8)-1)*99+1,99)),IFERROR(('Final Calculation Sheet'!$Z$18)&amp;"",""))))&gt;0,AND(ISNUMBER(SEARCH("blank",$AA$4)),NOT(ISNUMBER(SEARCH("nonblank",$AA$4))),IFERROR(('Final Calculation Sheet'!$Z$18)&amp;"","")=""),AND(OR(ISNUMBER(SEARCH("nonblank",$AA$4)),ISNUMBER(SEARCH("&lt;&gt;",$AA$4))),IFERROR(('Final Calculation Sheet'!$Z$18)&amp;"","")&lt;&gt;""),AND(TRIM($AA$4)="",IFERROR(('Final Calculation Sheet'!$Z$18)&amp;"","")=""))))</f>
        <v/>
      </c>
      <c r="CN19">
        <f>IF($AB$4="",1,--(OR(SUMPRODUCT(--(TRIM(MID(SUBSTITUTE(SUBSTITUTE($AB$4,"/",","),",",REPT(" ",99)),(ROW($1:$8)-1)*99+1,99))&lt;&gt;""),--ISNUMBER(SEARCH(TRIM(MID(SUBSTITUTE(SUBSTITUTE($AB$4,"/",","),",",REPT(" ",99)),(ROW($1:$8)-1)*99+1,99)),IFERROR(('Final Calculation Sheet'!$AA$18)&amp;"",""))))&gt;0,AND(ISNUMBER(SEARCH("blank",$AB$4)),NOT(ISNUMBER(SEARCH("nonblank",$AB$4))),IFERROR(('Final Calculation Sheet'!$AA$18)&amp;"","")=""),AND(OR(ISNUMBER(SEARCH("nonblank",$AB$4)),ISNUMBER(SEARCH("&lt;&gt;",$AB$4))),IFERROR(('Final Calculation Sheet'!$AA$18)&amp;"","")&lt;&gt;""),AND(TRIM($AB$4)="",IFERROR(('Final Calculation Sheet'!$AA$18)&amp;"","")=""))))</f>
        <v/>
      </c>
      <c r="CO19">
        <f>IF($AC$4="",1,--(OR(SUMPRODUCT(--(TRIM(MID(SUBSTITUTE(SUBSTITUTE($AC$4,"/",","),",",REPT(" ",99)),(ROW($1:$8)-1)*99+1,99))&lt;&gt;""),--ISNUMBER(SEARCH(TRIM(MID(SUBSTITUTE(SUBSTITUTE($AC$4,"/",","),",",REPT(" ",99)),(ROW($1:$8)-1)*99+1,99)),IFERROR(('Final Calculation Sheet'!$AB$18)&amp;"",""))))&gt;0,AND(ISNUMBER(SEARCH("blank",$AC$4)),NOT(ISNUMBER(SEARCH("nonblank",$AC$4))),IFERROR(('Final Calculation Sheet'!$AB$18)&amp;"","")=""),AND(OR(ISNUMBER(SEARCH("nonblank",$AC$4)),ISNUMBER(SEARCH("&lt;&gt;",$AC$4))),IFERROR(('Final Calculation Sheet'!$AB$18)&amp;"","")&lt;&gt;""),AND(TRIM($AC$4)="",IFERROR(('Final Calculation Sheet'!$AB$18)&amp;"","")=""))))</f>
        <v/>
      </c>
      <c r="CP19">
        <f>IF($AD$4="",1,--(OR(SUMPRODUCT(--(TRIM(MID(SUBSTITUTE(SUBSTITUTE($AD$4,"/",","),",",REPT(" ",99)),(ROW($1:$8)-1)*99+1,99))&lt;&gt;""),--ISNUMBER(SEARCH(TRIM(MID(SUBSTITUTE(SUBSTITUTE($AD$4,"/",","),",",REPT(" ",99)),(ROW($1:$8)-1)*99+1,99)),IFERROR(('Final Calculation Sheet'!$AC$18)&amp;"",""))))&gt;0,AND(ISNUMBER(SEARCH("blank",$AD$4)),NOT(ISNUMBER(SEARCH("nonblank",$AD$4))),IFERROR(('Final Calculation Sheet'!$AC$18)&amp;"","")=""),AND(OR(ISNUMBER(SEARCH("nonblank",$AD$4)),ISNUMBER(SEARCH("&lt;&gt;",$AD$4))),IFERROR(('Final Calculation Sheet'!$AC$18)&amp;"","")&lt;&gt;""),AND(TRIM($AD$4)="",IFERROR(('Final Calculation Sheet'!$AC$18)&amp;"","")=""))))</f>
        <v/>
      </c>
      <c r="CQ19">
        <f>IF($AE$4="",1,--(OR(SUMPRODUCT(--(TRIM(MID(SUBSTITUTE(SUBSTITUTE($AE$4,"/",","),",",REPT(" ",99)),(ROW($1:$8)-1)*99+1,99))&lt;&gt;""),--ISNUMBER(SEARCH(TRIM(MID(SUBSTITUTE(SUBSTITUTE($AE$4,"/",","),",",REPT(" ",99)),(ROW($1:$8)-1)*99+1,99)),IFERROR(('Final Calculation Sheet'!$AD$18)&amp;"",""))))&gt;0,AND(ISNUMBER(SEARCH("blank",$AE$4)),NOT(ISNUMBER(SEARCH("nonblank",$AE$4))),IFERROR(('Final Calculation Sheet'!$AD$18)&amp;"","")=""),AND(OR(ISNUMBER(SEARCH("nonblank",$AE$4)),ISNUMBER(SEARCH("&lt;&gt;",$AE$4))),IFERROR(('Final Calculation Sheet'!$AD$18)&amp;"","")&lt;&gt;""),AND(TRIM($AE$4)="",IFERROR(('Final Calculation Sheet'!$AD$18)&amp;"","")=""))))</f>
        <v/>
      </c>
      <c r="CR19">
        <f>IF($AF$4="",1,--(OR(SUMPRODUCT(--(TRIM(MID(SUBSTITUTE(SUBSTITUTE($AF$4,"/",","),",",REPT(" ",99)),(ROW($1:$8)-1)*99+1,99))&lt;&gt;""),--ISNUMBER(SEARCH(TRIM(MID(SUBSTITUTE(SUBSTITUTE($AF$4,"/",","),",",REPT(" ",99)),(ROW($1:$8)-1)*99+1,99)),IFERROR(('Final Calculation Sheet'!$AE$18)&amp;"",""))))&gt;0,AND(ISNUMBER(SEARCH("blank",$AF$4)),NOT(ISNUMBER(SEARCH("nonblank",$AF$4))),IFERROR(('Final Calculation Sheet'!$AE$18)&amp;"","")=""),AND(OR(ISNUMBER(SEARCH("nonblank",$AF$4)),ISNUMBER(SEARCH("&lt;&gt;",$AF$4))),IFERROR(('Final Calculation Sheet'!$AE$18)&amp;"","")&lt;&gt;""),AND(TRIM($AF$4)="",IFERROR(('Final Calculation Sheet'!$AE$18)&amp;"","")=""))))</f>
        <v/>
      </c>
      <c r="CS19">
        <f>IF($AG$4="",1,--(OR(SUMPRODUCT(--(TRIM(MID(SUBSTITUTE(SUBSTITUTE($AG$4,"/",","),",",REPT(" ",99)),(ROW($1:$8)-1)*99+1,99))&lt;&gt;""),--ISNUMBER(SEARCH(TRIM(MID(SUBSTITUTE(SUBSTITUTE($AG$4,"/",","),",",REPT(" ",99)),(ROW($1:$8)-1)*99+1,99)),IFERROR(('Final Calculation Sheet'!$AF$18)&amp;"",""))))&gt;0,AND(ISNUMBER(SEARCH("blank",$AG$4)),NOT(ISNUMBER(SEARCH("nonblank",$AG$4))),IFERROR(('Final Calculation Sheet'!$AF$18)&amp;"","")=""),AND(OR(ISNUMBER(SEARCH("nonblank",$AG$4)),ISNUMBER(SEARCH("&lt;&gt;",$AG$4))),IFERROR(('Final Calculation Sheet'!$AF$18)&amp;"","")&lt;&gt;""),AND(TRIM($AG$4)="",IFERROR(('Final Calculation Sheet'!$AF$18)&amp;"","")=""))))</f>
        <v/>
      </c>
      <c r="CT19">
        <f>IF($AH$4="",1,--(OR(SUMPRODUCT(--(TRIM(MID(SUBSTITUTE(SUBSTITUTE($AH$4,"/",","),",",REPT(" ",99)),(ROW($1:$8)-1)*99+1,99))&lt;&gt;""),--ISNUMBER(SEARCH(TRIM(MID(SUBSTITUTE(SUBSTITUTE($AH$4,"/",","),",",REPT(" ",99)),(ROW($1:$8)-1)*99+1,99)),IFERROR(('Final Calculation Sheet'!$AG$18)&amp;"",""))))&gt;0,AND(ISNUMBER(SEARCH("blank",$AH$4)),NOT(ISNUMBER(SEARCH("nonblank",$AH$4))),IFERROR(('Final Calculation Sheet'!$AG$18)&amp;"","")=""),AND(OR(ISNUMBER(SEARCH("nonblank",$AH$4)),ISNUMBER(SEARCH("&lt;&gt;",$AH$4))),IFERROR(('Final Calculation Sheet'!$AG$18)&amp;"","")&lt;&gt;""),AND(TRIM($AH$4)="",IFERROR(('Final Calculation Sheet'!$AG$18)&amp;"","")=""))))</f>
        <v/>
      </c>
      <c r="CU19">
        <f>IF($AI$4="",1,--(OR(SUMPRODUCT(--(TRIM(MID(SUBSTITUTE(SUBSTITUTE($AI$4,"/",","),",",REPT(" ",99)),(ROW($1:$8)-1)*99+1,99))&lt;&gt;""),--ISNUMBER(SEARCH(TRIM(MID(SUBSTITUTE(SUBSTITUTE($AI$4,"/",","),",",REPT(" ",99)),(ROW($1:$8)-1)*99+1,99)),IFERROR((IF('Final Calculation Sheet'!$AD$18&lt;=0,"SETTLED","OUTSTANDING"))&amp;"",""))))&gt;0,AND(ISNUMBER(SEARCH("blank",$AI$4)),NOT(ISNUMBER(SEARCH("nonblank",$AI$4))),IFERROR((IF('Final Calculation Sheet'!$AD$18&lt;=0,"SETTLED","OUTSTANDING"))&amp;"","")=""),AND(OR(ISNUMBER(SEARCH("nonblank",$AI$4)),ISNUMBER(SEARCH("&lt;&gt;",$AI$4))),IFERROR((IF('Final Calculation Sheet'!$AD$18&lt;=0,"SETTLED","OUTSTANDING"))&amp;"","")&lt;&gt;""),AND(TRIM($AI$4)="",IFERROR((IF('Final Calculation Sheet'!$AD$18&lt;=0,"SETTLED","OUTSTANDING"))&amp;"","")=""))))</f>
        <v/>
      </c>
    </row>
    <row r="20" ht="15" customHeight="1" s="77">
      <c r="A20" s="67">
        <f>IF($BJ19&gt;0,INDEX($BA$5:$BA$41,MATCH(19,$BB$5:$BB$41,0)),IF(OR($BI19=1,$BL19=1,$BH19&gt;0),"∑",""))</f>
        <v/>
      </c>
      <c r="B20" s="68">
        <f>IF($BJ19&gt;0,IF(INDEX('Final Calculation Sheet'!$F$4:$F$40,$BJ19-3)="","",INDEX('Final Calculation Sheet'!$F$4:$F$40,$BJ19-3)),"")</f>
        <v/>
      </c>
      <c r="C20" s="68">
        <f>IF($BJ19&gt;0,IF(INDEX('Final Calculation Sheet'!$G$4:$G$40,$BJ19-3)="","",INDEX('Final Calculation Sheet'!$G$4:$G$40,$BJ19-3)),IF(OR($BI19=1,$BL19=1,$BH19&gt;0),IF($BI19=1,37,IF($BL19=1,37-INDEX($BD$4:$BD$13,10),INDEX($BD$4:$BD$13,$BH19)))&amp;" lot(s)",""))</f>
        <v/>
      </c>
      <c r="D20" s="69">
        <f>IF($BJ19&gt;0,IF(INDEX('Final Calculation Sheet'!$B$4:$B$40,$BJ19-3)="","",INDEX('Final Calculation Sheet'!$B$4:$B$40,$BJ19-3)),IF(OR($BI19=1,$BL19=1,$BH19&gt;0),IF($BI19=1,"GRAND TOTAL  —  matching + remaining",IF($BL19=1,"TOTAL MATCHED  —  every group together",IF($BH19=10,"REMAINING  —  did not match the search",IF($BH19=9,IF(COUNTIF($A$4:$AI$4,"&lt;&gt;")&gt;0,"FILTERED LOTS  —  column fields","ALL LOTS  —  nothing typed in the box"),"GROUP "&amp;$BH19&amp;" TOTAL  —  lots matching  "&amp;INDEX($AR$6:$AY$6,$BH19))))),""))</f>
        <v/>
      </c>
      <c r="E20" s="69">
        <f>IF($BJ19&gt;0,IF(INDEX('Final Calculation Sheet'!$D$4:$D$40,$BJ19-3)="","",INDEX('Final Calculation Sheet'!$D$4:$D$40,$BJ19-3)),IF(OR($BI19=1,$BL19=1,$BH19&gt;0),"–",""))</f>
        <v/>
      </c>
      <c r="F20" s="69">
        <f>IF($BJ19&gt;0,IF(INDEX('Final Calculation Sheet'!$A$4:$A$40,$BJ19-3)="","",INDEX('Final Calculation Sheet'!$A$4:$A$40,$BJ19-3)),IF(OR($BI19=1,$BL19=1,$BH19&gt;0),IF($BI19=1,SUM('Final Calculation Sheet'!$A$4:$A$40),IF($BL19=1,SUM('Final Calculation Sheet'!$A$4:$A$40)-SUMIFS('Final Calculation Sheet'!$A$4:$A$40,$AZ$5:$AZ$41,10),SUMIFS('Final Calculation Sheet'!$A$4:$A$40,$AZ$5:$AZ$41,$BH19))),""))</f>
        <v/>
      </c>
      <c r="G20" s="69">
        <f>IF($BJ19&gt;0,IF(INDEX('Final Calculation Sheet'!$E$4:$E$40,$BJ19-3)="","",INDEX('Final Calculation Sheet'!$E$4:$E$40,$BJ19-3)),IF(OR($BI19=1,$BL19=1,$BH19&gt;0),"–",""))</f>
        <v/>
      </c>
      <c r="H20" s="70">
        <f>IF($BJ19&gt;0,IF(INDEX('Final Calculation Sheet'!$C$4:$C$40,$BJ19-3)="","",INDEX('Final Calculation Sheet'!$C$4:$C$40,$BJ19-3)),IF(OR($BI19=1,$BL19=1,$BH19&gt;0),"–",""))</f>
        <v/>
      </c>
      <c r="I20" s="70">
        <f>IF($BJ19&gt;0,IF(INDEX('Final Calculation Sheet'!$H$4:$H$40,$BJ19-3)="","",INDEX('Final Calculation Sheet'!$H$4:$H$40,$BJ19-3)),IF(OR($BI19=1,$BL19=1,$BH19&gt;0),IF($BI19=1,SUM('Final Calculation Sheet'!$H$4:$H$40),IF($BL19=1,SUM('Final Calculation Sheet'!$H$4:$H$40)-SUMIFS('Final Calculation Sheet'!$H$4:$H$40,$AZ$5:$AZ$41,10),SUMIFS('Final Calculation Sheet'!$H$4:$H$40,$AZ$5:$AZ$41,$BH19))),""))</f>
        <v/>
      </c>
      <c r="J20" s="70">
        <f>IF($BJ19&gt;0,IF(INDEX('Final Calculation Sheet'!$I$4:$I$40,$BJ19-3)="","",INDEX('Final Calculation Sheet'!$I$4:$I$40,$BJ19-3)),IF(OR($BI19=1,$BL19=1,$BH19&gt;0),IF($BI19=1,SUM('Final Calculation Sheet'!$I$4:$I$40),IF($BL19=1,SUM('Final Calculation Sheet'!$I$4:$I$40)-SUMIFS('Final Calculation Sheet'!$I$4:$I$40,$AZ$5:$AZ$41,10),SUMIFS('Final Calculation Sheet'!$I$4:$I$40,$AZ$5:$AZ$41,$BH19))),""))</f>
        <v/>
      </c>
      <c r="K20" s="70">
        <f>IF($BJ19&gt;0,IF(INDEX('Final Calculation Sheet'!$J$4:$J$40,$BJ19-3)="","",INDEX('Final Calculation Sheet'!$J$4:$J$40,$BJ19-3)),IF(OR($BI19=1,$BL19=1,$BH19&gt;0),IF($BI19=1,SUM('Final Calculation Sheet'!$J$4:$J$40),IF($BL19=1,SUM('Final Calculation Sheet'!$J$4:$J$40)-SUMIFS('Final Calculation Sheet'!$J$4:$J$40,$AZ$5:$AZ$41,10),SUMIFS('Final Calculation Sheet'!$J$4:$J$40,$AZ$5:$AZ$41,$BH19))),""))</f>
        <v/>
      </c>
      <c r="L20" s="70">
        <f>IF($BJ19&gt;0,IF(INDEX('Final Calculation Sheet'!$K$4:$K$40,$BJ19-3)="","",INDEX('Final Calculation Sheet'!$K$4:$K$40,$BJ19-3)),IF(OR($BI19=1,$BL19=1,$BH19&gt;0),IF($BI19=1,SUM('Final Calculation Sheet'!$K$4:$K$40),IF($BL19=1,SUM('Final Calculation Sheet'!$K$4:$K$40)-SUMIFS('Final Calculation Sheet'!$K$4:$K$40,$AZ$5:$AZ$41,10),SUMIFS('Final Calculation Sheet'!$K$4:$K$40,$AZ$5:$AZ$41,$BH19))),""))</f>
        <v/>
      </c>
      <c r="M20" s="70">
        <f>IF($BJ19&gt;0,IF(INDEX('Final Calculation Sheet'!$L$4:$L$40,$BJ19-3)="","",INDEX('Final Calculation Sheet'!$L$4:$L$40,$BJ19-3)),IF(OR($BI19=1,$BL19=1,$BH19&gt;0),IF($BI19=1,SUM('Final Calculation Sheet'!$L$4:$L$40),IF($BL19=1,SUM('Final Calculation Sheet'!$L$4:$L$40)-SUMIFS('Final Calculation Sheet'!$L$4:$L$40,$AZ$5:$AZ$41,10),SUMIFS('Final Calculation Sheet'!$L$4:$L$40,$AZ$5:$AZ$41,$BH19))),""))</f>
        <v/>
      </c>
      <c r="N20" s="70">
        <f>IF($BJ19&gt;0,IF(INDEX('Final Calculation Sheet'!$M$4:$M$40,$BJ19-3)="","",INDEX('Final Calculation Sheet'!$M$4:$M$40,$BJ19-3)),IF(OR($BI19=1,$BL19=1,$BH19&gt;0),IF($BI19=1,SUM('Final Calculation Sheet'!$M$4:$M$40),IF($BL19=1,SUM('Final Calculation Sheet'!$M$4:$M$40)-SUMIFS('Final Calculation Sheet'!$M$4:$M$40,$AZ$5:$AZ$41,10),SUMIFS('Final Calculation Sheet'!$M$4:$M$40,$AZ$5:$AZ$41,$BH19))),""))</f>
        <v/>
      </c>
      <c r="O20" s="71">
        <f>IF($BJ19&gt;0,IF(INDEX('Final Calculation Sheet'!$N$4:$N$40,$BJ19-3)="","",INDEX('Final Calculation Sheet'!$N$4:$N$40,$BJ19-3)),IF(OR($BI19=1,$BL19=1,$BH19&gt;0),IF($BI19=1,SUM('Final Calculation Sheet'!$N$4:$N$40),IF($BL19=1,SUM('Final Calculation Sheet'!$N$4:$N$40)-SUMIFS('Final Calculation Sheet'!$N$4:$N$40,$AZ$5:$AZ$41,10),SUMIFS('Final Calculation Sheet'!$N$4:$N$40,$AZ$5:$AZ$41,$BH19))),""))</f>
        <v/>
      </c>
      <c r="P20" s="70">
        <f>IF($BJ19&gt;0,IF(INDEX('Final Calculation Sheet'!$O$4:$O$40,$BJ19-3)="","",INDEX('Final Calculation Sheet'!$O$4:$O$40,$BJ19-3)),IF(OR($BI19=1,$BL19=1,$BH19&gt;0),IF($BI19=1,SUM('Final Calculation Sheet'!$O$4:$O$40),IF($BL19=1,SUM('Final Calculation Sheet'!$O$4:$O$40)-SUMIFS('Final Calculation Sheet'!$O$4:$O$40,$AZ$5:$AZ$41,10),SUMIFS('Final Calculation Sheet'!$O$4:$O$40,$AZ$5:$AZ$41,$BH19))),""))</f>
        <v/>
      </c>
      <c r="Q20" s="70">
        <f>IF($BJ19&gt;0,IF(INDEX('Final Calculation Sheet'!$P$4:$P$40,$BJ19-3)="","",INDEX('Final Calculation Sheet'!$P$4:$P$40,$BJ19-3)),IF(OR($BI19=1,$BL19=1,$BH19&gt;0),IF($BI19=1,SUM('Final Calculation Sheet'!$P$4:$P$40),IF($BL19=1,SUM('Final Calculation Sheet'!$P$4:$P$40)-SUMIFS('Final Calculation Sheet'!$P$4:$P$40,$AZ$5:$AZ$41,10),SUMIFS('Final Calculation Sheet'!$P$4:$P$40,$AZ$5:$AZ$41,$BH19))),""))</f>
        <v/>
      </c>
      <c r="R20" s="72">
        <f>IF($BJ19&gt;0,IF(INDEX('Final Calculation Sheet'!$Q$4:$Q$40,$BJ19-3)="","",INDEX('Final Calculation Sheet'!$Q$4:$Q$40,$BJ19-3)),IF(OR($BI19=1,$BL19=1,$BH19&gt;0),"–",""))</f>
        <v/>
      </c>
      <c r="S20" s="70">
        <f>IF($BJ19&gt;0,IF(INDEX('Final Calculation Sheet'!$R$4:$R$40,$BJ19-3)="","",INDEX('Final Calculation Sheet'!$R$4:$R$40,$BJ19-3)),IF(OR($BI19=1,$BL19=1,$BH19&gt;0),IF($BI19=1,SUM('Final Calculation Sheet'!$R$4:$R$40),IF($BL19=1,SUM('Final Calculation Sheet'!$R$4:$R$40)-SUMIFS('Final Calculation Sheet'!$R$4:$R$40,$AZ$5:$AZ$41,10),SUMIFS('Final Calculation Sheet'!$R$4:$R$40,$AZ$5:$AZ$41,$BH19))),""))</f>
        <v/>
      </c>
      <c r="T20" s="70">
        <f>IF($BJ19&gt;0,IF(INDEX('Final Calculation Sheet'!$S$4:$S$40,$BJ19-3)="","",INDEX('Final Calculation Sheet'!$S$4:$S$40,$BJ19-3)),IF(OR($BI19=1,$BL19=1,$BH19&gt;0),IF($BI19=1,SUM('Final Calculation Sheet'!$S$4:$S$40),IF($BL19=1,SUM('Final Calculation Sheet'!$S$4:$S$40)-SUMIFS('Final Calculation Sheet'!$S$4:$S$40,$AZ$5:$AZ$41,10),SUMIFS('Final Calculation Sheet'!$S$4:$S$40,$AZ$5:$AZ$41,$BH19))),""))</f>
        <v/>
      </c>
      <c r="U20" s="70">
        <f>IF($BJ19&gt;0,IF(INDEX('Final Calculation Sheet'!$T$4:$T$40,$BJ19-3)="","",INDEX('Final Calculation Sheet'!$T$4:$T$40,$BJ19-3)),IF(OR($BI19=1,$BL19=1,$BH19&gt;0),IF($BI19=1,SUM('Final Calculation Sheet'!$T$4:$T$40),IF($BL19=1,SUM('Final Calculation Sheet'!$T$4:$T$40)-SUMIFS('Final Calculation Sheet'!$T$4:$T$40,$AZ$5:$AZ$41,10),SUMIFS('Final Calculation Sheet'!$T$4:$T$40,$AZ$5:$AZ$41,$BH19))),""))</f>
        <v/>
      </c>
      <c r="V20" s="73">
        <f>IF($BJ19&gt;0,IF(INDEX('Final Calculation Sheet'!$U$4:$U$40,$BJ19-3)="","",INDEX('Final Calculation Sheet'!$U$4:$U$40,$BJ19-3)),IF(OR($BI19=1,$BL19=1,$BH19&gt;0),IF($BI19=1,SUM('Final Calculation Sheet'!$U$4:$U$40),IF($BL19=1,SUM('Final Calculation Sheet'!$U$4:$U$40)-SUMIFS('Final Calculation Sheet'!$U$4:$U$40,$AZ$5:$AZ$41,10),SUMIFS('Final Calculation Sheet'!$U$4:$U$40,$AZ$5:$AZ$41,$BH19))),""))</f>
        <v/>
      </c>
      <c r="W20" s="70">
        <f>IF($BJ19&gt;0,IF(INDEX('Final Calculation Sheet'!$V$4:$V$40,$BJ19-3)="","",INDEX('Final Calculation Sheet'!$V$4:$V$40,$BJ19-3)),IF(OR($BI19=1,$BL19=1,$BH19&gt;0),"–",""))</f>
        <v/>
      </c>
      <c r="X20" s="70">
        <f>IF($BJ19&gt;0,IF(INDEX('Final Calculation Sheet'!$W$4:$W$40,$BJ19-3)="","",INDEX('Final Calculation Sheet'!$W$4:$W$40,$BJ19-3)),IF(OR($BI19=1,$BL19=1,$BH19&gt;0),IF($BI19=1,SUM('Final Calculation Sheet'!$W$4:$W$40),IF($BL19=1,SUM('Final Calculation Sheet'!$W$4:$W$40)-SUMIFS('Final Calculation Sheet'!$W$4:$W$40,$AZ$5:$AZ$41,10),SUMIFS('Final Calculation Sheet'!$W$4:$W$40,$AZ$5:$AZ$41,$BH19))),""))</f>
        <v/>
      </c>
      <c r="Y20" s="70">
        <f>IF($BJ19&gt;0,IF(INDEX('Final Calculation Sheet'!$X$4:$X$40,$BJ19-3)="","",INDEX('Final Calculation Sheet'!$X$4:$X$40,$BJ19-3)),IF(OR($BI19=1,$BL19=1,$BH19&gt;0),IF($BI19=1,SUM('Final Calculation Sheet'!$X$4:$X$40),IF($BL19=1,SUM('Final Calculation Sheet'!$X$4:$X$40)-SUMIFS('Final Calculation Sheet'!$X$4:$X$40,$AZ$5:$AZ$41,10),SUMIFS('Final Calculation Sheet'!$X$4:$X$40,$AZ$5:$AZ$41,$BH19))),""))</f>
        <v/>
      </c>
      <c r="Z20" s="70">
        <f>IF($BJ19&gt;0,IF(INDEX('Final Calculation Sheet'!$Y$4:$Y$40,$BJ19-3)="","",INDEX('Final Calculation Sheet'!$Y$4:$Y$40,$BJ19-3)),IF(OR($BI19=1,$BL19=1,$BH19&gt;0),"–",""))</f>
        <v/>
      </c>
      <c r="AA20" s="70">
        <f>IF($BJ19&gt;0,IF(INDEX('Final Calculation Sheet'!$Z$4:$Z$40,$BJ19-3)="","",INDEX('Final Calculation Sheet'!$Z$4:$Z$40,$BJ19-3)),IF(OR($BI19=1,$BL19=1,$BH19&gt;0),IF($BI19=1,SUM('Final Calculation Sheet'!$Z$4:$Z$40),IF($BL19=1,SUM('Final Calculation Sheet'!$Z$4:$Z$40)-SUMIFS('Final Calculation Sheet'!$Z$4:$Z$40,$AZ$5:$AZ$41,10),SUMIFS('Final Calculation Sheet'!$Z$4:$Z$40,$AZ$5:$AZ$41,$BH19))),""))</f>
        <v/>
      </c>
      <c r="AB20" s="70">
        <f>IF($BJ19&gt;0,IF(INDEX('Final Calculation Sheet'!$AA$4:$AA$40,$BJ19-3)="","",INDEX('Final Calculation Sheet'!$AA$4:$AA$40,$BJ19-3)),IF(OR($BI19=1,$BL19=1,$BH19&gt;0),IF($BI19=1,SUM('Final Calculation Sheet'!$AA$4:$AA$40),IF($BL19=1,SUM('Final Calculation Sheet'!$AA$4:$AA$40)-SUMIFS('Final Calculation Sheet'!$AA$4:$AA$40,$AZ$5:$AZ$41,10),SUMIFS('Final Calculation Sheet'!$AA$4:$AA$40,$AZ$5:$AZ$41,$BH19))),""))</f>
        <v/>
      </c>
      <c r="AC20" s="70">
        <f>IF($BJ19&gt;0,IF(INDEX('Final Calculation Sheet'!$AB$4:$AB$40,$BJ19-3)="","",INDEX('Final Calculation Sheet'!$AB$4:$AB$40,$BJ19-3)),IF(OR($BI19=1,$BL19=1,$BH19&gt;0),"–",""))</f>
        <v/>
      </c>
      <c r="AD20" s="70">
        <f>IF($BJ19&gt;0,IF(INDEX('Final Calculation Sheet'!$AC$4:$AC$40,$BJ19-3)="","",INDEX('Final Calculation Sheet'!$AC$4:$AC$40,$BJ19-3)),IF(OR($BI19=1,$BL19=1,$BH19&gt;0),IF($BI19=1,SUM('Final Calculation Sheet'!$AC$4:$AC$40),IF($BL19=1,SUM('Final Calculation Sheet'!$AC$4:$AC$40)-SUMIFS('Final Calculation Sheet'!$AC$4:$AC$40,$AZ$5:$AZ$41,10),SUMIFS('Final Calculation Sheet'!$AC$4:$AC$40,$AZ$5:$AZ$41,$BH19))),""))</f>
        <v/>
      </c>
      <c r="AE20" s="70">
        <f>IF($BJ19&gt;0,IF(INDEX('Final Calculation Sheet'!$AD$4:$AD$40,$BJ19-3)="","",INDEX('Final Calculation Sheet'!$AD$4:$AD$40,$BJ19-3)),IF(OR($BI19=1,$BL19=1,$BH19&gt;0),IF($BI19=1,SUM('Final Calculation Sheet'!$AD$4:$AD$40),IF($BL19=1,SUM('Final Calculation Sheet'!$AD$4:$AD$40)-SUMIFS('Final Calculation Sheet'!$AD$4:$AD$40,$AZ$5:$AZ$41,10),SUMIFS('Final Calculation Sheet'!$AD$4:$AD$40,$AZ$5:$AZ$41,$BH19))),""))</f>
        <v/>
      </c>
      <c r="AF20" s="70">
        <f>IF($BJ19&gt;0,IF(INDEX('Final Calculation Sheet'!$AE$4:$AE$40,$BJ19-3)="","",INDEX('Final Calculation Sheet'!$AE$4:$AE$40,$BJ19-3)),IF(OR($BI19=1,$BL19=1,$BH19&gt;0),"–",""))</f>
        <v/>
      </c>
      <c r="AG20" s="74">
        <f>IF($BJ19&gt;0,IF(INDEX('Final Calculation Sheet'!$AF$4:$AF$40,$BJ19-3)="","",INDEX('Final Calculation Sheet'!$AF$4:$AF$40,$BJ19-3)),IF(OR($BI19=1,$BL19=1,$BH19&gt;0),"–",""))</f>
        <v/>
      </c>
      <c r="AH20" s="70">
        <f>IF($BJ19&gt;0,IF(INDEX('Final Calculation Sheet'!$AG$4:$AG$40,$BJ19-3)="","",INDEX('Final Calculation Sheet'!$AG$4:$AG$40,$BJ19-3)),IF(OR($BI19=1,$BL19=1,$BH19&gt;0),"–",""))</f>
        <v/>
      </c>
      <c r="AI20" s="75">
        <f>IF($BJ19&gt;0,IF(INDEX('Final Calculation Sheet'!$AD$4:$AD$40,$BJ19-3)="","",IF(INDEX('Final Calculation Sheet'!$AD$4:$AD$40,$BJ19-3)&lt;=0,"SETTLED","OUTSTANDING")),IF(OR($BI19=1,$BL19=1,$BH19&gt;0),IF(IF($BI19=1,SUM('Final Calculation Sheet'!$AD$4:$AD$40),IF($BL19=1,SUM('Final Calculation Sheet'!$AD$4:$AD$40)-SUMIFS('Final Calculation Sheet'!$AD$4:$AD$40,$AZ$5:$AZ$41,10),SUMIFS('Final Calculation Sheet'!$AD$4:$AD$40,$AZ$5:$AZ$41,$BH19)))&lt;=0,"ALL SETTLED","OUTSTANDING"),""))</f>
        <v/>
      </c>
      <c r="AK20">
        <f>IF($F$3="Lot No.",'Final Calculation Sheet'!$F$19,IF($F$3="Buyer",'Final Calculation Sheet'!$G$19,IF($F$3="Lot Name",'Final Calculation Sheet'!$B$19,IF($F$3="Bid Sheet",'Final Calculation Sheet'!$D$19,IF($F$3="Unit",'Final Calculation Sheet'!$E$19,'Final Calculation Sheet'!$F$19&amp;" "&amp;'Final Calculation Sheet'!$G$19&amp;" "&amp;'Final Calculation Sheet'!$B$19)))))</f>
        <v/>
      </c>
      <c r="AM20">
        <f>IF(COUNTIF($BM20:$CU20,0)&gt;0,0,IF($B$3="",1,IF(AND(IF(COUNTIF($AR$9:$AY$9,1)=0,TRUE,SUMPRODUCT(($AR$9:$AY$9=1)*($AR$6:$AY$6&lt;&gt;"")*ISNUMBER(SEARCH($AR$6:$AY$6,$AK20)))&gt;0),IF(COUNTIF($AR$9:$AY$9,2)=0,TRUE,SUMPRODUCT(($AR$9:$AY$9=2)*($AR$6:$AY$6&lt;&gt;"")*ISNUMBER(SEARCH($AR$6:$AY$6,$AK20)))&gt;0),IF(COUNTIF($AR$9:$AY$9,3)=0,TRUE,SUMPRODUCT(($AR$9:$AY$9=3)*($AR$6:$AY$6&lt;&gt;"")*ISNUMBER(SEARCH($AR$6:$AY$6,$AK20)))&gt;0),IF(COUNTIF($AR$9:$AY$9,4)=0,TRUE,SUMPRODUCT(($AR$9:$AY$9=4)*($AR$6:$AY$6&lt;&gt;"")*ISNUMBER(SEARCH($AR$6:$AY$6,$AK20)))&gt;0),IF(COUNTIF($AR$9:$AY$9,5)=0,TRUE,SUMPRODUCT(($AR$9:$AY$9=5)*($AR$6:$AY$6&lt;&gt;"")*ISNUMBER(SEARCH($AR$6:$AY$6,$AK20)))&gt;0),IF(COUNTIF($AR$9:$AY$9,6)=0,TRUE,SUMPRODUCT(($AR$9:$AY$9=6)*($AR$6:$AY$6&lt;&gt;"")*ISNUMBER(SEARCH($AR$6:$AY$6,$AK20)))&gt;0),IF(COUNTIF($AR$9:$AY$9,7)=0,TRUE,SUMPRODUCT(($AR$9:$AY$9=7)*($AR$6:$AY$6&lt;&gt;"")*ISNUMBER(SEARCH($AR$6:$AY$6,$AK20)))&gt;0),IF(COUNTIF($AR$9:$AY$9,8)=0,TRUE,SUMPRODUCT(($AR$9:$AY$9=8)*($AR$6:$AY$6&lt;&gt;"")*ISNUMBER(SEARCH($AR$6:$AY$6,$AK20)))&gt;0)),1,0)))</f>
        <v/>
      </c>
      <c r="AZ20">
        <f>IF($B$3="",IF(COUNTIF($A$4:$AI$4,"&lt;&gt;")=0,9,IF($AM20=1,9,10)),IF($AM20=0,10,IF(AND($AR$6&lt;&gt;"",ISNUMBER(SEARCH($AR$6,$AK20))),1,IF(AND($AS$6&lt;&gt;"",ISNUMBER(SEARCH($AS$6,$AK20))),2,IF(AND($AT$6&lt;&gt;"",ISNUMBER(SEARCH($AT$6,$AK20))),3,IF(AND($AU$6&lt;&gt;"",ISNUMBER(SEARCH($AU$6,$AK20))),4,IF(AND($AV$6&lt;&gt;"",ISNUMBER(SEARCH($AV$6,$AK20))),5,IF(AND($AW$6&lt;&gt;"",ISNUMBER(SEARCH($AW$6,$AK20))),6,IF(AND($AX$6&lt;&gt;"",ISNUMBER(SEARCH($AX$6,$AK20))),7,IF(AND($AY$6&lt;&gt;"",ISNUMBER(SEARCH($AY$6,$AK20))),8,0))))))))))</f>
        <v/>
      </c>
      <c r="BA20">
        <f>SUMPRODUCT(($AZ$5:$AZ$41=$AZ20)*($BC$5:$BC$41&lt;$BC20))+1</f>
        <v/>
      </c>
      <c r="BB20">
        <f>IF(INDEX($BF$4:$BF$13,$AZ20)=0,0,INDEX($BE$4:$BE$13,$AZ20)+$BA20-1)</f>
        <v/>
      </c>
      <c r="BC20" t="n">
        <v>19</v>
      </c>
      <c r="BH20">
        <f>IFERROR(MATCH(20,$BF$4:$BF$13,0),0)</f>
        <v/>
      </c>
      <c r="BI20">
        <f>IF(20=$BG$5,1,0)</f>
        <v/>
      </c>
      <c r="BJ20">
        <f>IF(OR($BH20&gt;0,$BI20=1,$BL20=1),0,IFERROR(INDEX($BC$5:$BC$41,MATCH(20,$BB$5:$BB$41,0)),0))</f>
        <v/>
      </c>
      <c r="BK20">
        <f>IF($BJ20&gt;0,IF(INDEX($AZ$5:$AZ$41,MATCH(20,$BB$5:$BB$41,0))=10,1,0),IF($BH20=10,1,0))</f>
        <v/>
      </c>
      <c r="BL20">
        <f>IF(20=$BG$4,1,0)</f>
        <v/>
      </c>
      <c r="BM2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0">
        <f>IF($B$4="",1,--(OR(SUMPRODUCT(--(TRIM(MID(SUBSTITUTE(SUBSTITUTE($B$4,"/",","),",",REPT(" ",99)),(ROW($1:$8)-1)*99+1,99))&lt;&gt;""),--ISNUMBER(SEARCH(TRIM(MID(SUBSTITUTE(SUBSTITUTE($B$4,"/",","),",",REPT(" ",99)),(ROW($1:$8)-1)*99+1,99)),IFERROR(('Final Calculation Sheet'!$F$19)&amp;"",""))))&gt;0,AND(ISNUMBER(SEARCH("blank",$B$4)),NOT(ISNUMBER(SEARCH("nonblank",$B$4))),IFERROR(('Final Calculation Sheet'!$F$19)&amp;"","")=""),AND(OR(ISNUMBER(SEARCH("nonblank",$B$4)),ISNUMBER(SEARCH("&lt;&gt;",$B$4))),IFERROR(('Final Calculation Sheet'!$F$19)&amp;"","")&lt;&gt;""),AND(TRIM($B$4)="",IFERROR(('Final Calculation Sheet'!$F$19)&amp;"","")=""))))</f>
        <v/>
      </c>
      <c r="BO20">
        <f>IF($C$4="",1,--(OR(SUMPRODUCT(--(TRIM(MID(SUBSTITUTE(SUBSTITUTE($C$4,"/",","),",",REPT(" ",99)),(ROW($1:$8)-1)*99+1,99))&lt;&gt;""),--ISNUMBER(SEARCH(TRIM(MID(SUBSTITUTE(SUBSTITUTE($C$4,"/",","),",",REPT(" ",99)),(ROW($1:$8)-1)*99+1,99)),IFERROR(('Final Calculation Sheet'!$G$19)&amp;"",""))))&gt;0,AND(ISNUMBER(SEARCH("blank",$C$4)),NOT(ISNUMBER(SEARCH("nonblank",$C$4))),IFERROR(('Final Calculation Sheet'!$G$19)&amp;"","")=""),AND(OR(ISNUMBER(SEARCH("nonblank",$C$4)),ISNUMBER(SEARCH("&lt;&gt;",$C$4))),IFERROR(('Final Calculation Sheet'!$G$19)&amp;"","")&lt;&gt;""),AND(TRIM($C$4)="",IFERROR(('Final Calculation Sheet'!$G$19)&amp;"","")=""))))</f>
        <v/>
      </c>
      <c r="BP20">
        <f>IF($D$4="",1,--(OR(SUMPRODUCT(--(TRIM(MID(SUBSTITUTE(SUBSTITUTE($D$4,"/",","),",",REPT(" ",99)),(ROW($1:$8)-1)*99+1,99))&lt;&gt;""),--ISNUMBER(SEARCH(TRIM(MID(SUBSTITUTE(SUBSTITUTE($D$4,"/",","),",",REPT(" ",99)),(ROW($1:$8)-1)*99+1,99)),IFERROR(('Final Calculation Sheet'!$B$19)&amp;"",""))))&gt;0,AND(ISNUMBER(SEARCH("blank",$D$4)),NOT(ISNUMBER(SEARCH("nonblank",$D$4))),IFERROR(('Final Calculation Sheet'!$B$19)&amp;"","")=""),AND(OR(ISNUMBER(SEARCH("nonblank",$D$4)),ISNUMBER(SEARCH("&lt;&gt;",$D$4))),IFERROR(('Final Calculation Sheet'!$B$19)&amp;"","")&lt;&gt;""),AND(TRIM($D$4)="",IFERROR(('Final Calculation Sheet'!$B$19)&amp;"","")=""))))</f>
        <v/>
      </c>
      <c r="BQ20">
        <f>IF($E$4="",1,--(OR(SUMPRODUCT(--(TRIM(MID(SUBSTITUTE(SUBSTITUTE($E$4,"/",","),",",REPT(" ",99)),(ROW($1:$8)-1)*99+1,99))&lt;&gt;""),--ISNUMBER(SEARCH(TRIM(MID(SUBSTITUTE(SUBSTITUTE($E$4,"/",","),",",REPT(" ",99)),(ROW($1:$8)-1)*99+1,99)),IFERROR(('Final Calculation Sheet'!$D$19)&amp;"",""))))&gt;0,AND(ISNUMBER(SEARCH("blank",$E$4)),NOT(ISNUMBER(SEARCH("nonblank",$E$4))),IFERROR(('Final Calculation Sheet'!$D$19)&amp;"","")=""),AND(OR(ISNUMBER(SEARCH("nonblank",$E$4)),ISNUMBER(SEARCH("&lt;&gt;",$E$4))),IFERROR(('Final Calculation Sheet'!$D$19)&amp;"","")&lt;&gt;""),AND(TRIM($E$4)="",IFERROR(('Final Calculation Sheet'!$D$19)&amp;"","")=""))))</f>
        <v/>
      </c>
      <c r="BR20">
        <f>IF($F$4="",1,--(OR(SUMPRODUCT(--(TRIM(MID(SUBSTITUTE(SUBSTITUTE($F$4,"/",","),",",REPT(" ",99)),(ROW($1:$8)-1)*99+1,99))&lt;&gt;""),--ISNUMBER(SEARCH(TRIM(MID(SUBSTITUTE(SUBSTITUTE($F$4,"/",","),",",REPT(" ",99)),(ROW($1:$8)-1)*99+1,99)),IFERROR(('Final Calculation Sheet'!$A$19)&amp;"",""))))&gt;0,AND(ISNUMBER(SEARCH("blank",$F$4)),NOT(ISNUMBER(SEARCH("nonblank",$F$4))),IFERROR(('Final Calculation Sheet'!$A$19)&amp;"","")=""),AND(OR(ISNUMBER(SEARCH("nonblank",$F$4)),ISNUMBER(SEARCH("&lt;&gt;",$F$4))),IFERROR(('Final Calculation Sheet'!$A$19)&amp;"","")&lt;&gt;""),AND(TRIM($F$4)="",IFERROR(('Final Calculation Sheet'!$A$19)&amp;"","")=""))))</f>
        <v/>
      </c>
      <c r="BS20">
        <f>IF($G$4="",1,--(OR(SUMPRODUCT(--(TRIM(MID(SUBSTITUTE(SUBSTITUTE($G$4,"/",","),",",REPT(" ",99)),(ROW($1:$8)-1)*99+1,99))&lt;&gt;""),--ISNUMBER(SEARCH(TRIM(MID(SUBSTITUTE(SUBSTITUTE($G$4,"/",","),",",REPT(" ",99)),(ROW($1:$8)-1)*99+1,99)),IFERROR(('Final Calculation Sheet'!$E$19)&amp;"",""))))&gt;0,AND(ISNUMBER(SEARCH("blank",$G$4)),NOT(ISNUMBER(SEARCH("nonblank",$G$4))),IFERROR(('Final Calculation Sheet'!$E$19)&amp;"","")=""),AND(OR(ISNUMBER(SEARCH("nonblank",$G$4)),ISNUMBER(SEARCH("&lt;&gt;",$G$4))),IFERROR(('Final Calculation Sheet'!$E$19)&amp;"","")&lt;&gt;""),AND(TRIM($G$4)="",IFERROR(('Final Calculation Sheet'!$E$19)&amp;"","")=""))))</f>
        <v/>
      </c>
      <c r="BT20">
        <f>IF($H$4="",1,--(OR(SUMPRODUCT(--(TRIM(MID(SUBSTITUTE(SUBSTITUTE($H$4,"/",","),",",REPT(" ",99)),(ROW($1:$8)-1)*99+1,99))&lt;&gt;""),--ISNUMBER(SEARCH(TRIM(MID(SUBSTITUTE(SUBSTITUTE($H$4,"/",","),",",REPT(" ",99)),(ROW($1:$8)-1)*99+1,99)),IFERROR(('Final Calculation Sheet'!$C$19)&amp;"",""))))&gt;0,AND(ISNUMBER(SEARCH("blank",$H$4)),NOT(ISNUMBER(SEARCH("nonblank",$H$4))),IFERROR(('Final Calculation Sheet'!$C$19)&amp;"","")=""),AND(OR(ISNUMBER(SEARCH("nonblank",$H$4)),ISNUMBER(SEARCH("&lt;&gt;",$H$4))),IFERROR(('Final Calculation Sheet'!$C$19)&amp;"","")&lt;&gt;""),AND(TRIM($H$4)="",IFERROR(('Final Calculation Sheet'!$C$19)&amp;"","")=""))))</f>
        <v/>
      </c>
      <c r="BU20">
        <f>IF($I$4="",1,--(OR(SUMPRODUCT(--(TRIM(MID(SUBSTITUTE(SUBSTITUTE($I$4,"/",","),",",REPT(" ",99)),(ROW($1:$8)-1)*99+1,99))&lt;&gt;""),--ISNUMBER(SEARCH(TRIM(MID(SUBSTITUTE(SUBSTITUTE($I$4,"/",","),",",REPT(" ",99)),(ROW($1:$8)-1)*99+1,99)),IFERROR(('Final Calculation Sheet'!$H$19)&amp;"",""))))&gt;0,AND(ISNUMBER(SEARCH("blank",$I$4)),NOT(ISNUMBER(SEARCH("nonblank",$I$4))),IFERROR(('Final Calculation Sheet'!$H$19)&amp;"","")=""),AND(OR(ISNUMBER(SEARCH("nonblank",$I$4)),ISNUMBER(SEARCH("&lt;&gt;",$I$4))),IFERROR(('Final Calculation Sheet'!$H$19)&amp;"","")&lt;&gt;""),AND(TRIM($I$4)="",IFERROR(('Final Calculation Sheet'!$H$19)&amp;"","")=""))))</f>
        <v/>
      </c>
      <c r="BV20">
        <f>IF($J$4="",1,--(OR(SUMPRODUCT(--(TRIM(MID(SUBSTITUTE(SUBSTITUTE($J$4,"/",","),",",REPT(" ",99)),(ROW($1:$8)-1)*99+1,99))&lt;&gt;""),--ISNUMBER(SEARCH(TRIM(MID(SUBSTITUTE(SUBSTITUTE($J$4,"/",","),",",REPT(" ",99)),(ROW($1:$8)-1)*99+1,99)),IFERROR(('Final Calculation Sheet'!$I$19)&amp;"",""))))&gt;0,AND(ISNUMBER(SEARCH("blank",$J$4)),NOT(ISNUMBER(SEARCH("nonblank",$J$4))),IFERROR(('Final Calculation Sheet'!$I$19)&amp;"","")=""),AND(OR(ISNUMBER(SEARCH("nonblank",$J$4)),ISNUMBER(SEARCH("&lt;&gt;",$J$4))),IFERROR(('Final Calculation Sheet'!$I$19)&amp;"","")&lt;&gt;""),AND(TRIM($J$4)="",IFERROR(('Final Calculation Sheet'!$I$19)&amp;"","")=""))))</f>
        <v/>
      </c>
      <c r="BW20">
        <f>IF($K$4="",1,--(OR(SUMPRODUCT(--(TRIM(MID(SUBSTITUTE(SUBSTITUTE($K$4,"/",","),",",REPT(" ",99)),(ROW($1:$8)-1)*99+1,99))&lt;&gt;""),--ISNUMBER(SEARCH(TRIM(MID(SUBSTITUTE(SUBSTITUTE($K$4,"/",","),",",REPT(" ",99)),(ROW($1:$8)-1)*99+1,99)),IFERROR(('Final Calculation Sheet'!$J$19)&amp;"",""))))&gt;0,AND(ISNUMBER(SEARCH("blank",$K$4)),NOT(ISNUMBER(SEARCH("nonblank",$K$4))),IFERROR(('Final Calculation Sheet'!$J$19)&amp;"","")=""),AND(OR(ISNUMBER(SEARCH("nonblank",$K$4)),ISNUMBER(SEARCH("&lt;&gt;",$K$4))),IFERROR(('Final Calculation Sheet'!$J$19)&amp;"","")&lt;&gt;""),AND(TRIM($K$4)="",IFERROR(('Final Calculation Sheet'!$J$19)&amp;"","")=""))))</f>
        <v/>
      </c>
      <c r="BX20">
        <f>IF($L$4="",1,--(OR(SUMPRODUCT(--(TRIM(MID(SUBSTITUTE(SUBSTITUTE($L$4,"/",","),",",REPT(" ",99)),(ROW($1:$8)-1)*99+1,99))&lt;&gt;""),--ISNUMBER(SEARCH(TRIM(MID(SUBSTITUTE(SUBSTITUTE($L$4,"/",","),",",REPT(" ",99)),(ROW($1:$8)-1)*99+1,99)),IFERROR(('Final Calculation Sheet'!$K$19)&amp;"",""))))&gt;0,AND(ISNUMBER(SEARCH("blank",$L$4)),NOT(ISNUMBER(SEARCH("nonblank",$L$4))),IFERROR(('Final Calculation Sheet'!$K$19)&amp;"","")=""),AND(OR(ISNUMBER(SEARCH("nonblank",$L$4)),ISNUMBER(SEARCH("&lt;&gt;",$L$4))),IFERROR(('Final Calculation Sheet'!$K$19)&amp;"","")&lt;&gt;""),AND(TRIM($L$4)="",IFERROR(('Final Calculation Sheet'!$K$19)&amp;"","")=""))))</f>
        <v/>
      </c>
      <c r="BY20">
        <f>IF($M$4="",1,--(OR(SUMPRODUCT(--(TRIM(MID(SUBSTITUTE(SUBSTITUTE($M$4,"/",","),",",REPT(" ",99)),(ROW($1:$8)-1)*99+1,99))&lt;&gt;""),--ISNUMBER(SEARCH(TRIM(MID(SUBSTITUTE(SUBSTITUTE($M$4,"/",","),",",REPT(" ",99)),(ROW($1:$8)-1)*99+1,99)),IFERROR(('Final Calculation Sheet'!$L$19)&amp;"",""))))&gt;0,AND(ISNUMBER(SEARCH("blank",$M$4)),NOT(ISNUMBER(SEARCH("nonblank",$M$4))),IFERROR(('Final Calculation Sheet'!$L$19)&amp;"","")=""),AND(OR(ISNUMBER(SEARCH("nonblank",$M$4)),ISNUMBER(SEARCH("&lt;&gt;",$M$4))),IFERROR(('Final Calculation Sheet'!$L$19)&amp;"","")&lt;&gt;""),AND(TRIM($M$4)="",IFERROR(('Final Calculation Sheet'!$L$19)&amp;"","")=""))))</f>
        <v/>
      </c>
      <c r="BZ20">
        <f>IF($N$4="",1,--(OR(SUMPRODUCT(--(TRIM(MID(SUBSTITUTE(SUBSTITUTE($N$4,"/",","),",",REPT(" ",99)),(ROW($1:$8)-1)*99+1,99))&lt;&gt;""),--ISNUMBER(SEARCH(TRIM(MID(SUBSTITUTE(SUBSTITUTE($N$4,"/",","),",",REPT(" ",99)),(ROW($1:$8)-1)*99+1,99)),IFERROR(('Final Calculation Sheet'!$M$19)&amp;"",""))))&gt;0,AND(ISNUMBER(SEARCH("blank",$N$4)),NOT(ISNUMBER(SEARCH("nonblank",$N$4))),IFERROR(('Final Calculation Sheet'!$M$19)&amp;"","")=""),AND(OR(ISNUMBER(SEARCH("nonblank",$N$4)),ISNUMBER(SEARCH("&lt;&gt;",$N$4))),IFERROR(('Final Calculation Sheet'!$M$19)&amp;"","")&lt;&gt;""),AND(TRIM($N$4)="",IFERROR(('Final Calculation Sheet'!$M$19)&amp;"","")=""))))</f>
        <v/>
      </c>
      <c r="CA20">
        <f>IF($O$4="",1,--(OR(SUMPRODUCT(--(TRIM(MID(SUBSTITUTE(SUBSTITUTE($O$4,"/",","),",",REPT(" ",99)),(ROW($1:$8)-1)*99+1,99))&lt;&gt;""),--ISNUMBER(SEARCH(TRIM(MID(SUBSTITUTE(SUBSTITUTE($O$4,"/",","),",",REPT(" ",99)),(ROW($1:$8)-1)*99+1,99)),IFERROR(('Final Calculation Sheet'!$N$19)&amp;"",""))))&gt;0,AND(ISNUMBER(SEARCH("blank",$O$4)),NOT(ISNUMBER(SEARCH("nonblank",$O$4))),IFERROR(('Final Calculation Sheet'!$N$19)&amp;"","")=""),AND(OR(ISNUMBER(SEARCH("nonblank",$O$4)),ISNUMBER(SEARCH("&lt;&gt;",$O$4))),IFERROR(('Final Calculation Sheet'!$N$19)&amp;"","")&lt;&gt;""),AND(TRIM($O$4)="",IFERROR(('Final Calculation Sheet'!$N$19)&amp;"","")=""))))</f>
        <v/>
      </c>
      <c r="CB20">
        <f>IF($P$4="",1,--(OR(SUMPRODUCT(--(TRIM(MID(SUBSTITUTE(SUBSTITUTE($P$4,"/",","),",",REPT(" ",99)),(ROW($1:$8)-1)*99+1,99))&lt;&gt;""),--ISNUMBER(SEARCH(TRIM(MID(SUBSTITUTE(SUBSTITUTE($P$4,"/",","),",",REPT(" ",99)),(ROW($1:$8)-1)*99+1,99)),IFERROR(('Final Calculation Sheet'!$O$19)&amp;"",""))))&gt;0,AND(ISNUMBER(SEARCH("blank",$P$4)),NOT(ISNUMBER(SEARCH("nonblank",$P$4))),IFERROR(('Final Calculation Sheet'!$O$19)&amp;"","")=""),AND(OR(ISNUMBER(SEARCH("nonblank",$P$4)),ISNUMBER(SEARCH("&lt;&gt;",$P$4))),IFERROR(('Final Calculation Sheet'!$O$19)&amp;"","")&lt;&gt;""),AND(TRIM($P$4)="",IFERROR(('Final Calculation Sheet'!$O$19)&amp;"","")=""))))</f>
        <v/>
      </c>
      <c r="CC20">
        <f>IF($Q$4="",1,--(OR(SUMPRODUCT(--(TRIM(MID(SUBSTITUTE(SUBSTITUTE($Q$4,"/",","),",",REPT(" ",99)),(ROW($1:$8)-1)*99+1,99))&lt;&gt;""),--ISNUMBER(SEARCH(TRIM(MID(SUBSTITUTE(SUBSTITUTE($Q$4,"/",","),",",REPT(" ",99)),(ROW($1:$8)-1)*99+1,99)),IFERROR(('Final Calculation Sheet'!$P$19)&amp;"",""))))&gt;0,AND(ISNUMBER(SEARCH("blank",$Q$4)),NOT(ISNUMBER(SEARCH("nonblank",$Q$4))),IFERROR(('Final Calculation Sheet'!$P$19)&amp;"","")=""),AND(OR(ISNUMBER(SEARCH("nonblank",$Q$4)),ISNUMBER(SEARCH("&lt;&gt;",$Q$4))),IFERROR(('Final Calculation Sheet'!$P$19)&amp;"","")&lt;&gt;""),AND(TRIM($Q$4)="",IFERROR(('Final Calculation Sheet'!$P$19)&amp;"","")=""))))</f>
        <v/>
      </c>
      <c r="CD20">
        <f>IF($R$4="",1,--(OR(SUMPRODUCT(--(TRIM(MID(SUBSTITUTE(SUBSTITUTE($R$4,"/",","),",",REPT(" ",99)),(ROW($1:$8)-1)*99+1,99))&lt;&gt;""),--ISNUMBER(SEARCH(TRIM(MID(SUBSTITUTE(SUBSTITUTE($R$4,"/",","),",",REPT(" ",99)),(ROW($1:$8)-1)*99+1,99)),IFERROR(('Final Calculation Sheet'!$Q$19)&amp;"",""))))&gt;0,AND(ISNUMBER(SEARCH("blank",$R$4)),NOT(ISNUMBER(SEARCH("nonblank",$R$4))),IFERROR(('Final Calculation Sheet'!$Q$19)&amp;"","")=""),AND(OR(ISNUMBER(SEARCH("nonblank",$R$4)),ISNUMBER(SEARCH("&lt;&gt;",$R$4))),IFERROR(('Final Calculation Sheet'!$Q$19)&amp;"","")&lt;&gt;""),AND(TRIM($R$4)="",IFERROR(('Final Calculation Sheet'!$Q$19)&amp;"","")=""))))</f>
        <v/>
      </c>
      <c r="CE20">
        <f>IF($S$4="",1,--(OR(SUMPRODUCT(--(TRIM(MID(SUBSTITUTE(SUBSTITUTE($S$4,"/",","),",",REPT(" ",99)),(ROW($1:$8)-1)*99+1,99))&lt;&gt;""),--ISNUMBER(SEARCH(TRIM(MID(SUBSTITUTE(SUBSTITUTE($S$4,"/",","),",",REPT(" ",99)),(ROW($1:$8)-1)*99+1,99)),IFERROR(('Final Calculation Sheet'!$R$19)&amp;"",""))))&gt;0,AND(ISNUMBER(SEARCH("blank",$S$4)),NOT(ISNUMBER(SEARCH("nonblank",$S$4))),IFERROR(('Final Calculation Sheet'!$R$19)&amp;"","")=""),AND(OR(ISNUMBER(SEARCH("nonblank",$S$4)),ISNUMBER(SEARCH("&lt;&gt;",$S$4))),IFERROR(('Final Calculation Sheet'!$R$19)&amp;"","")&lt;&gt;""),AND(TRIM($S$4)="",IFERROR(('Final Calculation Sheet'!$R$19)&amp;"","")=""))))</f>
        <v/>
      </c>
      <c r="CF20">
        <f>IF($T$4="",1,--(OR(SUMPRODUCT(--(TRIM(MID(SUBSTITUTE(SUBSTITUTE($T$4,"/",","),",",REPT(" ",99)),(ROW($1:$8)-1)*99+1,99))&lt;&gt;""),--ISNUMBER(SEARCH(TRIM(MID(SUBSTITUTE(SUBSTITUTE($T$4,"/",","),",",REPT(" ",99)),(ROW($1:$8)-1)*99+1,99)),IFERROR(('Final Calculation Sheet'!$S$19)&amp;"",""))))&gt;0,AND(ISNUMBER(SEARCH("blank",$T$4)),NOT(ISNUMBER(SEARCH("nonblank",$T$4))),IFERROR(('Final Calculation Sheet'!$S$19)&amp;"","")=""),AND(OR(ISNUMBER(SEARCH("nonblank",$T$4)),ISNUMBER(SEARCH("&lt;&gt;",$T$4))),IFERROR(('Final Calculation Sheet'!$S$19)&amp;"","")&lt;&gt;""),AND(TRIM($T$4)="",IFERROR(('Final Calculation Sheet'!$S$19)&amp;"","")=""))))</f>
        <v/>
      </c>
      <c r="CG20">
        <f>IF($U$4="",1,--(OR(SUMPRODUCT(--(TRIM(MID(SUBSTITUTE(SUBSTITUTE($U$4,"/",","),",",REPT(" ",99)),(ROW($1:$8)-1)*99+1,99))&lt;&gt;""),--ISNUMBER(SEARCH(TRIM(MID(SUBSTITUTE(SUBSTITUTE($U$4,"/",","),",",REPT(" ",99)),(ROW($1:$8)-1)*99+1,99)),IFERROR(('Final Calculation Sheet'!$T$19)&amp;"",""))))&gt;0,AND(ISNUMBER(SEARCH("blank",$U$4)),NOT(ISNUMBER(SEARCH("nonblank",$U$4))),IFERROR(('Final Calculation Sheet'!$T$19)&amp;"","")=""),AND(OR(ISNUMBER(SEARCH("nonblank",$U$4)),ISNUMBER(SEARCH("&lt;&gt;",$U$4))),IFERROR(('Final Calculation Sheet'!$T$19)&amp;"","")&lt;&gt;""),AND(TRIM($U$4)="",IFERROR(('Final Calculation Sheet'!$T$19)&amp;"","")=""))))</f>
        <v/>
      </c>
      <c r="CH20">
        <f>IF($V$4="",1,--(OR(SUMPRODUCT(--(TRIM(MID(SUBSTITUTE(SUBSTITUTE($V$4,"/",","),",",REPT(" ",99)),(ROW($1:$8)-1)*99+1,99))&lt;&gt;""),--ISNUMBER(SEARCH(TRIM(MID(SUBSTITUTE(SUBSTITUTE($V$4,"/",","),",",REPT(" ",99)),(ROW($1:$8)-1)*99+1,99)),IFERROR(('Final Calculation Sheet'!$U$19)&amp;"",""))))&gt;0,AND(ISNUMBER(SEARCH("blank",$V$4)),NOT(ISNUMBER(SEARCH("nonblank",$V$4))),IFERROR(('Final Calculation Sheet'!$U$19)&amp;"","")=""),AND(OR(ISNUMBER(SEARCH("nonblank",$V$4)),ISNUMBER(SEARCH("&lt;&gt;",$V$4))),IFERROR(('Final Calculation Sheet'!$U$19)&amp;"","")&lt;&gt;""),AND(TRIM($V$4)="",IFERROR(('Final Calculation Sheet'!$U$19)&amp;"","")=""))))</f>
        <v/>
      </c>
      <c r="CI20">
        <f>IF($W$4="",1,--(OR(SUMPRODUCT(--(TRIM(MID(SUBSTITUTE(SUBSTITUTE($W$4,"/",","),",",REPT(" ",99)),(ROW($1:$8)-1)*99+1,99))&lt;&gt;""),--ISNUMBER(SEARCH(TRIM(MID(SUBSTITUTE(SUBSTITUTE($W$4,"/",","),",",REPT(" ",99)),(ROW($1:$8)-1)*99+1,99)),IFERROR(('Final Calculation Sheet'!$V$19)&amp;"",""))))&gt;0,AND(ISNUMBER(SEARCH("blank",$W$4)),NOT(ISNUMBER(SEARCH("nonblank",$W$4))),IFERROR(('Final Calculation Sheet'!$V$19)&amp;"","")=""),AND(OR(ISNUMBER(SEARCH("nonblank",$W$4)),ISNUMBER(SEARCH("&lt;&gt;",$W$4))),IFERROR(('Final Calculation Sheet'!$V$19)&amp;"","")&lt;&gt;""),AND(TRIM($W$4)="",IFERROR(('Final Calculation Sheet'!$V$19)&amp;"","")=""))))</f>
        <v/>
      </c>
      <c r="CJ20">
        <f>IF($X$4="",1,--(OR(SUMPRODUCT(--(TRIM(MID(SUBSTITUTE(SUBSTITUTE($X$4,"/",","),",",REPT(" ",99)),(ROW($1:$8)-1)*99+1,99))&lt;&gt;""),--ISNUMBER(SEARCH(TRIM(MID(SUBSTITUTE(SUBSTITUTE($X$4,"/",","),",",REPT(" ",99)),(ROW($1:$8)-1)*99+1,99)),IFERROR(('Final Calculation Sheet'!$W$19)&amp;"",""))))&gt;0,AND(ISNUMBER(SEARCH("blank",$X$4)),NOT(ISNUMBER(SEARCH("nonblank",$X$4))),IFERROR(('Final Calculation Sheet'!$W$19)&amp;"","")=""),AND(OR(ISNUMBER(SEARCH("nonblank",$X$4)),ISNUMBER(SEARCH("&lt;&gt;",$X$4))),IFERROR(('Final Calculation Sheet'!$W$19)&amp;"","")&lt;&gt;""),AND(TRIM($X$4)="",IFERROR(('Final Calculation Sheet'!$W$19)&amp;"","")=""))))</f>
        <v/>
      </c>
      <c r="CK20">
        <f>IF($Y$4="",1,--(OR(SUMPRODUCT(--(TRIM(MID(SUBSTITUTE(SUBSTITUTE($Y$4,"/",","),",",REPT(" ",99)),(ROW($1:$8)-1)*99+1,99))&lt;&gt;""),--ISNUMBER(SEARCH(TRIM(MID(SUBSTITUTE(SUBSTITUTE($Y$4,"/",","),",",REPT(" ",99)),(ROW($1:$8)-1)*99+1,99)),IFERROR(('Final Calculation Sheet'!$X$19)&amp;"",""))))&gt;0,AND(ISNUMBER(SEARCH("blank",$Y$4)),NOT(ISNUMBER(SEARCH("nonblank",$Y$4))),IFERROR(('Final Calculation Sheet'!$X$19)&amp;"","")=""),AND(OR(ISNUMBER(SEARCH("nonblank",$Y$4)),ISNUMBER(SEARCH("&lt;&gt;",$Y$4))),IFERROR(('Final Calculation Sheet'!$X$19)&amp;"","")&lt;&gt;""),AND(TRIM($Y$4)="",IFERROR(('Final Calculation Sheet'!$X$19)&amp;"","")=""))))</f>
        <v/>
      </c>
      <c r="CL20">
        <f>IF($Z$4="",1,--(OR(SUMPRODUCT(--(TRIM(MID(SUBSTITUTE(SUBSTITUTE($Z$4,"/",","),",",REPT(" ",99)),(ROW($1:$8)-1)*99+1,99))&lt;&gt;""),--ISNUMBER(SEARCH(TRIM(MID(SUBSTITUTE(SUBSTITUTE($Z$4,"/",","),",",REPT(" ",99)),(ROW($1:$8)-1)*99+1,99)),IFERROR(('Final Calculation Sheet'!$Y$19)&amp;"",""))))&gt;0,AND(ISNUMBER(SEARCH("blank",$Z$4)),NOT(ISNUMBER(SEARCH("nonblank",$Z$4))),IFERROR(('Final Calculation Sheet'!$Y$19)&amp;"","")=""),AND(OR(ISNUMBER(SEARCH("nonblank",$Z$4)),ISNUMBER(SEARCH("&lt;&gt;",$Z$4))),IFERROR(('Final Calculation Sheet'!$Y$19)&amp;"","")&lt;&gt;""),AND(TRIM($Z$4)="",IFERROR(('Final Calculation Sheet'!$Y$19)&amp;"","")=""))))</f>
        <v/>
      </c>
      <c r="CM20">
        <f>IF($AA$4="",1,--(OR(SUMPRODUCT(--(TRIM(MID(SUBSTITUTE(SUBSTITUTE($AA$4,"/",","),",",REPT(" ",99)),(ROW($1:$8)-1)*99+1,99))&lt;&gt;""),--ISNUMBER(SEARCH(TRIM(MID(SUBSTITUTE(SUBSTITUTE($AA$4,"/",","),",",REPT(" ",99)),(ROW($1:$8)-1)*99+1,99)),IFERROR(('Final Calculation Sheet'!$Z$19)&amp;"",""))))&gt;0,AND(ISNUMBER(SEARCH("blank",$AA$4)),NOT(ISNUMBER(SEARCH("nonblank",$AA$4))),IFERROR(('Final Calculation Sheet'!$Z$19)&amp;"","")=""),AND(OR(ISNUMBER(SEARCH("nonblank",$AA$4)),ISNUMBER(SEARCH("&lt;&gt;",$AA$4))),IFERROR(('Final Calculation Sheet'!$Z$19)&amp;"","")&lt;&gt;""),AND(TRIM($AA$4)="",IFERROR(('Final Calculation Sheet'!$Z$19)&amp;"","")=""))))</f>
        <v/>
      </c>
      <c r="CN20">
        <f>IF($AB$4="",1,--(OR(SUMPRODUCT(--(TRIM(MID(SUBSTITUTE(SUBSTITUTE($AB$4,"/",","),",",REPT(" ",99)),(ROW($1:$8)-1)*99+1,99))&lt;&gt;""),--ISNUMBER(SEARCH(TRIM(MID(SUBSTITUTE(SUBSTITUTE($AB$4,"/",","),",",REPT(" ",99)),(ROW($1:$8)-1)*99+1,99)),IFERROR(('Final Calculation Sheet'!$AA$19)&amp;"",""))))&gt;0,AND(ISNUMBER(SEARCH("blank",$AB$4)),NOT(ISNUMBER(SEARCH("nonblank",$AB$4))),IFERROR(('Final Calculation Sheet'!$AA$19)&amp;"","")=""),AND(OR(ISNUMBER(SEARCH("nonblank",$AB$4)),ISNUMBER(SEARCH("&lt;&gt;",$AB$4))),IFERROR(('Final Calculation Sheet'!$AA$19)&amp;"","")&lt;&gt;""),AND(TRIM($AB$4)="",IFERROR(('Final Calculation Sheet'!$AA$19)&amp;"","")=""))))</f>
        <v/>
      </c>
      <c r="CO20">
        <f>IF($AC$4="",1,--(OR(SUMPRODUCT(--(TRIM(MID(SUBSTITUTE(SUBSTITUTE($AC$4,"/",","),",",REPT(" ",99)),(ROW($1:$8)-1)*99+1,99))&lt;&gt;""),--ISNUMBER(SEARCH(TRIM(MID(SUBSTITUTE(SUBSTITUTE($AC$4,"/",","),",",REPT(" ",99)),(ROW($1:$8)-1)*99+1,99)),IFERROR(('Final Calculation Sheet'!$AB$19)&amp;"",""))))&gt;0,AND(ISNUMBER(SEARCH("blank",$AC$4)),NOT(ISNUMBER(SEARCH("nonblank",$AC$4))),IFERROR(('Final Calculation Sheet'!$AB$19)&amp;"","")=""),AND(OR(ISNUMBER(SEARCH("nonblank",$AC$4)),ISNUMBER(SEARCH("&lt;&gt;",$AC$4))),IFERROR(('Final Calculation Sheet'!$AB$19)&amp;"","")&lt;&gt;""),AND(TRIM($AC$4)="",IFERROR(('Final Calculation Sheet'!$AB$19)&amp;"","")=""))))</f>
        <v/>
      </c>
      <c r="CP20">
        <f>IF($AD$4="",1,--(OR(SUMPRODUCT(--(TRIM(MID(SUBSTITUTE(SUBSTITUTE($AD$4,"/",","),",",REPT(" ",99)),(ROW($1:$8)-1)*99+1,99))&lt;&gt;""),--ISNUMBER(SEARCH(TRIM(MID(SUBSTITUTE(SUBSTITUTE($AD$4,"/",","),",",REPT(" ",99)),(ROW($1:$8)-1)*99+1,99)),IFERROR(('Final Calculation Sheet'!$AC$19)&amp;"",""))))&gt;0,AND(ISNUMBER(SEARCH("blank",$AD$4)),NOT(ISNUMBER(SEARCH("nonblank",$AD$4))),IFERROR(('Final Calculation Sheet'!$AC$19)&amp;"","")=""),AND(OR(ISNUMBER(SEARCH("nonblank",$AD$4)),ISNUMBER(SEARCH("&lt;&gt;",$AD$4))),IFERROR(('Final Calculation Sheet'!$AC$19)&amp;"","")&lt;&gt;""),AND(TRIM($AD$4)="",IFERROR(('Final Calculation Sheet'!$AC$19)&amp;"","")=""))))</f>
        <v/>
      </c>
      <c r="CQ20">
        <f>IF($AE$4="",1,--(OR(SUMPRODUCT(--(TRIM(MID(SUBSTITUTE(SUBSTITUTE($AE$4,"/",","),",",REPT(" ",99)),(ROW($1:$8)-1)*99+1,99))&lt;&gt;""),--ISNUMBER(SEARCH(TRIM(MID(SUBSTITUTE(SUBSTITUTE($AE$4,"/",","),",",REPT(" ",99)),(ROW($1:$8)-1)*99+1,99)),IFERROR(('Final Calculation Sheet'!$AD$19)&amp;"",""))))&gt;0,AND(ISNUMBER(SEARCH("blank",$AE$4)),NOT(ISNUMBER(SEARCH("nonblank",$AE$4))),IFERROR(('Final Calculation Sheet'!$AD$19)&amp;"","")=""),AND(OR(ISNUMBER(SEARCH("nonblank",$AE$4)),ISNUMBER(SEARCH("&lt;&gt;",$AE$4))),IFERROR(('Final Calculation Sheet'!$AD$19)&amp;"","")&lt;&gt;""),AND(TRIM($AE$4)="",IFERROR(('Final Calculation Sheet'!$AD$19)&amp;"","")=""))))</f>
        <v/>
      </c>
      <c r="CR20">
        <f>IF($AF$4="",1,--(OR(SUMPRODUCT(--(TRIM(MID(SUBSTITUTE(SUBSTITUTE($AF$4,"/",","),",",REPT(" ",99)),(ROW($1:$8)-1)*99+1,99))&lt;&gt;""),--ISNUMBER(SEARCH(TRIM(MID(SUBSTITUTE(SUBSTITUTE($AF$4,"/",","),",",REPT(" ",99)),(ROW($1:$8)-1)*99+1,99)),IFERROR(('Final Calculation Sheet'!$AE$19)&amp;"",""))))&gt;0,AND(ISNUMBER(SEARCH("blank",$AF$4)),NOT(ISNUMBER(SEARCH("nonblank",$AF$4))),IFERROR(('Final Calculation Sheet'!$AE$19)&amp;"","")=""),AND(OR(ISNUMBER(SEARCH("nonblank",$AF$4)),ISNUMBER(SEARCH("&lt;&gt;",$AF$4))),IFERROR(('Final Calculation Sheet'!$AE$19)&amp;"","")&lt;&gt;""),AND(TRIM($AF$4)="",IFERROR(('Final Calculation Sheet'!$AE$19)&amp;"","")=""))))</f>
        <v/>
      </c>
      <c r="CS20">
        <f>IF($AG$4="",1,--(OR(SUMPRODUCT(--(TRIM(MID(SUBSTITUTE(SUBSTITUTE($AG$4,"/",","),",",REPT(" ",99)),(ROW($1:$8)-1)*99+1,99))&lt;&gt;""),--ISNUMBER(SEARCH(TRIM(MID(SUBSTITUTE(SUBSTITUTE($AG$4,"/",","),",",REPT(" ",99)),(ROW($1:$8)-1)*99+1,99)),IFERROR(('Final Calculation Sheet'!$AF$19)&amp;"",""))))&gt;0,AND(ISNUMBER(SEARCH("blank",$AG$4)),NOT(ISNUMBER(SEARCH("nonblank",$AG$4))),IFERROR(('Final Calculation Sheet'!$AF$19)&amp;"","")=""),AND(OR(ISNUMBER(SEARCH("nonblank",$AG$4)),ISNUMBER(SEARCH("&lt;&gt;",$AG$4))),IFERROR(('Final Calculation Sheet'!$AF$19)&amp;"","")&lt;&gt;""),AND(TRIM($AG$4)="",IFERROR(('Final Calculation Sheet'!$AF$19)&amp;"","")=""))))</f>
        <v/>
      </c>
      <c r="CT20">
        <f>IF($AH$4="",1,--(OR(SUMPRODUCT(--(TRIM(MID(SUBSTITUTE(SUBSTITUTE($AH$4,"/",","),",",REPT(" ",99)),(ROW($1:$8)-1)*99+1,99))&lt;&gt;""),--ISNUMBER(SEARCH(TRIM(MID(SUBSTITUTE(SUBSTITUTE($AH$4,"/",","),",",REPT(" ",99)),(ROW($1:$8)-1)*99+1,99)),IFERROR(('Final Calculation Sheet'!$AG$19)&amp;"",""))))&gt;0,AND(ISNUMBER(SEARCH("blank",$AH$4)),NOT(ISNUMBER(SEARCH("nonblank",$AH$4))),IFERROR(('Final Calculation Sheet'!$AG$19)&amp;"","")=""),AND(OR(ISNUMBER(SEARCH("nonblank",$AH$4)),ISNUMBER(SEARCH("&lt;&gt;",$AH$4))),IFERROR(('Final Calculation Sheet'!$AG$19)&amp;"","")&lt;&gt;""),AND(TRIM($AH$4)="",IFERROR(('Final Calculation Sheet'!$AG$19)&amp;"","")=""))))</f>
        <v/>
      </c>
      <c r="CU20">
        <f>IF($AI$4="",1,--(OR(SUMPRODUCT(--(TRIM(MID(SUBSTITUTE(SUBSTITUTE($AI$4,"/",","),",",REPT(" ",99)),(ROW($1:$8)-1)*99+1,99))&lt;&gt;""),--ISNUMBER(SEARCH(TRIM(MID(SUBSTITUTE(SUBSTITUTE($AI$4,"/",","),",",REPT(" ",99)),(ROW($1:$8)-1)*99+1,99)),IFERROR((IF('Final Calculation Sheet'!$AD$19&lt;=0,"SETTLED","OUTSTANDING"))&amp;"",""))))&gt;0,AND(ISNUMBER(SEARCH("blank",$AI$4)),NOT(ISNUMBER(SEARCH("nonblank",$AI$4))),IFERROR((IF('Final Calculation Sheet'!$AD$19&lt;=0,"SETTLED","OUTSTANDING"))&amp;"","")=""),AND(OR(ISNUMBER(SEARCH("nonblank",$AI$4)),ISNUMBER(SEARCH("&lt;&gt;",$AI$4))),IFERROR((IF('Final Calculation Sheet'!$AD$19&lt;=0,"SETTLED","OUTSTANDING"))&amp;"","")&lt;&gt;""),AND(TRIM($AI$4)="",IFERROR((IF('Final Calculation Sheet'!$AD$19&lt;=0,"SETTLED","OUTSTANDING"))&amp;"","")=""))))</f>
        <v/>
      </c>
    </row>
    <row r="21" ht="15" customHeight="1" s="77">
      <c r="A21" s="67">
        <f>IF($BJ20&gt;0,INDEX($BA$5:$BA$41,MATCH(20,$BB$5:$BB$41,0)),IF(OR($BI20=1,$BL20=1,$BH20&gt;0),"∑",""))</f>
        <v/>
      </c>
      <c r="B21" s="68">
        <f>IF($BJ20&gt;0,IF(INDEX('Final Calculation Sheet'!$F$4:$F$40,$BJ20-3)="","",INDEX('Final Calculation Sheet'!$F$4:$F$40,$BJ20-3)),"")</f>
        <v/>
      </c>
      <c r="C21" s="68">
        <f>IF($BJ20&gt;0,IF(INDEX('Final Calculation Sheet'!$G$4:$G$40,$BJ20-3)="","",INDEX('Final Calculation Sheet'!$G$4:$G$40,$BJ20-3)),IF(OR($BI20=1,$BL20=1,$BH20&gt;0),IF($BI20=1,37,IF($BL20=1,37-INDEX($BD$4:$BD$13,10),INDEX($BD$4:$BD$13,$BH20)))&amp;" lot(s)",""))</f>
        <v/>
      </c>
      <c r="D21" s="69">
        <f>IF($BJ20&gt;0,IF(INDEX('Final Calculation Sheet'!$B$4:$B$40,$BJ20-3)="","",INDEX('Final Calculation Sheet'!$B$4:$B$40,$BJ20-3)),IF(OR($BI20=1,$BL20=1,$BH20&gt;0),IF($BI20=1,"GRAND TOTAL  —  matching + remaining",IF($BL20=1,"TOTAL MATCHED  —  every group together",IF($BH20=10,"REMAINING  —  did not match the search",IF($BH20=9,IF(COUNTIF($A$4:$AI$4,"&lt;&gt;")&gt;0,"FILTERED LOTS  —  column fields","ALL LOTS  —  nothing typed in the box"),"GROUP "&amp;$BH20&amp;" TOTAL  —  lots matching  "&amp;INDEX($AR$6:$AY$6,$BH20))))),""))</f>
        <v/>
      </c>
      <c r="E21" s="69">
        <f>IF($BJ20&gt;0,IF(INDEX('Final Calculation Sheet'!$D$4:$D$40,$BJ20-3)="","",INDEX('Final Calculation Sheet'!$D$4:$D$40,$BJ20-3)),IF(OR($BI20=1,$BL20=1,$BH20&gt;0),"–",""))</f>
        <v/>
      </c>
      <c r="F21" s="69">
        <f>IF($BJ20&gt;0,IF(INDEX('Final Calculation Sheet'!$A$4:$A$40,$BJ20-3)="","",INDEX('Final Calculation Sheet'!$A$4:$A$40,$BJ20-3)),IF(OR($BI20=1,$BL20=1,$BH20&gt;0),IF($BI20=1,SUM('Final Calculation Sheet'!$A$4:$A$40),IF($BL20=1,SUM('Final Calculation Sheet'!$A$4:$A$40)-SUMIFS('Final Calculation Sheet'!$A$4:$A$40,$AZ$5:$AZ$41,10),SUMIFS('Final Calculation Sheet'!$A$4:$A$40,$AZ$5:$AZ$41,$BH20))),""))</f>
        <v/>
      </c>
      <c r="G21" s="69">
        <f>IF($BJ20&gt;0,IF(INDEX('Final Calculation Sheet'!$E$4:$E$40,$BJ20-3)="","",INDEX('Final Calculation Sheet'!$E$4:$E$40,$BJ20-3)),IF(OR($BI20=1,$BL20=1,$BH20&gt;0),"–",""))</f>
        <v/>
      </c>
      <c r="H21" s="70">
        <f>IF($BJ20&gt;0,IF(INDEX('Final Calculation Sheet'!$C$4:$C$40,$BJ20-3)="","",INDEX('Final Calculation Sheet'!$C$4:$C$40,$BJ20-3)),IF(OR($BI20=1,$BL20=1,$BH20&gt;0),"–",""))</f>
        <v/>
      </c>
      <c r="I21" s="70">
        <f>IF($BJ20&gt;0,IF(INDEX('Final Calculation Sheet'!$H$4:$H$40,$BJ20-3)="","",INDEX('Final Calculation Sheet'!$H$4:$H$40,$BJ20-3)),IF(OR($BI20=1,$BL20=1,$BH20&gt;0),IF($BI20=1,SUM('Final Calculation Sheet'!$H$4:$H$40),IF($BL20=1,SUM('Final Calculation Sheet'!$H$4:$H$40)-SUMIFS('Final Calculation Sheet'!$H$4:$H$40,$AZ$5:$AZ$41,10),SUMIFS('Final Calculation Sheet'!$H$4:$H$40,$AZ$5:$AZ$41,$BH20))),""))</f>
        <v/>
      </c>
      <c r="J21" s="70">
        <f>IF($BJ20&gt;0,IF(INDEX('Final Calculation Sheet'!$I$4:$I$40,$BJ20-3)="","",INDEX('Final Calculation Sheet'!$I$4:$I$40,$BJ20-3)),IF(OR($BI20=1,$BL20=1,$BH20&gt;0),IF($BI20=1,SUM('Final Calculation Sheet'!$I$4:$I$40),IF($BL20=1,SUM('Final Calculation Sheet'!$I$4:$I$40)-SUMIFS('Final Calculation Sheet'!$I$4:$I$40,$AZ$5:$AZ$41,10),SUMIFS('Final Calculation Sheet'!$I$4:$I$40,$AZ$5:$AZ$41,$BH20))),""))</f>
        <v/>
      </c>
      <c r="K21" s="70">
        <f>IF($BJ20&gt;0,IF(INDEX('Final Calculation Sheet'!$J$4:$J$40,$BJ20-3)="","",INDEX('Final Calculation Sheet'!$J$4:$J$40,$BJ20-3)),IF(OR($BI20=1,$BL20=1,$BH20&gt;0),IF($BI20=1,SUM('Final Calculation Sheet'!$J$4:$J$40),IF($BL20=1,SUM('Final Calculation Sheet'!$J$4:$J$40)-SUMIFS('Final Calculation Sheet'!$J$4:$J$40,$AZ$5:$AZ$41,10),SUMIFS('Final Calculation Sheet'!$J$4:$J$40,$AZ$5:$AZ$41,$BH20))),""))</f>
        <v/>
      </c>
      <c r="L21" s="70">
        <f>IF($BJ20&gt;0,IF(INDEX('Final Calculation Sheet'!$K$4:$K$40,$BJ20-3)="","",INDEX('Final Calculation Sheet'!$K$4:$K$40,$BJ20-3)),IF(OR($BI20=1,$BL20=1,$BH20&gt;0),IF($BI20=1,SUM('Final Calculation Sheet'!$K$4:$K$40),IF($BL20=1,SUM('Final Calculation Sheet'!$K$4:$K$40)-SUMIFS('Final Calculation Sheet'!$K$4:$K$40,$AZ$5:$AZ$41,10),SUMIFS('Final Calculation Sheet'!$K$4:$K$40,$AZ$5:$AZ$41,$BH20))),""))</f>
        <v/>
      </c>
      <c r="M21" s="70">
        <f>IF($BJ20&gt;0,IF(INDEX('Final Calculation Sheet'!$L$4:$L$40,$BJ20-3)="","",INDEX('Final Calculation Sheet'!$L$4:$L$40,$BJ20-3)),IF(OR($BI20=1,$BL20=1,$BH20&gt;0),IF($BI20=1,SUM('Final Calculation Sheet'!$L$4:$L$40),IF($BL20=1,SUM('Final Calculation Sheet'!$L$4:$L$40)-SUMIFS('Final Calculation Sheet'!$L$4:$L$40,$AZ$5:$AZ$41,10),SUMIFS('Final Calculation Sheet'!$L$4:$L$40,$AZ$5:$AZ$41,$BH20))),""))</f>
        <v/>
      </c>
      <c r="N21" s="70">
        <f>IF($BJ20&gt;0,IF(INDEX('Final Calculation Sheet'!$M$4:$M$40,$BJ20-3)="","",INDEX('Final Calculation Sheet'!$M$4:$M$40,$BJ20-3)),IF(OR($BI20=1,$BL20=1,$BH20&gt;0),IF($BI20=1,SUM('Final Calculation Sheet'!$M$4:$M$40),IF($BL20=1,SUM('Final Calculation Sheet'!$M$4:$M$40)-SUMIFS('Final Calculation Sheet'!$M$4:$M$40,$AZ$5:$AZ$41,10),SUMIFS('Final Calculation Sheet'!$M$4:$M$40,$AZ$5:$AZ$41,$BH20))),""))</f>
        <v/>
      </c>
      <c r="O21" s="71">
        <f>IF($BJ20&gt;0,IF(INDEX('Final Calculation Sheet'!$N$4:$N$40,$BJ20-3)="","",INDEX('Final Calculation Sheet'!$N$4:$N$40,$BJ20-3)),IF(OR($BI20=1,$BL20=1,$BH20&gt;0),IF($BI20=1,SUM('Final Calculation Sheet'!$N$4:$N$40),IF($BL20=1,SUM('Final Calculation Sheet'!$N$4:$N$40)-SUMIFS('Final Calculation Sheet'!$N$4:$N$40,$AZ$5:$AZ$41,10),SUMIFS('Final Calculation Sheet'!$N$4:$N$40,$AZ$5:$AZ$41,$BH20))),""))</f>
        <v/>
      </c>
      <c r="P21" s="70">
        <f>IF($BJ20&gt;0,IF(INDEX('Final Calculation Sheet'!$O$4:$O$40,$BJ20-3)="","",INDEX('Final Calculation Sheet'!$O$4:$O$40,$BJ20-3)),IF(OR($BI20=1,$BL20=1,$BH20&gt;0),IF($BI20=1,SUM('Final Calculation Sheet'!$O$4:$O$40),IF($BL20=1,SUM('Final Calculation Sheet'!$O$4:$O$40)-SUMIFS('Final Calculation Sheet'!$O$4:$O$40,$AZ$5:$AZ$41,10),SUMIFS('Final Calculation Sheet'!$O$4:$O$40,$AZ$5:$AZ$41,$BH20))),""))</f>
        <v/>
      </c>
      <c r="Q21" s="70">
        <f>IF($BJ20&gt;0,IF(INDEX('Final Calculation Sheet'!$P$4:$P$40,$BJ20-3)="","",INDEX('Final Calculation Sheet'!$P$4:$P$40,$BJ20-3)),IF(OR($BI20=1,$BL20=1,$BH20&gt;0),IF($BI20=1,SUM('Final Calculation Sheet'!$P$4:$P$40),IF($BL20=1,SUM('Final Calculation Sheet'!$P$4:$P$40)-SUMIFS('Final Calculation Sheet'!$P$4:$P$40,$AZ$5:$AZ$41,10),SUMIFS('Final Calculation Sheet'!$P$4:$P$40,$AZ$5:$AZ$41,$BH20))),""))</f>
        <v/>
      </c>
      <c r="R21" s="72">
        <f>IF($BJ20&gt;0,IF(INDEX('Final Calculation Sheet'!$Q$4:$Q$40,$BJ20-3)="","",INDEX('Final Calculation Sheet'!$Q$4:$Q$40,$BJ20-3)),IF(OR($BI20=1,$BL20=1,$BH20&gt;0),"–",""))</f>
        <v/>
      </c>
      <c r="S21" s="70">
        <f>IF($BJ20&gt;0,IF(INDEX('Final Calculation Sheet'!$R$4:$R$40,$BJ20-3)="","",INDEX('Final Calculation Sheet'!$R$4:$R$40,$BJ20-3)),IF(OR($BI20=1,$BL20=1,$BH20&gt;0),IF($BI20=1,SUM('Final Calculation Sheet'!$R$4:$R$40),IF($BL20=1,SUM('Final Calculation Sheet'!$R$4:$R$40)-SUMIFS('Final Calculation Sheet'!$R$4:$R$40,$AZ$5:$AZ$41,10),SUMIFS('Final Calculation Sheet'!$R$4:$R$40,$AZ$5:$AZ$41,$BH20))),""))</f>
        <v/>
      </c>
      <c r="T21" s="70">
        <f>IF($BJ20&gt;0,IF(INDEX('Final Calculation Sheet'!$S$4:$S$40,$BJ20-3)="","",INDEX('Final Calculation Sheet'!$S$4:$S$40,$BJ20-3)),IF(OR($BI20=1,$BL20=1,$BH20&gt;0),IF($BI20=1,SUM('Final Calculation Sheet'!$S$4:$S$40),IF($BL20=1,SUM('Final Calculation Sheet'!$S$4:$S$40)-SUMIFS('Final Calculation Sheet'!$S$4:$S$40,$AZ$5:$AZ$41,10),SUMIFS('Final Calculation Sheet'!$S$4:$S$40,$AZ$5:$AZ$41,$BH20))),""))</f>
        <v/>
      </c>
      <c r="U21" s="70">
        <f>IF($BJ20&gt;0,IF(INDEX('Final Calculation Sheet'!$T$4:$T$40,$BJ20-3)="","",INDEX('Final Calculation Sheet'!$T$4:$T$40,$BJ20-3)),IF(OR($BI20=1,$BL20=1,$BH20&gt;0),IF($BI20=1,SUM('Final Calculation Sheet'!$T$4:$T$40),IF($BL20=1,SUM('Final Calculation Sheet'!$T$4:$T$40)-SUMIFS('Final Calculation Sheet'!$T$4:$T$40,$AZ$5:$AZ$41,10),SUMIFS('Final Calculation Sheet'!$T$4:$T$40,$AZ$5:$AZ$41,$BH20))),""))</f>
        <v/>
      </c>
      <c r="V21" s="73">
        <f>IF($BJ20&gt;0,IF(INDEX('Final Calculation Sheet'!$U$4:$U$40,$BJ20-3)="","",INDEX('Final Calculation Sheet'!$U$4:$U$40,$BJ20-3)),IF(OR($BI20=1,$BL20=1,$BH20&gt;0),IF($BI20=1,SUM('Final Calculation Sheet'!$U$4:$U$40),IF($BL20=1,SUM('Final Calculation Sheet'!$U$4:$U$40)-SUMIFS('Final Calculation Sheet'!$U$4:$U$40,$AZ$5:$AZ$41,10),SUMIFS('Final Calculation Sheet'!$U$4:$U$40,$AZ$5:$AZ$41,$BH20))),""))</f>
        <v/>
      </c>
      <c r="W21" s="70">
        <f>IF($BJ20&gt;0,IF(INDEX('Final Calculation Sheet'!$V$4:$V$40,$BJ20-3)="","",INDEX('Final Calculation Sheet'!$V$4:$V$40,$BJ20-3)),IF(OR($BI20=1,$BL20=1,$BH20&gt;0),"–",""))</f>
        <v/>
      </c>
      <c r="X21" s="70">
        <f>IF($BJ20&gt;0,IF(INDEX('Final Calculation Sheet'!$W$4:$W$40,$BJ20-3)="","",INDEX('Final Calculation Sheet'!$W$4:$W$40,$BJ20-3)),IF(OR($BI20=1,$BL20=1,$BH20&gt;0),IF($BI20=1,SUM('Final Calculation Sheet'!$W$4:$W$40),IF($BL20=1,SUM('Final Calculation Sheet'!$W$4:$W$40)-SUMIFS('Final Calculation Sheet'!$W$4:$W$40,$AZ$5:$AZ$41,10),SUMIFS('Final Calculation Sheet'!$W$4:$W$40,$AZ$5:$AZ$41,$BH20))),""))</f>
        <v/>
      </c>
      <c r="Y21" s="70">
        <f>IF($BJ20&gt;0,IF(INDEX('Final Calculation Sheet'!$X$4:$X$40,$BJ20-3)="","",INDEX('Final Calculation Sheet'!$X$4:$X$40,$BJ20-3)),IF(OR($BI20=1,$BL20=1,$BH20&gt;0),IF($BI20=1,SUM('Final Calculation Sheet'!$X$4:$X$40),IF($BL20=1,SUM('Final Calculation Sheet'!$X$4:$X$40)-SUMIFS('Final Calculation Sheet'!$X$4:$X$40,$AZ$5:$AZ$41,10),SUMIFS('Final Calculation Sheet'!$X$4:$X$40,$AZ$5:$AZ$41,$BH20))),""))</f>
        <v/>
      </c>
      <c r="Z21" s="70">
        <f>IF($BJ20&gt;0,IF(INDEX('Final Calculation Sheet'!$Y$4:$Y$40,$BJ20-3)="","",INDEX('Final Calculation Sheet'!$Y$4:$Y$40,$BJ20-3)),IF(OR($BI20=1,$BL20=1,$BH20&gt;0),"–",""))</f>
        <v/>
      </c>
      <c r="AA21" s="70">
        <f>IF($BJ20&gt;0,IF(INDEX('Final Calculation Sheet'!$Z$4:$Z$40,$BJ20-3)="","",INDEX('Final Calculation Sheet'!$Z$4:$Z$40,$BJ20-3)),IF(OR($BI20=1,$BL20=1,$BH20&gt;0),IF($BI20=1,SUM('Final Calculation Sheet'!$Z$4:$Z$40),IF($BL20=1,SUM('Final Calculation Sheet'!$Z$4:$Z$40)-SUMIFS('Final Calculation Sheet'!$Z$4:$Z$40,$AZ$5:$AZ$41,10),SUMIFS('Final Calculation Sheet'!$Z$4:$Z$40,$AZ$5:$AZ$41,$BH20))),""))</f>
        <v/>
      </c>
      <c r="AB21" s="70">
        <f>IF($BJ20&gt;0,IF(INDEX('Final Calculation Sheet'!$AA$4:$AA$40,$BJ20-3)="","",INDEX('Final Calculation Sheet'!$AA$4:$AA$40,$BJ20-3)),IF(OR($BI20=1,$BL20=1,$BH20&gt;0),IF($BI20=1,SUM('Final Calculation Sheet'!$AA$4:$AA$40),IF($BL20=1,SUM('Final Calculation Sheet'!$AA$4:$AA$40)-SUMIFS('Final Calculation Sheet'!$AA$4:$AA$40,$AZ$5:$AZ$41,10),SUMIFS('Final Calculation Sheet'!$AA$4:$AA$40,$AZ$5:$AZ$41,$BH20))),""))</f>
        <v/>
      </c>
      <c r="AC21" s="70">
        <f>IF($BJ20&gt;0,IF(INDEX('Final Calculation Sheet'!$AB$4:$AB$40,$BJ20-3)="","",INDEX('Final Calculation Sheet'!$AB$4:$AB$40,$BJ20-3)),IF(OR($BI20=1,$BL20=1,$BH20&gt;0),"–",""))</f>
        <v/>
      </c>
      <c r="AD21" s="70">
        <f>IF($BJ20&gt;0,IF(INDEX('Final Calculation Sheet'!$AC$4:$AC$40,$BJ20-3)="","",INDEX('Final Calculation Sheet'!$AC$4:$AC$40,$BJ20-3)),IF(OR($BI20=1,$BL20=1,$BH20&gt;0),IF($BI20=1,SUM('Final Calculation Sheet'!$AC$4:$AC$40),IF($BL20=1,SUM('Final Calculation Sheet'!$AC$4:$AC$40)-SUMIFS('Final Calculation Sheet'!$AC$4:$AC$40,$AZ$5:$AZ$41,10),SUMIFS('Final Calculation Sheet'!$AC$4:$AC$40,$AZ$5:$AZ$41,$BH20))),""))</f>
        <v/>
      </c>
      <c r="AE21" s="70">
        <f>IF($BJ20&gt;0,IF(INDEX('Final Calculation Sheet'!$AD$4:$AD$40,$BJ20-3)="","",INDEX('Final Calculation Sheet'!$AD$4:$AD$40,$BJ20-3)),IF(OR($BI20=1,$BL20=1,$BH20&gt;0),IF($BI20=1,SUM('Final Calculation Sheet'!$AD$4:$AD$40),IF($BL20=1,SUM('Final Calculation Sheet'!$AD$4:$AD$40)-SUMIFS('Final Calculation Sheet'!$AD$4:$AD$40,$AZ$5:$AZ$41,10),SUMIFS('Final Calculation Sheet'!$AD$4:$AD$40,$AZ$5:$AZ$41,$BH20))),""))</f>
        <v/>
      </c>
      <c r="AF21" s="70">
        <f>IF($BJ20&gt;0,IF(INDEX('Final Calculation Sheet'!$AE$4:$AE$40,$BJ20-3)="","",INDEX('Final Calculation Sheet'!$AE$4:$AE$40,$BJ20-3)),IF(OR($BI20=1,$BL20=1,$BH20&gt;0),"–",""))</f>
        <v/>
      </c>
      <c r="AG21" s="74">
        <f>IF($BJ20&gt;0,IF(INDEX('Final Calculation Sheet'!$AF$4:$AF$40,$BJ20-3)="","",INDEX('Final Calculation Sheet'!$AF$4:$AF$40,$BJ20-3)),IF(OR($BI20=1,$BL20=1,$BH20&gt;0),"–",""))</f>
        <v/>
      </c>
      <c r="AH21" s="70">
        <f>IF($BJ20&gt;0,IF(INDEX('Final Calculation Sheet'!$AG$4:$AG$40,$BJ20-3)="","",INDEX('Final Calculation Sheet'!$AG$4:$AG$40,$BJ20-3)),IF(OR($BI20=1,$BL20=1,$BH20&gt;0),"–",""))</f>
        <v/>
      </c>
      <c r="AI21" s="75">
        <f>IF($BJ20&gt;0,IF(INDEX('Final Calculation Sheet'!$AD$4:$AD$40,$BJ20-3)="","",IF(INDEX('Final Calculation Sheet'!$AD$4:$AD$40,$BJ20-3)&lt;=0,"SETTLED","OUTSTANDING")),IF(OR($BI20=1,$BL20=1,$BH20&gt;0),IF(IF($BI20=1,SUM('Final Calculation Sheet'!$AD$4:$AD$40),IF($BL20=1,SUM('Final Calculation Sheet'!$AD$4:$AD$40)-SUMIFS('Final Calculation Sheet'!$AD$4:$AD$40,$AZ$5:$AZ$41,10),SUMIFS('Final Calculation Sheet'!$AD$4:$AD$40,$AZ$5:$AZ$41,$BH20)))&lt;=0,"ALL SETTLED","OUTSTANDING"),""))</f>
        <v/>
      </c>
      <c r="AK21">
        <f>IF($F$3="Lot No.",'Final Calculation Sheet'!$F$20,IF($F$3="Buyer",'Final Calculation Sheet'!$G$20,IF($F$3="Lot Name",'Final Calculation Sheet'!$B$20,IF($F$3="Bid Sheet",'Final Calculation Sheet'!$D$20,IF($F$3="Unit",'Final Calculation Sheet'!$E$20,'Final Calculation Sheet'!$F$20&amp;" "&amp;'Final Calculation Sheet'!$G$20&amp;" "&amp;'Final Calculation Sheet'!$B$20)))))</f>
        <v/>
      </c>
      <c r="AM21">
        <f>IF(COUNTIF($BM21:$CU21,0)&gt;0,0,IF($B$3="",1,IF(AND(IF(COUNTIF($AR$9:$AY$9,1)=0,TRUE,SUMPRODUCT(($AR$9:$AY$9=1)*($AR$6:$AY$6&lt;&gt;"")*ISNUMBER(SEARCH($AR$6:$AY$6,$AK21)))&gt;0),IF(COUNTIF($AR$9:$AY$9,2)=0,TRUE,SUMPRODUCT(($AR$9:$AY$9=2)*($AR$6:$AY$6&lt;&gt;"")*ISNUMBER(SEARCH($AR$6:$AY$6,$AK21)))&gt;0),IF(COUNTIF($AR$9:$AY$9,3)=0,TRUE,SUMPRODUCT(($AR$9:$AY$9=3)*($AR$6:$AY$6&lt;&gt;"")*ISNUMBER(SEARCH($AR$6:$AY$6,$AK21)))&gt;0),IF(COUNTIF($AR$9:$AY$9,4)=0,TRUE,SUMPRODUCT(($AR$9:$AY$9=4)*($AR$6:$AY$6&lt;&gt;"")*ISNUMBER(SEARCH($AR$6:$AY$6,$AK21)))&gt;0),IF(COUNTIF($AR$9:$AY$9,5)=0,TRUE,SUMPRODUCT(($AR$9:$AY$9=5)*($AR$6:$AY$6&lt;&gt;"")*ISNUMBER(SEARCH($AR$6:$AY$6,$AK21)))&gt;0),IF(COUNTIF($AR$9:$AY$9,6)=0,TRUE,SUMPRODUCT(($AR$9:$AY$9=6)*($AR$6:$AY$6&lt;&gt;"")*ISNUMBER(SEARCH($AR$6:$AY$6,$AK21)))&gt;0),IF(COUNTIF($AR$9:$AY$9,7)=0,TRUE,SUMPRODUCT(($AR$9:$AY$9=7)*($AR$6:$AY$6&lt;&gt;"")*ISNUMBER(SEARCH($AR$6:$AY$6,$AK21)))&gt;0),IF(COUNTIF($AR$9:$AY$9,8)=0,TRUE,SUMPRODUCT(($AR$9:$AY$9=8)*($AR$6:$AY$6&lt;&gt;"")*ISNUMBER(SEARCH($AR$6:$AY$6,$AK21)))&gt;0)),1,0)))</f>
        <v/>
      </c>
      <c r="AZ21">
        <f>IF($B$3="",IF(COUNTIF($A$4:$AI$4,"&lt;&gt;")=0,9,IF($AM21=1,9,10)),IF($AM21=0,10,IF(AND($AR$6&lt;&gt;"",ISNUMBER(SEARCH($AR$6,$AK21))),1,IF(AND($AS$6&lt;&gt;"",ISNUMBER(SEARCH($AS$6,$AK21))),2,IF(AND($AT$6&lt;&gt;"",ISNUMBER(SEARCH($AT$6,$AK21))),3,IF(AND($AU$6&lt;&gt;"",ISNUMBER(SEARCH($AU$6,$AK21))),4,IF(AND($AV$6&lt;&gt;"",ISNUMBER(SEARCH($AV$6,$AK21))),5,IF(AND($AW$6&lt;&gt;"",ISNUMBER(SEARCH($AW$6,$AK21))),6,IF(AND($AX$6&lt;&gt;"",ISNUMBER(SEARCH($AX$6,$AK21))),7,IF(AND($AY$6&lt;&gt;"",ISNUMBER(SEARCH($AY$6,$AK21))),8,0))))))))))</f>
        <v/>
      </c>
      <c r="BA21">
        <f>SUMPRODUCT(($AZ$5:$AZ$41=$AZ21)*($BC$5:$BC$41&lt;$BC21))+1</f>
        <v/>
      </c>
      <c r="BB21">
        <f>IF(INDEX($BF$4:$BF$13,$AZ21)=0,0,INDEX($BE$4:$BE$13,$AZ21)+$BA21-1)</f>
        <v/>
      </c>
      <c r="BC21" t="n">
        <v>20</v>
      </c>
      <c r="BH21">
        <f>IFERROR(MATCH(21,$BF$4:$BF$13,0),0)</f>
        <v/>
      </c>
      <c r="BI21">
        <f>IF(21=$BG$5,1,0)</f>
        <v/>
      </c>
      <c r="BJ21">
        <f>IF(OR($BH21&gt;0,$BI21=1,$BL21=1),0,IFERROR(INDEX($BC$5:$BC$41,MATCH(21,$BB$5:$BB$41,0)),0))</f>
        <v/>
      </c>
      <c r="BK21">
        <f>IF($BJ21&gt;0,IF(INDEX($AZ$5:$AZ$41,MATCH(21,$BB$5:$BB$41,0))=10,1,0),IF($BH21=10,1,0))</f>
        <v/>
      </c>
      <c r="BL21">
        <f>IF(21=$BG$4,1,0)</f>
        <v/>
      </c>
      <c r="BM2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1">
        <f>IF($B$4="",1,--(OR(SUMPRODUCT(--(TRIM(MID(SUBSTITUTE(SUBSTITUTE($B$4,"/",","),",",REPT(" ",99)),(ROW($1:$8)-1)*99+1,99))&lt;&gt;""),--ISNUMBER(SEARCH(TRIM(MID(SUBSTITUTE(SUBSTITUTE($B$4,"/",","),",",REPT(" ",99)),(ROW($1:$8)-1)*99+1,99)),IFERROR(('Final Calculation Sheet'!$F$20)&amp;"",""))))&gt;0,AND(ISNUMBER(SEARCH("blank",$B$4)),NOT(ISNUMBER(SEARCH("nonblank",$B$4))),IFERROR(('Final Calculation Sheet'!$F$20)&amp;"","")=""),AND(OR(ISNUMBER(SEARCH("nonblank",$B$4)),ISNUMBER(SEARCH("&lt;&gt;",$B$4))),IFERROR(('Final Calculation Sheet'!$F$20)&amp;"","")&lt;&gt;""),AND(TRIM($B$4)="",IFERROR(('Final Calculation Sheet'!$F$20)&amp;"","")=""))))</f>
        <v/>
      </c>
      <c r="BO21">
        <f>IF($C$4="",1,--(OR(SUMPRODUCT(--(TRIM(MID(SUBSTITUTE(SUBSTITUTE($C$4,"/",","),",",REPT(" ",99)),(ROW($1:$8)-1)*99+1,99))&lt;&gt;""),--ISNUMBER(SEARCH(TRIM(MID(SUBSTITUTE(SUBSTITUTE($C$4,"/",","),",",REPT(" ",99)),(ROW($1:$8)-1)*99+1,99)),IFERROR(('Final Calculation Sheet'!$G$20)&amp;"",""))))&gt;0,AND(ISNUMBER(SEARCH("blank",$C$4)),NOT(ISNUMBER(SEARCH("nonblank",$C$4))),IFERROR(('Final Calculation Sheet'!$G$20)&amp;"","")=""),AND(OR(ISNUMBER(SEARCH("nonblank",$C$4)),ISNUMBER(SEARCH("&lt;&gt;",$C$4))),IFERROR(('Final Calculation Sheet'!$G$20)&amp;"","")&lt;&gt;""),AND(TRIM($C$4)="",IFERROR(('Final Calculation Sheet'!$G$20)&amp;"","")=""))))</f>
        <v/>
      </c>
      <c r="BP21">
        <f>IF($D$4="",1,--(OR(SUMPRODUCT(--(TRIM(MID(SUBSTITUTE(SUBSTITUTE($D$4,"/",","),",",REPT(" ",99)),(ROW($1:$8)-1)*99+1,99))&lt;&gt;""),--ISNUMBER(SEARCH(TRIM(MID(SUBSTITUTE(SUBSTITUTE($D$4,"/",","),",",REPT(" ",99)),(ROW($1:$8)-1)*99+1,99)),IFERROR(('Final Calculation Sheet'!$B$20)&amp;"",""))))&gt;0,AND(ISNUMBER(SEARCH("blank",$D$4)),NOT(ISNUMBER(SEARCH("nonblank",$D$4))),IFERROR(('Final Calculation Sheet'!$B$20)&amp;"","")=""),AND(OR(ISNUMBER(SEARCH("nonblank",$D$4)),ISNUMBER(SEARCH("&lt;&gt;",$D$4))),IFERROR(('Final Calculation Sheet'!$B$20)&amp;"","")&lt;&gt;""),AND(TRIM($D$4)="",IFERROR(('Final Calculation Sheet'!$B$20)&amp;"","")=""))))</f>
        <v/>
      </c>
      <c r="BQ21">
        <f>IF($E$4="",1,--(OR(SUMPRODUCT(--(TRIM(MID(SUBSTITUTE(SUBSTITUTE($E$4,"/",","),",",REPT(" ",99)),(ROW($1:$8)-1)*99+1,99))&lt;&gt;""),--ISNUMBER(SEARCH(TRIM(MID(SUBSTITUTE(SUBSTITUTE($E$4,"/",","),",",REPT(" ",99)),(ROW($1:$8)-1)*99+1,99)),IFERROR(('Final Calculation Sheet'!$D$20)&amp;"",""))))&gt;0,AND(ISNUMBER(SEARCH("blank",$E$4)),NOT(ISNUMBER(SEARCH("nonblank",$E$4))),IFERROR(('Final Calculation Sheet'!$D$20)&amp;"","")=""),AND(OR(ISNUMBER(SEARCH("nonblank",$E$4)),ISNUMBER(SEARCH("&lt;&gt;",$E$4))),IFERROR(('Final Calculation Sheet'!$D$20)&amp;"","")&lt;&gt;""),AND(TRIM($E$4)="",IFERROR(('Final Calculation Sheet'!$D$20)&amp;"","")=""))))</f>
        <v/>
      </c>
      <c r="BR21">
        <f>IF($F$4="",1,--(OR(SUMPRODUCT(--(TRIM(MID(SUBSTITUTE(SUBSTITUTE($F$4,"/",","),",",REPT(" ",99)),(ROW($1:$8)-1)*99+1,99))&lt;&gt;""),--ISNUMBER(SEARCH(TRIM(MID(SUBSTITUTE(SUBSTITUTE($F$4,"/",","),",",REPT(" ",99)),(ROW($1:$8)-1)*99+1,99)),IFERROR(('Final Calculation Sheet'!$A$20)&amp;"",""))))&gt;0,AND(ISNUMBER(SEARCH("blank",$F$4)),NOT(ISNUMBER(SEARCH("nonblank",$F$4))),IFERROR(('Final Calculation Sheet'!$A$20)&amp;"","")=""),AND(OR(ISNUMBER(SEARCH("nonblank",$F$4)),ISNUMBER(SEARCH("&lt;&gt;",$F$4))),IFERROR(('Final Calculation Sheet'!$A$20)&amp;"","")&lt;&gt;""),AND(TRIM($F$4)="",IFERROR(('Final Calculation Sheet'!$A$20)&amp;"","")=""))))</f>
        <v/>
      </c>
      <c r="BS21">
        <f>IF($G$4="",1,--(OR(SUMPRODUCT(--(TRIM(MID(SUBSTITUTE(SUBSTITUTE($G$4,"/",","),",",REPT(" ",99)),(ROW($1:$8)-1)*99+1,99))&lt;&gt;""),--ISNUMBER(SEARCH(TRIM(MID(SUBSTITUTE(SUBSTITUTE($G$4,"/",","),",",REPT(" ",99)),(ROW($1:$8)-1)*99+1,99)),IFERROR(('Final Calculation Sheet'!$E$20)&amp;"",""))))&gt;0,AND(ISNUMBER(SEARCH("blank",$G$4)),NOT(ISNUMBER(SEARCH("nonblank",$G$4))),IFERROR(('Final Calculation Sheet'!$E$20)&amp;"","")=""),AND(OR(ISNUMBER(SEARCH("nonblank",$G$4)),ISNUMBER(SEARCH("&lt;&gt;",$G$4))),IFERROR(('Final Calculation Sheet'!$E$20)&amp;"","")&lt;&gt;""),AND(TRIM($G$4)="",IFERROR(('Final Calculation Sheet'!$E$20)&amp;"","")=""))))</f>
        <v/>
      </c>
      <c r="BT21">
        <f>IF($H$4="",1,--(OR(SUMPRODUCT(--(TRIM(MID(SUBSTITUTE(SUBSTITUTE($H$4,"/",","),",",REPT(" ",99)),(ROW($1:$8)-1)*99+1,99))&lt;&gt;""),--ISNUMBER(SEARCH(TRIM(MID(SUBSTITUTE(SUBSTITUTE($H$4,"/",","),",",REPT(" ",99)),(ROW($1:$8)-1)*99+1,99)),IFERROR(('Final Calculation Sheet'!$C$20)&amp;"",""))))&gt;0,AND(ISNUMBER(SEARCH("blank",$H$4)),NOT(ISNUMBER(SEARCH("nonblank",$H$4))),IFERROR(('Final Calculation Sheet'!$C$20)&amp;"","")=""),AND(OR(ISNUMBER(SEARCH("nonblank",$H$4)),ISNUMBER(SEARCH("&lt;&gt;",$H$4))),IFERROR(('Final Calculation Sheet'!$C$20)&amp;"","")&lt;&gt;""),AND(TRIM($H$4)="",IFERROR(('Final Calculation Sheet'!$C$20)&amp;"","")=""))))</f>
        <v/>
      </c>
      <c r="BU21">
        <f>IF($I$4="",1,--(OR(SUMPRODUCT(--(TRIM(MID(SUBSTITUTE(SUBSTITUTE($I$4,"/",","),",",REPT(" ",99)),(ROW($1:$8)-1)*99+1,99))&lt;&gt;""),--ISNUMBER(SEARCH(TRIM(MID(SUBSTITUTE(SUBSTITUTE($I$4,"/",","),",",REPT(" ",99)),(ROW($1:$8)-1)*99+1,99)),IFERROR(('Final Calculation Sheet'!$H$20)&amp;"",""))))&gt;0,AND(ISNUMBER(SEARCH("blank",$I$4)),NOT(ISNUMBER(SEARCH("nonblank",$I$4))),IFERROR(('Final Calculation Sheet'!$H$20)&amp;"","")=""),AND(OR(ISNUMBER(SEARCH("nonblank",$I$4)),ISNUMBER(SEARCH("&lt;&gt;",$I$4))),IFERROR(('Final Calculation Sheet'!$H$20)&amp;"","")&lt;&gt;""),AND(TRIM($I$4)="",IFERROR(('Final Calculation Sheet'!$H$20)&amp;"","")=""))))</f>
        <v/>
      </c>
      <c r="BV21">
        <f>IF($J$4="",1,--(OR(SUMPRODUCT(--(TRIM(MID(SUBSTITUTE(SUBSTITUTE($J$4,"/",","),",",REPT(" ",99)),(ROW($1:$8)-1)*99+1,99))&lt;&gt;""),--ISNUMBER(SEARCH(TRIM(MID(SUBSTITUTE(SUBSTITUTE($J$4,"/",","),",",REPT(" ",99)),(ROW($1:$8)-1)*99+1,99)),IFERROR(('Final Calculation Sheet'!$I$20)&amp;"",""))))&gt;0,AND(ISNUMBER(SEARCH("blank",$J$4)),NOT(ISNUMBER(SEARCH("nonblank",$J$4))),IFERROR(('Final Calculation Sheet'!$I$20)&amp;"","")=""),AND(OR(ISNUMBER(SEARCH("nonblank",$J$4)),ISNUMBER(SEARCH("&lt;&gt;",$J$4))),IFERROR(('Final Calculation Sheet'!$I$20)&amp;"","")&lt;&gt;""),AND(TRIM($J$4)="",IFERROR(('Final Calculation Sheet'!$I$20)&amp;"","")=""))))</f>
        <v/>
      </c>
      <c r="BW21">
        <f>IF($K$4="",1,--(OR(SUMPRODUCT(--(TRIM(MID(SUBSTITUTE(SUBSTITUTE($K$4,"/",","),",",REPT(" ",99)),(ROW($1:$8)-1)*99+1,99))&lt;&gt;""),--ISNUMBER(SEARCH(TRIM(MID(SUBSTITUTE(SUBSTITUTE($K$4,"/",","),",",REPT(" ",99)),(ROW($1:$8)-1)*99+1,99)),IFERROR(('Final Calculation Sheet'!$J$20)&amp;"",""))))&gt;0,AND(ISNUMBER(SEARCH("blank",$K$4)),NOT(ISNUMBER(SEARCH("nonblank",$K$4))),IFERROR(('Final Calculation Sheet'!$J$20)&amp;"","")=""),AND(OR(ISNUMBER(SEARCH("nonblank",$K$4)),ISNUMBER(SEARCH("&lt;&gt;",$K$4))),IFERROR(('Final Calculation Sheet'!$J$20)&amp;"","")&lt;&gt;""),AND(TRIM($K$4)="",IFERROR(('Final Calculation Sheet'!$J$20)&amp;"","")=""))))</f>
        <v/>
      </c>
      <c r="BX21">
        <f>IF($L$4="",1,--(OR(SUMPRODUCT(--(TRIM(MID(SUBSTITUTE(SUBSTITUTE($L$4,"/",","),",",REPT(" ",99)),(ROW($1:$8)-1)*99+1,99))&lt;&gt;""),--ISNUMBER(SEARCH(TRIM(MID(SUBSTITUTE(SUBSTITUTE($L$4,"/",","),",",REPT(" ",99)),(ROW($1:$8)-1)*99+1,99)),IFERROR(('Final Calculation Sheet'!$K$20)&amp;"",""))))&gt;0,AND(ISNUMBER(SEARCH("blank",$L$4)),NOT(ISNUMBER(SEARCH("nonblank",$L$4))),IFERROR(('Final Calculation Sheet'!$K$20)&amp;"","")=""),AND(OR(ISNUMBER(SEARCH("nonblank",$L$4)),ISNUMBER(SEARCH("&lt;&gt;",$L$4))),IFERROR(('Final Calculation Sheet'!$K$20)&amp;"","")&lt;&gt;""),AND(TRIM($L$4)="",IFERROR(('Final Calculation Sheet'!$K$20)&amp;"","")=""))))</f>
        <v/>
      </c>
      <c r="BY21">
        <f>IF($M$4="",1,--(OR(SUMPRODUCT(--(TRIM(MID(SUBSTITUTE(SUBSTITUTE($M$4,"/",","),",",REPT(" ",99)),(ROW($1:$8)-1)*99+1,99))&lt;&gt;""),--ISNUMBER(SEARCH(TRIM(MID(SUBSTITUTE(SUBSTITUTE($M$4,"/",","),",",REPT(" ",99)),(ROW($1:$8)-1)*99+1,99)),IFERROR(('Final Calculation Sheet'!$L$20)&amp;"",""))))&gt;0,AND(ISNUMBER(SEARCH("blank",$M$4)),NOT(ISNUMBER(SEARCH("nonblank",$M$4))),IFERROR(('Final Calculation Sheet'!$L$20)&amp;"","")=""),AND(OR(ISNUMBER(SEARCH("nonblank",$M$4)),ISNUMBER(SEARCH("&lt;&gt;",$M$4))),IFERROR(('Final Calculation Sheet'!$L$20)&amp;"","")&lt;&gt;""),AND(TRIM($M$4)="",IFERROR(('Final Calculation Sheet'!$L$20)&amp;"","")=""))))</f>
        <v/>
      </c>
      <c r="BZ21">
        <f>IF($N$4="",1,--(OR(SUMPRODUCT(--(TRIM(MID(SUBSTITUTE(SUBSTITUTE($N$4,"/",","),",",REPT(" ",99)),(ROW($1:$8)-1)*99+1,99))&lt;&gt;""),--ISNUMBER(SEARCH(TRIM(MID(SUBSTITUTE(SUBSTITUTE($N$4,"/",","),",",REPT(" ",99)),(ROW($1:$8)-1)*99+1,99)),IFERROR(('Final Calculation Sheet'!$M$20)&amp;"",""))))&gt;0,AND(ISNUMBER(SEARCH("blank",$N$4)),NOT(ISNUMBER(SEARCH("nonblank",$N$4))),IFERROR(('Final Calculation Sheet'!$M$20)&amp;"","")=""),AND(OR(ISNUMBER(SEARCH("nonblank",$N$4)),ISNUMBER(SEARCH("&lt;&gt;",$N$4))),IFERROR(('Final Calculation Sheet'!$M$20)&amp;"","")&lt;&gt;""),AND(TRIM($N$4)="",IFERROR(('Final Calculation Sheet'!$M$20)&amp;"","")=""))))</f>
        <v/>
      </c>
      <c r="CA21">
        <f>IF($O$4="",1,--(OR(SUMPRODUCT(--(TRIM(MID(SUBSTITUTE(SUBSTITUTE($O$4,"/",","),",",REPT(" ",99)),(ROW($1:$8)-1)*99+1,99))&lt;&gt;""),--ISNUMBER(SEARCH(TRIM(MID(SUBSTITUTE(SUBSTITUTE($O$4,"/",","),",",REPT(" ",99)),(ROW($1:$8)-1)*99+1,99)),IFERROR(('Final Calculation Sheet'!$N$20)&amp;"",""))))&gt;0,AND(ISNUMBER(SEARCH("blank",$O$4)),NOT(ISNUMBER(SEARCH("nonblank",$O$4))),IFERROR(('Final Calculation Sheet'!$N$20)&amp;"","")=""),AND(OR(ISNUMBER(SEARCH("nonblank",$O$4)),ISNUMBER(SEARCH("&lt;&gt;",$O$4))),IFERROR(('Final Calculation Sheet'!$N$20)&amp;"","")&lt;&gt;""),AND(TRIM($O$4)="",IFERROR(('Final Calculation Sheet'!$N$20)&amp;"","")=""))))</f>
        <v/>
      </c>
      <c r="CB21">
        <f>IF($P$4="",1,--(OR(SUMPRODUCT(--(TRIM(MID(SUBSTITUTE(SUBSTITUTE($P$4,"/",","),",",REPT(" ",99)),(ROW($1:$8)-1)*99+1,99))&lt;&gt;""),--ISNUMBER(SEARCH(TRIM(MID(SUBSTITUTE(SUBSTITUTE($P$4,"/",","),",",REPT(" ",99)),(ROW($1:$8)-1)*99+1,99)),IFERROR(('Final Calculation Sheet'!$O$20)&amp;"",""))))&gt;0,AND(ISNUMBER(SEARCH("blank",$P$4)),NOT(ISNUMBER(SEARCH("nonblank",$P$4))),IFERROR(('Final Calculation Sheet'!$O$20)&amp;"","")=""),AND(OR(ISNUMBER(SEARCH("nonblank",$P$4)),ISNUMBER(SEARCH("&lt;&gt;",$P$4))),IFERROR(('Final Calculation Sheet'!$O$20)&amp;"","")&lt;&gt;""),AND(TRIM($P$4)="",IFERROR(('Final Calculation Sheet'!$O$20)&amp;"","")=""))))</f>
        <v/>
      </c>
      <c r="CC21">
        <f>IF($Q$4="",1,--(OR(SUMPRODUCT(--(TRIM(MID(SUBSTITUTE(SUBSTITUTE($Q$4,"/",","),",",REPT(" ",99)),(ROW($1:$8)-1)*99+1,99))&lt;&gt;""),--ISNUMBER(SEARCH(TRIM(MID(SUBSTITUTE(SUBSTITUTE($Q$4,"/",","),",",REPT(" ",99)),(ROW($1:$8)-1)*99+1,99)),IFERROR(('Final Calculation Sheet'!$P$20)&amp;"",""))))&gt;0,AND(ISNUMBER(SEARCH("blank",$Q$4)),NOT(ISNUMBER(SEARCH("nonblank",$Q$4))),IFERROR(('Final Calculation Sheet'!$P$20)&amp;"","")=""),AND(OR(ISNUMBER(SEARCH("nonblank",$Q$4)),ISNUMBER(SEARCH("&lt;&gt;",$Q$4))),IFERROR(('Final Calculation Sheet'!$P$20)&amp;"","")&lt;&gt;""),AND(TRIM($Q$4)="",IFERROR(('Final Calculation Sheet'!$P$20)&amp;"","")=""))))</f>
        <v/>
      </c>
      <c r="CD21">
        <f>IF($R$4="",1,--(OR(SUMPRODUCT(--(TRIM(MID(SUBSTITUTE(SUBSTITUTE($R$4,"/",","),",",REPT(" ",99)),(ROW($1:$8)-1)*99+1,99))&lt;&gt;""),--ISNUMBER(SEARCH(TRIM(MID(SUBSTITUTE(SUBSTITUTE($R$4,"/",","),",",REPT(" ",99)),(ROW($1:$8)-1)*99+1,99)),IFERROR(('Final Calculation Sheet'!$Q$20)&amp;"",""))))&gt;0,AND(ISNUMBER(SEARCH("blank",$R$4)),NOT(ISNUMBER(SEARCH("nonblank",$R$4))),IFERROR(('Final Calculation Sheet'!$Q$20)&amp;"","")=""),AND(OR(ISNUMBER(SEARCH("nonblank",$R$4)),ISNUMBER(SEARCH("&lt;&gt;",$R$4))),IFERROR(('Final Calculation Sheet'!$Q$20)&amp;"","")&lt;&gt;""),AND(TRIM($R$4)="",IFERROR(('Final Calculation Sheet'!$Q$20)&amp;"","")=""))))</f>
        <v/>
      </c>
      <c r="CE21">
        <f>IF($S$4="",1,--(OR(SUMPRODUCT(--(TRIM(MID(SUBSTITUTE(SUBSTITUTE($S$4,"/",","),",",REPT(" ",99)),(ROW($1:$8)-1)*99+1,99))&lt;&gt;""),--ISNUMBER(SEARCH(TRIM(MID(SUBSTITUTE(SUBSTITUTE($S$4,"/",","),",",REPT(" ",99)),(ROW($1:$8)-1)*99+1,99)),IFERROR(('Final Calculation Sheet'!$R$20)&amp;"",""))))&gt;0,AND(ISNUMBER(SEARCH("blank",$S$4)),NOT(ISNUMBER(SEARCH("nonblank",$S$4))),IFERROR(('Final Calculation Sheet'!$R$20)&amp;"","")=""),AND(OR(ISNUMBER(SEARCH("nonblank",$S$4)),ISNUMBER(SEARCH("&lt;&gt;",$S$4))),IFERROR(('Final Calculation Sheet'!$R$20)&amp;"","")&lt;&gt;""),AND(TRIM($S$4)="",IFERROR(('Final Calculation Sheet'!$R$20)&amp;"","")=""))))</f>
        <v/>
      </c>
      <c r="CF21">
        <f>IF($T$4="",1,--(OR(SUMPRODUCT(--(TRIM(MID(SUBSTITUTE(SUBSTITUTE($T$4,"/",","),",",REPT(" ",99)),(ROW($1:$8)-1)*99+1,99))&lt;&gt;""),--ISNUMBER(SEARCH(TRIM(MID(SUBSTITUTE(SUBSTITUTE($T$4,"/",","),",",REPT(" ",99)),(ROW($1:$8)-1)*99+1,99)),IFERROR(('Final Calculation Sheet'!$S$20)&amp;"",""))))&gt;0,AND(ISNUMBER(SEARCH("blank",$T$4)),NOT(ISNUMBER(SEARCH("nonblank",$T$4))),IFERROR(('Final Calculation Sheet'!$S$20)&amp;"","")=""),AND(OR(ISNUMBER(SEARCH("nonblank",$T$4)),ISNUMBER(SEARCH("&lt;&gt;",$T$4))),IFERROR(('Final Calculation Sheet'!$S$20)&amp;"","")&lt;&gt;""),AND(TRIM($T$4)="",IFERROR(('Final Calculation Sheet'!$S$20)&amp;"","")=""))))</f>
        <v/>
      </c>
      <c r="CG21">
        <f>IF($U$4="",1,--(OR(SUMPRODUCT(--(TRIM(MID(SUBSTITUTE(SUBSTITUTE($U$4,"/",","),",",REPT(" ",99)),(ROW($1:$8)-1)*99+1,99))&lt;&gt;""),--ISNUMBER(SEARCH(TRIM(MID(SUBSTITUTE(SUBSTITUTE($U$4,"/",","),",",REPT(" ",99)),(ROW($1:$8)-1)*99+1,99)),IFERROR(('Final Calculation Sheet'!$T$20)&amp;"",""))))&gt;0,AND(ISNUMBER(SEARCH("blank",$U$4)),NOT(ISNUMBER(SEARCH("nonblank",$U$4))),IFERROR(('Final Calculation Sheet'!$T$20)&amp;"","")=""),AND(OR(ISNUMBER(SEARCH("nonblank",$U$4)),ISNUMBER(SEARCH("&lt;&gt;",$U$4))),IFERROR(('Final Calculation Sheet'!$T$20)&amp;"","")&lt;&gt;""),AND(TRIM($U$4)="",IFERROR(('Final Calculation Sheet'!$T$20)&amp;"","")=""))))</f>
        <v/>
      </c>
      <c r="CH21">
        <f>IF($V$4="",1,--(OR(SUMPRODUCT(--(TRIM(MID(SUBSTITUTE(SUBSTITUTE($V$4,"/",","),",",REPT(" ",99)),(ROW($1:$8)-1)*99+1,99))&lt;&gt;""),--ISNUMBER(SEARCH(TRIM(MID(SUBSTITUTE(SUBSTITUTE($V$4,"/",","),",",REPT(" ",99)),(ROW($1:$8)-1)*99+1,99)),IFERROR(('Final Calculation Sheet'!$U$20)&amp;"",""))))&gt;0,AND(ISNUMBER(SEARCH("blank",$V$4)),NOT(ISNUMBER(SEARCH("nonblank",$V$4))),IFERROR(('Final Calculation Sheet'!$U$20)&amp;"","")=""),AND(OR(ISNUMBER(SEARCH("nonblank",$V$4)),ISNUMBER(SEARCH("&lt;&gt;",$V$4))),IFERROR(('Final Calculation Sheet'!$U$20)&amp;"","")&lt;&gt;""),AND(TRIM($V$4)="",IFERROR(('Final Calculation Sheet'!$U$20)&amp;"","")=""))))</f>
        <v/>
      </c>
      <c r="CI21">
        <f>IF($W$4="",1,--(OR(SUMPRODUCT(--(TRIM(MID(SUBSTITUTE(SUBSTITUTE($W$4,"/",","),",",REPT(" ",99)),(ROW($1:$8)-1)*99+1,99))&lt;&gt;""),--ISNUMBER(SEARCH(TRIM(MID(SUBSTITUTE(SUBSTITUTE($W$4,"/",","),",",REPT(" ",99)),(ROW($1:$8)-1)*99+1,99)),IFERROR(('Final Calculation Sheet'!$V$20)&amp;"",""))))&gt;0,AND(ISNUMBER(SEARCH("blank",$W$4)),NOT(ISNUMBER(SEARCH("nonblank",$W$4))),IFERROR(('Final Calculation Sheet'!$V$20)&amp;"","")=""),AND(OR(ISNUMBER(SEARCH("nonblank",$W$4)),ISNUMBER(SEARCH("&lt;&gt;",$W$4))),IFERROR(('Final Calculation Sheet'!$V$20)&amp;"","")&lt;&gt;""),AND(TRIM($W$4)="",IFERROR(('Final Calculation Sheet'!$V$20)&amp;"","")=""))))</f>
        <v/>
      </c>
      <c r="CJ21">
        <f>IF($X$4="",1,--(OR(SUMPRODUCT(--(TRIM(MID(SUBSTITUTE(SUBSTITUTE($X$4,"/",","),",",REPT(" ",99)),(ROW($1:$8)-1)*99+1,99))&lt;&gt;""),--ISNUMBER(SEARCH(TRIM(MID(SUBSTITUTE(SUBSTITUTE($X$4,"/",","),",",REPT(" ",99)),(ROW($1:$8)-1)*99+1,99)),IFERROR(('Final Calculation Sheet'!$W$20)&amp;"",""))))&gt;0,AND(ISNUMBER(SEARCH("blank",$X$4)),NOT(ISNUMBER(SEARCH("nonblank",$X$4))),IFERROR(('Final Calculation Sheet'!$W$20)&amp;"","")=""),AND(OR(ISNUMBER(SEARCH("nonblank",$X$4)),ISNUMBER(SEARCH("&lt;&gt;",$X$4))),IFERROR(('Final Calculation Sheet'!$W$20)&amp;"","")&lt;&gt;""),AND(TRIM($X$4)="",IFERROR(('Final Calculation Sheet'!$W$20)&amp;"","")=""))))</f>
        <v/>
      </c>
      <c r="CK21">
        <f>IF($Y$4="",1,--(OR(SUMPRODUCT(--(TRIM(MID(SUBSTITUTE(SUBSTITUTE($Y$4,"/",","),",",REPT(" ",99)),(ROW($1:$8)-1)*99+1,99))&lt;&gt;""),--ISNUMBER(SEARCH(TRIM(MID(SUBSTITUTE(SUBSTITUTE($Y$4,"/",","),",",REPT(" ",99)),(ROW($1:$8)-1)*99+1,99)),IFERROR(('Final Calculation Sheet'!$X$20)&amp;"",""))))&gt;0,AND(ISNUMBER(SEARCH("blank",$Y$4)),NOT(ISNUMBER(SEARCH("nonblank",$Y$4))),IFERROR(('Final Calculation Sheet'!$X$20)&amp;"","")=""),AND(OR(ISNUMBER(SEARCH("nonblank",$Y$4)),ISNUMBER(SEARCH("&lt;&gt;",$Y$4))),IFERROR(('Final Calculation Sheet'!$X$20)&amp;"","")&lt;&gt;""),AND(TRIM($Y$4)="",IFERROR(('Final Calculation Sheet'!$X$20)&amp;"","")=""))))</f>
        <v/>
      </c>
      <c r="CL21">
        <f>IF($Z$4="",1,--(OR(SUMPRODUCT(--(TRIM(MID(SUBSTITUTE(SUBSTITUTE($Z$4,"/",","),",",REPT(" ",99)),(ROW($1:$8)-1)*99+1,99))&lt;&gt;""),--ISNUMBER(SEARCH(TRIM(MID(SUBSTITUTE(SUBSTITUTE($Z$4,"/",","),",",REPT(" ",99)),(ROW($1:$8)-1)*99+1,99)),IFERROR(('Final Calculation Sheet'!$Y$20)&amp;"",""))))&gt;0,AND(ISNUMBER(SEARCH("blank",$Z$4)),NOT(ISNUMBER(SEARCH("nonblank",$Z$4))),IFERROR(('Final Calculation Sheet'!$Y$20)&amp;"","")=""),AND(OR(ISNUMBER(SEARCH("nonblank",$Z$4)),ISNUMBER(SEARCH("&lt;&gt;",$Z$4))),IFERROR(('Final Calculation Sheet'!$Y$20)&amp;"","")&lt;&gt;""),AND(TRIM($Z$4)="",IFERROR(('Final Calculation Sheet'!$Y$20)&amp;"","")=""))))</f>
        <v/>
      </c>
      <c r="CM21">
        <f>IF($AA$4="",1,--(OR(SUMPRODUCT(--(TRIM(MID(SUBSTITUTE(SUBSTITUTE($AA$4,"/",","),",",REPT(" ",99)),(ROW($1:$8)-1)*99+1,99))&lt;&gt;""),--ISNUMBER(SEARCH(TRIM(MID(SUBSTITUTE(SUBSTITUTE($AA$4,"/",","),",",REPT(" ",99)),(ROW($1:$8)-1)*99+1,99)),IFERROR(('Final Calculation Sheet'!$Z$20)&amp;"",""))))&gt;0,AND(ISNUMBER(SEARCH("blank",$AA$4)),NOT(ISNUMBER(SEARCH("nonblank",$AA$4))),IFERROR(('Final Calculation Sheet'!$Z$20)&amp;"","")=""),AND(OR(ISNUMBER(SEARCH("nonblank",$AA$4)),ISNUMBER(SEARCH("&lt;&gt;",$AA$4))),IFERROR(('Final Calculation Sheet'!$Z$20)&amp;"","")&lt;&gt;""),AND(TRIM($AA$4)="",IFERROR(('Final Calculation Sheet'!$Z$20)&amp;"","")=""))))</f>
        <v/>
      </c>
      <c r="CN21">
        <f>IF($AB$4="",1,--(OR(SUMPRODUCT(--(TRIM(MID(SUBSTITUTE(SUBSTITUTE($AB$4,"/",","),",",REPT(" ",99)),(ROW($1:$8)-1)*99+1,99))&lt;&gt;""),--ISNUMBER(SEARCH(TRIM(MID(SUBSTITUTE(SUBSTITUTE($AB$4,"/",","),",",REPT(" ",99)),(ROW($1:$8)-1)*99+1,99)),IFERROR(('Final Calculation Sheet'!$AA$20)&amp;"",""))))&gt;0,AND(ISNUMBER(SEARCH("blank",$AB$4)),NOT(ISNUMBER(SEARCH("nonblank",$AB$4))),IFERROR(('Final Calculation Sheet'!$AA$20)&amp;"","")=""),AND(OR(ISNUMBER(SEARCH("nonblank",$AB$4)),ISNUMBER(SEARCH("&lt;&gt;",$AB$4))),IFERROR(('Final Calculation Sheet'!$AA$20)&amp;"","")&lt;&gt;""),AND(TRIM($AB$4)="",IFERROR(('Final Calculation Sheet'!$AA$20)&amp;"","")=""))))</f>
        <v/>
      </c>
      <c r="CO21">
        <f>IF($AC$4="",1,--(OR(SUMPRODUCT(--(TRIM(MID(SUBSTITUTE(SUBSTITUTE($AC$4,"/",","),",",REPT(" ",99)),(ROW($1:$8)-1)*99+1,99))&lt;&gt;""),--ISNUMBER(SEARCH(TRIM(MID(SUBSTITUTE(SUBSTITUTE($AC$4,"/",","),",",REPT(" ",99)),(ROW($1:$8)-1)*99+1,99)),IFERROR(('Final Calculation Sheet'!$AB$20)&amp;"",""))))&gt;0,AND(ISNUMBER(SEARCH("blank",$AC$4)),NOT(ISNUMBER(SEARCH("nonblank",$AC$4))),IFERROR(('Final Calculation Sheet'!$AB$20)&amp;"","")=""),AND(OR(ISNUMBER(SEARCH("nonblank",$AC$4)),ISNUMBER(SEARCH("&lt;&gt;",$AC$4))),IFERROR(('Final Calculation Sheet'!$AB$20)&amp;"","")&lt;&gt;""),AND(TRIM($AC$4)="",IFERROR(('Final Calculation Sheet'!$AB$20)&amp;"","")=""))))</f>
        <v/>
      </c>
      <c r="CP21">
        <f>IF($AD$4="",1,--(OR(SUMPRODUCT(--(TRIM(MID(SUBSTITUTE(SUBSTITUTE($AD$4,"/",","),",",REPT(" ",99)),(ROW($1:$8)-1)*99+1,99))&lt;&gt;""),--ISNUMBER(SEARCH(TRIM(MID(SUBSTITUTE(SUBSTITUTE($AD$4,"/",","),",",REPT(" ",99)),(ROW($1:$8)-1)*99+1,99)),IFERROR(('Final Calculation Sheet'!$AC$20)&amp;"",""))))&gt;0,AND(ISNUMBER(SEARCH("blank",$AD$4)),NOT(ISNUMBER(SEARCH("nonblank",$AD$4))),IFERROR(('Final Calculation Sheet'!$AC$20)&amp;"","")=""),AND(OR(ISNUMBER(SEARCH("nonblank",$AD$4)),ISNUMBER(SEARCH("&lt;&gt;",$AD$4))),IFERROR(('Final Calculation Sheet'!$AC$20)&amp;"","")&lt;&gt;""),AND(TRIM($AD$4)="",IFERROR(('Final Calculation Sheet'!$AC$20)&amp;"","")=""))))</f>
        <v/>
      </c>
      <c r="CQ21">
        <f>IF($AE$4="",1,--(OR(SUMPRODUCT(--(TRIM(MID(SUBSTITUTE(SUBSTITUTE($AE$4,"/",","),",",REPT(" ",99)),(ROW($1:$8)-1)*99+1,99))&lt;&gt;""),--ISNUMBER(SEARCH(TRIM(MID(SUBSTITUTE(SUBSTITUTE($AE$4,"/",","),",",REPT(" ",99)),(ROW($1:$8)-1)*99+1,99)),IFERROR(('Final Calculation Sheet'!$AD$20)&amp;"",""))))&gt;0,AND(ISNUMBER(SEARCH("blank",$AE$4)),NOT(ISNUMBER(SEARCH("nonblank",$AE$4))),IFERROR(('Final Calculation Sheet'!$AD$20)&amp;"","")=""),AND(OR(ISNUMBER(SEARCH("nonblank",$AE$4)),ISNUMBER(SEARCH("&lt;&gt;",$AE$4))),IFERROR(('Final Calculation Sheet'!$AD$20)&amp;"","")&lt;&gt;""),AND(TRIM($AE$4)="",IFERROR(('Final Calculation Sheet'!$AD$20)&amp;"","")=""))))</f>
        <v/>
      </c>
      <c r="CR21">
        <f>IF($AF$4="",1,--(OR(SUMPRODUCT(--(TRIM(MID(SUBSTITUTE(SUBSTITUTE($AF$4,"/",","),",",REPT(" ",99)),(ROW($1:$8)-1)*99+1,99))&lt;&gt;""),--ISNUMBER(SEARCH(TRIM(MID(SUBSTITUTE(SUBSTITUTE($AF$4,"/",","),",",REPT(" ",99)),(ROW($1:$8)-1)*99+1,99)),IFERROR(('Final Calculation Sheet'!$AE$20)&amp;"",""))))&gt;0,AND(ISNUMBER(SEARCH("blank",$AF$4)),NOT(ISNUMBER(SEARCH("nonblank",$AF$4))),IFERROR(('Final Calculation Sheet'!$AE$20)&amp;"","")=""),AND(OR(ISNUMBER(SEARCH("nonblank",$AF$4)),ISNUMBER(SEARCH("&lt;&gt;",$AF$4))),IFERROR(('Final Calculation Sheet'!$AE$20)&amp;"","")&lt;&gt;""),AND(TRIM($AF$4)="",IFERROR(('Final Calculation Sheet'!$AE$20)&amp;"","")=""))))</f>
        <v/>
      </c>
      <c r="CS21">
        <f>IF($AG$4="",1,--(OR(SUMPRODUCT(--(TRIM(MID(SUBSTITUTE(SUBSTITUTE($AG$4,"/",","),",",REPT(" ",99)),(ROW($1:$8)-1)*99+1,99))&lt;&gt;""),--ISNUMBER(SEARCH(TRIM(MID(SUBSTITUTE(SUBSTITUTE($AG$4,"/",","),",",REPT(" ",99)),(ROW($1:$8)-1)*99+1,99)),IFERROR(('Final Calculation Sheet'!$AF$20)&amp;"",""))))&gt;0,AND(ISNUMBER(SEARCH("blank",$AG$4)),NOT(ISNUMBER(SEARCH("nonblank",$AG$4))),IFERROR(('Final Calculation Sheet'!$AF$20)&amp;"","")=""),AND(OR(ISNUMBER(SEARCH("nonblank",$AG$4)),ISNUMBER(SEARCH("&lt;&gt;",$AG$4))),IFERROR(('Final Calculation Sheet'!$AF$20)&amp;"","")&lt;&gt;""),AND(TRIM($AG$4)="",IFERROR(('Final Calculation Sheet'!$AF$20)&amp;"","")=""))))</f>
        <v/>
      </c>
      <c r="CT21">
        <f>IF($AH$4="",1,--(OR(SUMPRODUCT(--(TRIM(MID(SUBSTITUTE(SUBSTITUTE($AH$4,"/",","),",",REPT(" ",99)),(ROW($1:$8)-1)*99+1,99))&lt;&gt;""),--ISNUMBER(SEARCH(TRIM(MID(SUBSTITUTE(SUBSTITUTE($AH$4,"/",","),",",REPT(" ",99)),(ROW($1:$8)-1)*99+1,99)),IFERROR(('Final Calculation Sheet'!$AG$20)&amp;"",""))))&gt;0,AND(ISNUMBER(SEARCH("blank",$AH$4)),NOT(ISNUMBER(SEARCH("nonblank",$AH$4))),IFERROR(('Final Calculation Sheet'!$AG$20)&amp;"","")=""),AND(OR(ISNUMBER(SEARCH("nonblank",$AH$4)),ISNUMBER(SEARCH("&lt;&gt;",$AH$4))),IFERROR(('Final Calculation Sheet'!$AG$20)&amp;"","")&lt;&gt;""),AND(TRIM($AH$4)="",IFERROR(('Final Calculation Sheet'!$AG$20)&amp;"","")=""))))</f>
        <v/>
      </c>
      <c r="CU21">
        <f>IF($AI$4="",1,--(OR(SUMPRODUCT(--(TRIM(MID(SUBSTITUTE(SUBSTITUTE($AI$4,"/",","),",",REPT(" ",99)),(ROW($1:$8)-1)*99+1,99))&lt;&gt;""),--ISNUMBER(SEARCH(TRIM(MID(SUBSTITUTE(SUBSTITUTE($AI$4,"/",","),",",REPT(" ",99)),(ROW($1:$8)-1)*99+1,99)),IFERROR((IF('Final Calculation Sheet'!$AD$20&lt;=0,"SETTLED","OUTSTANDING"))&amp;"",""))))&gt;0,AND(ISNUMBER(SEARCH("blank",$AI$4)),NOT(ISNUMBER(SEARCH("nonblank",$AI$4))),IFERROR((IF('Final Calculation Sheet'!$AD$20&lt;=0,"SETTLED","OUTSTANDING"))&amp;"","")=""),AND(OR(ISNUMBER(SEARCH("nonblank",$AI$4)),ISNUMBER(SEARCH("&lt;&gt;",$AI$4))),IFERROR((IF('Final Calculation Sheet'!$AD$20&lt;=0,"SETTLED","OUTSTANDING"))&amp;"","")&lt;&gt;""),AND(TRIM($AI$4)="",IFERROR((IF('Final Calculation Sheet'!$AD$20&lt;=0,"SETTLED","OUTSTANDING"))&amp;"","")=""))))</f>
        <v/>
      </c>
    </row>
    <row r="22" ht="15" customHeight="1" s="77">
      <c r="A22" s="67">
        <f>IF($BJ21&gt;0,INDEX($BA$5:$BA$41,MATCH(21,$BB$5:$BB$41,0)),IF(OR($BI21=1,$BL21=1,$BH21&gt;0),"∑",""))</f>
        <v/>
      </c>
      <c r="B22" s="68">
        <f>IF($BJ21&gt;0,IF(INDEX('Final Calculation Sheet'!$F$4:$F$40,$BJ21-3)="","",INDEX('Final Calculation Sheet'!$F$4:$F$40,$BJ21-3)),"")</f>
        <v/>
      </c>
      <c r="C22" s="68">
        <f>IF($BJ21&gt;0,IF(INDEX('Final Calculation Sheet'!$G$4:$G$40,$BJ21-3)="","",INDEX('Final Calculation Sheet'!$G$4:$G$40,$BJ21-3)),IF(OR($BI21=1,$BL21=1,$BH21&gt;0),IF($BI21=1,37,IF($BL21=1,37-INDEX($BD$4:$BD$13,10),INDEX($BD$4:$BD$13,$BH21)))&amp;" lot(s)",""))</f>
        <v/>
      </c>
      <c r="D22" s="69">
        <f>IF($BJ21&gt;0,IF(INDEX('Final Calculation Sheet'!$B$4:$B$40,$BJ21-3)="","",INDEX('Final Calculation Sheet'!$B$4:$B$40,$BJ21-3)),IF(OR($BI21=1,$BL21=1,$BH21&gt;0),IF($BI21=1,"GRAND TOTAL  —  matching + remaining",IF($BL21=1,"TOTAL MATCHED  —  every group together",IF($BH21=10,"REMAINING  —  did not match the search",IF($BH21=9,IF(COUNTIF($A$4:$AI$4,"&lt;&gt;")&gt;0,"FILTERED LOTS  —  column fields","ALL LOTS  —  nothing typed in the box"),"GROUP "&amp;$BH21&amp;" TOTAL  —  lots matching  "&amp;INDEX($AR$6:$AY$6,$BH21))))),""))</f>
        <v/>
      </c>
      <c r="E22" s="69">
        <f>IF($BJ21&gt;0,IF(INDEX('Final Calculation Sheet'!$D$4:$D$40,$BJ21-3)="","",INDEX('Final Calculation Sheet'!$D$4:$D$40,$BJ21-3)),IF(OR($BI21=1,$BL21=1,$BH21&gt;0),"–",""))</f>
        <v/>
      </c>
      <c r="F22" s="69">
        <f>IF($BJ21&gt;0,IF(INDEX('Final Calculation Sheet'!$A$4:$A$40,$BJ21-3)="","",INDEX('Final Calculation Sheet'!$A$4:$A$40,$BJ21-3)),IF(OR($BI21=1,$BL21=1,$BH21&gt;0),IF($BI21=1,SUM('Final Calculation Sheet'!$A$4:$A$40),IF($BL21=1,SUM('Final Calculation Sheet'!$A$4:$A$40)-SUMIFS('Final Calculation Sheet'!$A$4:$A$40,$AZ$5:$AZ$41,10),SUMIFS('Final Calculation Sheet'!$A$4:$A$40,$AZ$5:$AZ$41,$BH21))),""))</f>
        <v/>
      </c>
      <c r="G22" s="69">
        <f>IF($BJ21&gt;0,IF(INDEX('Final Calculation Sheet'!$E$4:$E$40,$BJ21-3)="","",INDEX('Final Calculation Sheet'!$E$4:$E$40,$BJ21-3)),IF(OR($BI21=1,$BL21=1,$BH21&gt;0),"–",""))</f>
        <v/>
      </c>
      <c r="H22" s="70">
        <f>IF($BJ21&gt;0,IF(INDEX('Final Calculation Sheet'!$C$4:$C$40,$BJ21-3)="","",INDEX('Final Calculation Sheet'!$C$4:$C$40,$BJ21-3)),IF(OR($BI21=1,$BL21=1,$BH21&gt;0),"–",""))</f>
        <v/>
      </c>
      <c r="I22" s="70">
        <f>IF($BJ21&gt;0,IF(INDEX('Final Calculation Sheet'!$H$4:$H$40,$BJ21-3)="","",INDEX('Final Calculation Sheet'!$H$4:$H$40,$BJ21-3)),IF(OR($BI21=1,$BL21=1,$BH21&gt;0),IF($BI21=1,SUM('Final Calculation Sheet'!$H$4:$H$40),IF($BL21=1,SUM('Final Calculation Sheet'!$H$4:$H$40)-SUMIFS('Final Calculation Sheet'!$H$4:$H$40,$AZ$5:$AZ$41,10),SUMIFS('Final Calculation Sheet'!$H$4:$H$40,$AZ$5:$AZ$41,$BH21))),""))</f>
        <v/>
      </c>
      <c r="J22" s="70">
        <f>IF($BJ21&gt;0,IF(INDEX('Final Calculation Sheet'!$I$4:$I$40,$BJ21-3)="","",INDEX('Final Calculation Sheet'!$I$4:$I$40,$BJ21-3)),IF(OR($BI21=1,$BL21=1,$BH21&gt;0),IF($BI21=1,SUM('Final Calculation Sheet'!$I$4:$I$40),IF($BL21=1,SUM('Final Calculation Sheet'!$I$4:$I$40)-SUMIFS('Final Calculation Sheet'!$I$4:$I$40,$AZ$5:$AZ$41,10),SUMIFS('Final Calculation Sheet'!$I$4:$I$40,$AZ$5:$AZ$41,$BH21))),""))</f>
        <v/>
      </c>
      <c r="K22" s="70">
        <f>IF($BJ21&gt;0,IF(INDEX('Final Calculation Sheet'!$J$4:$J$40,$BJ21-3)="","",INDEX('Final Calculation Sheet'!$J$4:$J$40,$BJ21-3)),IF(OR($BI21=1,$BL21=1,$BH21&gt;0),IF($BI21=1,SUM('Final Calculation Sheet'!$J$4:$J$40),IF($BL21=1,SUM('Final Calculation Sheet'!$J$4:$J$40)-SUMIFS('Final Calculation Sheet'!$J$4:$J$40,$AZ$5:$AZ$41,10),SUMIFS('Final Calculation Sheet'!$J$4:$J$40,$AZ$5:$AZ$41,$BH21))),""))</f>
        <v/>
      </c>
      <c r="L22" s="70">
        <f>IF($BJ21&gt;0,IF(INDEX('Final Calculation Sheet'!$K$4:$K$40,$BJ21-3)="","",INDEX('Final Calculation Sheet'!$K$4:$K$40,$BJ21-3)),IF(OR($BI21=1,$BL21=1,$BH21&gt;0),IF($BI21=1,SUM('Final Calculation Sheet'!$K$4:$K$40),IF($BL21=1,SUM('Final Calculation Sheet'!$K$4:$K$40)-SUMIFS('Final Calculation Sheet'!$K$4:$K$40,$AZ$5:$AZ$41,10),SUMIFS('Final Calculation Sheet'!$K$4:$K$40,$AZ$5:$AZ$41,$BH21))),""))</f>
        <v/>
      </c>
      <c r="M22" s="70">
        <f>IF($BJ21&gt;0,IF(INDEX('Final Calculation Sheet'!$L$4:$L$40,$BJ21-3)="","",INDEX('Final Calculation Sheet'!$L$4:$L$40,$BJ21-3)),IF(OR($BI21=1,$BL21=1,$BH21&gt;0),IF($BI21=1,SUM('Final Calculation Sheet'!$L$4:$L$40),IF($BL21=1,SUM('Final Calculation Sheet'!$L$4:$L$40)-SUMIFS('Final Calculation Sheet'!$L$4:$L$40,$AZ$5:$AZ$41,10),SUMIFS('Final Calculation Sheet'!$L$4:$L$40,$AZ$5:$AZ$41,$BH21))),""))</f>
        <v/>
      </c>
      <c r="N22" s="70">
        <f>IF($BJ21&gt;0,IF(INDEX('Final Calculation Sheet'!$M$4:$M$40,$BJ21-3)="","",INDEX('Final Calculation Sheet'!$M$4:$M$40,$BJ21-3)),IF(OR($BI21=1,$BL21=1,$BH21&gt;0),IF($BI21=1,SUM('Final Calculation Sheet'!$M$4:$M$40),IF($BL21=1,SUM('Final Calculation Sheet'!$M$4:$M$40)-SUMIFS('Final Calculation Sheet'!$M$4:$M$40,$AZ$5:$AZ$41,10),SUMIFS('Final Calculation Sheet'!$M$4:$M$40,$AZ$5:$AZ$41,$BH21))),""))</f>
        <v/>
      </c>
      <c r="O22" s="71">
        <f>IF($BJ21&gt;0,IF(INDEX('Final Calculation Sheet'!$N$4:$N$40,$BJ21-3)="","",INDEX('Final Calculation Sheet'!$N$4:$N$40,$BJ21-3)),IF(OR($BI21=1,$BL21=1,$BH21&gt;0),IF($BI21=1,SUM('Final Calculation Sheet'!$N$4:$N$40),IF($BL21=1,SUM('Final Calculation Sheet'!$N$4:$N$40)-SUMIFS('Final Calculation Sheet'!$N$4:$N$40,$AZ$5:$AZ$41,10),SUMIFS('Final Calculation Sheet'!$N$4:$N$40,$AZ$5:$AZ$41,$BH21))),""))</f>
        <v/>
      </c>
      <c r="P22" s="70">
        <f>IF($BJ21&gt;0,IF(INDEX('Final Calculation Sheet'!$O$4:$O$40,$BJ21-3)="","",INDEX('Final Calculation Sheet'!$O$4:$O$40,$BJ21-3)),IF(OR($BI21=1,$BL21=1,$BH21&gt;0),IF($BI21=1,SUM('Final Calculation Sheet'!$O$4:$O$40),IF($BL21=1,SUM('Final Calculation Sheet'!$O$4:$O$40)-SUMIFS('Final Calculation Sheet'!$O$4:$O$40,$AZ$5:$AZ$41,10),SUMIFS('Final Calculation Sheet'!$O$4:$O$40,$AZ$5:$AZ$41,$BH21))),""))</f>
        <v/>
      </c>
      <c r="Q22" s="70">
        <f>IF($BJ21&gt;0,IF(INDEX('Final Calculation Sheet'!$P$4:$P$40,$BJ21-3)="","",INDEX('Final Calculation Sheet'!$P$4:$P$40,$BJ21-3)),IF(OR($BI21=1,$BL21=1,$BH21&gt;0),IF($BI21=1,SUM('Final Calculation Sheet'!$P$4:$P$40),IF($BL21=1,SUM('Final Calculation Sheet'!$P$4:$P$40)-SUMIFS('Final Calculation Sheet'!$P$4:$P$40,$AZ$5:$AZ$41,10),SUMIFS('Final Calculation Sheet'!$P$4:$P$40,$AZ$5:$AZ$41,$BH21))),""))</f>
        <v/>
      </c>
      <c r="R22" s="72">
        <f>IF($BJ21&gt;0,IF(INDEX('Final Calculation Sheet'!$Q$4:$Q$40,$BJ21-3)="","",INDEX('Final Calculation Sheet'!$Q$4:$Q$40,$BJ21-3)),IF(OR($BI21=1,$BL21=1,$BH21&gt;0),"–",""))</f>
        <v/>
      </c>
      <c r="S22" s="70">
        <f>IF($BJ21&gt;0,IF(INDEX('Final Calculation Sheet'!$R$4:$R$40,$BJ21-3)="","",INDEX('Final Calculation Sheet'!$R$4:$R$40,$BJ21-3)),IF(OR($BI21=1,$BL21=1,$BH21&gt;0),IF($BI21=1,SUM('Final Calculation Sheet'!$R$4:$R$40),IF($BL21=1,SUM('Final Calculation Sheet'!$R$4:$R$40)-SUMIFS('Final Calculation Sheet'!$R$4:$R$40,$AZ$5:$AZ$41,10),SUMIFS('Final Calculation Sheet'!$R$4:$R$40,$AZ$5:$AZ$41,$BH21))),""))</f>
        <v/>
      </c>
      <c r="T22" s="70">
        <f>IF($BJ21&gt;0,IF(INDEX('Final Calculation Sheet'!$S$4:$S$40,$BJ21-3)="","",INDEX('Final Calculation Sheet'!$S$4:$S$40,$BJ21-3)),IF(OR($BI21=1,$BL21=1,$BH21&gt;0),IF($BI21=1,SUM('Final Calculation Sheet'!$S$4:$S$40),IF($BL21=1,SUM('Final Calculation Sheet'!$S$4:$S$40)-SUMIFS('Final Calculation Sheet'!$S$4:$S$40,$AZ$5:$AZ$41,10),SUMIFS('Final Calculation Sheet'!$S$4:$S$40,$AZ$5:$AZ$41,$BH21))),""))</f>
        <v/>
      </c>
      <c r="U22" s="70">
        <f>IF($BJ21&gt;0,IF(INDEX('Final Calculation Sheet'!$T$4:$T$40,$BJ21-3)="","",INDEX('Final Calculation Sheet'!$T$4:$T$40,$BJ21-3)),IF(OR($BI21=1,$BL21=1,$BH21&gt;0),IF($BI21=1,SUM('Final Calculation Sheet'!$T$4:$T$40),IF($BL21=1,SUM('Final Calculation Sheet'!$T$4:$T$40)-SUMIFS('Final Calculation Sheet'!$T$4:$T$40,$AZ$5:$AZ$41,10),SUMIFS('Final Calculation Sheet'!$T$4:$T$40,$AZ$5:$AZ$41,$BH21))),""))</f>
        <v/>
      </c>
      <c r="V22" s="73">
        <f>IF($BJ21&gt;0,IF(INDEX('Final Calculation Sheet'!$U$4:$U$40,$BJ21-3)="","",INDEX('Final Calculation Sheet'!$U$4:$U$40,$BJ21-3)),IF(OR($BI21=1,$BL21=1,$BH21&gt;0),IF($BI21=1,SUM('Final Calculation Sheet'!$U$4:$U$40),IF($BL21=1,SUM('Final Calculation Sheet'!$U$4:$U$40)-SUMIFS('Final Calculation Sheet'!$U$4:$U$40,$AZ$5:$AZ$41,10),SUMIFS('Final Calculation Sheet'!$U$4:$U$40,$AZ$5:$AZ$41,$BH21))),""))</f>
        <v/>
      </c>
      <c r="W22" s="70">
        <f>IF($BJ21&gt;0,IF(INDEX('Final Calculation Sheet'!$V$4:$V$40,$BJ21-3)="","",INDEX('Final Calculation Sheet'!$V$4:$V$40,$BJ21-3)),IF(OR($BI21=1,$BL21=1,$BH21&gt;0),"–",""))</f>
        <v/>
      </c>
      <c r="X22" s="70">
        <f>IF($BJ21&gt;0,IF(INDEX('Final Calculation Sheet'!$W$4:$W$40,$BJ21-3)="","",INDEX('Final Calculation Sheet'!$W$4:$W$40,$BJ21-3)),IF(OR($BI21=1,$BL21=1,$BH21&gt;0),IF($BI21=1,SUM('Final Calculation Sheet'!$W$4:$W$40),IF($BL21=1,SUM('Final Calculation Sheet'!$W$4:$W$40)-SUMIFS('Final Calculation Sheet'!$W$4:$W$40,$AZ$5:$AZ$41,10),SUMIFS('Final Calculation Sheet'!$W$4:$W$40,$AZ$5:$AZ$41,$BH21))),""))</f>
        <v/>
      </c>
      <c r="Y22" s="70">
        <f>IF($BJ21&gt;0,IF(INDEX('Final Calculation Sheet'!$X$4:$X$40,$BJ21-3)="","",INDEX('Final Calculation Sheet'!$X$4:$X$40,$BJ21-3)),IF(OR($BI21=1,$BL21=1,$BH21&gt;0),IF($BI21=1,SUM('Final Calculation Sheet'!$X$4:$X$40),IF($BL21=1,SUM('Final Calculation Sheet'!$X$4:$X$40)-SUMIFS('Final Calculation Sheet'!$X$4:$X$40,$AZ$5:$AZ$41,10),SUMIFS('Final Calculation Sheet'!$X$4:$X$40,$AZ$5:$AZ$41,$BH21))),""))</f>
        <v/>
      </c>
      <c r="Z22" s="70">
        <f>IF($BJ21&gt;0,IF(INDEX('Final Calculation Sheet'!$Y$4:$Y$40,$BJ21-3)="","",INDEX('Final Calculation Sheet'!$Y$4:$Y$40,$BJ21-3)),IF(OR($BI21=1,$BL21=1,$BH21&gt;0),"–",""))</f>
        <v/>
      </c>
      <c r="AA22" s="70">
        <f>IF($BJ21&gt;0,IF(INDEX('Final Calculation Sheet'!$Z$4:$Z$40,$BJ21-3)="","",INDEX('Final Calculation Sheet'!$Z$4:$Z$40,$BJ21-3)),IF(OR($BI21=1,$BL21=1,$BH21&gt;0),IF($BI21=1,SUM('Final Calculation Sheet'!$Z$4:$Z$40),IF($BL21=1,SUM('Final Calculation Sheet'!$Z$4:$Z$40)-SUMIFS('Final Calculation Sheet'!$Z$4:$Z$40,$AZ$5:$AZ$41,10),SUMIFS('Final Calculation Sheet'!$Z$4:$Z$40,$AZ$5:$AZ$41,$BH21))),""))</f>
        <v/>
      </c>
      <c r="AB22" s="70">
        <f>IF($BJ21&gt;0,IF(INDEX('Final Calculation Sheet'!$AA$4:$AA$40,$BJ21-3)="","",INDEX('Final Calculation Sheet'!$AA$4:$AA$40,$BJ21-3)),IF(OR($BI21=1,$BL21=1,$BH21&gt;0),IF($BI21=1,SUM('Final Calculation Sheet'!$AA$4:$AA$40),IF($BL21=1,SUM('Final Calculation Sheet'!$AA$4:$AA$40)-SUMIFS('Final Calculation Sheet'!$AA$4:$AA$40,$AZ$5:$AZ$41,10),SUMIFS('Final Calculation Sheet'!$AA$4:$AA$40,$AZ$5:$AZ$41,$BH21))),""))</f>
        <v/>
      </c>
      <c r="AC22" s="70">
        <f>IF($BJ21&gt;0,IF(INDEX('Final Calculation Sheet'!$AB$4:$AB$40,$BJ21-3)="","",INDEX('Final Calculation Sheet'!$AB$4:$AB$40,$BJ21-3)),IF(OR($BI21=1,$BL21=1,$BH21&gt;0),"–",""))</f>
        <v/>
      </c>
      <c r="AD22" s="70">
        <f>IF($BJ21&gt;0,IF(INDEX('Final Calculation Sheet'!$AC$4:$AC$40,$BJ21-3)="","",INDEX('Final Calculation Sheet'!$AC$4:$AC$40,$BJ21-3)),IF(OR($BI21=1,$BL21=1,$BH21&gt;0),IF($BI21=1,SUM('Final Calculation Sheet'!$AC$4:$AC$40),IF($BL21=1,SUM('Final Calculation Sheet'!$AC$4:$AC$40)-SUMIFS('Final Calculation Sheet'!$AC$4:$AC$40,$AZ$5:$AZ$41,10),SUMIFS('Final Calculation Sheet'!$AC$4:$AC$40,$AZ$5:$AZ$41,$BH21))),""))</f>
        <v/>
      </c>
      <c r="AE22" s="70">
        <f>IF($BJ21&gt;0,IF(INDEX('Final Calculation Sheet'!$AD$4:$AD$40,$BJ21-3)="","",INDEX('Final Calculation Sheet'!$AD$4:$AD$40,$BJ21-3)),IF(OR($BI21=1,$BL21=1,$BH21&gt;0),IF($BI21=1,SUM('Final Calculation Sheet'!$AD$4:$AD$40),IF($BL21=1,SUM('Final Calculation Sheet'!$AD$4:$AD$40)-SUMIFS('Final Calculation Sheet'!$AD$4:$AD$40,$AZ$5:$AZ$41,10),SUMIFS('Final Calculation Sheet'!$AD$4:$AD$40,$AZ$5:$AZ$41,$BH21))),""))</f>
        <v/>
      </c>
      <c r="AF22" s="70">
        <f>IF($BJ21&gt;0,IF(INDEX('Final Calculation Sheet'!$AE$4:$AE$40,$BJ21-3)="","",INDEX('Final Calculation Sheet'!$AE$4:$AE$40,$BJ21-3)),IF(OR($BI21=1,$BL21=1,$BH21&gt;0),"–",""))</f>
        <v/>
      </c>
      <c r="AG22" s="74">
        <f>IF($BJ21&gt;0,IF(INDEX('Final Calculation Sheet'!$AF$4:$AF$40,$BJ21-3)="","",INDEX('Final Calculation Sheet'!$AF$4:$AF$40,$BJ21-3)),IF(OR($BI21=1,$BL21=1,$BH21&gt;0),"–",""))</f>
        <v/>
      </c>
      <c r="AH22" s="70">
        <f>IF($BJ21&gt;0,IF(INDEX('Final Calculation Sheet'!$AG$4:$AG$40,$BJ21-3)="","",INDEX('Final Calculation Sheet'!$AG$4:$AG$40,$BJ21-3)),IF(OR($BI21=1,$BL21=1,$BH21&gt;0),"–",""))</f>
        <v/>
      </c>
      <c r="AI22" s="75">
        <f>IF($BJ21&gt;0,IF(INDEX('Final Calculation Sheet'!$AD$4:$AD$40,$BJ21-3)="","",IF(INDEX('Final Calculation Sheet'!$AD$4:$AD$40,$BJ21-3)&lt;=0,"SETTLED","OUTSTANDING")),IF(OR($BI21=1,$BL21=1,$BH21&gt;0),IF(IF($BI21=1,SUM('Final Calculation Sheet'!$AD$4:$AD$40),IF($BL21=1,SUM('Final Calculation Sheet'!$AD$4:$AD$40)-SUMIFS('Final Calculation Sheet'!$AD$4:$AD$40,$AZ$5:$AZ$41,10),SUMIFS('Final Calculation Sheet'!$AD$4:$AD$40,$AZ$5:$AZ$41,$BH21)))&lt;=0,"ALL SETTLED","OUTSTANDING"),""))</f>
        <v/>
      </c>
      <c r="AK22">
        <f>IF($F$3="Lot No.",'Final Calculation Sheet'!$F$21,IF($F$3="Buyer",'Final Calculation Sheet'!$G$21,IF($F$3="Lot Name",'Final Calculation Sheet'!$B$21,IF($F$3="Bid Sheet",'Final Calculation Sheet'!$D$21,IF($F$3="Unit",'Final Calculation Sheet'!$E$21,'Final Calculation Sheet'!$F$21&amp;" "&amp;'Final Calculation Sheet'!$G$21&amp;" "&amp;'Final Calculation Sheet'!$B$21)))))</f>
        <v/>
      </c>
      <c r="AM22">
        <f>IF(COUNTIF($BM22:$CU22,0)&gt;0,0,IF($B$3="",1,IF(AND(IF(COUNTIF($AR$9:$AY$9,1)=0,TRUE,SUMPRODUCT(($AR$9:$AY$9=1)*($AR$6:$AY$6&lt;&gt;"")*ISNUMBER(SEARCH($AR$6:$AY$6,$AK22)))&gt;0),IF(COUNTIF($AR$9:$AY$9,2)=0,TRUE,SUMPRODUCT(($AR$9:$AY$9=2)*($AR$6:$AY$6&lt;&gt;"")*ISNUMBER(SEARCH($AR$6:$AY$6,$AK22)))&gt;0),IF(COUNTIF($AR$9:$AY$9,3)=0,TRUE,SUMPRODUCT(($AR$9:$AY$9=3)*($AR$6:$AY$6&lt;&gt;"")*ISNUMBER(SEARCH($AR$6:$AY$6,$AK22)))&gt;0),IF(COUNTIF($AR$9:$AY$9,4)=0,TRUE,SUMPRODUCT(($AR$9:$AY$9=4)*($AR$6:$AY$6&lt;&gt;"")*ISNUMBER(SEARCH($AR$6:$AY$6,$AK22)))&gt;0),IF(COUNTIF($AR$9:$AY$9,5)=0,TRUE,SUMPRODUCT(($AR$9:$AY$9=5)*($AR$6:$AY$6&lt;&gt;"")*ISNUMBER(SEARCH($AR$6:$AY$6,$AK22)))&gt;0),IF(COUNTIF($AR$9:$AY$9,6)=0,TRUE,SUMPRODUCT(($AR$9:$AY$9=6)*($AR$6:$AY$6&lt;&gt;"")*ISNUMBER(SEARCH($AR$6:$AY$6,$AK22)))&gt;0),IF(COUNTIF($AR$9:$AY$9,7)=0,TRUE,SUMPRODUCT(($AR$9:$AY$9=7)*($AR$6:$AY$6&lt;&gt;"")*ISNUMBER(SEARCH($AR$6:$AY$6,$AK22)))&gt;0),IF(COUNTIF($AR$9:$AY$9,8)=0,TRUE,SUMPRODUCT(($AR$9:$AY$9=8)*($AR$6:$AY$6&lt;&gt;"")*ISNUMBER(SEARCH($AR$6:$AY$6,$AK22)))&gt;0)),1,0)))</f>
        <v/>
      </c>
      <c r="AZ22">
        <f>IF($B$3="",IF(COUNTIF($A$4:$AI$4,"&lt;&gt;")=0,9,IF($AM22=1,9,10)),IF($AM22=0,10,IF(AND($AR$6&lt;&gt;"",ISNUMBER(SEARCH($AR$6,$AK22))),1,IF(AND($AS$6&lt;&gt;"",ISNUMBER(SEARCH($AS$6,$AK22))),2,IF(AND($AT$6&lt;&gt;"",ISNUMBER(SEARCH($AT$6,$AK22))),3,IF(AND($AU$6&lt;&gt;"",ISNUMBER(SEARCH($AU$6,$AK22))),4,IF(AND($AV$6&lt;&gt;"",ISNUMBER(SEARCH($AV$6,$AK22))),5,IF(AND($AW$6&lt;&gt;"",ISNUMBER(SEARCH($AW$6,$AK22))),6,IF(AND($AX$6&lt;&gt;"",ISNUMBER(SEARCH($AX$6,$AK22))),7,IF(AND($AY$6&lt;&gt;"",ISNUMBER(SEARCH($AY$6,$AK22))),8,0))))))))))</f>
        <v/>
      </c>
      <c r="BA22">
        <f>SUMPRODUCT(($AZ$5:$AZ$41=$AZ22)*($BC$5:$BC$41&lt;$BC22))+1</f>
        <v/>
      </c>
      <c r="BB22">
        <f>IF(INDEX($BF$4:$BF$13,$AZ22)=0,0,INDEX($BE$4:$BE$13,$AZ22)+$BA22-1)</f>
        <v/>
      </c>
      <c r="BC22" t="n">
        <v>21</v>
      </c>
      <c r="BH22">
        <f>IFERROR(MATCH(22,$BF$4:$BF$13,0),0)</f>
        <v/>
      </c>
      <c r="BI22">
        <f>IF(22=$BG$5,1,0)</f>
        <v/>
      </c>
      <c r="BJ22">
        <f>IF(OR($BH22&gt;0,$BI22=1,$BL22=1),0,IFERROR(INDEX($BC$5:$BC$41,MATCH(22,$BB$5:$BB$41,0)),0))</f>
        <v/>
      </c>
      <c r="BK22">
        <f>IF($BJ22&gt;0,IF(INDEX($AZ$5:$AZ$41,MATCH(22,$BB$5:$BB$41,0))=10,1,0),IF($BH22=10,1,0))</f>
        <v/>
      </c>
      <c r="BL22">
        <f>IF(22=$BG$4,1,0)</f>
        <v/>
      </c>
      <c r="BM22">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2">
        <f>IF($B$4="",1,--(OR(SUMPRODUCT(--(TRIM(MID(SUBSTITUTE(SUBSTITUTE($B$4,"/",","),",",REPT(" ",99)),(ROW($1:$8)-1)*99+1,99))&lt;&gt;""),--ISNUMBER(SEARCH(TRIM(MID(SUBSTITUTE(SUBSTITUTE($B$4,"/",","),",",REPT(" ",99)),(ROW($1:$8)-1)*99+1,99)),IFERROR(('Final Calculation Sheet'!$F$21)&amp;"",""))))&gt;0,AND(ISNUMBER(SEARCH("blank",$B$4)),NOT(ISNUMBER(SEARCH("nonblank",$B$4))),IFERROR(('Final Calculation Sheet'!$F$21)&amp;"","")=""),AND(OR(ISNUMBER(SEARCH("nonblank",$B$4)),ISNUMBER(SEARCH("&lt;&gt;",$B$4))),IFERROR(('Final Calculation Sheet'!$F$21)&amp;"","")&lt;&gt;""),AND(TRIM($B$4)="",IFERROR(('Final Calculation Sheet'!$F$21)&amp;"","")=""))))</f>
        <v/>
      </c>
      <c r="BO22">
        <f>IF($C$4="",1,--(OR(SUMPRODUCT(--(TRIM(MID(SUBSTITUTE(SUBSTITUTE($C$4,"/",","),",",REPT(" ",99)),(ROW($1:$8)-1)*99+1,99))&lt;&gt;""),--ISNUMBER(SEARCH(TRIM(MID(SUBSTITUTE(SUBSTITUTE($C$4,"/",","),",",REPT(" ",99)),(ROW($1:$8)-1)*99+1,99)),IFERROR(('Final Calculation Sheet'!$G$21)&amp;"",""))))&gt;0,AND(ISNUMBER(SEARCH("blank",$C$4)),NOT(ISNUMBER(SEARCH("nonblank",$C$4))),IFERROR(('Final Calculation Sheet'!$G$21)&amp;"","")=""),AND(OR(ISNUMBER(SEARCH("nonblank",$C$4)),ISNUMBER(SEARCH("&lt;&gt;",$C$4))),IFERROR(('Final Calculation Sheet'!$G$21)&amp;"","")&lt;&gt;""),AND(TRIM($C$4)="",IFERROR(('Final Calculation Sheet'!$G$21)&amp;"","")=""))))</f>
        <v/>
      </c>
      <c r="BP22">
        <f>IF($D$4="",1,--(OR(SUMPRODUCT(--(TRIM(MID(SUBSTITUTE(SUBSTITUTE($D$4,"/",","),",",REPT(" ",99)),(ROW($1:$8)-1)*99+1,99))&lt;&gt;""),--ISNUMBER(SEARCH(TRIM(MID(SUBSTITUTE(SUBSTITUTE($D$4,"/",","),",",REPT(" ",99)),(ROW($1:$8)-1)*99+1,99)),IFERROR(('Final Calculation Sheet'!$B$21)&amp;"",""))))&gt;0,AND(ISNUMBER(SEARCH("blank",$D$4)),NOT(ISNUMBER(SEARCH("nonblank",$D$4))),IFERROR(('Final Calculation Sheet'!$B$21)&amp;"","")=""),AND(OR(ISNUMBER(SEARCH("nonblank",$D$4)),ISNUMBER(SEARCH("&lt;&gt;",$D$4))),IFERROR(('Final Calculation Sheet'!$B$21)&amp;"","")&lt;&gt;""),AND(TRIM($D$4)="",IFERROR(('Final Calculation Sheet'!$B$21)&amp;"","")=""))))</f>
        <v/>
      </c>
      <c r="BQ22">
        <f>IF($E$4="",1,--(OR(SUMPRODUCT(--(TRIM(MID(SUBSTITUTE(SUBSTITUTE($E$4,"/",","),",",REPT(" ",99)),(ROW($1:$8)-1)*99+1,99))&lt;&gt;""),--ISNUMBER(SEARCH(TRIM(MID(SUBSTITUTE(SUBSTITUTE($E$4,"/",","),",",REPT(" ",99)),(ROW($1:$8)-1)*99+1,99)),IFERROR(('Final Calculation Sheet'!$D$21)&amp;"",""))))&gt;0,AND(ISNUMBER(SEARCH("blank",$E$4)),NOT(ISNUMBER(SEARCH("nonblank",$E$4))),IFERROR(('Final Calculation Sheet'!$D$21)&amp;"","")=""),AND(OR(ISNUMBER(SEARCH("nonblank",$E$4)),ISNUMBER(SEARCH("&lt;&gt;",$E$4))),IFERROR(('Final Calculation Sheet'!$D$21)&amp;"","")&lt;&gt;""),AND(TRIM($E$4)="",IFERROR(('Final Calculation Sheet'!$D$21)&amp;"","")=""))))</f>
        <v/>
      </c>
      <c r="BR22">
        <f>IF($F$4="",1,--(OR(SUMPRODUCT(--(TRIM(MID(SUBSTITUTE(SUBSTITUTE($F$4,"/",","),",",REPT(" ",99)),(ROW($1:$8)-1)*99+1,99))&lt;&gt;""),--ISNUMBER(SEARCH(TRIM(MID(SUBSTITUTE(SUBSTITUTE($F$4,"/",","),",",REPT(" ",99)),(ROW($1:$8)-1)*99+1,99)),IFERROR(('Final Calculation Sheet'!$A$21)&amp;"",""))))&gt;0,AND(ISNUMBER(SEARCH("blank",$F$4)),NOT(ISNUMBER(SEARCH("nonblank",$F$4))),IFERROR(('Final Calculation Sheet'!$A$21)&amp;"","")=""),AND(OR(ISNUMBER(SEARCH("nonblank",$F$4)),ISNUMBER(SEARCH("&lt;&gt;",$F$4))),IFERROR(('Final Calculation Sheet'!$A$21)&amp;"","")&lt;&gt;""),AND(TRIM($F$4)="",IFERROR(('Final Calculation Sheet'!$A$21)&amp;"","")=""))))</f>
        <v/>
      </c>
      <c r="BS22">
        <f>IF($G$4="",1,--(OR(SUMPRODUCT(--(TRIM(MID(SUBSTITUTE(SUBSTITUTE($G$4,"/",","),",",REPT(" ",99)),(ROW($1:$8)-1)*99+1,99))&lt;&gt;""),--ISNUMBER(SEARCH(TRIM(MID(SUBSTITUTE(SUBSTITUTE($G$4,"/",","),",",REPT(" ",99)),(ROW($1:$8)-1)*99+1,99)),IFERROR(('Final Calculation Sheet'!$E$21)&amp;"",""))))&gt;0,AND(ISNUMBER(SEARCH("blank",$G$4)),NOT(ISNUMBER(SEARCH("nonblank",$G$4))),IFERROR(('Final Calculation Sheet'!$E$21)&amp;"","")=""),AND(OR(ISNUMBER(SEARCH("nonblank",$G$4)),ISNUMBER(SEARCH("&lt;&gt;",$G$4))),IFERROR(('Final Calculation Sheet'!$E$21)&amp;"","")&lt;&gt;""),AND(TRIM($G$4)="",IFERROR(('Final Calculation Sheet'!$E$21)&amp;"","")=""))))</f>
        <v/>
      </c>
      <c r="BT22">
        <f>IF($H$4="",1,--(OR(SUMPRODUCT(--(TRIM(MID(SUBSTITUTE(SUBSTITUTE($H$4,"/",","),",",REPT(" ",99)),(ROW($1:$8)-1)*99+1,99))&lt;&gt;""),--ISNUMBER(SEARCH(TRIM(MID(SUBSTITUTE(SUBSTITUTE($H$4,"/",","),",",REPT(" ",99)),(ROW($1:$8)-1)*99+1,99)),IFERROR(('Final Calculation Sheet'!$C$21)&amp;"",""))))&gt;0,AND(ISNUMBER(SEARCH("blank",$H$4)),NOT(ISNUMBER(SEARCH("nonblank",$H$4))),IFERROR(('Final Calculation Sheet'!$C$21)&amp;"","")=""),AND(OR(ISNUMBER(SEARCH("nonblank",$H$4)),ISNUMBER(SEARCH("&lt;&gt;",$H$4))),IFERROR(('Final Calculation Sheet'!$C$21)&amp;"","")&lt;&gt;""),AND(TRIM($H$4)="",IFERROR(('Final Calculation Sheet'!$C$21)&amp;"","")=""))))</f>
        <v/>
      </c>
      <c r="BU22">
        <f>IF($I$4="",1,--(OR(SUMPRODUCT(--(TRIM(MID(SUBSTITUTE(SUBSTITUTE($I$4,"/",","),",",REPT(" ",99)),(ROW($1:$8)-1)*99+1,99))&lt;&gt;""),--ISNUMBER(SEARCH(TRIM(MID(SUBSTITUTE(SUBSTITUTE($I$4,"/",","),",",REPT(" ",99)),(ROW($1:$8)-1)*99+1,99)),IFERROR(('Final Calculation Sheet'!$H$21)&amp;"",""))))&gt;0,AND(ISNUMBER(SEARCH("blank",$I$4)),NOT(ISNUMBER(SEARCH("nonblank",$I$4))),IFERROR(('Final Calculation Sheet'!$H$21)&amp;"","")=""),AND(OR(ISNUMBER(SEARCH("nonblank",$I$4)),ISNUMBER(SEARCH("&lt;&gt;",$I$4))),IFERROR(('Final Calculation Sheet'!$H$21)&amp;"","")&lt;&gt;""),AND(TRIM($I$4)="",IFERROR(('Final Calculation Sheet'!$H$21)&amp;"","")=""))))</f>
        <v/>
      </c>
      <c r="BV22">
        <f>IF($J$4="",1,--(OR(SUMPRODUCT(--(TRIM(MID(SUBSTITUTE(SUBSTITUTE($J$4,"/",","),",",REPT(" ",99)),(ROW($1:$8)-1)*99+1,99))&lt;&gt;""),--ISNUMBER(SEARCH(TRIM(MID(SUBSTITUTE(SUBSTITUTE($J$4,"/",","),",",REPT(" ",99)),(ROW($1:$8)-1)*99+1,99)),IFERROR(('Final Calculation Sheet'!$I$21)&amp;"",""))))&gt;0,AND(ISNUMBER(SEARCH("blank",$J$4)),NOT(ISNUMBER(SEARCH("nonblank",$J$4))),IFERROR(('Final Calculation Sheet'!$I$21)&amp;"","")=""),AND(OR(ISNUMBER(SEARCH("nonblank",$J$4)),ISNUMBER(SEARCH("&lt;&gt;",$J$4))),IFERROR(('Final Calculation Sheet'!$I$21)&amp;"","")&lt;&gt;""),AND(TRIM($J$4)="",IFERROR(('Final Calculation Sheet'!$I$21)&amp;"","")=""))))</f>
        <v/>
      </c>
      <c r="BW22">
        <f>IF($K$4="",1,--(OR(SUMPRODUCT(--(TRIM(MID(SUBSTITUTE(SUBSTITUTE($K$4,"/",","),",",REPT(" ",99)),(ROW($1:$8)-1)*99+1,99))&lt;&gt;""),--ISNUMBER(SEARCH(TRIM(MID(SUBSTITUTE(SUBSTITUTE($K$4,"/",","),",",REPT(" ",99)),(ROW($1:$8)-1)*99+1,99)),IFERROR(('Final Calculation Sheet'!$J$21)&amp;"",""))))&gt;0,AND(ISNUMBER(SEARCH("blank",$K$4)),NOT(ISNUMBER(SEARCH("nonblank",$K$4))),IFERROR(('Final Calculation Sheet'!$J$21)&amp;"","")=""),AND(OR(ISNUMBER(SEARCH("nonblank",$K$4)),ISNUMBER(SEARCH("&lt;&gt;",$K$4))),IFERROR(('Final Calculation Sheet'!$J$21)&amp;"","")&lt;&gt;""),AND(TRIM($K$4)="",IFERROR(('Final Calculation Sheet'!$J$21)&amp;"","")=""))))</f>
        <v/>
      </c>
      <c r="BX22">
        <f>IF($L$4="",1,--(OR(SUMPRODUCT(--(TRIM(MID(SUBSTITUTE(SUBSTITUTE($L$4,"/",","),",",REPT(" ",99)),(ROW($1:$8)-1)*99+1,99))&lt;&gt;""),--ISNUMBER(SEARCH(TRIM(MID(SUBSTITUTE(SUBSTITUTE($L$4,"/",","),",",REPT(" ",99)),(ROW($1:$8)-1)*99+1,99)),IFERROR(('Final Calculation Sheet'!$K$21)&amp;"",""))))&gt;0,AND(ISNUMBER(SEARCH("blank",$L$4)),NOT(ISNUMBER(SEARCH("nonblank",$L$4))),IFERROR(('Final Calculation Sheet'!$K$21)&amp;"","")=""),AND(OR(ISNUMBER(SEARCH("nonblank",$L$4)),ISNUMBER(SEARCH("&lt;&gt;",$L$4))),IFERROR(('Final Calculation Sheet'!$K$21)&amp;"","")&lt;&gt;""),AND(TRIM($L$4)="",IFERROR(('Final Calculation Sheet'!$K$21)&amp;"","")=""))))</f>
        <v/>
      </c>
      <c r="BY22">
        <f>IF($M$4="",1,--(OR(SUMPRODUCT(--(TRIM(MID(SUBSTITUTE(SUBSTITUTE($M$4,"/",","),",",REPT(" ",99)),(ROW($1:$8)-1)*99+1,99))&lt;&gt;""),--ISNUMBER(SEARCH(TRIM(MID(SUBSTITUTE(SUBSTITUTE($M$4,"/",","),",",REPT(" ",99)),(ROW($1:$8)-1)*99+1,99)),IFERROR(('Final Calculation Sheet'!$L$21)&amp;"",""))))&gt;0,AND(ISNUMBER(SEARCH("blank",$M$4)),NOT(ISNUMBER(SEARCH("nonblank",$M$4))),IFERROR(('Final Calculation Sheet'!$L$21)&amp;"","")=""),AND(OR(ISNUMBER(SEARCH("nonblank",$M$4)),ISNUMBER(SEARCH("&lt;&gt;",$M$4))),IFERROR(('Final Calculation Sheet'!$L$21)&amp;"","")&lt;&gt;""),AND(TRIM($M$4)="",IFERROR(('Final Calculation Sheet'!$L$21)&amp;"","")=""))))</f>
        <v/>
      </c>
      <c r="BZ22">
        <f>IF($N$4="",1,--(OR(SUMPRODUCT(--(TRIM(MID(SUBSTITUTE(SUBSTITUTE($N$4,"/",","),",",REPT(" ",99)),(ROW($1:$8)-1)*99+1,99))&lt;&gt;""),--ISNUMBER(SEARCH(TRIM(MID(SUBSTITUTE(SUBSTITUTE($N$4,"/",","),",",REPT(" ",99)),(ROW($1:$8)-1)*99+1,99)),IFERROR(('Final Calculation Sheet'!$M$21)&amp;"",""))))&gt;0,AND(ISNUMBER(SEARCH("blank",$N$4)),NOT(ISNUMBER(SEARCH("nonblank",$N$4))),IFERROR(('Final Calculation Sheet'!$M$21)&amp;"","")=""),AND(OR(ISNUMBER(SEARCH("nonblank",$N$4)),ISNUMBER(SEARCH("&lt;&gt;",$N$4))),IFERROR(('Final Calculation Sheet'!$M$21)&amp;"","")&lt;&gt;""),AND(TRIM($N$4)="",IFERROR(('Final Calculation Sheet'!$M$21)&amp;"","")=""))))</f>
        <v/>
      </c>
      <c r="CA22">
        <f>IF($O$4="",1,--(OR(SUMPRODUCT(--(TRIM(MID(SUBSTITUTE(SUBSTITUTE($O$4,"/",","),",",REPT(" ",99)),(ROW($1:$8)-1)*99+1,99))&lt;&gt;""),--ISNUMBER(SEARCH(TRIM(MID(SUBSTITUTE(SUBSTITUTE($O$4,"/",","),",",REPT(" ",99)),(ROW($1:$8)-1)*99+1,99)),IFERROR(('Final Calculation Sheet'!$N$21)&amp;"",""))))&gt;0,AND(ISNUMBER(SEARCH("blank",$O$4)),NOT(ISNUMBER(SEARCH("nonblank",$O$4))),IFERROR(('Final Calculation Sheet'!$N$21)&amp;"","")=""),AND(OR(ISNUMBER(SEARCH("nonblank",$O$4)),ISNUMBER(SEARCH("&lt;&gt;",$O$4))),IFERROR(('Final Calculation Sheet'!$N$21)&amp;"","")&lt;&gt;""),AND(TRIM($O$4)="",IFERROR(('Final Calculation Sheet'!$N$21)&amp;"","")=""))))</f>
        <v/>
      </c>
      <c r="CB22">
        <f>IF($P$4="",1,--(OR(SUMPRODUCT(--(TRIM(MID(SUBSTITUTE(SUBSTITUTE($P$4,"/",","),",",REPT(" ",99)),(ROW($1:$8)-1)*99+1,99))&lt;&gt;""),--ISNUMBER(SEARCH(TRIM(MID(SUBSTITUTE(SUBSTITUTE($P$4,"/",","),",",REPT(" ",99)),(ROW($1:$8)-1)*99+1,99)),IFERROR(('Final Calculation Sheet'!$O$21)&amp;"",""))))&gt;0,AND(ISNUMBER(SEARCH("blank",$P$4)),NOT(ISNUMBER(SEARCH("nonblank",$P$4))),IFERROR(('Final Calculation Sheet'!$O$21)&amp;"","")=""),AND(OR(ISNUMBER(SEARCH("nonblank",$P$4)),ISNUMBER(SEARCH("&lt;&gt;",$P$4))),IFERROR(('Final Calculation Sheet'!$O$21)&amp;"","")&lt;&gt;""),AND(TRIM($P$4)="",IFERROR(('Final Calculation Sheet'!$O$21)&amp;"","")=""))))</f>
        <v/>
      </c>
      <c r="CC22">
        <f>IF($Q$4="",1,--(OR(SUMPRODUCT(--(TRIM(MID(SUBSTITUTE(SUBSTITUTE($Q$4,"/",","),",",REPT(" ",99)),(ROW($1:$8)-1)*99+1,99))&lt;&gt;""),--ISNUMBER(SEARCH(TRIM(MID(SUBSTITUTE(SUBSTITUTE($Q$4,"/",","),",",REPT(" ",99)),(ROW($1:$8)-1)*99+1,99)),IFERROR(('Final Calculation Sheet'!$P$21)&amp;"",""))))&gt;0,AND(ISNUMBER(SEARCH("blank",$Q$4)),NOT(ISNUMBER(SEARCH("nonblank",$Q$4))),IFERROR(('Final Calculation Sheet'!$P$21)&amp;"","")=""),AND(OR(ISNUMBER(SEARCH("nonblank",$Q$4)),ISNUMBER(SEARCH("&lt;&gt;",$Q$4))),IFERROR(('Final Calculation Sheet'!$P$21)&amp;"","")&lt;&gt;""),AND(TRIM($Q$4)="",IFERROR(('Final Calculation Sheet'!$P$21)&amp;"","")=""))))</f>
        <v/>
      </c>
      <c r="CD22">
        <f>IF($R$4="",1,--(OR(SUMPRODUCT(--(TRIM(MID(SUBSTITUTE(SUBSTITUTE($R$4,"/",","),",",REPT(" ",99)),(ROW($1:$8)-1)*99+1,99))&lt;&gt;""),--ISNUMBER(SEARCH(TRIM(MID(SUBSTITUTE(SUBSTITUTE($R$4,"/",","),",",REPT(" ",99)),(ROW($1:$8)-1)*99+1,99)),IFERROR(('Final Calculation Sheet'!$Q$21)&amp;"",""))))&gt;0,AND(ISNUMBER(SEARCH("blank",$R$4)),NOT(ISNUMBER(SEARCH("nonblank",$R$4))),IFERROR(('Final Calculation Sheet'!$Q$21)&amp;"","")=""),AND(OR(ISNUMBER(SEARCH("nonblank",$R$4)),ISNUMBER(SEARCH("&lt;&gt;",$R$4))),IFERROR(('Final Calculation Sheet'!$Q$21)&amp;"","")&lt;&gt;""),AND(TRIM($R$4)="",IFERROR(('Final Calculation Sheet'!$Q$21)&amp;"","")=""))))</f>
        <v/>
      </c>
      <c r="CE22">
        <f>IF($S$4="",1,--(OR(SUMPRODUCT(--(TRIM(MID(SUBSTITUTE(SUBSTITUTE($S$4,"/",","),",",REPT(" ",99)),(ROW($1:$8)-1)*99+1,99))&lt;&gt;""),--ISNUMBER(SEARCH(TRIM(MID(SUBSTITUTE(SUBSTITUTE($S$4,"/",","),",",REPT(" ",99)),(ROW($1:$8)-1)*99+1,99)),IFERROR(('Final Calculation Sheet'!$R$21)&amp;"",""))))&gt;0,AND(ISNUMBER(SEARCH("blank",$S$4)),NOT(ISNUMBER(SEARCH("nonblank",$S$4))),IFERROR(('Final Calculation Sheet'!$R$21)&amp;"","")=""),AND(OR(ISNUMBER(SEARCH("nonblank",$S$4)),ISNUMBER(SEARCH("&lt;&gt;",$S$4))),IFERROR(('Final Calculation Sheet'!$R$21)&amp;"","")&lt;&gt;""),AND(TRIM($S$4)="",IFERROR(('Final Calculation Sheet'!$R$21)&amp;"","")=""))))</f>
        <v/>
      </c>
      <c r="CF22">
        <f>IF($T$4="",1,--(OR(SUMPRODUCT(--(TRIM(MID(SUBSTITUTE(SUBSTITUTE($T$4,"/",","),",",REPT(" ",99)),(ROW($1:$8)-1)*99+1,99))&lt;&gt;""),--ISNUMBER(SEARCH(TRIM(MID(SUBSTITUTE(SUBSTITUTE($T$4,"/",","),",",REPT(" ",99)),(ROW($1:$8)-1)*99+1,99)),IFERROR(('Final Calculation Sheet'!$S$21)&amp;"",""))))&gt;0,AND(ISNUMBER(SEARCH("blank",$T$4)),NOT(ISNUMBER(SEARCH("nonblank",$T$4))),IFERROR(('Final Calculation Sheet'!$S$21)&amp;"","")=""),AND(OR(ISNUMBER(SEARCH("nonblank",$T$4)),ISNUMBER(SEARCH("&lt;&gt;",$T$4))),IFERROR(('Final Calculation Sheet'!$S$21)&amp;"","")&lt;&gt;""),AND(TRIM($T$4)="",IFERROR(('Final Calculation Sheet'!$S$21)&amp;"","")=""))))</f>
        <v/>
      </c>
      <c r="CG22">
        <f>IF($U$4="",1,--(OR(SUMPRODUCT(--(TRIM(MID(SUBSTITUTE(SUBSTITUTE($U$4,"/",","),",",REPT(" ",99)),(ROW($1:$8)-1)*99+1,99))&lt;&gt;""),--ISNUMBER(SEARCH(TRIM(MID(SUBSTITUTE(SUBSTITUTE($U$4,"/",","),",",REPT(" ",99)),(ROW($1:$8)-1)*99+1,99)),IFERROR(('Final Calculation Sheet'!$T$21)&amp;"",""))))&gt;0,AND(ISNUMBER(SEARCH("blank",$U$4)),NOT(ISNUMBER(SEARCH("nonblank",$U$4))),IFERROR(('Final Calculation Sheet'!$T$21)&amp;"","")=""),AND(OR(ISNUMBER(SEARCH("nonblank",$U$4)),ISNUMBER(SEARCH("&lt;&gt;",$U$4))),IFERROR(('Final Calculation Sheet'!$T$21)&amp;"","")&lt;&gt;""),AND(TRIM($U$4)="",IFERROR(('Final Calculation Sheet'!$T$21)&amp;"","")=""))))</f>
        <v/>
      </c>
      <c r="CH22">
        <f>IF($V$4="",1,--(OR(SUMPRODUCT(--(TRIM(MID(SUBSTITUTE(SUBSTITUTE($V$4,"/",","),",",REPT(" ",99)),(ROW($1:$8)-1)*99+1,99))&lt;&gt;""),--ISNUMBER(SEARCH(TRIM(MID(SUBSTITUTE(SUBSTITUTE($V$4,"/",","),",",REPT(" ",99)),(ROW($1:$8)-1)*99+1,99)),IFERROR(('Final Calculation Sheet'!$U$21)&amp;"",""))))&gt;0,AND(ISNUMBER(SEARCH("blank",$V$4)),NOT(ISNUMBER(SEARCH("nonblank",$V$4))),IFERROR(('Final Calculation Sheet'!$U$21)&amp;"","")=""),AND(OR(ISNUMBER(SEARCH("nonblank",$V$4)),ISNUMBER(SEARCH("&lt;&gt;",$V$4))),IFERROR(('Final Calculation Sheet'!$U$21)&amp;"","")&lt;&gt;""),AND(TRIM($V$4)="",IFERROR(('Final Calculation Sheet'!$U$21)&amp;"","")=""))))</f>
        <v/>
      </c>
      <c r="CI22">
        <f>IF($W$4="",1,--(OR(SUMPRODUCT(--(TRIM(MID(SUBSTITUTE(SUBSTITUTE($W$4,"/",","),",",REPT(" ",99)),(ROW($1:$8)-1)*99+1,99))&lt;&gt;""),--ISNUMBER(SEARCH(TRIM(MID(SUBSTITUTE(SUBSTITUTE($W$4,"/",","),",",REPT(" ",99)),(ROW($1:$8)-1)*99+1,99)),IFERROR(('Final Calculation Sheet'!$V$21)&amp;"",""))))&gt;0,AND(ISNUMBER(SEARCH("blank",$W$4)),NOT(ISNUMBER(SEARCH("nonblank",$W$4))),IFERROR(('Final Calculation Sheet'!$V$21)&amp;"","")=""),AND(OR(ISNUMBER(SEARCH("nonblank",$W$4)),ISNUMBER(SEARCH("&lt;&gt;",$W$4))),IFERROR(('Final Calculation Sheet'!$V$21)&amp;"","")&lt;&gt;""),AND(TRIM($W$4)="",IFERROR(('Final Calculation Sheet'!$V$21)&amp;"","")=""))))</f>
        <v/>
      </c>
      <c r="CJ22">
        <f>IF($X$4="",1,--(OR(SUMPRODUCT(--(TRIM(MID(SUBSTITUTE(SUBSTITUTE($X$4,"/",","),",",REPT(" ",99)),(ROW($1:$8)-1)*99+1,99))&lt;&gt;""),--ISNUMBER(SEARCH(TRIM(MID(SUBSTITUTE(SUBSTITUTE($X$4,"/",","),",",REPT(" ",99)),(ROW($1:$8)-1)*99+1,99)),IFERROR(('Final Calculation Sheet'!$W$21)&amp;"",""))))&gt;0,AND(ISNUMBER(SEARCH("blank",$X$4)),NOT(ISNUMBER(SEARCH("nonblank",$X$4))),IFERROR(('Final Calculation Sheet'!$W$21)&amp;"","")=""),AND(OR(ISNUMBER(SEARCH("nonblank",$X$4)),ISNUMBER(SEARCH("&lt;&gt;",$X$4))),IFERROR(('Final Calculation Sheet'!$W$21)&amp;"","")&lt;&gt;""),AND(TRIM($X$4)="",IFERROR(('Final Calculation Sheet'!$W$21)&amp;"","")=""))))</f>
        <v/>
      </c>
      <c r="CK22">
        <f>IF($Y$4="",1,--(OR(SUMPRODUCT(--(TRIM(MID(SUBSTITUTE(SUBSTITUTE($Y$4,"/",","),",",REPT(" ",99)),(ROW($1:$8)-1)*99+1,99))&lt;&gt;""),--ISNUMBER(SEARCH(TRIM(MID(SUBSTITUTE(SUBSTITUTE($Y$4,"/",","),",",REPT(" ",99)),(ROW($1:$8)-1)*99+1,99)),IFERROR(('Final Calculation Sheet'!$X$21)&amp;"",""))))&gt;0,AND(ISNUMBER(SEARCH("blank",$Y$4)),NOT(ISNUMBER(SEARCH("nonblank",$Y$4))),IFERROR(('Final Calculation Sheet'!$X$21)&amp;"","")=""),AND(OR(ISNUMBER(SEARCH("nonblank",$Y$4)),ISNUMBER(SEARCH("&lt;&gt;",$Y$4))),IFERROR(('Final Calculation Sheet'!$X$21)&amp;"","")&lt;&gt;""),AND(TRIM($Y$4)="",IFERROR(('Final Calculation Sheet'!$X$21)&amp;"","")=""))))</f>
        <v/>
      </c>
      <c r="CL22">
        <f>IF($Z$4="",1,--(OR(SUMPRODUCT(--(TRIM(MID(SUBSTITUTE(SUBSTITUTE($Z$4,"/",","),",",REPT(" ",99)),(ROW($1:$8)-1)*99+1,99))&lt;&gt;""),--ISNUMBER(SEARCH(TRIM(MID(SUBSTITUTE(SUBSTITUTE($Z$4,"/",","),",",REPT(" ",99)),(ROW($1:$8)-1)*99+1,99)),IFERROR(('Final Calculation Sheet'!$Y$21)&amp;"",""))))&gt;0,AND(ISNUMBER(SEARCH("blank",$Z$4)),NOT(ISNUMBER(SEARCH("nonblank",$Z$4))),IFERROR(('Final Calculation Sheet'!$Y$21)&amp;"","")=""),AND(OR(ISNUMBER(SEARCH("nonblank",$Z$4)),ISNUMBER(SEARCH("&lt;&gt;",$Z$4))),IFERROR(('Final Calculation Sheet'!$Y$21)&amp;"","")&lt;&gt;""),AND(TRIM($Z$4)="",IFERROR(('Final Calculation Sheet'!$Y$21)&amp;"","")=""))))</f>
        <v/>
      </c>
      <c r="CM22">
        <f>IF($AA$4="",1,--(OR(SUMPRODUCT(--(TRIM(MID(SUBSTITUTE(SUBSTITUTE($AA$4,"/",","),",",REPT(" ",99)),(ROW($1:$8)-1)*99+1,99))&lt;&gt;""),--ISNUMBER(SEARCH(TRIM(MID(SUBSTITUTE(SUBSTITUTE($AA$4,"/",","),",",REPT(" ",99)),(ROW($1:$8)-1)*99+1,99)),IFERROR(('Final Calculation Sheet'!$Z$21)&amp;"",""))))&gt;0,AND(ISNUMBER(SEARCH("blank",$AA$4)),NOT(ISNUMBER(SEARCH("nonblank",$AA$4))),IFERROR(('Final Calculation Sheet'!$Z$21)&amp;"","")=""),AND(OR(ISNUMBER(SEARCH("nonblank",$AA$4)),ISNUMBER(SEARCH("&lt;&gt;",$AA$4))),IFERROR(('Final Calculation Sheet'!$Z$21)&amp;"","")&lt;&gt;""),AND(TRIM($AA$4)="",IFERROR(('Final Calculation Sheet'!$Z$21)&amp;"","")=""))))</f>
        <v/>
      </c>
      <c r="CN22">
        <f>IF($AB$4="",1,--(OR(SUMPRODUCT(--(TRIM(MID(SUBSTITUTE(SUBSTITUTE($AB$4,"/",","),",",REPT(" ",99)),(ROW($1:$8)-1)*99+1,99))&lt;&gt;""),--ISNUMBER(SEARCH(TRIM(MID(SUBSTITUTE(SUBSTITUTE($AB$4,"/",","),",",REPT(" ",99)),(ROW($1:$8)-1)*99+1,99)),IFERROR(('Final Calculation Sheet'!$AA$21)&amp;"",""))))&gt;0,AND(ISNUMBER(SEARCH("blank",$AB$4)),NOT(ISNUMBER(SEARCH("nonblank",$AB$4))),IFERROR(('Final Calculation Sheet'!$AA$21)&amp;"","")=""),AND(OR(ISNUMBER(SEARCH("nonblank",$AB$4)),ISNUMBER(SEARCH("&lt;&gt;",$AB$4))),IFERROR(('Final Calculation Sheet'!$AA$21)&amp;"","")&lt;&gt;""),AND(TRIM($AB$4)="",IFERROR(('Final Calculation Sheet'!$AA$21)&amp;"","")=""))))</f>
        <v/>
      </c>
      <c r="CO22">
        <f>IF($AC$4="",1,--(OR(SUMPRODUCT(--(TRIM(MID(SUBSTITUTE(SUBSTITUTE($AC$4,"/",","),",",REPT(" ",99)),(ROW($1:$8)-1)*99+1,99))&lt;&gt;""),--ISNUMBER(SEARCH(TRIM(MID(SUBSTITUTE(SUBSTITUTE($AC$4,"/",","),",",REPT(" ",99)),(ROW($1:$8)-1)*99+1,99)),IFERROR(('Final Calculation Sheet'!$AB$21)&amp;"",""))))&gt;0,AND(ISNUMBER(SEARCH("blank",$AC$4)),NOT(ISNUMBER(SEARCH("nonblank",$AC$4))),IFERROR(('Final Calculation Sheet'!$AB$21)&amp;"","")=""),AND(OR(ISNUMBER(SEARCH("nonblank",$AC$4)),ISNUMBER(SEARCH("&lt;&gt;",$AC$4))),IFERROR(('Final Calculation Sheet'!$AB$21)&amp;"","")&lt;&gt;""),AND(TRIM($AC$4)="",IFERROR(('Final Calculation Sheet'!$AB$21)&amp;"","")=""))))</f>
        <v/>
      </c>
      <c r="CP22">
        <f>IF($AD$4="",1,--(OR(SUMPRODUCT(--(TRIM(MID(SUBSTITUTE(SUBSTITUTE($AD$4,"/",","),",",REPT(" ",99)),(ROW($1:$8)-1)*99+1,99))&lt;&gt;""),--ISNUMBER(SEARCH(TRIM(MID(SUBSTITUTE(SUBSTITUTE($AD$4,"/",","),",",REPT(" ",99)),(ROW($1:$8)-1)*99+1,99)),IFERROR(('Final Calculation Sheet'!$AC$21)&amp;"",""))))&gt;0,AND(ISNUMBER(SEARCH("blank",$AD$4)),NOT(ISNUMBER(SEARCH("nonblank",$AD$4))),IFERROR(('Final Calculation Sheet'!$AC$21)&amp;"","")=""),AND(OR(ISNUMBER(SEARCH("nonblank",$AD$4)),ISNUMBER(SEARCH("&lt;&gt;",$AD$4))),IFERROR(('Final Calculation Sheet'!$AC$21)&amp;"","")&lt;&gt;""),AND(TRIM($AD$4)="",IFERROR(('Final Calculation Sheet'!$AC$21)&amp;"","")=""))))</f>
        <v/>
      </c>
      <c r="CQ22">
        <f>IF($AE$4="",1,--(OR(SUMPRODUCT(--(TRIM(MID(SUBSTITUTE(SUBSTITUTE($AE$4,"/",","),",",REPT(" ",99)),(ROW($1:$8)-1)*99+1,99))&lt;&gt;""),--ISNUMBER(SEARCH(TRIM(MID(SUBSTITUTE(SUBSTITUTE($AE$4,"/",","),",",REPT(" ",99)),(ROW($1:$8)-1)*99+1,99)),IFERROR(('Final Calculation Sheet'!$AD$21)&amp;"",""))))&gt;0,AND(ISNUMBER(SEARCH("blank",$AE$4)),NOT(ISNUMBER(SEARCH("nonblank",$AE$4))),IFERROR(('Final Calculation Sheet'!$AD$21)&amp;"","")=""),AND(OR(ISNUMBER(SEARCH("nonblank",$AE$4)),ISNUMBER(SEARCH("&lt;&gt;",$AE$4))),IFERROR(('Final Calculation Sheet'!$AD$21)&amp;"","")&lt;&gt;""),AND(TRIM($AE$4)="",IFERROR(('Final Calculation Sheet'!$AD$21)&amp;"","")=""))))</f>
        <v/>
      </c>
      <c r="CR22">
        <f>IF($AF$4="",1,--(OR(SUMPRODUCT(--(TRIM(MID(SUBSTITUTE(SUBSTITUTE($AF$4,"/",","),",",REPT(" ",99)),(ROW($1:$8)-1)*99+1,99))&lt;&gt;""),--ISNUMBER(SEARCH(TRIM(MID(SUBSTITUTE(SUBSTITUTE($AF$4,"/",","),",",REPT(" ",99)),(ROW($1:$8)-1)*99+1,99)),IFERROR(('Final Calculation Sheet'!$AE$21)&amp;"",""))))&gt;0,AND(ISNUMBER(SEARCH("blank",$AF$4)),NOT(ISNUMBER(SEARCH("nonblank",$AF$4))),IFERROR(('Final Calculation Sheet'!$AE$21)&amp;"","")=""),AND(OR(ISNUMBER(SEARCH("nonblank",$AF$4)),ISNUMBER(SEARCH("&lt;&gt;",$AF$4))),IFERROR(('Final Calculation Sheet'!$AE$21)&amp;"","")&lt;&gt;""),AND(TRIM($AF$4)="",IFERROR(('Final Calculation Sheet'!$AE$21)&amp;"","")=""))))</f>
        <v/>
      </c>
      <c r="CS22">
        <f>IF($AG$4="",1,--(OR(SUMPRODUCT(--(TRIM(MID(SUBSTITUTE(SUBSTITUTE($AG$4,"/",","),",",REPT(" ",99)),(ROW($1:$8)-1)*99+1,99))&lt;&gt;""),--ISNUMBER(SEARCH(TRIM(MID(SUBSTITUTE(SUBSTITUTE($AG$4,"/",","),",",REPT(" ",99)),(ROW($1:$8)-1)*99+1,99)),IFERROR(('Final Calculation Sheet'!$AF$21)&amp;"",""))))&gt;0,AND(ISNUMBER(SEARCH("blank",$AG$4)),NOT(ISNUMBER(SEARCH("nonblank",$AG$4))),IFERROR(('Final Calculation Sheet'!$AF$21)&amp;"","")=""),AND(OR(ISNUMBER(SEARCH("nonblank",$AG$4)),ISNUMBER(SEARCH("&lt;&gt;",$AG$4))),IFERROR(('Final Calculation Sheet'!$AF$21)&amp;"","")&lt;&gt;""),AND(TRIM($AG$4)="",IFERROR(('Final Calculation Sheet'!$AF$21)&amp;"","")=""))))</f>
        <v/>
      </c>
      <c r="CT22">
        <f>IF($AH$4="",1,--(OR(SUMPRODUCT(--(TRIM(MID(SUBSTITUTE(SUBSTITUTE($AH$4,"/",","),",",REPT(" ",99)),(ROW($1:$8)-1)*99+1,99))&lt;&gt;""),--ISNUMBER(SEARCH(TRIM(MID(SUBSTITUTE(SUBSTITUTE($AH$4,"/",","),",",REPT(" ",99)),(ROW($1:$8)-1)*99+1,99)),IFERROR(('Final Calculation Sheet'!$AG$21)&amp;"",""))))&gt;0,AND(ISNUMBER(SEARCH("blank",$AH$4)),NOT(ISNUMBER(SEARCH("nonblank",$AH$4))),IFERROR(('Final Calculation Sheet'!$AG$21)&amp;"","")=""),AND(OR(ISNUMBER(SEARCH("nonblank",$AH$4)),ISNUMBER(SEARCH("&lt;&gt;",$AH$4))),IFERROR(('Final Calculation Sheet'!$AG$21)&amp;"","")&lt;&gt;""),AND(TRIM($AH$4)="",IFERROR(('Final Calculation Sheet'!$AG$21)&amp;"","")=""))))</f>
        <v/>
      </c>
      <c r="CU22">
        <f>IF($AI$4="",1,--(OR(SUMPRODUCT(--(TRIM(MID(SUBSTITUTE(SUBSTITUTE($AI$4,"/",","),",",REPT(" ",99)),(ROW($1:$8)-1)*99+1,99))&lt;&gt;""),--ISNUMBER(SEARCH(TRIM(MID(SUBSTITUTE(SUBSTITUTE($AI$4,"/",","),",",REPT(" ",99)),(ROW($1:$8)-1)*99+1,99)),IFERROR((IF('Final Calculation Sheet'!$AD$21&lt;=0,"SETTLED","OUTSTANDING"))&amp;"",""))))&gt;0,AND(ISNUMBER(SEARCH("blank",$AI$4)),NOT(ISNUMBER(SEARCH("nonblank",$AI$4))),IFERROR((IF('Final Calculation Sheet'!$AD$21&lt;=0,"SETTLED","OUTSTANDING"))&amp;"","")=""),AND(OR(ISNUMBER(SEARCH("nonblank",$AI$4)),ISNUMBER(SEARCH("&lt;&gt;",$AI$4))),IFERROR((IF('Final Calculation Sheet'!$AD$21&lt;=0,"SETTLED","OUTSTANDING"))&amp;"","")&lt;&gt;""),AND(TRIM($AI$4)="",IFERROR((IF('Final Calculation Sheet'!$AD$21&lt;=0,"SETTLED","OUTSTANDING"))&amp;"","")=""))))</f>
        <v/>
      </c>
    </row>
    <row r="23" ht="15" customHeight="1" s="77">
      <c r="A23" s="67">
        <f>IF($BJ22&gt;0,INDEX($BA$5:$BA$41,MATCH(22,$BB$5:$BB$41,0)),IF(OR($BI22=1,$BL22=1,$BH22&gt;0),"∑",""))</f>
        <v/>
      </c>
      <c r="B23" s="68">
        <f>IF($BJ22&gt;0,IF(INDEX('Final Calculation Sheet'!$F$4:$F$40,$BJ22-3)="","",INDEX('Final Calculation Sheet'!$F$4:$F$40,$BJ22-3)),"")</f>
        <v/>
      </c>
      <c r="C23" s="68">
        <f>IF($BJ22&gt;0,IF(INDEX('Final Calculation Sheet'!$G$4:$G$40,$BJ22-3)="","",INDEX('Final Calculation Sheet'!$G$4:$G$40,$BJ22-3)),IF(OR($BI22=1,$BL22=1,$BH22&gt;0),IF($BI22=1,37,IF($BL22=1,37-INDEX($BD$4:$BD$13,10),INDEX($BD$4:$BD$13,$BH22)))&amp;" lot(s)",""))</f>
        <v/>
      </c>
      <c r="D23" s="69">
        <f>IF($BJ22&gt;0,IF(INDEX('Final Calculation Sheet'!$B$4:$B$40,$BJ22-3)="","",INDEX('Final Calculation Sheet'!$B$4:$B$40,$BJ22-3)),IF(OR($BI22=1,$BL22=1,$BH22&gt;0),IF($BI22=1,"GRAND TOTAL  —  matching + remaining",IF($BL22=1,"TOTAL MATCHED  —  every group together",IF($BH22=10,"REMAINING  —  did not match the search",IF($BH22=9,IF(COUNTIF($A$4:$AI$4,"&lt;&gt;")&gt;0,"FILTERED LOTS  —  column fields","ALL LOTS  —  nothing typed in the box"),"GROUP "&amp;$BH22&amp;" TOTAL  —  lots matching  "&amp;INDEX($AR$6:$AY$6,$BH22))))),""))</f>
        <v/>
      </c>
      <c r="E23" s="69">
        <f>IF($BJ22&gt;0,IF(INDEX('Final Calculation Sheet'!$D$4:$D$40,$BJ22-3)="","",INDEX('Final Calculation Sheet'!$D$4:$D$40,$BJ22-3)),IF(OR($BI22=1,$BL22=1,$BH22&gt;0),"–",""))</f>
        <v/>
      </c>
      <c r="F23" s="69">
        <f>IF($BJ22&gt;0,IF(INDEX('Final Calculation Sheet'!$A$4:$A$40,$BJ22-3)="","",INDEX('Final Calculation Sheet'!$A$4:$A$40,$BJ22-3)),IF(OR($BI22=1,$BL22=1,$BH22&gt;0),IF($BI22=1,SUM('Final Calculation Sheet'!$A$4:$A$40),IF($BL22=1,SUM('Final Calculation Sheet'!$A$4:$A$40)-SUMIFS('Final Calculation Sheet'!$A$4:$A$40,$AZ$5:$AZ$41,10),SUMIFS('Final Calculation Sheet'!$A$4:$A$40,$AZ$5:$AZ$41,$BH22))),""))</f>
        <v/>
      </c>
      <c r="G23" s="69">
        <f>IF($BJ22&gt;0,IF(INDEX('Final Calculation Sheet'!$E$4:$E$40,$BJ22-3)="","",INDEX('Final Calculation Sheet'!$E$4:$E$40,$BJ22-3)),IF(OR($BI22=1,$BL22=1,$BH22&gt;0),"–",""))</f>
        <v/>
      </c>
      <c r="H23" s="70">
        <f>IF($BJ22&gt;0,IF(INDEX('Final Calculation Sheet'!$C$4:$C$40,$BJ22-3)="","",INDEX('Final Calculation Sheet'!$C$4:$C$40,$BJ22-3)),IF(OR($BI22=1,$BL22=1,$BH22&gt;0),"–",""))</f>
        <v/>
      </c>
      <c r="I23" s="70">
        <f>IF($BJ22&gt;0,IF(INDEX('Final Calculation Sheet'!$H$4:$H$40,$BJ22-3)="","",INDEX('Final Calculation Sheet'!$H$4:$H$40,$BJ22-3)),IF(OR($BI22=1,$BL22=1,$BH22&gt;0),IF($BI22=1,SUM('Final Calculation Sheet'!$H$4:$H$40),IF($BL22=1,SUM('Final Calculation Sheet'!$H$4:$H$40)-SUMIFS('Final Calculation Sheet'!$H$4:$H$40,$AZ$5:$AZ$41,10),SUMIFS('Final Calculation Sheet'!$H$4:$H$40,$AZ$5:$AZ$41,$BH22))),""))</f>
        <v/>
      </c>
      <c r="J23" s="70">
        <f>IF($BJ22&gt;0,IF(INDEX('Final Calculation Sheet'!$I$4:$I$40,$BJ22-3)="","",INDEX('Final Calculation Sheet'!$I$4:$I$40,$BJ22-3)),IF(OR($BI22=1,$BL22=1,$BH22&gt;0),IF($BI22=1,SUM('Final Calculation Sheet'!$I$4:$I$40),IF($BL22=1,SUM('Final Calculation Sheet'!$I$4:$I$40)-SUMIFS('Final Calculation Sheet'!$I$4:$I$40,$AZ$5:$AZ$41,10),SUMIFS('Final Calculation Sheet'!$I$4:$I$40,$AZ$5:$AZ$41,$BH22))),""))</f>
        <v/>
      </c>
      <c r="K23" s="70">
        <f>IF($BJ22&gt;0,IF(INDEX('Final Calculation Sheet'!$J$4:$J$40,$BJ22-3)="","",INDEX('Final Calculation Sheet'!$J$4:$J$40,$BJ22-3)),IF(OR($BI22=1,$BL22=1,$BH22&gt;0),IF($BI22=1,SUM('Final Calculation Sheet'!$J$4:$J$40),IF($BL22=1,SUM('Final Calculation Sheet'!$J$4:$J$40)-SUMIFS('Final Calculation Sheet'!$J$4:$J$40,$AZ$5:$AZ$41,10),SUMIFS('Final Calculation Sheet'!$J$4:$J$40,$AZ$5:$AZ$41,$BH22))),""))</f>
        <v/>
      </c>
      <c r="L23" s="70">
        <f>IF($BJ22&gt;0,IF(INDEX('Final Calculation Sheet'!$K$4:$K$40,$BJ22-3)="","",INDEX('Final Calculation Sheet'!$K$4:$K$40,$BJ22-3)),IF(OR($BI22=1,$BL22=1,$BH22&gt;0),IF($BI22=1,SUM('Final Calculation Sheet'!$K$4:$K$40),IF($BL22=1,SUM('Final Calculation Sheet'!$K$4:$K$40)-SUMIFS('Final Calculation Sheet'!$K$4:$K$40,$AZ$5:$AZ$41,10),SUMIFS('Final Calculation Sheet'!$K$4:$K$40,$AZ$5:$AZ$41,$BH22))),""))</f>
        <v/>
      </c>
      <c r="M23" s="70">
        <f>IF($BJ22&gt;0,IF(INDEX('Final Calculation Sheet'!$L$4:$L$40,$BJ22-3)="","",INDEX('Final Calculation Sheet'!$L$4:$L$40,$BJ22-3)),IF(OR($BI22=1,$BL22=1,$BH22&gt;0),IF($BI22=1,SUM('Final Calculation Sheet'!$L$4:$L$40),IF($BL22=1,SUM('Final Calculation Sheet'!$L$4:$L$40)-SUMIFS('Final Calculation Sheet'!$L$4:$L$40,$AZ$5:$AZ$41,10),SUMIFS('Final Calculation Sheet'!$L$4:$L$40,$AZ$5:$AZ$41,$BH22))),""))</f>
        <v/>
      </c>
      <c r="N23" s="70">
        <f>IF($BJ22&gt;0,IF(INDEX('Final Calculation Sheet'!$M$4:$M$40,$BJ22-3)="","",INDEX('Final Calculation Sheet'!$M$4:$M$40,$BJ22-3)),IF(OR($BI22=1,$BL22=1,$BH22&gt;0),IF($BI22=1,SUM('Final Calculation Sheet'!$M$4:$M$40),IF($BL22=1,SUM('Final Calculation Sheet'!$M$4:$M$40)-SUMIFS('Final Calculation Sheet'!$M$4:$M$40,$AZ$5:$AZ$41,10),SUMIFS('Final Calculation Sheet'!$M$4:$M$40,$AZ$5:$AZ$41,$BH22))),""))</f>
        <v/>
      </c>
      <c r="O23" s="71">
        <f>IF($BJ22&gt;0,IF(INDEX('Final Calculation Sheet'!$N$4:$N$40,$BJ22-3)="","",INDEX('Final Calculation Sheet'!$N$4:$N$40,$BJ22-3)),IF(OR($BI22=1,$BL22=1,$BH22&gt;0),IF($BI22=1,SUM('Final Calculation Sheet'!$N$4:$N$40),IF($BL22=1,SUM('Final Calculation Sheet'!$N$4:$N$40)-SUMIFS('Final Calculation Sheet'!$N$4:$N$40,$AZ$5:$AZ$41,10),SUMIFS('Final Calculation Sheet'!$N$4:$N$40,$AZ$5:$AZ$41,$BH22))),""))</f>
        <v/>
      </c>
      <c r="P23" s="70">
        <f>IF($BJ22&gt;0,IF(INDEX('Final Calculation Sheet'!$O$4:$O$40,$BJ22-3)="","",INDEX('Final Calculation Sheet'!$O$4:$O$40,$BJ22-3)),IF(OR($BI22=1,$BL22=1,$BH22&gt;0),IF($BI22=1,SUM('Final Calculation Sheet'!$O$4:$O$40),IF($BL22=1,SUM('Final Calculation Sheet'!$O$4:$O$40)-SUMIFS('Final Calculation Sheet'!$O$4:$O$40,$AZ$5:$AZ$41,10),SUMIFS('Final Calculation Sheet'!$O$4:$O$40,$AZ$5:$AZ$41,$BH22))),""))</f>
        <v/>
      </c>
      <c r="Q23" s="70">
        <f>IF($BJ22&gt;0,IF(INDEX('Final Calculation Sheet'!$P$4:$P$40,$BJ22-3)="","",INDEX('Final Calculation Sheet'!$P$4:$P$40,$BJ22-3)),IF(OR($BI22=1,$BL22=1,$BH22&gt;0),IF($BI22=1,SUM('Final Calculation Sheet'!$P$4:$P$40),IF($BL22=1,SUM('Final Calculation Sheet'!$P$4:$P$40)-SUMIFS('Final Calculation Sheet'!$P$4:$P$40,$AZ$5:$AZ$41,10),SUMIFS('Final Calculation Sheet'!$P$4:$P$40,$AZ$5:$AZ$41,$BH22))),""))</f>
        <v/>
      </c>
      <c r="R23" s="72">
        <f>IF($BJ22&gt;0,IF(INDEX('Final Calculation Sheet'!$Q$4:$Q$40,$BJ22-3)="","",INDEX('Final Calculation Sheet'!$Q$4:$Q$40,$BJ22-3)),IF(OR($BI22=1,$BL22=1,$BH22&gt;0),"–",""))</f>
        <v/>
      </c>
      <c r="S23" s="70">
        <f>IF($BJ22&gt;0,IF(INDEX('Final Calculation Sheet'!$R$4:$R$40,$BJ22-3)="","",INDEX('Final Calculation Sheet'!$R$4:$R$40,$BJ22-3)),IF(OR($BI22=1,$BL22=1,$BH22&gt;0),IF($BI22=1,SUM('Final Calculation Sheet'!$R$4:$R$40),IF($BL22=1,SUM('Final Calculation Sheet'!$R$4:$R$40)-SUMIFS('Final Calculation Sheet'!$R$4:$R$40,$AZ$5:$AZ$41,10),SUMIFS('Final Calculation Sheet'!$R$4:$R$40,$AZ$5:$AZ$41,$BH22))),""))</f>
        <v/>
      </c>
      <c r="T23" s="70">
        <f>IF($BJ22&gt;0,IF(INDEX('Final Calculation Sheet'!$S$4:$S$40,$BJ22-3)="","",INDEX('Final Calculation Sheet'!$S$4:$S$40,$BJ22-3)),IF(OR($BI22=1,$BL22=1,$BH22&gt;0),IF($BI22=1,SUM('Final Calculation Sheet'!$S$4:$S$40),IF($BL22=1,SUM('Final Calculation Sheet'!$S$4:$S$40)-SUMIFS('Final Calculation Sheet'!$S$4:$S$40,$AZ$5:$AZ$41,10),SUMIFS('Final Calculation Sheet'!$S$4:$S$40,$AZ$5:$AZ$41,$BH22))),""))</f>
        <v/>
      </c>
      <c r="U23" s="70">
        <f>IF($BJ22&gt;0,IF(INDEX('Final Calculation Sheet'!$T$4:$T$40,$BJ22-3)="","",INDEX('Final Calculation Sheet'!$T$4:$T$40,$BJ22-3)),IF(OR($BI22=1,$BL22=1,$BH22&gt;0),IF($BI22=1,SUM('Final Calculation Sheet'!$T$4:$T$40),IF($BL22=1,SUM('Final Calculation Sheet'!$T$4:$T$40)-SUMIFS('Final Calculation Sheet'!$T$4:$T$40,$AZ$5:$AZ$41,10),SUMIFS('Final Calculation Sheet'!$T$4:$T$40,$AZ$5:$AZ$41,$BH22))),""))</f>
        <v/>
      </c>
      <c r="V23" s="73">
        <f>IF($BJ22&gt;0,IF(INDEX('Final Calculation Sheet'!$U$4:$U$40,$BJ22-3)="","",INDEX('Final Calculation Sheet'!$U$4:$U$40,$BJ22-3)),IF(OR($BI22=1,$BL22=1,$BH22&gt;0),IF($BI22=1,SUM('Final Calculation Sheet'!$U$4:$U$40),IF($BL22=1,SUM('Final Calculation Sheet'!$U$4:$U$40)-SUMIFS('Final Calculation Sheet'!$U$4:$U$40,$AZ$5:$AZ$41,10),SUMIFS('Final Calculation Sheet'!$U$4:$U$40,$AZ$5:$AZ$41,$BH22))),""))</f>
        <v/>
      </c>
      <c r="W23" s="70">
        <f>IF($BJ22&gt;0,IF(INDEX('Final Calculation Sheet'!$V$4:$V$40,$BJ22-3)="","",INDEX('Final Calculation Sheet'!$V$4:$V$40,$BJ22-3)),IF(OR($BI22=1,$BL22=1,$BH22&gt;0),"–",""))</f>
        <v/>
      </c>
      <c r="X23" s="70">
        <f>IF($BJ22&gt;0,IF(INDEX('Final Calculation Sheet'!$W$4:$W$40,$BJ22-3)="","",INDEX('Final Calculation Sheet'!$W$4:$W$40,$BJ22-3)),IF(OR($BI22=1,$BL22=1,$BH22&gt;0),IF($BI22=1,SUM('Final Calculation Sheet'!$W$4:$W$40),IF($BL22=1,SUM('Final Calculation Sheet'!$W$4:$W$40)-SUMIFS('Final Calculation Sheet'!$W$4:$W$40,$AZ$5:$AZ$41,10),SUMIFS('Final Calculation Sheet'!$W$4:$W$40,$AZ$5:$AZ$41,$BH22))),""))</f>
        <v/>
      </c>
      <c r="Y23" s="70">
        <f>IF($BJ22&gt;0,IF(INDEX('Final Calculation Sheet'!$X$4:$X$40,$BJ22-3)="","",INDEX('Final Calculation Sheet'!$X$4:$X$40,$BJ22-3)),IF(OR($BI22=1,$BL22=1,$BH22&gt;0),IF($BI22=1,SUM('Final Calculation Sheet'!$X$4:$X$40),IF($BL22=1,SUM('Final Calculation Sheet'!$X$4:$X$40)-SUMIFS('Final Calculation Sheet'!$X$4:$X$40,$AZ$5:$AZ$41,10),SUMIFS('Final Calculation Sheet'!$X$4:$X$40,$AZ$5:$AZ$41,$BH22))),""))</f>
        <v/>
      </c>
      <c r="Z23" s="70">
        <f>IF($BJ22&gt;0,IF(INDEX('Final Calculation Sheet'!$Y$4:$Y$40,$BJ22-3)="","",INDEX('Final Calculation Sheet'!$Y$4:$Y$40,$BJ22-3)),IF(OR($BI22=1,$BL22=1,$BH22&gt;0),"–",""))</f>
        <v/>
      </c>
      <c r="AA23" s="70">
        <f>IF($BJ22&gt;0,IF(INDEX('Final Calculation Sheet'!$Z$4:$Z$40,$BJ22-3)="","",INDEX('Final Calculation Sheet'!$Z$4:$Z$40,$BJ22-3)),IF(OR($BI22=1,$BL22=1,$BH22&gt;0),IF($BI22=1,SUM('Final Calculation Sheet'!$Z$4:$Z$40),IF($BL22=1,SUM('Final Calculation Sheet'!$Z$4:$Z$40)-SUMIFS('Final Calculation Sheet'!$Z$4:$Z$40,$AZ$5:$AZ$41,10),SUMIFS('Final Calculation Sheet'!$Z$4:$Z$40,$AZ$5:$AZ$41,$BH22))),""))</f>
        <v/>
      </c>
      <c r="AB23" s="70">
        <f>IF($BJ22&gt;0,IF(INDEX('Final Calculation Sheet'!$AA$4:$AA$40,$BJ22-3)="","",INDEX('Final Calculation Sheet'!$AA$4:$AA$40,$BJ22-3)),IF(OR($BI22=1,$BL22=1,$BH22&gt;0),IF($BI22=1,SUM('Final Calculation Sheet'!$AA$4:$AA$40),IF($BL22=1,SUM('Final Calculation Sheet'!$AA$4:$AA$40)-SUMIFS('Final Calculation Sheet'!$AA$4:$AA$40,$AZ$5:$AZ$41,10),SUMIFS('Final Calculation Sheet'!$AA$4:$AA$40,$AZ$5:$AZ$41,$BH22))),""))</f>
        <v/>
      </c>
      <c r="AC23" s="70">
        <f>IF($BJ22&gt;0,IF(INDEX('Final Calculation Sheet'!$AB$4:$AB$40,$BJ22-3)="","",INDEX('Final Calculation Sheet'!$AB$4:$AB$40,$BJ22-3)),IF(OR($BI22=1,$BL22=1,$BH22&gt;0),"–",""))</f>
        <v/>
      </c>
      <c r="AD23" s="70">
        <f>IF($BJ22&gt;0,IF(INDEX('Final Calculation Sheet'!$AC$4:$AC$40,$BJ22-3)="","",INDEX('Final Calculation Sheet'!$AC$4:$AC$40,$BJ22-3)),IF(OR($BI22=1,$BL22=1,$BH22&gt;0),IF($BI22=1,SUM('Final Calculation Sheet'!$AC$4:$AC$40),IF($BL22=1,SUM('Final Calculation Sheet'!$AC$4:$AC$40)-SUMIFS('Final Calculation Sheet'!$AC$4:$AC$40,$AZ$5:$AZ$41,10),SUMIFS('Final Calculation Sheet'!$AC$4:$AC$40,$AZ$5:$AZ$41,$BH22))),""))</f>
        <v/>
      </c>
      <c r="AE23" s="70">
        <f>IF($BJ22&gt;0,IF(INDEX('Final Calculation Sheet'!$AD$4:$AD$40,$BJ22-3)="","",INDEX('Final Calculation Sheet'!$AD$4:$AD$40,$BJ22-3)),IF(OR($BI22=1,$BL22=1,$BH22&gt;0),IF($BI22=1,SUM('Final Calculation Sheet'!$AD$4:$AD$40),IF($BL22=1,SUM('Final Calculation Sheet'!$AD$4:$AD$40)-SUMIFS('Final Calculation Sheet'!$AD$4:$AD$40,$AZ$5:$AZ$41,10),SUMIFS('Final Calculation Sheet'!$AD$4:$AD$40,$AZ$5:$AZ$41,$BH22))),""))</f>
        <v/>
      </c>
      <c r="AF23" s="70">
        <f>IF($BJ22&gt;0,IF(INDEX('Final Calculation Sheet'!$AE$4:$AE$40,$BJ22-3)="","",INDEX('Final Calculation Sheet'!$AE$4:$AE$40,$BJ22-3)),IF(OR($BI22=1,$BL22=1,$BH22&gt;0),"–",""))</f>
        <v/>
      </c>
      <c r="AG23" s="74">
        <f>IF($BJ22&gt;0,IF(INDEX('Final Calculation Sheet'!$AF$4:$AF$40,$BJ22-3)="","",INDEX('Final Calculation Sheet'!$AF$4:$AF$40,$BJ22-3)),IF(OR($BI22=1,$BL22=1,$BH22&gt;0),"–",""))</f>
        <v/>
      </c>
      <c r="AH23" s="70">
        <f>IF($BJ22&gt;0,IF(INDEX('Final Calculation Sheet'!$AG$4:$AG$40,$BJ22-3)="","",INDEX('Final Calculation Sheet'!$AG$4:$AG$40,$BJ22-3)),IF(OR($BI22=1,$BL22=1,$BH22&gt;0),"–",""))</f>
        <v/>
      </c>
      <c r="AI23" s="75">
        <f>IF($BJ22&gt;0,IF(INDEX('Final Calculation Sheet'!$AD$4:$AD$40,$BJ22-3)="","",IF(INDEX('Final Calculation Sheet'!$AD$4:$AD$40,$BJ22-3)&lt;=0,"SETTLED","OUTSTANDING")),IF(OR($BI22=1,$BL22=1,$BH22&gt;0),IF(IF($BI22=1,SUM('Final Calculation Sheet'!$AD$4:$AD$40),IF($BL22=1,SUM('Final Calculation Sheet'!$AD$4:$AD$40)-SUMIFS('Final Calculation Sheet'!$AD$4:$AD$40,$AZ$5:$AZ$41,10),SUMIFS('Final Calculation Sheet'!$AD$4:$AD$40,$AZ$5:$AZ$41,$BH22)))&lt;=0,"ALL SETTLED","OUTSTANDING"),""))</f>
        <v/>
      </c>
      <c r="AK23">
        <f>IF($F$3="Lot No.",'Final Calculation Sheet'!$F$22,IF($F$3="Buyer",'Final Calculation Sheet'!$G$22,IF($F$3="Lot Name",'Final Calculation Sheet'!$B$22,IF($F$3="Bid Sheet",'Final Calculation Sheet'!$D$22,IF($F$3="Unit",'Final Calculation Sheet'!$E$22,'Final Calculation Sheet'!$F$22&amp;" "&amp;'Final Calculation Sheet'!$G$22&amp;" "&amp;'Final Calculation Sheet'!$B$22)))))</f>
        <v/>
      </c>
      <c r="AM23">
        <f>IF(COUNTIF($BM23:$CU23,0)&gt;0,0,IF($B$3="",1,IF(AND(IF(COUNTIF($AR$9:$AY$9,1)=0,TRUE,SUMPRODUCT(($AR$9:$AY$9=1)*($AR$6:$AY$6&lt;&gt;"")*ISNUMBER(SEARCH($AR$6:$AY$6,$AK23)))&gt;0),IF(COUNTIF($AR$9:$AY$9,2)=0,TRUE,SUMPRODUCT(($AR$9:$AY$9=2)*($AR$6:$AY$6&lt;&gt;"")*ISNUMBER(SEARCH($AR$6:$AY$6,$AK23)))&gt;0),IF(COUNTIF($AR$9:$AY$9,3)=0,TRUE,SUMPRODUCT(($AR$9:$AY$9=3)*($AR$6:$AY$6&lt;&gt;"")*ISNUMBER(SEARCH($AR$6:$AY$6,$AK23)))&gt;0),IF(COUNTIF($AR$9:$AY$9,4)=0,TRUE,SUMPRODUCT(($AR$9:$AY$9=4)*($AR$6:$AY$6&lt;&gt;"")*ISNUMBER(SEARCH($AR$6:$AY$6,$AK23)))&gt;0),IF(COUNTIF($AR$9:$AY$9,5)=0,TRUE,SUMPRODUCT(($AR$9:$AY$9=5)*($AR$6:$AY$6&lt;&gt;"")*ISNUMBER(SEARCH($AR$6:$AY$6,$AK23)))&gt;0),IF(COUNTIF($AR$9:$AY$9,6)=0,TRUE,SUMPRODUCT(($AR$9:$AY$9=6)*($AR$6:$AY$6&lt;&gt;"")*ISNUMBER(SEARCH($AR$6:$AY$6,$AK23)))&gt;0),IF(COUNTIF($AR$9:$AY$9,7)=0,TRUE,SUMPRODUCT(($AR$9:$AY$9=7)*($AR$6:$AY$6&lt;&gt;"")*ISNUMBER(SEARCH($AR$6:$AY$6,$AK23)))&gt;0),IF(COUNTIF($AR$9:$AY$9,8)=0,TRUE,SUMPRODUCT(($AR$9:$AY$9=8)*($AR$6:$AY$6&lt;&gt;"")*ISNUMBER(SEARCH($AR$6:$AY$6,$AK23)))&gt;0)),1,0)))</f>
        <v/>
      </c>
      <c r="AZ23">
        <f>IF($B$3="",IF(COUNTIF($A$4:$AI$4,"&lt;&gt;")=0,9,IF($AM23=1,9,10)),IF($AM23=0,10,IF(AND($AR$6&lt;&gt;"",ISNUMBER(SEARCH($AR$6,$AK23))),1,IF(AND($AS$6&lt;&gt;"",ISNUMBER(SEARCH($AS$6,$AK23))),2,IF(AND($AT$6&lt;&gt;"",ISNUMBER(SEARCH($AT$6,$AK23))),3,IF(AND($AU$6&lt;&gt;"",ISNUMBER(SEARCH($AU$6,$AK23))),4,IF(AND($AV$6&lt;&gt;"",ISNUMBER(SEARCH($AV$6,$AK23))),5,IF(AND($AW$6&lt;&gt;"",ISNUMBER(SEARCH($AW$6,$AK23))),6,IF(AND($AX$6&lt;&gt;"",ISNUMBER(SEARCH($AX$6,$AK23))),7,IF(AND($AY$6&lt;&gt;"",ISNUMBER(SEARCH($AY$6,$AK23))),8,0))))))))))</f>
        <v/>
      </c>
      <c r="BA23">
        <f>SUMPRODUCT(($AZ$5:$AZ$41=$AZ23)*($BC$5:$BC$41&lt;$BC23))+1</f>
        <v/>
      </c>
      <c r="BB23">
        <f>IF(INDEX($BF$4:$BF$13,$AZ23)=0,0,INDEX($BE$4:$BE$13,$AZ23)+$BA23-1)</f>
        <v/>
      </c>
      <c r="BC23" t="n">
        <v>22</v>
      </c>
      <c r="BH23">
        <f>IFERROR(MATCH(23,$BF$4:$BF$13,0),0)</f>
        <v/>
      </c>
      <c r="BI23">
        <f>IF(23=$BG$5,1,0)</f>
        <v/>
      </c>
      <c r="BJ23">
        <f>IF(OR($BH23&gt;0,$BI23=1,$BL23=1),0,IFERROR(INDEX($BC$5:$BC$41,MATCH(23,$BB$5:$BB$41,0)),0))</f>
        <v/>
      </c>
      <c r="BK23">
        <f>IF($BJ23&gt;0,IF(INDEX($AZ$5:$AZ$41,MATCH(23,$BB$5:$BB$41,0))=10,1,0),IF($BH23=10,1,0))</f>
        <v/>
      </c>
      <c r="BL23">
        <f>IF(23=$BG$4,1,0)</f>
        <v/>
      </c>
      <c r="BM23">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3">
        <f>IF($B$4="",1,--(OR(SUMPRODUCT(--(TRIM(MID(SUBSTITUTE(SUBSTITUTE($B$4,"/",","),",",REPT(" ",99)),(ROW($1:$8)-1)*99+1,99))&lt;&gt;""),--ISNUMBER(SEARCH(TRIM(MID(SUBSTITUTE(SUBSTITUTE($B$4,"/",","),",",REPT(" ",99)),(ROW($1:$8)-1)*99+1,99)),IFERROR(('Final Calculation Sheet'!$F$22)&amp;"",""))))&gt;0,AND(ISNUMBER(SEARCH("blank",$B$4)),NOT(ISNUMBER(SEARCH("nonblank",$B$4))),IFERROR(('Final Calculation Sheet'!$F$22)&amp;"","")=""),AND(OR(ISNUMBER(SEARCH("nonblank",$B$4)),ISNUMBER(SEARCH("&lt;&gt;",$B$4))),IFERROR(('Final Calculation Sheet'!$F$22)&amp;"","")&lt;&gt;""),AND(TRIM($B$4)="",IFERROR(('Final Calculation Sheet'!$F$22)&amp;"","")=""))))</f>
        <v/>
      </c>
      <c r="BO23">
        <f>IF($C$4="",1,--(OR(SUMPRODUCT(--(TRIM(MID(SUBSTITUTE(SUBSTITUTE($C$4,"/",","),",",REPT(" ",99)),(ROW($1:$8)-1)*99+1,99))&lt;&gt;""),--ISNUMBER(SEARCH(TRIM(MID(SUBSTITUTE(SUBSTITUTE($C$4,"/",","),",",REPT(" ",99)),(ROW($1:$8)-1)*99+1,99)),IFERROR(('Final Calculation Sheet'!$G$22)&amp;"",""))))&gt;0,AND(ISNUMBER(SEARCH("blank",$C$4)),NOT(ISNUMBER(SEARCH("nonblank",$C$4))),IFERROR(('Final Calculation Sheet'!$G$22)&amp;"","")=""),AND(OR(ISNUMBER(SEARCH("nonblank",$C$4)),ISNUMBER(SEARCH("&lt;&gt;",$C$4))),IFERROR(('Final Calculation Sheet'!$G$22)&amp;"","")&lt;&gt;""),AND(TRIM($C$4)="",IFERROR(('Final Calculation Sheet'!$G$22)&amp;"","")=""))))</f>
        <v/>
      </c>
      <c r="BP23">
        <f>IF($D$4="",1,--(OR(SUMPRODUCT(--(TRIM(MID(SUBSTITUTE(SUBSTITUTE($D$4,"/",","),",",REPT(" ",99)),(ROW($1:$8)-1)*99+1,99))&lt;&gt;""),--ISNUMBER(SEARCH(TRIM(MID(SUBSTITUTE(SUBSTITUTE($D$4,"/",","),",",REPT(" ",99)),(ROW($1:$8)-1)*99+1,99)),IFERROR(('Final Calculation Sheet'!$B$22)&amp;"",""))))&gt;0,AND(ISNUMBER(SEARCH("blank",$D$4)),NOT(ISNUMBER(SEARCH("nonblank",$D$4))),IFERROR(('Final Calculation Sheet'!$B$22)&amp;"","")=""),AND(OR(ISNUMBER(SEARCH("nonblank",$D$4)),ISNUMBER(SEARCH("&lt;&gt;",$D$4))),IFERROR(('Final Calculation Sheet'!$B$22)&amp;"","")&lt;&gt;""),AND(TRIM($D$4)="",IFERROR(('Final Calculation Sheet'!$B$22)&amp;"","")=""))))</f>
        <v/>
      </c>
      <c r="BQ23">
        <f>IF($E$4="",1,--(OR(SUMPRODUCT(--(TRIM(MID(SUBSTITUTE(SUBSTITUTE($E$4,"/",","),",",REPT(" ",99)),(ROW($1:$8)-1)*99+1,99))&lt;&gt;""),--ISNUMBER(SEARCH(TRIM(MID(SUBSTITUTE(SUBSTITUTE($E$4,"/",","),",",REPT(" ",99)),(ROW($1:$8)-1)*99+1,99)),IFERROR(('Final Calculation Sheet'!$D$22)&amp;"",""))))&gt;0,AND(ISNUMBER(SEARCH("blank",$E$4)),NOT(ISNUMBER(SEARCH("nonblank",$E$4))),IFERROR(('Final Calculation Sheet'!$D$22)&amp;"","")=""),AND(OR(ISNUMBER(SEARCH("nonblank",$E$4)),ISNUMBER(SEARCH("&lt;&gt;",$E$4))),IFERROR(('Final Calculation Sheet'!$D$22)&amp;"","")&lt;&gt;""),AND(TRIM($E$4)="",IFERROR(('Final Calculation Sheet'!$D$22)&amp;"","")=""))))</f>
        <v/>
      </c>
      <c r="BR23">
        <f>IF($F$4="",1,--(OR(SUMPRODUCT(--(TRIM(MID(SUBSTITUTE(SUBSTITUTE($F$4,"/",","),",",REPT(" ",99)),(ROW($1:$8)-1)*99+1,99))&lt;&gt;""),--ISNUMBER(SEARCH(TRIM(MID(SUBSTITUTE(SUBSTITUTE($F$4,"/",","),",",REPT(" ",99)),(ROW($1:$8)-1)*99+1,99)),IFERROR(('Final Calculation Sheet'!$A$22)&amp;"",""))))&gt;0,AND(ISNUMBER(SEARCH("blank",$F$4)),NOT(ISNUMBER(SEARCH("nonblank",$F$4))),IFERROR(('Final Calculation Sheet'!$A$22)&amp;"","")=""),AND(OR(ISNUMBER(SEARCH("nonblank",$F$4)),ISNUMBER(SEARCH("&lt;&gt;",$F$4))),IFERROR(('Final Calculation Sheet'!$A$22)&amp;"","")&lt;&gt;""),AND(TRIM($F$4)="",IFERROR(('Final Calculation Sheet'!$A$22)&amp;"","")=""))))</f>
        <v/>
      </c>
      <c r="BS23">
        <f>IF($G$4="",1,--(OR(SUMPRODUCT(--(TRIM(MID(SUBSTITUTE(SUBSTITUTE($G$4,"/",","),",",REPT(" ",99)),(ROW($1:$8)-1)*99+1,99))&lt;&gt;""),--ISNUMBER(SEARCH(TRIM(MID(SUBSTITUTE(SUBSTITUTE($G$4,"/",","),",",REPT(" ",99)),(ROW($1:$8)-1)*99+1,99)),IFERROR(('Final Calculation Sheet'!$E$22)&amp;"",""))))&gt;0,AND(ISNUMBER(SEARCH("blank",$G$4)),NOT(ISNUMBER(SEARCH("nonblank",$G$4))),IFERROR(('Final Calculation Sheet'!$E$22)&amp;"","")=""),AND(OR(ISNUMBER(SEARCH("nonblank",$G$4)),ISNUMBER(SEARCH("&lt;&gt;",$G$4))),IFERROR(('Final Calculation Sheet'!$E$22)&amp;"","")&lt;&gt;""),AND(TRIM($G$4)="",IFERROR(('Final Calculation Sheet'!$E$22)&amp;"","")=""))))</f>
        <v/>
      </c>
      <c r="BT23">
        <f>IF($H$4="",1,--(OR(SUMPRODUCT(--(TRIM(MID(SUBSTITUTE(SUBSTITUTE($H$4,"/",","),",",REPT(" ",99)),(ROW($1:$8)-1)*99+1,99))&lt;&gt;""),--ISNUMBER(SEARCH(TRIM(MID(SUBSTITUTE(SUBSTITUTE($H$4,"/",","),",",REPT(" ",99)),(ROW($1:$8)-1)*99+1,99)),IFERROR(('Final Calculation Sheet'!$C$22)&amp;"",""))))&gt;0,AND(ISNUMBER(SEARCH("blank",$H$4)),NOT(ISNUMBER(SEARCH("nonblank",$H$4))),IFERROR(('Final Calculation Sheet'!$C$22)&amp;"","")=""),AND(OR(ISNUMBER(SEARCH("nonblank",$H$4)),ISNUMBER(SEARCH("&lt;&gt;",$H$4))),IFERROR(('Final Calculation Sheet'!$C$22)&amp;"","")&lt;&gt;""),AND(TRIM($H$4)="",IFERROR(('Final Calculation Sheet'!$C$22)&amp;"","")=""))))</f>
        <v/>
      </c>
      <c r="BU23">
        <f>IF($I$4="",1,--(OR(SUMPRODUCT(--(TRIM(MID(SUBSTITUTE(SUBSTITUTE($I$4,"/",","),",",REPT(" ",99)),(ROW($1:$8)-1)*99+1,99))&lt;&gt;""),--ISNUMBER(SEARCH(TRIM(MID(SUBSTITUTE(SUBSTITUTE($I$4,"/",","),",",REPT(" ",99)),(ROW($1:$8)-1)*99+1,99)),IFERROR(('Final Calculation Sheet'!$H$22)&amp;"",""))))&gt;0,AND(ISNUMBER(SEARCH("blank",$I$4)),NOT(ISNUMBER(SEARCH("nonblank",$I$4))),IFERROR(('Final Calculation Sheet'!$H$22)&amp;"","")=""),AND(OR(ISNUMBER(SEARCH("nonblank",$I$4)),ISNUMBER(SEARCH("&lt;&gt;",$I$4))),IFERROR(('Final Calculation Sheet'!$H$22)&amp;"","")&lt;&gt;""),AND(TRIM($I$4)="",IFERROR(('Final Calculation Sheet'!$H$22)&amp;"","")=""))))</f>
        <v/>
      </c>
      <c r="BV23">
        <f>IF($J$4="",1,--(OR(SUMPRODUCT(--(TRIM(MID(SUBSTITUTE(SUBSTITUTE($J$4,"/",","),",",REPT(" ",99)),(ROW($1:$8)-1)*99+1,99))&lt;&gt;""),--ISNUMBER(SEARCH(TRIM(MID(SUBSTITUTE(SUBSTITUTE($J$4,"/",","),",",REPT(" ",99)),(ROW($1:$8)-1)*99+1,99)),IFERROR(('Final Calculation Sheet'!$I$22)&amp;"",""))))&gt;0,AND(ISNUMBER(SEARCH("blank",$J$4)),NOT(ISNUMBER(SEARCH("nonblank",$J$4))),IFERROR(('Final Calculation Sheet'!$I$22)&amp;"","")=""),AND(OR(ISNUMBER(SEARCH("nonblank",$J$4)),ISNUMBER(SEARCH("&lt;&gt;",$J$4))),IFERROR(('Final Calculation Sheet'!$I$22)&amp;"","")&lt;&gt;""),AND(TRIM($J$4)="",IFERROR(('Final Calculation Sheet'!$I$22)&amp;"","")=""))))</f>
        <v/>
      </c>
      <c r="BW23">
        <f>IF($K$4="",1,--(OR(SUMPRODUCT(--(TRIM(MID(SUBSTITUTE(SUBSTITUTE($K$4,"/",","),",",REPT(" ",99)),(ROW($1:$8)-1)*99+1,99))&lt;&gt;""),--ISNUMBER(SEARCH(TRIM(MID(SUBSTITUTE(SUBSTITUTE($K$4,"/",","),",",REPT(" ",99)),(ROW($1:$8)-1)*99+1,99)),IFERROR(('Final Calculation Sheet'!$J$22)&amp;"",""))))&gt;0,AND(ISNUMBER(SEARCH("blank",$K$4)),NOT(ISNUMBER(SEARCH("nonblank",$K$4))),IFERROR(('Final Calculation Sheet'!$J$22)&amp;"","")=""),AND(OR(ISNUMBER(SEARCH("nonblank",$K$4)),ISNUMBER(SEARCH("&lt;&gt;",$K$4))),IFERROR(('Final Calculation Sheet'!$J$22)&amp;"","")&lt;&gt;""),AND(TRIM($K$4)="",IFERROR(('Final Calculation Sheet'!$J$22)&amp;"","")=""))))</f>
        <v/>
      </c>
      <c r="BX23">
        <f>IF($L$4="",1,--(OR(SUMPRODUCT(--(TRIM(MID(SUBSTITUTE(SUBSTITUTE($L$4,"/",","),",",REPT(" ",99)),(ROW($1:$8)-1)*99+1,99))&lt;&gt;""),--ISNUMBER(SEARCH(TRIM(MID(SUBSTITUTE(SUBSTITUTE($L$4,"/",","),",",REPT(" ",99)),(ROW($1:$8)-1)*99+1,99)),IFERROR(('Final Calculation Sheet'!$K$22)&amp;"",""))))&gt;0,AND(ISNUMBER(SEARCH("blank",$L$4)),NOT(ISNUMBER(SEARCH("nonblank",$L$4))),IFERROR(('Final Calculation Sheet'!$K$22)&amp;"","")=""),AND(OR(ISNUMBER(SEARCH("nonblank",$L$4)),ISNUMBER(SEARCH("&lt;&gt;",$L$4))),IFERROR(('Final Calculation Sheet'!$K$22)&amp;"","")&lt;&gt;""),AND(TRIM($L$4)="",IFERROR(('Final Calculation Sheet'!$K$22)&amp;"","")=""))))</f>
        <v/>
      </c>
      <c r="BY23">
        <f>IF($M$4="",1,--(OR(SUMPRODUCT(--(TRIM(MID(SUBSTITUTE(SUBSTITUTE($M$4,"/",","),",",REPT(" ",99)),(ROW($1:$8)-1)*99+1,99))&lt;&gt;""),--ISNUMBER(SEARCH(TRIM(MID(SUBSTITUTE(SUBSTITUTE($M$4,"/",","),",",REPT(" ",99)),(ROW($1:$8)-1)*99+1,99)),IFERROR(('Final Calculation Sheet'!$L$22)&amp;"",""))))&gt;0,AND(ISNUMBER(SEARCH("blank",$M$4)),NOT(ISNUMBER(SEARCH("nonblank",$M$4))),IFERROR(('Final Calculation Sheet'!$L$22)&amp;"","")=""),AND(OR(ISNUMBER(SEARCH("nonblank",$M$4)),ISNUMBER(SEARCH("&lt;&gt;",$M$4))),IFERROR(('Final Calculation Sheet'!$L$22)&amp;"","")&lt;&gt;""),AND(TRIM($M$4)="",IFERROR(('Final Calculation Sheet'!$L$22)&amp;"","")=""))))</f>
        <v/>
      </c>
      <c r="BZ23">
        <f>IF($N$4="",1,--(OR(SUMPRODUCT(--(TRIM(MID(SUBSTITUTE(SUBSTITUTE($N$4,"/",","),",",REPT(" ",99)),(ROW($1:$8)-1)*99+1,99))&lt;&gt;""),--ISNUMBER(SEARCH(TRIM(MID(SUBSTITUTE(SUBSTITUTE($N$4,"/",","),",",REPT(" ",99)),(ROW($1:$8)-1)*99+1,99)),IFERROR(('Final Calculation Sheet'!$M$22)&amp;"",""))))&gt;0,AND(ISNUMBER(SEARCH("blank",$N$4)),NOT(ISNUMBER(SEARCH("nonblank",$N$4))),IFERROR(('Final Calculation Sheet'!$M$22)&amp;"","")=""),AND(OR(ISNUMBER(SEARCH("nonblank",$N$4)),ISNUMBER(SEARCH("&lt;&gt;",$N$4))),IFERROR(('Final Calculation Sheet'!$M$22)&amp;"","")&lt;&gt;""),AND(TRIM($N$4)="",IFERROR(('Final Calculation Sheet'!$M$22)&amp;"","")=""))))</f>
        <v/>
      </c>
      <c r="CA23">
        <f>IF($O$4="",1,--(OR(SUMPRODUCT(--(TRIM(MID(SUBSTITUTE(SUBSTITUTE($O$4,"/",","),",",REPT(" ",99)),(ROW($1:$8)-1)*99+1,99))&lt;&gt;""),--ISNUMBER(SEARCH(TRIM(MID(SUBSTITUTE(SUBSTITUTE($O$4,"/",","),",",REPT(" ",99)),(ROW($1:$8)-1)*99+1,99)),IFERROR(('Final Calculation Sheet'!$N$22)&amp;"",""))))&gt;0,AND(ISNUMBER(SEARCH("blank",$O$4)),NOT(ISNUMBER(SEARCH("nonblank",$O$4))),IFERROR(('Final Calculation Sheet'!$N$22)&amp;"","")=""),AND(OR(ISNUMBER(SEARCH("nonblank",$O$4)),ISNUMBER(SEARCH("&lt;&gt;",$O$4))),IFERROR(('Final Calculation Sheet'!$N$22)&amp;"","")&lt;&gt;""),AND(TRIM($O$4)="",IFERROR(('Final Calculation Sheet'!$N$22)&amp;"","")=""))))</f>
        <v/>
      </c>
      <c r="CB23">
        <f>IF($P$4="",1,--(OR(SUMPRODUCT(--(TRIM(MID(SUBSTITUTE(SUBSTITUTE($P$4,"/",","),",",REPT(" ",99)),(ROW($1:$8)-1)*99+1,99))&lt;&gt;""),--ISNUMBER(SEARCH(TRIM(MID(SUBSTITUTE(SUBSTITUTE($P$4,"/",","),",",REPT(" ",99)),(ROW($1:$8)-1)*99+1,99)),IFERROR(('Final Calculation Sheet'!$O$22)&amp;"",""))))&gt;0,AND(ISNUMBER(SEARCH("blank",$P$4)),NOT(ISNUMBER(SEARCH("nonblank",$P$4))),IFERROR(('Final Calculation Sheet'!$O$22)&amp;"","")=""),AND(OR(ISNUMBER(SEARCH("nonblank",$P$4)),ISNUMBER(SEARCH("&lt;&gt;",$P$4))),IFERROR(('Final Calculation Sheet'!$O$22)&amp;"","")&lt;&gt;""),AND(TRIM($P$4)="",IFERROR(('Final Calculation Sheet'!$O$22)&amp;"","")=""))))</f>
        <v/>
      </c>
      <c r="CC23">
        <f>IF($Q$4="",1,--(OR(SUMPRODUCT(--(TRIM(MID(SUBSTITUTE(SUBSTITUTE($Q$4,"/",","),",",REPT(" ",99)),(ROW($1:$8)-1)*99+1,99))&lt;&gt;""),--ISNUMBER(SEARCH(TRIM(MID(SUBSTITUTE(SUBSTITUTE($Q$4,"/",","),",",REPT(" ",99)),(ROW($1:$8)-1)*99+1,99)),IFERROR(('Final Calculation Sheet'!$P$22)&amp;"",""))))&gt;0,AND(ISNUMBER(SEARCH("blank",$Q$4)),NOT(ISNUMBER(SEARCH("nonblank",$Q$4))),IFERROR(('Final Calculation Sheet'!$P$22)&amp;"","")=""),AND(OR(ISNUMBER(SEARCH("nonblank",$Q$4)),ISNUMBER(SEARCH("&lt;&gt;",$Q$4))),IFERROR(('Final Calculation Sheet'!$P$22)&amp;"","")&lt;&gt;""),AND(TRIM($Q$4)="",IFERROR(('Final Calculation Sheet'!$P$22)&amp;"","")=""))))</f>
        <v/>
      </c>
      <c r="CD23">
        <f>IF($R$4="",1,--(OR(SUMPRODUCT(--(TRIM(MID(SUBSTITUTE(SUBSTITUTE($R$4,"/",","),",",REPT(" ",99)),(ROW($1:$8)-1)*99+1,99))&lt;&gt;""),--ISNUMBER(SEARCH(TRIM(MID(SUBSTITUTE(SUBSTITUTE($R$4,"/",","),",",REPT(" ",99)),(ROW($1:$8)-1)*99+1,99)),IFERROR(('Final Calculation Sheet'!$Q$22)&amp;"",""))))&gt;0,AND(ISNUMBER(SEARCH("blank",$R$4)),NOT(ISNUMBER(SEARCH("nonblank",$R$4))),IFERROR(('Final Calculation Sheet'!$Q$22)&amp;"","")=""),AND(OR(ISNUMBER(SEARCH("nonblank",$R$4)),ISNUMBER(SEARCH("&lt;&gt;",$R$4))),IFERROR(('Final Calculation Sheet'!$Q$22)&amp;"","")&lt;&gt;""),AND(TRIM($R$4)="",IFERROR(('Final Calculation Sheet'!$Q$22)&amp;"","")=""))))</f>
        <v/>
      </c>
      <c r="CE23">
        <f>IF($S$4="",1,--(OR(SUMPRODUCT(--(TRIM(MID(SUBSTITUTE(SUBSTITUTE($S$4,"/",","),",",REPT(" ",99)),(ROW($1:$8)-1)*99+1,99))&lt;&gt;""),--ISNUMBER(SEARCH(TRIM(MID(SUBSTITUTE(SUBSTITUTE($S$4,"/",","),",",REPT(" ",99)),(ROW($1:$8)-1)*99+1,99)),IFERROR(('Final Calculation Sheet'!$R$22)&amp;"",""))))&gt;0,AND(ISNUMBER(SEARCH("blank",$S$4)),NOT(ISNUMBER(SEARCH("nonblank",$S$4))),IFERROR(('Final Calculation Sheet'!$R$22)&amp;"","")=""),AND(OR(ISNUMBER(SEARCH("nonblank",$S$4)),ISNUMBER(SEARCH("&lt;&gt;",$S$4))),IFERROR(('Final Calculation Sheet'!$R$22)&amp;"","")&lt;&gt;""),AND(TRIM($S$4)="",IFERROR(('Final Calculation Sheet'!$R$22)&amp;"","")=""))))</f>
        <v/>
      </c>
      <c r="CF23">
        <f>IF($T$4="",1,--(OR(SUMPRODUCT(--(TRIM(MID(SUBSTITUTE(SUBSTITUTE($T$4,"/",","),",",REPT(" ",99)),(ROW($1:$8)-1)*99+1,99))&lt;&gt;""),--ISNUMBER(SEARCH(TRIM(MID(SUBSTITUTE(SUBSTITUTE($T$4,"/",","),",",REPT(" ",99)),(ROW($1:$8)-1)*99+1,99)),IFERROR(('Final Calculation Sheet'!$S$22)&amp;"",""))))&gt;0,AND(ISNUMBER(SEARCH("blank",$T$4)),NOT(ISNUMBER(SEARCH("nonblank",$T$4))),IFERROR(('Final Calculation Sheet'!$S$22)&amp;"","")=""),AND(OR(ISNUMBER(SEARCH("nonblank",$T$4)),ISNUMBER(SEARCH("&lt;&gt;",$T$4))),IFERROR(('Final Calculation Sheet'!$S$22)&amp;"","")&lt;&gt;""),AND(TRIM($T$4)="",IFERROR(('Final Calculation Sheet'!$S$22)&amp;"","")=""))))</f>
        <v/>
      </c>
      <c r="CG23">
        <f>IF($U$4="",1,--(OR(SUMPRODUCT(--(TRIM(MID(SUBSTITUTE(SUBSTITUTE($U$4,"/",","),",",REPT(" ",99)),(ROW($1:$8)-1)*99+1,99))&lt;&gt;""),--ISNUMBER(SEARCH(TRIM(MID(SUBSTITUTE(SUBSTITUTE($U$4,"/",","),",",REPT(" ",99)),(ROW($1:$8)-1)*99+1,99)),IFERROR(('Final Calculation Sheet'!$T$22)&amp;"",""))))&gt;0,AND(ISNUMBER(SEARCH("blank",$U$4)),NOT(ISNUMBER(SEARCH("nonblank",$U$4))),IFERROR(('Final Calculation Sheet'!$T$22)&amp;"","")=""),AND(OR(ISNUMBER(SEARCH("nonblank",$U$4)),ISNUMBER(SEARCH("&lt;&gt;",$U$4))),IFERROR(('Final Calculation Sheet'!$T$22)&amp;"","")&lt;&gt;""),AND(TRIM($U$4)="",IFERROR(('Final Calculation Sheet'!$T$22)&amp;"","")=""))))</f>
        <v/>
      </c>
      <c r="CH23">
        <f>IF($V$4="",1,--(OR(SUMPRODUCT(--(TRIM(MID(SUBSTITUTE(SUBSTITUTE($V$4,"/",","),",",REPT(" ",99)),(ROW($1:$8)-1)*99+1,99))&lt;&gt;""),--ISNUMBER(SEARCH(TRIM(MID(SUBSTITUTE(SUBSTITUTE($V$4,"/",","),",",REPT(" ",99)),(ROW($1:$8)-1)*99+1,99)),IFERROR(('Final Calculation Sheet'!$U$22)&amp;"",""))))&gt;0,AND(ISNUMBER(SEARCH("blank",$V$4)),NOT(ISNUMBER(SEARCH("nonblank",$V$4))),IFERROR(('Final Calculation Sheet'!$U$22)&amp;"","")=""),AND(OR(ISNUMBER(SEARCH("nonblank",$V$4)),ISNUMBER(SEARCH("&lt;&gt;",$V$4))),IFERROR(('Final Calculation Sheet'!$U$22)&amp;"","")&lt;&gt;""),AND(TRIM($V$4)="",IFERROR(('Final Calculation Sheet'!$U$22)&amp;"","")=""))))</f>
        <v/>
      </c>
      <c r="CI23">
        <f>IF($W$4="",1,--(OR(SUMPRODUCT(--(TRIM(MID(SUBSTITUTE(SUBSTITUTE($W$4,"/",","),",",REPT(" ",99)),(ROW($1:$8)-1)*99+1,99))&lt;&gt;""),--ISNUMBER(SEARCH(TRIM(MID(SUBSTITUTE(SUBSTITUTE($W$4,"/",","),",",REPT(" ",99)),(ROW($1:$8)-1)*99+1,99)),IFERROR(('Final Calculation Sheet'!$V$22)&amp;"",""))))&gt;0,AND(ISNUMBER(SEARCH("blank",$W$4)),NOT(ISNUMBER(SEARCH("nonblank",$W$4))),IFERROR(('Final Calculation Sheet'!$V$22)&amp;"","")=""),AND(OR(ISNUMBER(SEARCH("nonblank",$W$4)),ISNUMBER(SEARCH("&lt;&gt;",$W$4))),IFERROR(('Final Calculation Sheet'!$V$22)&amp;"","")&lt;&gt;""),AND(TRIM($W$4)="",IFERROR(('Final Calculation Sheet'!$V$22)&amp;"","")=""))))</f>
        <v/>
      </c>
      <c r="CJ23">
        <f>IF($X$4="",1,--(OR(SUMPRODUCT(--(TRIM(MID(SUBSTITUTE(SUBSTITUTE($X$4,"/",","),",",REPT(" ",99)),(ROW($1:$8)-1)*99+1,99))&lt;&gt;""),--ISNUMBER(SEARCH(TRIM(MID(SUBSTITUTE(SUBSTITUTE($X$4,"/",","),",",REPT(" ",99)),(ROW($1:$8)-1)*99+1,99)),IFERROR(('Final Calculation Sheet'!$W$22)&amp;"",""))))&gt;0,AND(ISNUMBER(SEARCH("blank",$X$4)),NOT(ISNUMBER(SEARCH("nonblank",$X$4))),IFERROR(('Final Calculation Sheet'!$W$22)&amp;"","")=""),AND(OR(ISNUMBER(SEARCH("nonblank",$X$4)),ISNUMBER(SEARCH("&lt;&gt;",$X$4))),IFERROR(('Final Calculation Sheet'!$W$22)&amp;"","")&lt;&gt;""),AND(TRIM($X$4)="",IFERROR(('Final Calculation Sheet'!$W$22)&amp;"","")=""))))</f>
        <v/>
      </c>
      <c r="CK23">
        <f>IF($Y$4="",1,--(OR(SUMPRODUCT(--(TRIM(MID(SUBSTITUTE(SUBSTITUTE($Y$4,"/",","),",",REPT(" ",99)),(ROW($1:$8)-1)*99+1,99))&lt;&gt;""),--ISNUMBER(SEARCH(TRIM(MID(SUBSTITUTE(SUBSTITUTE($Y$4,"/",","),",",REPT(" ",99)),(ROW($1:$8)-1)*99+1,99)),IFERROR(('Final Calculation Sheet'!$X$22)&amp;"",""))))&gt;0,AND(ISNUMBER(SEARCH("blank",$Y$4)),NOT(ISNUMBER(SEARCH("nonblank",$Y$4))),IFERROR(('Final Calculation Sheet'!$X$22)&amp;"","")=""),AND(OR(ISNUMBER(SEARCH("nonblank",$Y$4)),ISNUMBER(SEARCH("&lt;&gt;",$Y$4))),IFERROR(('Final Calculation Sheet'!$X$22)&amp;"","")&lt;&gt;""),AND(TRIM($Y$4)="",IFERROR(('Final Calculation Sheet'!$X$22)&amp;"","")=""))))</f>
        <v/>
      </c>
      <c r="CL23">
        <f>IF($Z$4="",1,--(OR(SUMPRODUCT(--(TRIM(MID(SUBSTITUTE(SUBSTITUTE($Z$4,"/",","),",",REPT(" ",99)),(ROW($1:$8)-1)*99+1,99))&lt;&gt;""),--ISNUMBER(SEARCH(TRIM(MID(SUBSTITUTE(SUBSTITUTE($Z$4,"/",","),",",REPT(" ",99)),(ROW($1:$8)-1)*99+1,99)),IFERROR(('Final Calculation Sheet'!$Y$22)&amp;"",""))))&gt;0,AND(ISNUMBER(SEARCH("blank",$Z$4)),NOT(ISNUMBER(SEARCH("nonblank",$Z$4))),IFERROR(('Final Calculation Sheet'!$Y$22)&amp;"","")=""),AND(OR(ISNUMBER(SEARCH("nonblank",$Z$4)),ISNUMBER(SEARCH("&lt;&gt;",$Z$4))),IFERROR(('Final Calculation Sheet'!$Y$22)&amp;"","")&lt;&gt;""),AND(TRIM($Z$4)="",IFERROR(('Final Calculation Sheet'!$Y$22)&amp;"","")=""))))</f>
        <v/>
      </c>
      <c r="CM23">
        <f>IF($AA$4="",1,--(OR(SUMPRODUCT(--(TRIM(MID(SUBSTITUTE(SUBSTITUTE($AA$4,"/",","),",",REPT(" ",99)),(ROW($1:$8)-1)*99+1,99))&lt;&gt;""),--ISNUMBER(SEARCH(TRIM(MID(SUBSTITUTE(SUBSTITUTE($AA$4,"/",","),",",REPT(" ",99)),(ROW($1:$8)-1)*99+1,99)),IFERROR(('Final Calculation Sheet'!$Z$22)&amp;"",""))))&gt;0,AND(ISNUMBER(SEARCH("blank",$AA$4)),NOT(ISNUMBER(SEARCH("nonblank",$AA$4))),IFERROR(('Final Calculation Sheet'!$Z$22)&amp;"","")=""),AND(OR(ISNUMBER(SEARCH("nonblank",$AA$4)),ISNUMBER(SEARCH("&lt;&gt;",$AA$4))),IFERROR(('Final Calculation Sheet'!$Z$22)&amp;"","")&lt;&gt;""),AND(TRIM($AA$4)="",IFERROR(('Final Calculation Sheet'!$Z$22)&amp;"","")=""))))</f>
        <v/>
      </c>
      <c r="CN23">
        <f>IF($AB$4="",1,--(OR(SUMPRODUCT(--(TRIM(MID(SUBSTITUTE(SUBSTITUTE($AB$4,"/",","),",",REPT(" ",99)),(ROW($1:$8)-1)*99+1,99))&lt;&gt;""),--ISNUMBER(SEARCH(TRIM(MID(SUBSTITUTE(SUBSTITUTE($AB$4,"/",","),",",REPT(" ",99)),(ROW($1:$8)-1)*99+1,99)),IFERROR(('Final Calculation Sheet'!$AA$22)&amp;"",""))))&gt;0,AND(ISNUMBER(SEARCH("blank",$AB$4)),NOT(ISNUMBER(SEARCH("nonblank",$AB$4))),IFERROR(('Final Calculation Sheet'!$AA$22)&amp;"","")=""),AND(OR(ISNUMBER(SEARCH("nonblank",$AB$4)),ISNUMBER(SEARCH("&lt;&gt;",$AB$4))),IFERROR(('Final Calculation Sheet'!$AA$22)&amp;"","")&lt;&gt;""),AND(TRIM($AB$4)="",IFERROR(('Final Calculation Sheet'!$AA$22)&amp;"","")=""))))</f>
        <v/>
      </c>
      <c r="CO23">
        <f>IF($AC$4="",1,--(OR(SUMPRODUCT(--(TRIM(MID(SUBSTITUTE(SUBSTITUTE($AC$4,"/",","),",",REPT(" ",99)),(ROW($1:$8)-1)*99+1,99))&lt;&gt;""),--ISNUMBER(SEARCH(TRIM(MID(SUBSTITUTE(SUBSTITUTE($AC$4,"/",","),",",REPT(" ",99)),(ROW($1:$8)-1)*99+1,99)),IFERROR(('Final Calculation Sheet'!$AB$22)&amp;"",""))))&gt;0,AND(ISNUMBER(SEARCH("blank",$AC$4)),NOT(ISNUMBER(SEARCH("nonblank",$AC$4))),IFERROR(('Final Calculation Sheet'!$AB$22)&amp;"","")=""),AND(OR(ISNUMBER(SEARCH("nonblank",$AC$4)),ISNUMBER(SEARCH("&lt;&gt;",$AC$4))),IFERROR(('Final Calculation Sheet'!$AB$22)&amp;"","")&lt;&gt;""),AND(TRIM($AC$4)="",IFERROR(('Final Calculation Sheet'!$AB$22)&amp;"","")=""))))</f>
        <v/>
      </c>
      <c r="CP23">
        <f>IF($AD$4="",1,--(OR(SUMPRODUCT(--(TRIM(MID(SUBSTITUTE(SUBSTITUTE($AD$4,"/",","),",",REPT(" ",99)),(ROW($1:$8)-1)*99+1,99))&lt;&gt;""),--ISNUMBER(SEARCH(TRIM(MID(SUBSTITUTE(SUBSTITUTE($AD$4,"/",","),",",REPT(" ",99)),(ROW($1:$8)-1)*99+1,99)),IFERROR(('Final Calculation Sheet'!$AC$22)&amp;"",""))))&gt;0,AND(ISNUMBER(SEARCH("blank",$AD$4)),NOT(ISNUMBER(SEARCH("nonblank",$AD$4))),IFERROR(('Final Calculation Sheet'!$AC$22)&amp;"","")=""),AND(OR(ISNUMBER(SEARCH("nonblank",$AD$4)),ISNUMBER(SEARCH("&lt;&gt;",$AD$4))),IFERROR(('Final Calculation Sheet'!$AC$22)&amp;"","")&lt;&gt;""),AND(TRIM($AD$4)="",IFERROR(('Final Calculation Sheet'!$AC$22)&amp;"","")=""))))</f>
        <v/>
      </c>
      <c r="CQ23">
        <f>IF($AE$4="",1,--(OR(SUMPRODUCT(--(TRIM(MID(SUBSTITUTE(SUBSTITUTE($AE$4,"/",","),",",REPT(" ",99)),(ROW($1:$8)-1)*99+1,99))&lt;&gt;""),--ISNUMBER(SEARCH(TRIM(MID(SUBSTITUTE(SUBSTITUTE($AE$4,"/",","),",",REPT(" ",99)),(ROW($1:$8)-1)*99+1,99)),IFERROR(('Final Calculation Sheet'!$AD$22)&amp;"",""))))&gt;0,AND(ISNUMBER(SEARCH("blank",$AE$4)),NOT(ISNUMBER(SEARCH("nonblank",$AE$4))),IFERROR(('Final Calculation Sheet'!$AD$22)&amp;"","")=""),AND(OR(ISNUMBER(SEARCH("nonblank",$AE$4)),ISNUMBER(SEARCH("&lt;&gt;",$AE$4))),IFERROR(('Final Calculation Sheet'!$AD$22)&amp;"","")&lt;&gt;""),AND(TRIM($AE$4)="",IFERROR(('Final Calculation Sheet'!$AD$22)&amp;"","")=""))))</f>
        <v/>
      </c>
      <c r="CR23">
        <f>IF($AF$4="",1,--(OR(SUMPRODUCT(--(TRIM(MID(SUBSTITUTE(SUBSTITUTE($AF$4,"/",","),",",REPT(" ",99)),(ROW($1:$8)-1)*99+1,99))&lt;&gt;""),--ISNUMBER(SEARCH(TRIM(MID(SUBSTITUTE(SUBSTITUTE($AF$4,"/",","),",",REPT(" ",99)),(ROW($1:$8)-1)*99+1,99)),IFERROR(('Final Calculation Sheet'!$AE$22)&amp;"",""))))&gt;0,AND(ISNUMBER(SEARCH("blank",$AF$4)),NOT(ISNUMBER(SEARCH("nonblank",$AF$4))),IFERROR(('Final Calculation Sheet'!$AE$22)&amp;"","")=""),AND(OR(ISNUMBER(SEARCH("nonblank",$AF$4)),ISNUMBER(SEARCH("&lt;&gt;",$AF$4))),IFERROR(('Final Calculation Sheet'!$AE$22)&amp;"","")&lt;&gt;""),AND(TRIM($AF$4)="",IFERROR(('Final Calculation Sheet'!$AE$22)&amp;"","")=""))))</f>
        <v/>
      </c>
      <c r="CS23">
        <f>IF($AG$4="",1,--(OR(SUMPRODUCT(--(TRIM(MID(SUBSTITUTE(SUBSTITUTE($AG$4,"/",","),",",REPT(" ",99)),(ROW($1:$8)-1)*99+1,99))&lt;&gt;""),--ISNUMBER(SEARCH(TRIM(MID(SUBSTITUTE(SUBSTITUTE($AG$4,"/",","),",",REPT(" ",99)),(ROW($1:$8)-1)*99+1,99)),IFERROR(('Final Calculation Sheet'!$AF$22)&amp;"",""))))&gt;0,AND(ISNUMBER(SEARCH("blank",$AG$4)),NOT(ISNUMBER(SEARCH("nonblank",$AG$4))),IFERROR(('Final Calculation Sheet'!$AF$22)&amp;"","")=""),AND(OR(ISNUMBER(SEARCH("nonblank",$AG$4)),ISNUMBER(SEARCH("&lt;&gt;",$AG$4))),IFERROR(('Final Calculation Sheet'!$AF$22)&amp;"","")&lt;&gt;""),AND(TRIM($AG$4)="",IFERROR(('Final Calculation Sheet'!$AF$22)&amp;"","")=""))))</f>
        <v/>
      </c>
      <c r="CT23">
        <f>IF($AH$4="",1,--(OR(SUMPRODUCT(--(TRIM(MID(SUBSTITUTE(SUBSTITUTE($AH$4,"/",","),",",REPT(" ",99)),(ROW($1:$8)-1)*99+1,99))&lt;&gt;""),--ISNUMBER(SEARCH(TRIM(MID(SUBSTITUTE(SUBSTITUTE($AH$4,"/",","),",",REPT(" ",99)),(ROW($1:$8)-1)*99+1,99)),IFERROR(('Final Calculation Sheet'!$AG$22)&amp;"",""))))&gt;0,AND(ISNUMBER(SEARCH("blank",$AH$4)),NOT(ISNUMBER(SEARCH("nonblank",$AH$4))),IFERROR(('Final Calculation Sheet'!$AG$22)&amp;"","")=""),AND(OR(ISNUMBER(SEARCH("nonblank",$AH$4)),ISNUMBER(SEARCH("&lt;&gt;",$AH$4))),IFERROR(('Final Calculation Sheet'!$AG$22)&amp;"","")&lt;&gt;""),AND(TRIM($AH$4)="",IFERROR(('Final Calculation Sheet'!$AG$22)&amp;"","")=""))))</f>
        <v/>
      </c>
      <c r="CU23">
        <f>IF($AI$4="",1,--(OR(SUMPRODUCT(--(TRIM(MID(SUBSTITUTE(SUBSTITUTE($AI$4,"/",","),",",REPT(" ",99)),(ROW($1:$8)-1)*99+1,99))&lt;&gt;""),--ISNUMBER(SEARCH(TRIM(MID(SUBSTITUTE(SUBSTITUTE($AI$4,"/",","),",",REPT(" ",99)),(ROW($1:$8)-1)*99+1,99)),IFERROR((IF('Final Calculation Sheet'!$AD$22&lt;=0,"SETTLED","OUTSTANDING"))&amp;"",""))))&gt;0,AND(ISNUMBER(SEARCH("blank",$AI$4)),NOT(ISNUMBER(SEARCH("nonblank",$AI$4))),IFERROR((IF('Final Calculation Sheet'!$AD$22&lt;=0,"SETTLED","OUTSTANDING"))&amp;"","")=""),AND(OR(ISNUMBER(SEARCH("nonblank",$AI$4)),ISNUMBER(SEARCH("&lt;&gt;",$AI$4))),IFERROR((IF('Final Calculation Sheet'!$AD$22&lt;=0,"SETTLED","OUTSTANDING"))&amp;"","")&lt;&gt;""),AND(TRIM($AI$4)="",IFERROR((IF('Final Calculation Sheet'!$AD$22&lt;=0,"SETTLED","OUTSTANDING"))&amp;"","")=""))))</f>
        <v/>
      </c>
    </row>
    <row r="24" ht="15" customHeight="1" s="77">
      <c r="A24" s="67">
        <f>IF($BJ23&gt;0,INDEX($BA$5:$BA$41,MATCH(23,$BB$5:$BB$41,0)),IF(OR($BI23=1,$BL23=1,$BH23&gt;0),"∑",""))</f>
        <v/>
      </c>
      <c r="B24" s="68">
        <f>IF($BJ23&gt;0,IF(INDEX('Final Calculation Sheet'!$F$4:$F$40,$BJ23-3)="","",INDEX('Final Calculation Sheet'!$F$4:$F$40,$BJ23-3)),"")</f>
        <v/>
      </c>
      <c r="C24" s="68">
        <f>IF($BJ23&gt;0,IF(INDEX('Final Calculation Sheet'!$G$4:$G$40,$BJ23-3)="","",INDEX('Final Calculation Sheet'!$G$4:$G$40,$BJ23-3)),IF(OR($BI23=1,$BL23=1,$BH23&gt;0),IF($BI23=1,37,IF($BL23=1,37-INDEX($BD$4:$BD$13,10),INDEX($BD$4:$BD$13,$BH23)))&amp;" lot(s)",""))</f>
        <v/>
      </c>
      <c r="D24" s="69">
        <f>IF($BJ23&gt;0,IF(INDEX('Final Calculation Sheet'!$B$4:$B$40,$BJ23-3)="","",INDEX('Final Calculation Sheet'!$B$4:$B$40,$BJ23-3)),IF(OR($BI23=1,$BL23=1,$BH23&gt;0),IF($BI23=1,"GRAND TOTAL  —  matching + remaining",IF($BL23=1,"TOTAL MATCHED  —  every group together",IF($BH23=10,"REMAINING  —  did not match the search",IF($BH23=9,IF(COUNTIF($A$4:$AI$4,"&lt;&gt;")&gt;0,"FILTERED LOTS  —  column fields","ALL LOTS  —  nothing typed in the box"),"GROUP "&amp;$BH23&amp;" TOTAL  —  lots matching  "&amp;INDEX($AR$6:$AY$6,$BH23))))),""))</f>
        <v/>
      </c>
      <c r="E24" s="69">
        <f>IF($BJ23&gt;0,IF(INDEX('Final Calculation Sheet'!$D$4:$D$40,$BJ23-3)="","",INDEX('Final Calculation Sheet'!$D$4:$D$40,$BJ23-3)),IF(OR($BI23=1,$BL23=1,$BH23&gt;0),"–",""))</f>
        <v/>
      </c>
      <c r="F24" s="69">
        <f>IF($BJ23&gt;0,IF(INDEX('Final Calculation Sheet'!$A$4:$A$40,$BJ23-3)="","",INDEX('Final Calculation Sheet'!$A$4:$A$40,$BJ23-3)),IF(OR($BI23=1,$BL23=1,$BH23&gt;0),IF($BI23=1,SUM('Final Calculation Sheet'!$A$4:$A$40),IF($BL23=1,SUM('Final Calculation Sheet'!$A$4:$A$40)-SUMIFS('Final Calculation Sheet'!$A$4:$A$40,$AZ$5:$AZ$41,10),SUMIFS('Final Calculation Sheet'!$A$4:$A$40,$AZ$5:$AZ$41,$BH23))),""))</f>
        <v/>
      </c>
      <c r="G24" s="69">
        <f>IF($BJ23&gt;0,IF(INDEX('Final Calculation Sheet'!$E$4:$E$40,$BJ23-3)="","",INDEX('Final Calculation Sheet'!$E$4:$E$40,$BJ23-3)),IF(OR($BI23=1,$BL23=1,$BH23&gt;0),"–",""))</f>
        <v/>
      </c>
      <c r="H24" s="70">
        <f>IF($BJ23&gt;0,IF(INDEX('Final Calculation Sheet'!$C$4:$C$40,$BJ23-3)="","",INDEX('Final Calculation Sheet'!$C$4:$C$40,$BJ23-3)),IF(OR($BI23=1,$BL23=1,$BH23&gt;0),"–",""))</f>
        <v/>
      </c>
      <c r="I24" s="70">
        <f>IF($BJ23&gt;0,IF(INDEX('Final Calculation Sheet'!$H$4:$H$40,$BJ23-3)="","",INDEX('Final Calculation Sheet'!$H$4:$H$40,$BJ23-3)),IF(OR($BI23=1,$BL23=1,$BH23&gt;0),IF($BI23=1,SUM('Final Calculation Sheet'!$H$4:$H$40),IF($BL23=1,SUM('Final Calculation Sheet'!$H$4:$H$40)-SUMIFS('Final Calculation Sheet'!$H$4:$H$40,$AZ$5:$AZ$41,10),SUMIFS('Final Calculation Sheet'!$H$4:$H$40,$AZ$5:$AZ$41,$BH23))),""))</f>
        <v/>
      </c>
      <c r="J24" s="70">
        <f>IF($BJ23&gt;0,IF(INDEX('Final Calculation Sheet'!$I$4:$I$40,$BJ23-3)="","",INDEX('Final Calculation Sheet'!$I$4:$I$40,$BJ23-3)),IF(OR($BI23=1,$BL23=1,$BH23&gt;0),IF($BI23=1,SUM('Final Calculation Sheet'!$I$4:$I$40),IF($BL23=1,SUM('Final Calculation Sheet'!$I$4:$I$40)-SUMIFS('Final Calculation Sheet'!$I$4:$I$40,$AZ$5:$AZ$41,10),SUMIFS('Final Calculation Sheet'!$I$4:$I$40,$AZ$5:$AZ$41,$BH23))),""))</f>
        <v/>
      </c>
      <c r="K24" s="70">
        <f>IF($BJ23&gt;0,IF(INDEX('Final Calculation Sheet'!$J$4:$J$40,$BJ23-3)="","",INDEX('Final Calculation Sheet'!$J$4:$J$40,$BJ23-3)),IF(OR($BI23=1,$BL23=1,$BH23&gt;0),IF($BI23=1,SUM('Final Calculation Sheet'!$J$4:$J$40),IF($BL23=1,SUM('Final Calculation Sheet'!$J$4:$J$40)-SUMIFS('Final Calculation Sheet'!$J$4:$J$40,$AZ$5:$AZ$41,10),SUMIFS('Final Calculation Sheet'!$J$4:$J$40,$AZ$5:$AZ$41,$BH23))),""))</f>
        <v/>
      </c>
      <c r="L24" s="70">
        <f>IF($BJ23&gt;0,IF(INDEX('Final Calculation Sheet'!$K$4:$K$40,$BJ23-3)="","",INDEX('Final Calculation Sheet'!$K$4:$K$40,$BJ23-3)),IF(OR($BI23=1,$BL23=1,$BH23&gt;0),IF($BI23=1,SUM('Final Calculation Sheet'!$K$4:$K$40),IF($BL23=1,SUM('Final Calculation Sheet'!$K$4:$K$40)-SUMIFS('Final Calculation Sheet'!$K$4:$K$40,$AZ$5:$AZ$41,10),SUMIFS('Final Calculation Sheet'!$K$4:$K$40,$AZ$5:$AZ$41,$BH23))),""))</f>
        <v/>
      </c>
      <c r="M24" s="70">
        <f>IF($BJ23&gt;0,IF(INDEX('Final Calculation Sheet'!$L$4:$L$40,$BJ23-3)="","",INDEX('Final Calculation Sheet'!$L$4:$L$40,$BJ23-3)),IF(OR($BI23=1,$BL23=1,$BH23&gt;0),IF($BI23=1,SUM('Final Calculation Sheet'!$L$4:$L$40),IF($BL23=1,SUM('Final Calculation Sheet'!$L$4:$L$40)-SUMIFS('Final Calculation Sheet'!$L$4:$L$40,$AZ$5:$AZ$41,10),SUMIFS('Final Calculation Sheet'!$L$4:$L$40,$AZ$5:$AZ$41,$BH23))),""))</f>
        <v/>
      </c>
      <c r="N24" s="70">
        <f>IF($BJ23&gt;0,IF(INDEX('Final Calculation Sheet'!$M$4:$M$40,$BJ23-3)="","",INDEX('Final Calculation Sheet'!$M$4:$M$40,$BJ23-3)),IF(OR($BI23=1,$BL23=1,$BH23&gt;0),IF($BI23=1,SUM('Final Calculation Sheet'!$M$4:$M$40),IF($BL23=1,SUM('Final Calculation Sheet'!$M$4:$M$40)-SUMIFS('Final Calculation Sheet'!$M$4:$M$40,$AZ$5:$AZ$41,10),SUMIFS('Final Calculation Sheet'!$M$4:$M$40,$AZ$5:$AZ$41,$BH23))),""))</f>
        <v/>
      </c>
      <c r="O24" s="71">
        <f>IF($BJ23&gt;0,IF(INDEX('Final Calculation Sheet'!$N$4:$N$40,$BJ23-3)="","",INDEX('Final Calculation Sheet'!$N$4:$N$40,$BJ23-3)),IF(OR($BI23=1,$BL23=1,$BH23&gt;0),IF($BI23=1,SUM('Final Calculation Sheet'!$N$4:$N$40),IF($BL23=1,SUM('Final Calculation Sheet'!$N$4:$N$40)-SUMIFS('Final Calculation Sheet'!$N$4:$N$40,$AZ$5:$AZ$41,10),SUMIFS('Final Calculation Sheet'!$N$4:$N$40,$AZ$5:$AZ$41,$BH23))),""))</f>
        <v/>
      </c>
      <c r="P24" s="70">
        <f>IF($BJ23&gt;0,IF(INDEX('Final Calculation Sheet'!$O$4:$O$40,$BJ23-3)="","",INDEX('Final Calculation Sheet'!$O$4:$O$40,$BJ23-3)),IF(OR($BI23=1,$BL23=1,$BH23&gt;0),IF($BI23=1,SUM('Final Calculation Sheet'!$O$4:$O$40),IF($BL23=1,SUM('Final Calculation Sheet'!$O$4:$O$40)-SUMIFS('Final Calculation Sheet'!$O$4:$O$40,$AZ$5:$AZ$41,10),SUMIFS('Final Calculation Sheet'!$O$4:$O$40,$AZ$5:$AZ$41,$BH23))),""))</f>
        <v/>
      </c>
      <c r="Q24" s="70">
        <f>IF($BJ23&gt;0,IF(INDEX('Final Calculation Sheet'!$P$4:$P$40,$BJ23-3)="","",INDEX('Final Calculation Sheet'!$P$4:$P$40,$BJ23-3)),IF(OR($BI23=1,$BL23=1,$BH23&gt;0),IF($BI23=1,SUM('Final Calculation Sheet'!$P$4:$P$40),IF($BL23=1,SUM('Final Calculation Sheet'!$P$4:$P$40)-SUMIFS('Final Calculation Sheet'!$P$4:$P$40,$AZ$5:$AZ$41,10),SUMIFS('Final Calculation Sheet'!$P$4:$P$40,$AZ$5:$AZ$41,$BH23))),""))</f>
        <v/>
      </c>
      <c r="R24" s="72">
        <f>IF($BJ23&gt;0,IF(INDEX('Final Calculation Sheet'!$Q$4:$Q$40,$BJ23-3)="","",INDEX('Final Calculation Sheet'!$Q$4:$Q$40,$BJ23-3)),IF(OR($BI23=1,$BL23=1,$BH23&gt;0),"–",""))</f>
        <v/>
      </c>
      <c r="S24" s="70">
        <f>IF($BJ23&gt;0,IF(INDEX('Final Calculation Sheet'!$R$4:$R$40,$BJ23-3)="","",INDEX('Final Calculation Sheet'!$R$4:$R$40,$BJ23-3)),IF(OR($BI23=1,$BL23=1,$BH23&gt;0),IF($BI23=1,SUM('Final Calculation Sheet'!$R$4:$R$40),IF($BL23=1,SUM('Final Calculation Sheet'!$R$4:$R$40)-SUMIFS('Final Calculation Sheet'!$R$4:$R$40,$AZ$5:$AZ$41,10),SUMIFS('Final Calculation Sheet'!$R$4:$R$40,$AZ$5:$AZ$41,$BH23))),""))</f>
        <v/>
      </c>
      <c r="T24" s="70">
        <f>IF($BJ23&gt;0,IF(INDEX('Final Calculation Sheet'!$S$4:$S$40,$BJ23-3)="","",INDEX('Final Calculation Sheet'!$S$4:$S$40,$BJ23-3)),IF(OR($BI23=1,$BL23=1,$BH23&gt;0),IF($BI23=1,SUM('Final Calculation Sheet'!$S$4:$S$40),IF($BL23=1,SUM('Final Calculation Sheet'!$S$4:$S$40)-SUMIFS('Final Calculation Sheet'!$S$4:$S$40,$AZ$5:$AZ$41,10),SUMIFS('Final Calculation Sheet'!$S$4:$S$40,$AZ$5:$AZ$41,$BH23))),""))</f>
        <v/>
      </c>
      <c r="U24" s="70">
        <f>IF($BJ23&gt;0,IF(INDEX('Final Calculation Sheet'!$T$4:$T$40,$BJ23-3)="","",INDEX('Final Calculation Sheet'!$T$4:$T$40,$BJ23-3)),IF(OR($BI23=1,$BL23=1,$BH23&gt;0),IF($BI23=1,SUM('Final Calculation Sheet'!$T$4:$T$40),IF($BL23=1,SUM('Final Calculation Sheet'!$T$4:$T$40)-SUMIFS('Final Calculation Sheet'!$T$4:$T$40,$AZ$5:$AZ$41,10),SUMIFS('Final Calculation Sheet'!$T$4:$T$40,$AZ$5:$AZ$41,$BH23))),""))</f>
        <v/>
      </c>
      <c r="V24" s="73">
        <f>IF($BJ23&gt;0,IF(INDEX('Final Calculation Sheet'!$U$4:$U$40,$BJ23-3)="","",INDEX('Final Calculation Sheet'!$U$4:$U$40,$BJ23-3)),IF(OR($BI23=1,$BL23=1,$BH23&gt;0),IF($BI23=1,SUM('Final Calculation Sheet'!$U$4:$U$40),IF($BL23=1,SUM('Final Calculation Sheet'!$U$4:$U$40)-SUMIFS('Final Calculation Sheet'!$U$4:$U$40,$AZ$5:$AZ$41,10),SUMIFS('Final Calculation Sheet'!$U$4:$U$40,$AZ$5:$AZ$41,$BH23))),""))</f>
        <v/>
      </c>
      <c r="W24" s="70">
        <f>IF($BJ23&gt;0,IF(INDEX('Final Calculation Sheet'!$V$4:$V$40,$BJ23-3)="","",INDEX('Final Calculation Sheet'!$V$4:$V$40,$BJ23-3)),IF(OR($BI23=1,$BL23=1,$BH23&gt;0),"–",""))</f>
        <v/>
      </c>
      <c r="X24" s="70">
        <f>IF($BJ23&gt;0,IF(INDEX('Final Calculation Sheet'!$W$4:$W$40,$BJ23-3)="","",INDEX('Final Calculation Sheet'!$W$4:$W$40,$BJ23-3)),IF(OR($BI23=1,$BL23=1,$BH23&gt;0),IF($BI23=1,SUM('Final Calculation Sheet'!$W$4:$W$40),IF($BL23=1,SUM('Final Calculation Sheet'!$W$4:$W$40)-SUMIFS('Final Calculation Sheet'!$W$4:$W$40,$AZ$5:$AZ$41,10),SUMIFS('Final Calculation Sheet'!$W$4:$W$40,$AZ$5:$AZ$41,$BH23))),""))</f>
        <v/>
      </c>
      <c r="Y24" s="70">
        <f>IF($BJ23&gt;0,IF(INDEX('Final Calculation Sheet'!$X$4:$X$40,$BJ23-3)="","",INDEX('Final Calculation Sheet'!$X$4:$X$40,$BJ23-3)),IF(OR($BI23=1,$BL23=1,$BH23&gt;0),IF($BI23=1,SUM('Final Calculation Sheet'!$X$4:$X$40),IF($BL23=1,SUM('Final Calculation Sheet'!$X$4:$X$40)-SUMIFS('Final Calculation Sheet'!$X$4:$X$40,$AZ$5:$AZ$41,10),SUMIFS('Final Calculation Sheet'!$X$4:$X$40,$AZ$5:$AZ$41,$BH23))),""))</f>
        <v/>
      </c>
      <c r="Z24" s="70">
        <f>IF($BJ23&gt;0,IF(INDEX('Final Calculation Sheet'!$Y$4:$Y$40,$BJ23-3)="","",INDEX('Final Calculation Sheet'!$Y$4:$Y$40,$BJ23-3)),IF(OR($BI23=1,$BL23=1,$BH23&gt;0),"–",""))</f>
        <v/>
      </c>
      <c r="AA24" s="70">
        <f>IF($BJ23&gt;0,IF(INDEX('Final Calculation Sheet'!$Z$4:$Z$40,$BJ23-3)="","",INDEX('Final Calculation Sheet'!$Z$4:$Z$40,$BJ23-3)),IF(OR($BI23=1,$BL23=1,$BH23&gt;0),IF($BI23=1,SUM('Final Calculation Sheet'!$Z$4:$Z$40),IF($BL23=1,SUM('Final Calculation Sheet'!$Z$4:$Z$40)-SUMIFS('Final Calculation Sheet'!$Z$4:$Z$40,$AZ$5:$AZ$41,10),SUMIFS('Final Calculation Sheet'!$Z$4:$Z$40,$AZ$5:$AZ$41,$BH23))),""))</f>
        <v/>
      </c>
      <c r="AB24" s="70">
        <f>IF($BJ23&gt;0,IF(INDEX('Final Calculation Sheet'!$AA$4:$AA$40,$BJ23-3)="","",INDEX('Final Calculation Sheet'!$AA$4:$AA$40,$BJ23-3)),IF(OR($BI23=1,$BL23=1,$BH23&gt;0),IF($BI23=1,SUM('Final Calculation Sheet'!$AA$4:$AA$40),IF($BL23=1,SUM('Final Calculation Sheet'!$AA$4:$AA$40)-SUMIFS('Final Calculation Sheet'!$AA$4:$AA$40,$AZ$5:$AZ$41,10),SUMIFS('Final Calculation Sheet'!$AA$4:$AA$40,$AZ$5:$AZ$41,$BH23))),""))</f>
        <v/>
      </c>
      <c r="AC24" s="70">
        <f>IF($BJ23&gt;0,IF(INDEX('Final Calculation Sheet'!$AB$4:$AB$40,$BJ23-3)="","",INDEX('Final Calculation Sheet'!$AB$4:$AB$40,$BJ23-3)),IF(OR($BI23=1,$BL23=1,$BH23&gt;0),"–",""))</f>
        <v/>
      </c>
      <c r="AD24" s="70">
        <f>IF($BJ23&gt;0,IF(INDEX('Final Calculation Sheet'!$AC$4:$AC$40,$BJ23-3)="","",INDEX('Final Calculation Sheet'!$AC$4:$AC$40,$BJ23-3)),IF(OR($BI23=1,$BL23=1,$BH23&gt;0),IF($BI23=1,SUM('Final Calculation Sheet'!$AC$4:$AC$40),IF($BL23=1,SUM('Final Calculation Sheet'!$AC$4:$AC$40)-SUMIFS('Final Calculation Sheet'!$AC$4:$AC$40,$AZ$5:$AZ$41,10),SUMIFS('Final Calculation Sheet'!$AC$4:$AC$40,$AZ$5:$AZ$41,$BH23))),""))</f>
        <v/>
      </c>
      <c r="AE24" s="70">
        <f>IF($BJ23&gt;0,IF(INDEX('Final Calculation Sheet'!$AD$4:$AD$40,$BJ23-3)="","",INDEX('Final Calculation Sheet'!$AD$4:$AD$40,$BJ23-3)),IF(OR($BI23=1,$BL23=1,$BH23&gt;0),IF($BI23=1,SUM('Final Calculation Sheet'!$AD$4:$AD$40),IF($BL23=1,SUM('Final Calculation Sheet'!$AD$4:$AD$40)-SUMIFS('Final Calculation Sheet'!$AD$4:$AD$40,$AZ$5:$AZ$41,10),SUMIFS('Final Calculation Sheet'!$AD$4:$AD$40,$AZ$5:$AZ$41,$BH23))),""))</f>
        <v/>
      </c>
      <c r="AF24" s="70">
        <f>IF($BJ23&gt;0,IF(INDEX('Final Calculation Sheet'!$AE$4:$AE$40,$BJ23-3)="","",INDEX('Final Calculation Sheet'!$AE$4:$AE$40,$BJ23-3)),IF(OR($BI23=1,$BL23=1,$BH23&gt;0),"–",""))</f>
        <v/>
      </c>
      <c r="AG24" s="74">
        <f>IF($BJ23&gt;0,IF(INDEX('Final Calculation Sheet'!$AF$4:$AF$40,$BJ23-3)="","",INDEX('Final Calculation Sheet'!$AF$4:$AF$40,$BJ23-3)),IF(OR($BI23=1,$BL23=1,$BH23&gt;0),"–",""))</f>
        <v/>
      </c>
      <c r="AH24" s="70">
        <f>IF($BJ23&gt;0,IF(INDEX('Final Calculation Sheet'!$AG$4:$AG$40,$BJ23-3)="","",INDEX('Final Calculation Sheet'!$AG$4:$AG$40,$BJ23-3)),IF(OR($BI23=1,$BL23=1,$BH23&gt;0),"–",""))</f>
        <v/>
      </c>
      <c r="AI24" s="75">
        <f>IF($BJ23&gt;0,IF(INDEX('Final Calculation Sheet'!$AD$4:$AD$40,$BJ23-3)="","",IF(INDEX('Final Calculation Sheet'!$AD$4:$AD$40,$BJ23-3)&lt;=0,"SETTLED","OUTSTANDING")),IF(OR($BI23=1,$BL23=1,$BH23&gt;0),IF(IF($BI23=1,SUM('Final Calculation Sheet'!$AD$4:$AD$40),IF($BL23=1,SUM('Final Calculation Sheet'!$AD$4:$AD$40)-SUMIFS('Final Calculation Sheet'!$AD$4:$AD$40,$AZ$5:$AZ$41,10),SUMIFS('Final Calculation Sheet'!$AD$4:$AD$40,$AZ$5:$AZ$41,$BH23)))&lt;=0,"ALL SETTLED","OUTSTANDING"),""))</f>
        <v/>
      </c>
      <c r="AK24">
        <f>IF($F$3="Lot No.",'Final Calculation Sheet'!$F$23,IF($F$3="Buyer",'Final Calculation Sheet'!$G$23,IF($F$3="Lot Name",'Final Calculation Sheet'!$B$23,IF($F$3="Bid Sheet",'Final Calculation Sheet'!$D$23,IF($F$3="Unit",'Final Calculation Sheet'!$E$23,'Final Calculation Sheet'!$F$23&amp;" "&amp;'Final Calculation Sheet'!$G$23&amp;" "&amp;'Final Calculation Sheet'!$B$23)))))</f>
        <v/>
      </c>
      <c r="AM24">
        <f>IF(COUNTIF($BM24:$CU24,0)&gt;0,0,IF($B$3="",1,IF(AND(IF(COUNTIF($AR$9:$AY$9,1)=0,TRUE,SUMPRODUCT(($AR$9:$AY$9=1)*($AR$6:$AY$6&lt;&gt;"")*ISNUMBER(SEARCH($AR$6:$AY$6,$AK24)))&gt;0),IF(COUNTIF($AR$9:$AY$9,2)=0,TRUE,SUMPRODUCT(($AR$9:$AY$9=2)*($AR$6:$AY$6&lt;&gt;"")*ISNUMBER(SEARCH($AR$6:$AY$6,$AK24)))&gt;0),IF(COUNTIF($AR$9:$AY$9,3)=0,TRUE,SUMPRODUCT(($AR$9:$AY$9=3)*($AR$6:$AY$6&lt;&gt;"")*ISNUMBER(SEARCH($AR$6:$AY$6,$AK24)))&gt;0),IF(COUNTIF($AR$9:$AY$9,4)=0,TRUE,SUMPRODUCT(($AR$9:$AY$9=4)*($AR$6:$AY$6&lt;&gt;"")*ISNUMBER(SEARCH($AR$6:$AY$6,$AK24)))&gt;0),IF(COUNTIF($AR$9:$AY$9,5)=0,TRUE,SUMPRODUCT(($AR$9:$AY$9=5)*($AR$6:$AY$6&lt;&gt;"")*ISNUMBER(SEARCH($AR$6:$AY$6,$AK24)))&gt;0),IF(COUNTIF($AR$9:$AY$9,6)=0,TRUE,SUMPRODUCT(($AR$9:$AY$9=6)*($AR$6:$AY$6&lt;&gt;"")*ISNUMBER(SEARCH($AR$6:$AY$6,$AK24)))&gt;0),IF(COUNTIF($AR$9:$AY$9,7)=0,TRUE,SUMPRODUCT(($AR$9:$AY$9=7)*($AR$6:$AY$6&lt;&gt;"")*ISNUMBER(SEARCH($AR$6:$AY$6,$AK24)))&gt;0),IF(COUNTIF($AR$9:$AY$9,8)=0,TRUE,SUMPRODUCT(($AR$9:$AY$9=8)*($AR$6:$AY$6&lt;&gt;"")*ISNUMBER(SEARCH($AR$6:$AY$6,$AK24)))&gt;0)),1,0)))</f>
        <v/>
      </c>
      <c r="AZ24">
        <f>IF($B$3="",IF(COUNTIF($A$4:$AI$4,"&lt;&gt;")=0,9,IF($AM24=1,9,10)),IF($AM24=0,10,IF(AND($AR$6&lt;&gt;"",ISNUMBER(SEARCH($AR$6,$AK24))),1,IF(AND($AS$6&lt;&gt;"",ISNUMBER(SEARCH($AS$6,$AK24))),2,IF(AND($AT$6&lt;&gt;"",ISNUMBER(SEARCH($AT$6,$AK24))),3,IF(AND($AU$6&lt;&gt;"",ISNUMBER(SEARCH($AU$6,$AK24))),4,IF(AND($AV$6&lt;&gt;"",ISNUMBER(SEARCH($AV$6,$AK24))),5,IF(AND($AW$6&lt;&gt;"",ISNUMBER(SEARCH($AW$6,$AK24))),6,IF(AND($AX$6&lt;&gt;"",ISNUMBER(SEARCH($AX$6,$AK24))),7,IF(AND($AY$6&lt;&gt;"",ISNUMBER(SEARCH($AY$6,$AK24))),8,0))))))))))</f>
        <v/>
      </c>
      <c r="BA24">
        <f>SUMPRODUCT(($AZ$5:$AZ$41=$AZ24)*($BC$5:$BC$41&lt;$BC24))+1</f>
        <v/>
      </c>
      <c r="BB24">
        <f>IF(INDEX($BF$4:$BF$13,$AZ24)=0,0,INDEX($BE$4:$BE$13,$AZ24)+$BA24-1)</f>
        <v/>
      </c>
      <c r="BC24" t="n">
        <v>23</v>
      </c>
      <c r="BH24">
        <f>IFERROR(MATCH(24,$BF$4:$BF$13,0),0)</f>
        <v/>
      </c>
      <c r="BI24">
        <f>IF(24=$BG$5,1,0)</f>
        <v/>
      </c>
      <c r="BJ24">
        <f>IF(OR($BH24&gt;0,$BI24=1,$BL24=1),0,IFERROR(INDEX($BC$5:$BC$41,MATCH(24,$BB$5:$BB$41,0)),0))</f>
        <v/>
      </c>
      <c r="BK24">
        <f>IF($BJ24&gt;0,IF(INDEX($AZ$5:$AZ$41,MATCH(24,$BB$5:$BB$41,0))=10,1,0),IF($BH24=10,1,0))</f>
        <v/>
      </c>
      <c r="BL24">
        <f>IF(24=$BG$4,1,0)</f>
        <v/>
      </c>
      <c r="BM24">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4">
        <f>IF($B$4="",1,--(OR(SUMPRODUCT(--(TRIM(MID(SUBSTITUTE(SUBSTITUTE($B$4,"/",","),",",REPT(" ",99)),(ROW($1:$8)-1)*99+1,99))&lt;&gt;""),--ISNUMBER(SEARCH(TRIM(MID(SUBSTITUTE(SUBSTITUTE($B$4,"/",","),",",REPT(" ",99)),(ROW($1:$8)-1)*99+1,99)),IFERROR(('Final Calculation Sheet'!$F$23)&amp;"",""))))&gt;0,AND(ISNUMBER(SEARCH("blank",$B$4)),NOT(ISNUMBER(SEARCH("nonblank",$B$4))),IFERROR(('Final Calculation Sheet'!$F$23)&amp;"","")=""),AND(OR(ISNUMBER(SEARCH("nonblank",$B$4)),ISNUMBER(SEARCH("&lt;&gt;",$B$4))),IFERROR(('Final Calculation Sheet'!$F$23)&amp;"","")&lt;&gt;""),AND(TRIM($B$4)="",IFERROR(('Final Calculation Sheet'!$F$23)&amp;"","")=""))))</f>
        <v/>
      </c>
      <c r="BO24">
        <f>IF($C$4="",1,--(OR(SUMPRODUCT(--(TRIM(MID(SUBSTITUTE(SUBSTITUTE($C$4,"/",","),",",REPT(" ",99)),(ROW($1:$8)-1)*99+1,99))&lt;&gt;""),--ISNUMBER(SEARCH(TRIM(MID(SUBSTITUTE(SUBSTITUTE($C$4,"/",","),",",REPT(" ",99)),(ROW($1:$8)-1)*99+1,99)),IFERROR(('Final Calculation Sheet'!$G$23)&amp;"",""))))&gt;0,AND(ISNUMBER(SEARCH("blank",$C$4)),NOT(ISNUMBER(SEARCH("nonblank",$C$4))),IFERROR(('Final Calculation Sheet'!$G$23)&amp;"","")=""),AND(OR(ISNUMBER(SEARCH("nonblank",$C$4)),ISNUMBER(SEARCH("&lt;&gt;",$C$4))),IFERROR(('Final Calculation Sheet'!$G$23)&amp;"","")&lt;&gt;""),AND(TRIM($C$4)="",IFERROR(('Final Calculation Sheet'!$G$23)&amp;"","")=""))))</f>
        <v/>
      </c>
      <c r="BP24">
        <f>IF($D$4="",1,--(OR(SUMPRODUCT(--(TRIM(MID(SUBSTITUTE(SUBSTITUTE($D$4,"/",","),",",REPT(" ",99)),(ROW($1:$8)-1)*99+1,99))&lt;&gt;""),--ISNUMBER(SEARCH(TRIM(MID(SUBSTITUTE(SUBSTITUTE($D$4,"/",","),",",REPT(" ",99)),(ROW($1:$8)-1)*99+1,99)),IFERROR(('Final Calculation Sheet'!$B$23)&amp;"",""))))&gt;0,AND(ISNUMBER(SEARCH("blank",$D$4)),NOT(ISNUMBER(SEARCH("nonblank",$D$4))),IFERROR(('Final Calculation Sheet'!$B$23)&amp;"","")=""),AND(OR(ISNUMBER(SEARCH("nonblank",$D$4)),ISNUMBER(SEARCH("&lt;&gt;",$D$4))),IFERROR(('Final Calculation Sheet'!$B$23)&amp;"","")&lt;&gt;""),AND(TRIM($D$4)="",IFERROR(('Final Calculation Sheet'!$B$23)&amp;"","")=""))))</f>
        <v/>
      </c>
      <c r="BQ24">
        <f>IF($E$4="",1,--(OR(SUMPRODUCT(--(TRIM(MID(SUBSTITUTE(SUBSTITUTE($E$4,"/",","),",",REPT(" ",99)),(ROW($1:$8)-1)*99+1,99))&lt;&gt;""),--ISNUMBER(SEARCH(TRIM(MID(SUBSTITUTE(SUBSTITUTE($E$4,"/",","),",",REPT(" ",99)),(ROW($1:$8)-1)*99+1,99)),IFERROR(('Final Calculation Sheet'!$D$23)&amp;"",""))))&gt;0,AND(ISNUMBER(SEARCH("blank",$E$4)),NOT(ISNUMBER(SEARCH("nonblank",$E$4))),IFERROR(('Final Calculation Sheet'!$D$23)&amp;"","")=""),AND(OR(ISNUMBER(SEARCH("nonblank",$E$4)),ISNUMBER(SEARCH("&lt;&gt;",$E$4))),IFERROR(('Final Calculation Sheet'!$D$23)&amp;"","")&lt;&gt;""),AND(TRIM($E$4)="",IFERROR(('Final Calculation Sheet'!$D$23)&amp;"","")=""))))</f>
        <v/>
      </c>
      <c r="BR24">
        <f>IF($F$4="",1,--(OR(SUMPRODUCT(--(TRIM(MID(SUBSTITUTE(SUBSTITUTE($F$4,"/",","),",",REPT(" ",99)),(ROW($1:$8)-1)*99+1,99))&lt;&gt;""),--ISNUMBER(SEARCH(TRIM(MID(SUBSTITUTE(SUBSTITUTE($F$4,"/",","),",",REPT(" ",99)),(ROW($1:$8)-1)*99+1,99)),IFERROR(('Final Calculation Sheet'!$A$23)&amp;"",""))))&gt;0,AND(ISNUMBER(SEARCH("blank",$F$4)),NOT(ISNUMBER(SEARCH("nonblank",$F$4))),IFERROR(('Final Calculation Sheet'!$A$23)&amp;"","")=""),AND(OR(ISNUMBER(SEARCH("nonblank",$F$4)),ISNUMBER(SEARCH("&lt;&gt;",$F$4))),IFERROR(('Final Calculation Sheet'!$A$23)&amp;"","")&lt;&gt;""),AND(TRIM($F$4)="",IFERROR(('Final Calculation Sheet'!$A$23)&amp;"","")=""))))</f>
        <v/>
      </c>
      <c r="BS24">
        <f>IF($G$4="",1,--(OR(SUMPRODUCT(--(TRIM(MID(SUBSTITUTE(SUBSTITUTE($G$4,"/",","),",",REPT(" ",99)),(ROW($1:$8)-1)*99+1,99))&lt;&gt;""),--ISNUMBER(SEARCH(TRIM(MID(SUBSTITUTE(SUBSTITUTE($G$4,"/",","),",",REPT(" ",99)),(ROW($1:$8)-1)*99+1,99)),IFERROR(('Final Calculation Sheet'!$E$23)&amp;"",""))))&gt;0,AND(ISNUMBER(SEARCH("blank",$G$4)),NOT(ISNUMBER(SEARCH("nonblank",$G$4))),IFERROR(('Final Calculation Sheet'!$E$23)&amp;"","")=""),AND(OR(ISNUMBER(SEARCH("nonblank",$G$4)),ISNUMBER(SEARCH("&lt;&gt;",$G$4))),IFERROR(('Final Calculation Sheet'!$E$23)&amp;"","")&lt;&gt;""),AND(TRIM($G$4)="",IFERROR(('Final Calculation Sheet'!$E$23)&amp;"","")=""))))</f>
        <v/>
      </c>
      <c r="BT24">
        <f>IF($H$4="",1,--(OR(SUMPRODUCT(--(TRIM(MID(SUBSTITUTE(SUBSTITUTE($H$4,"/",","),",",REPT(" ",99)),(ROW($1:$8)-1)*99+1,99))&lt;&gt;""),--ISNUMBER(SEARCH(TRIM(MID(SUBSTITUTE(SUBSTITUTE($H$4,"/",","),",",REPT(" ",99)),(ROW($1:$8)-1)*99+1,99)),IFERROR(('Final Calculation Sheet'!$C$23)&amp;"",""))))&gt;0,AND(ISNUMBER(SEARCH("blank",$H$4)),NOT(ISNUMBER(SEARCH("nonblank",$H$4))),IFERROR(('Final Calculation Sheet'!$C$23)&amp;"","")=""),AND(OR(ISNUMBER(SEARCH("nonblank",$H$4)),ISNUMBER(SEARCH("&lt;&gt;",$H$4))),IFERROR(('Final Calculation Sheet'!$C$23)&amp;"","")&lt;&gt;""),AND(TRIM($H$4)="",IFERROR(('Final Calculation Sheet'!$C$23)&amp;"","")=""))))</f>
        <v/>
      </c>
      <c r="BU24">
        <f>IF($I$4="",1,--(OR(SUMPRODUCT(--(TRIM(MID(SUBSTITUTE(SUBSTITUTE($I$4,"/",","),",",REPT(" ",99)),(ROW($1:$8)-1)*99+1,99))&lt;&gt;""),--ISNUMBER(SEARCH(TRIM(MID(SUBSTITUTE(SUBSTITUTE($I$4,"/",","),",",REPT(" ",99)),(ROW($1:$8)-1)*99+1,99)),IFERROR(('Final Calculation Sheet'!$H$23)&amp;"",""))))&gt;0,AND(ISNUMBER(SEARCH("blank",$I$4)),NOT(ISNUMBER(SEARCH("nonblank",$I$4))),IFERROR(('Final Calculation Sheet'!$H$23)&amp;"","")=""),AND(OR(ISNUMBER(SEARCH("nonblank",$I$4)),ISNUMBER(SEARCH("&lt;&gt;",$I$4))),IFERROR(('Final Calculation Sheet'!$H$23)&amp;"","")&lt;&gt;""),AND(TRIM($I$4)="",IFERROR(('Final Calculation Sheet'!$H$23)&amp;"","")=""))))</f>
        <v/>
      </c>
      <c r="BV24">
        <f>IF($J$4="",1,--(OR(SUMPRODUCT(--(TRIM(MID(SUBSTITUTE(SUBSTITUTE($J$4,"/",","),",",REPT(" ",99)),(ROW($1:$8)-1)*99+1,99))&lt;&gt;""),--ISNUMBER(SEARCH(TRIM(MID(SUBSTITUTE(SUBSTITUTE($J$4,"/",","),",",REPT(" ",99)),(ROW($1:$8)-1)*99+1,99)),IFERROR(('Final Calculation Sheet'!$I$23)&amp;"",""))))&gt;0,AND(ISNUMBER(SEARCH("blank",$J$4)),NOT(ISNUMBER(SEARCH("nonblank",$J$4))),IFERROR(('Final Calculation Sheet'!$I$23)&amp;"","")=""),AND(OR(ISNUMBER(SEARCH("nonblank",$J$4)),ISNUMBER(SEARCH("&lt;&gt;",$J$4))),IFERROR(('Final Calculation Sheet'!$I$23)&amp;"","")&lt;&gt;""),AND(TRIM($J$4)="",IFERROR(('Final Calculation Sheet'!$I$23)&amp;"","")=""))))</f>
        <v/>
      </c>
      <c r="BW24">
        <f>IF($K$4="",1,--(OR(SUMPRODUCT(--(TRIM(MID(SUBSTITUTE(SUBSTITUTE($K$4,"/",","),",",REPT(" ",99)),(ROW($1:$8)-1)*99+1,99))&lt;&gt;""),--ISNUMBER(SEARCH(TRIM(MID(SUBSTITUTE(SUBSTITUTE($K$4,"/",","),",",REPT(" ",99)),(ROW($1:$8)-1)*99+1,99)),IFERROR(('Final Calculation Sheet'!$J$23)&amp;"",""))))&gt;0,AND(ISNUMBER(SEARCH("blank",$K$4)),NOT(ISNUMBER(SEARCH("nonblank",$K$4))),IFERROR(('Final Calculation Sheet'!$J$23)&amp;"","")=""),AND(OR(ISNUMBER(SEARCH("nonblank",$K$4)),ISNUMBER(SEARCH("&lt;&gt;",$K$4))),IFERROR(('Final Calculation Sheet'!$J$23)&amp;"","")&lt;&gt;""),AND(TRIM($K$4)="",IFERROR(('Final Calculation Sheet'!$J$23)&amp;"","")=""))))</f>
        <v/>
      </c>
      <c r="BX24">
        <f>IF($L$4="",1,--(OR(SUMPRODUCT(--(TRIM(MID(SUBSTITUTE(SUBSTITUTE($L$4,"/",","),",",REPT(" ",99)),(ROW($1:$8)-1)*99+1,99))&lt;&gt;""),--ISNUMBER(SEARCH(TRIM(MID(SUBSTITUTE(SUBSTITUTE($L$4,"/",","),",",REPT(" ",99)),(ROW($1:$8)-1)*99+1,99)),IFERROR(('Final Calculation Sheet'!$K$23)&amp;"",""))))&gt;0,AND(ISNUMBER(SEARCH("blank",$L$4)),NOT(ISNUMBER(SEARCH("nonblank",$L$4))),IFERROR(('Final Calculation Sheet'!$K$23)&amp;"","")=""),AND(OR(ISNUMBER(SEARCH("nonblank",$L$4)),ISNUMBER(SEARCH("&lt;&gt;",$L$4))),IFERROR(('Final Calculation Sheet'!$K$23)&amp;"","")&lt;&gt;""),AND(TRIM($L$4)="",IFERROR(('Final Calculation Sheet'!$K$23)&amp;"","")=""))))</f>
        <v/>
      </c>
      <c r="BY24">
        <f>IF($M$4="",1,--(OR(SUMPRODUCT(--(TRIM(MID(SUBSTITUTE(SUBSTITUTE($M$4,"/",","),",",REPT(" ",99)),(ROW($1:$8)-1)*99+1,99))&lt;&gt;""),--ISNUMBER(SEARCH(TRIM(MID(SUBSTITUTE(SUBSTITUTE($M$4,"/",","),",",REPT(" ",99)),(ROW($1:$8)-1)*99+1,99)),IFERROR(('Final Calculation Sheet'!$L$23)&amp;"",""))))&gt;0,AND(ISNUMBER(SEARCH("blank",$M$4)),NOT(ISNUMBER(SEARCH("nonblank",$M$4))),IFERROR(('Final Calculation Sheet'!$L$23)&amp;"","")=""),AND(OR(ISNUMBER(SEARCH("nonblank",$M$4)),ISNUMBER(SEARCH("&lt;&gt;",$M$4))),IFERROR(('Final Calculation Sheet'!$L$23)&amp;"","")&lt;&gt;""),AND(TRIM($M$4)="",IFERROR(('Final Calculation Sheet'!$L$23)&amp;"","")=""))))</f>
        <v/>
      </c>
      <c r="BZ24">
        <f>IF($N$4="",1,--(OR(SUMPRODUCT(--(TRIM(MID(SUBSTITUTE(SUBSTITUTE($N$4,"/",","),",",REPT(" ",99)),(ROW($1:$8)-1)*99+1,99))&lt;&gt;""),--ISNUMBER(SEARCH(TRIM(MID(SUBSTITUTE(SUBSTITUTE($N$4,"/",","),",",REPT(" ",99)),(ROW($1:$8)-1)*99+1,99)),IFERROR(('Final Calculation Sheet'!$M$23)&amp;"",""))))&gt;0,AND(ISNUMBER(SEARCH("blank",$N$4)),NOT(ISNUMBER(SEARCH("nonblank",$N$4))),IFERROR(('Final Calculation Sheet'!$M$23)&amp;"","")=""),AND(OR(ISNUMBER(SEARCH("nonblank",$N$4)),ISNUMBER(SEARCH("&lt;&gt;",$N$4))),IFERROR(('Final Calculation Sheet'!$M$23)&amp;"","")&lt;&gt;""),AND(TRIM($N$4)="",IFERROR(('Final Calculation Sheet'!$M$23)&amp;"","")=""))))</f>
        <v/>
      </c>
      <c r="CA24">
        <f>IF($O$4="",1,--(OR(SUMPRODUCT(--(TRIM(MID(SUBSTITUTE(SUBSTITUTE($O$4,"/",","),",",REPT(" ",99)),(ROW($1:$8)-1)*99+1,99))&lt;&gt;""),--ISNUMBER(SEARCH(TRIM(MID(SUBSTITUTE(SUBSTITUTE($O$4,"/",","),",",REPT(" ",99)),(ROW($1:$8)-1)*99+1,99)),IFERROR(('Final Calculation Sheet'!$N$23)&amp;"",""))))&gt;0,AND(ISNUMBER(SEARCH("blank",$O$4)),NOT(ISNUMBER(SEARCH("nonblank",$O$4))),IFERROR(('Final Calculation Sheet'!$N$23)&amp;"","")=""),AND(OR(ISNUMBER(SEARCH("nonblank",$O$4)),ISNUMBER(SEARCH("&lt;&gt;",$O$4))),IFERROR(('Final Calculation Sheet'!$N$23)&amp;"","")&lt;&gt;""),AND(TRIM($O$4)="",IFERROR(('Final Calculation Sheet'!$N$23)&amp;"","")=""))))</f>
        <v/>
      </c>
      <c r="CB24">
        <f>IF($P$4="",1,--(OR(SUMPRODUCT(--(TRIM(MID(SUBSTITUTE(SUBSTITUTE($P$4,"/",","),",",REPT(" ",99)),(ROW($1:$8)-1)*99+1,99))&lt;&gt;""),--ISNUMBER(SEARCH(TRIM(MID(SUBSTITUTE(SUBSTITUTE($P$4,"/",","),",",REPT(" ",99)),(ROW($1:$8)-1)*99+1,99)),IFERROR(('Final Calculation Sheet'!$O$23)&amp;"",""))))&gt;0,AND(ISNUMBER(SEARCH("blank",$P$4)),NOT(ISNUMBER(SEARCH("nonblank",$P$4))),IFERROR(('Final Calculation Sheet'!$O$23)&amp;"","")=""),AND(OR(ISNUMBER(SEARCH("nonblank",$P$4)),ISNUMBER(SEARCH("&lt;&gt;",$P$4))),IFERROR(('Final Calculation Sheet'!$O$23)&amp;"","")&lt;&gt;""),AND(TRIM($P$4)="",IFERROR(('Final Calculation Sheet'!$O$23)&amp;"","")=""))))</f>
        <v/>
      </c>
      <c r="CC24">
        <f>IF($Q$4="",1,--(OR(SUMPRODUCT(--(TRIM(MID(SUBSTITUTE(SUBSTITUTE($Q$4,"/",","),",",REPT(" ",99)),(ROW($1:$8)-1)*99+1,99))&lt;&gt;""),--ISNUMBER(SEARCH(TRIM(MID(SUBSTITUTE(SUBSTITUTE($Q$4,"/",","),",",REPT(" ",99)),(ROW($1:$8)-1)*99+1,99)),IFERROR(('Final Calculation Sheet'!$P$23)&amp;"",""))))&gt;0,AND(ISNUMBER(SEARCH("blank",$Q$4)),NOT(ISNUMBER(SEARCH("nonblank",$Q$4))),IFERROR(('Final Calculation Sheet'!$P$23)&amp;"","")=""),AND(OR(ISNUMBER(SEARCH("nonblank",$Q$4)),ISNUMBER(SEARCH("&lt;&gt;",$Q$4))),IFERROR(('Final Calculation Sheet'!$P$23)&amp;"","")&lt;&gt;""),AND(TRIM($Q$4)="",IFERROR(('Final Calculation Sheet'!$P$23)&amp;"","")=""))))</f>
        <v/>
      </c>
      <c r="CD24">
        <f>IF($R$4="",1,--(OR(SUMPRODUCT(--(TRIM(MID(SUBSTITUTE(SUBSTITUTE($R$4,"/",","),",",REPT(" ",99)),(ROW($1:$8)-1)*99+1,99))&lt;&gt;""),--ISNUMBER(SEARCH(TRIM(MID(SUBSTITUTE(SUBSTITUTE($R$4,"/",","),",",REPT(" ",99)),(ROW($1:$8)-1)*99+1,99)),IFERROR(('Final Calculation Sheet'!$Q$23)&amp;"",""))))&gt;0,AND(ISNUMBER(SEARCH("blank",$R$4)),NOT(ISNUMBER(SEARCH("nonblank",$R$4))),IFERROR(('Final Calculation Sheet'!$Q$23)&amp;"","")=""),AND(OR(ISNUMBER(SEARCH("nonblank",$R$4)),ISNUMBER(SEARCH("&lt;&gt;",$R$4))),IFERROR(('Final Calculation Sheet'!$Q$23)&amp;"","")&lt;&gt;""),AND(TRIM($R$4)="",IFERROR(('Final Calculation Sheet'!$Q$23)&amp;"","")=""))))</f>
        <v/>
      </c>
      <c r="CE24">
        <f>IF($S$4="",1,--(OR(SUMPRODUCT(--(TRIM(MID(SUBSTITUTE(SUBSTITUTE($S$4,"/",","),",",REPT(" ",99)),(ROW($1:$8)-1)*99+1,99))&lt;&gt;""),--ISNUMBER(SEARCH(TRIM(MID(SUBSTITUTE(SUBSTITUTE($S$4,"/",","),",",REPT(" ",99)),(ROW($1:$8)-1)*99+1,99)),IFERROR(('Final Calculation Sheet'!$R$23)&amp;"",""))))&gt;0,AND(ISNUMBER(SEARCH("blank",$S$4)),NOT(ISNUMBER(SEARCH("nonblank",$S$4))),IFERROR(('Final Calculation Sheet'!$R$23)&amp;"","")=""),AND(OR(ISNUMBER(SEARCH("nonblank",$S$4)),ISNUMBER(SEARCH("&lt;&gt;",$S$4))),IFERROR(('Final Calculation Sheet'!$R$23)&amp;"","")&lt;&gt;""),AND(TRIM($S$4)="",IFERROR(('Final Calculation Sheet'!$R$23)&amp;"","")=""))))</f>
        <v/>
      </c>
      <c r="CF24">
        <f>IF($T$4="",1,--(OR(SUMPRODUCT(--(TRIM(MID(SUBSTITUTE(SUBSTITUTE($T$4,"/",","),",",REPT(" ",99)),(ROW($1:$8)-1)*99+1,99))&lt;&gt;""),--ISNUMBER(SEARCH(TRIM(MID(SUBSTITUTE(SUBSTITUTE($T$4,"/",","),",",REPT(" ",99)),(ROW($1:$8)-1)*99+1,99)),IFERROR(('Final Calculation Sheet'!$S$23)&amp;"",""))))&gt;0,AND(ISNUMBER(SEARCH("blank",$T$4)),NOT(ISNUMBER(SEARCH("nonblank",$T$4))),IFERROR(('Final Calculation Sheet'!$S$23)&amp;"","")=""),AND(OR(ISNUMBER(SEARCH("nonblank",$T$4)),ISNUMBER(SEARCH("&lt;&gt;",$T$4))),IFERROR(('Final Calculation Sheet'!$S$23)&amp;"","")&lt;&gt;""),AND(TRIM($T$4)="",IFERROR(('Final Calculation Sheet'!$S$23)&amp;"","")=""))))</f>
        <v/>
      </c>
      <c r="CG24">
        <f>IF($U$4="",1,--(OR(SUMPRODUCT(--(TRIM(MID(SUBSTITUTE(SUBSTITUTE($U$4,"/",","),",",REPT(" ",99)),(ROW($1:$8)-1)*99+1,99))&lt;&gt;""),--ISNUMBER(SEARCH(TRIM(MID(SUBSTITUTE(SUBSTITUTE($U$4,"/",","),",",REPT(" ",99)),(ROW($1:$8)-1)*99+1,99)),IFERROR(('Final Calculation Sheet'!$T$23)&amp;"",""))))&gt;0,AND(ISNUMBER(SEARCH("blank",$U$4)),NOT(ISNUMBER(SEARCH("nonblank",$U$4))),IFERROR(('Final Calculation Sheet'!$T$23)&amp;"","")=""),AND(OR(ISNUMBER(SEARCH("nonblank",$U$4)),ISNUMBER(SEARCH("&lt;&gt;",$U$4))),IFERROR(('Final Calculation Sheet'!$T$23)&amp;"","")&lt;&gt;""),AND(TRIM($U$4)="",IFERROR(('Final Calculation Sheet'!$T$23)&amp;"","")=""))))</f>
        <v/>
      </c>
      <c r="CH24">
        <f>IF($V$4="",1,--(OR(SUMPRODUCT(--(TRIM(MID(SUBSTITUTE(SUBSTITUTE($V$4,"/",","),",",REPT(" ",99)),(ROW($1:$8)-1)*99+1,99))&lt;&gt;""),--ISNUMBER(SEARCH(TRIM(MID(SUBSTITUTE(SUBSTITUTE($V$4,"/",","),",",REPT(" ",99)),(ROW($1:$8)-1)*99+1,99)),IFERROR(('Final Calculation Sheet'!$U$23)&amp;"",""))))&gt;0,AND(ISNUMBER(SEARCH("blank",$V$4)),NOT(ISNUMBER(SEARCH("nonblank",$V$4))),IFERROR(('Final Calculation Sheet'!$U$23)&amp;"","")=""),AND(OR(ISNUMBER(SEARCH("nonblank",$V$4)),ISNUMBER(SEARCH("&lt;&gt;",$V$4))),IFERROR(('Final Calculation Sheet'!$U$23)&amp;"","")&lt;&gt;""),AND(TRIM($V$4)="",IFERROR(('Final Calculation Sheet'!$U$23)&amp;"","")=""))))</f>
        <v/>
      </c>
      <c r="CI24">
        <f>IF($W$4="",1,--(OR(SUMPRODUCT(--(TRIM(MID(SUBSTITUTE(SUBSTITUTE($W$4,"/",","),",",REPT(" ",99)),(ROW($1:$8)-1)*99+1,99))&lt;&gt;""),--ISNUMBER(SEARCH(TRIM(MID(SUBSTITUTE(SUBSTITUTE($W$4,"/",","),",",REPT(" ",99)),(ROW($1:$8)-1)*99+1,99)),IFERROR(('Final Calculation Sheet'!$V$23)&amp;"",""))))&gt;0,AND(ISNUMBER(SEARCH("blank",$W$4)),NOT(ISNUMBER(SEARCH("nonblank",$W$4))),IFERROR(('Final Calculation Sheet'!$V$23)&amp;"","")=""),AND(OR(ISNUMBER(SEARCH("nonblank",$W$4)),ISNUMBER(SEARCH("&lt;&gt;",$W$4))),IFERROR(('Final Calculation Sheet'!$V$23)&amp;"","")&lt;&gt;""),AND(TRIM($W$4)="",IFERROR(('Final Calculation Sheet'!$V$23)&amp;"","")=""))))</f>
        <v/>
      </c>
      <c r="CJ24">
        <f>IF($X$4="",1,--(OR(SUMPRODUCT(--(TRIM(MID(SUBSTITUTE(SUBSTITUTE($X$4,"/",","),",",REPT(" ",99)),(ROW($1:$8)-1)*99+1,99))&lt;&gt;""),--ISNUMBER(SEARCH(TRIM(MID(SUBSTITUTE(SUBSTITUTE($X$4,"/",","),",",REPT(" ",99)),(ROW($1:$8)-1)*99+1,99)),IFERROR(('Final Calculation Sheet'!$W$23)&amp;"",""))))&gt;0,AND(ISNUMBER(SEARCH("blank",$X$4)),NOT(ISNUMBER(SEARCH("nonblank",$X$4))),IFERROR(('Final Calculation Sheet'!$W$23)&amp;"","")=""),AND(OR(ISNUMBER(SEARCH("nonblank",$X$4)),ISNUMBER(SEARCH("&lt;&gt;",$X$4))),IFERROR(('Final Calculation Sheet'!$W$23)&amp;"","")&lt;&gt;""),AND(TRIM($X$4)="",IFERROR(('Final Calculation Sheet'!$W$23)&amp;"","")=""))))</f>
        <v/>
      </c>
      <c r="CK24">
        <f>IF($Y$4="",1,--(OR(SUMPRODUCT(--(TRIM(MID(SUBSTITUTE(SUBSTITUTE($Y$4,"/",","),",",REPT(" ",99)),(ROW($1:$8)-1)*99+1,99))&lt;&gt;""),--ISNUMBER(SEARCH(TRIM(MID(SUBSTITUTE(SUBSTITUTE($Y$4,"/",","),",",REPT(" ",99)),(ROW($1:$8)-1)*99+1,99)),IFERROR(('Final Calculation Sheet'!$X$23)&amp;"",""))))&gt;0,AND(ISNUMBER(SEARCH("blank",$Y$4)),NOT(ISNUMBER(SEARCH("nonblank",$Y$4))),IFERROR(('Final Calculation Sheet'!$X$23)&amp;"","")=""),AND(OR(ISNUMBER(SEARCH("nonblank",$Y$4)),ISNUMBER(SEARCH("&lt;&gt;",$Y$4))),IFERROR(('Final Calculation Sheet'!$X$23)&amp;"","")&lt;&gt;""),AND(TRIM($Y$4)="",IFERROR(('Final Calculation Sheet'!$X$23)&amp;"","")=""))))</f>
        <v/>
      </c>
      <c r="CL24">
        <f>IF($Z$4="",1,--(OR(SUMPRODUCT(--(TRIM(MID(SUBSTITUTE(SUBSTITUTE($Z$4,"/",","),",",REPT(" ",99)),(ROW($1:$8)-1)*99+1,99))&lt;&gt;""),--ISNUMBER(SEARCH(TRIM(MID(SUBSTITUTE(SUBSTITUTE($Z$4,"/",","),",",REPT(" ",99)),(ROW($1:$8)-1)*99+1,99)),IFERROR(('Final Calculation Sheet'!$Y$23)&amp;"",""))))&gt;0,AND(ISNUMBER(SEARCH("blank",$Z$4)),NOT(ISNUMBER(SEARCH("nonblank",$Z$4))),IFERROR(('Final Calculation Sheet'!$Y$23)&amp;"","")=""),AND(OR(ISNUMBER(SEARCH("nonblank",$Z$4)),ISNUMBER(SEARCH("&lt;&gt;",$Z$4))),IFERROR(('Final Calculation Sheet'!$Y$23)&amp;"","")&lt;&gt;""),AND(TRIM($Z$4)="",IFERROR(('Final Calculation Sheet'!$Y$23)&amp;"","")=""))))</f>
        <v/>
      </c>
      <c r="CM24">
        <f>IF($AA$4="",1,--(OR(SUMPRODUCT(--(TRIM(MID(SUBSTITUTE(SUBSTITUTE($AA$4,"/",","),",",REPT(" ",99)),(ROW($1:$8)-1)*99+1,99))&lt;&gt;""),--ISNUMBER(SEARCH(TRIM(MID(SUBSTITUTE(SUBSTITUTE($AA$4,"/",","),",",REPT(" ",99)),(ROW($1:$8)-1)*99+1,99)),IFERROR(('Final Calculation Sheet'!$Z$23)&amp;"",""))))&gt;0,AND(ISNUMBER(SEARCH("blank",$AA$4)),NOT(ISNUMBER(SEARCH("nonblank",$AA$4))),IFERROR(('Final Calculation Sheet'!$Z$23)&amp;"","")=""),AND(OR(ISNUMBER(SEARCH("nonblank",$AA$4)),ISNUMBER(SEARCH("&lt;&gt;",$AA$4))),IFERROR(('Final Calculation Sheet'!$Z$23)&amp;"","")&lt;&gt;""),AND(TRIM($AA$4)="",IFERROR(('Final Calculation Sheet'!$Z$23)&amp;"","")=""))))</f>
        <v/>
      </c>
      <c r="CN24">
        <f>IF($AB$4="",1,--(OR(SUMPRODUCT(--(TRIM(MID(SUBSTITUTE(SUBSTITUTE($AB$4,"/",","),",",REPT(" ",99)),(ROW($1:$8)-1)*99+1,99))&lt;&gt;""),--ISNUMBER(SEARCH(TRIM(MID(SUBSTITUTE(SUBSTITUTE($AB$4,"/",","),",",REPT(" ",99)),(ROW($1:$8)-1)*99+1,99)),IFERROR(('Final Calculation Sheet'!$AA$23)&amp;"",""))))&gt;0,AND(ISNUMBER(SEARCH("blank",$AB$4)),NOT(ISNUMBER(SEARCH("nonblank",$AB$4))),IFERROR(('Final Calculation Sheet'!$AA$23)&amp;"","")=""),AND(OR(ISNUMBER(SEARCH("nonblank",$AB$4)),ISNUMBER(SEARCH("&lt;&gt;",$AB$4))),IFERROR(('Final Calculation Sheet'!$AA$23)&amp;"","")&lt;&gt;""),AND(TRIM($AB$4)="",IFERROR(('Final Calculation Sheet'!$AA$23)&amp;"","")=""))))</f>
        <v/>
      </c>
      <c r="CO24">
        <f>IF($AC$4="",1,--(OR(SUMPRODUCT(--(TRIM(MID(SUBSTITUTE(SUBSTITUTE($AC$4,"/",","),",",REPT(" ",99)),(ROW($1:$8)-1)*99+1,99))&lt;&gt;""),--ISNUMBER(SEARCH(TRIM(MID(SUBSTITUTE(SUBSTITUTE($AC$4,"/",","),",",REPT(" ",99)),(ROW($1:$8)-1)*99+1,99)),IFERROR(('Final Calculation Sheet'!$AB$23)&amp;"",""))))&gt;0,AND(ISNUMBER(SEARCH("blank",$AC$4)),NOT(ISNUMBER(SEARCH("nonblank",$AC$4))),IFERROR(('Final Calculation Sheet'!$AB$23)&amp;"","")=""),AND(OR(ISNUMBER(SEARCH("nonblank",$AC$4)),ISNUMBER(SEARCH("&lt;&gt;",$AC$4))),IFERROR(('Final Calculation Sheet'!$AB$23)&amp;"","")&lt;&gt;""),AND(TRIM($AC$4)="",IFERROR(('Final Calculation Sheet'!$AB$23)&amp;"","")=""))))</f>
        <v/>
      </c>
      <c r="CP24">
        <f>IF($AD$4="",1,--(OR(SUMPRODUCT(--(TRIM(MID(SUBSTITUTE(SUBSTITUTE($AD$4,"/",","),",",REPT(" ",99)),(ROW($1:$8)-1)*99+1,99))&lt;&gt;""),--ISNUMBER(SEARCH(TRIM(MID(SUBSTITUTE(SUBSTITUTE($AD$4,"/",","),",",REPT(" ",99)),(ROW($1:$8)-1)*99+1,99)),IFERROR(('Final Calculation Sheet'!$AC$23)&amp;"",""))))&gt;0,AND(ISNUMBER(SEARCH("blank",$AD$4)),NOT(ISNUMBER(SEARCH("nonblank",$AD$4))),IFERROR(('Final Calculation Sheet'!$AC$23)&amp;"","")=""),AND(OR(ISNUMBER(SEARCH("nonblank",$AD$4)),ISNUMBER(SEARCH("&lt;&gt;",$AD$4))),IFERROR(('Final Calculation Sheet'!$AC$23)&amp;"","")&lt;&gt;""),AND(TRIM($AD$4)="",IFERROR(('Final Calculation Sheet'!$AC$23)&amp;"","")=""))))</f>
        <v/>
      </c>
      <c r="CQ24">
        <f>IF($AE$4="",1,--(OR(SUMPRODUCT(--(TRIM(MID(SUBSTITUTE(SUBSTITUTE($AE$4,"/",","),",",REPT(" ",99)),(ROW($1:$8)-1)*99+1,99))&lt;&gt;""),--ISNUMBER(SEARCH(TRIM(MID(SUBSTITUTE(SUBSTITUTE($AE$4,"/",","),",",REPT(" ",99)),(ROW($1:$8)-1)*99+1,99)),IFERROR(('Final Calculation Sheet'!$AD$23)&amp;"",""))))&gt;0,AND(ISNUMBER(SEARCH("blank",$AE$4)),NOT(ISNUMBER(SEARCH("nonblank",$AE$4))),IFERROR(('Final Calculation Sheet'!$AD$23)&amp;"","")=""),AND(OR(ISNUMBER(SEARCH("nonblank",$AE$4)),ISNUMBER(SEARCH("&lt;&gt;",$AE$4))),IFERROR(('Final Calculation Sheet'!$AD$23)&amp;"","")&lt;&gt;""),AND(TRIM($AE$4)="",IFERROR(('Final Calculation Sheet'!$AD$23)&amp;"","")=""))))</f>
        <v/>
      </c>
      <c r="CR24">
        <f>IF($AF$4="",1,--(OR(SUMPRODUCT(--(TRIM(MID(SUBSTITUTE(SUBSTITUTE($AF$4,"/",","),",",REPT(" ",99)),(ROW($1:$8)-1)*99+1,99))&lt;&gt;""),--ISNUMBER(SEARCH(TRIM(MID(SUBSTITUTE(SUBSTITUTE($AF$4,"/",","),",",REPT(" ",99)),(ROW($1:$8)-1)*99+1,99)),IFERROR(('Final Calculation Sheet'!$AE$23)&amp;"",""))))&gt;0,AND(ISNUMBER(SEARCH("blank",$AF$4)),NOT(ISNUMBER(SEARCH("nonblank",$AF$4))),IFERROR(('Final Calculation Sheet'!$AE$23)&amp;"","")=""),AND(OR(ISNUMBER(SEARCH("nonblank",$AF$4)),ISNUMBER(SEARCH("&lt;&gt;",$AF$4))),IFERROR(('Final Calculation Sheet'!$AE$23)&amp;"","")&lt;&gt;""),AND(TRIM($AF$4)="",IFERROR(('Final Calculation Sheet'!$AE$23)&amp;"","")=""))))</f>
        <v/>
      </c>
      <c r="CS24">
        <f>IF($AG$4="",1,--(OR(SUMPRODUCT(--(TRIM(MID(SUBSTITUTE(SUBSTITUTE($AG$4,"/",","),",",REPT(" ",99)),(ROW($1:$8)-1)*99+1,99))&lt;&gt;""),--ISNUMBER(SEARCH(TRIM(MID(SUBSTITUTE(SUBSTITUTE($AG$4,"/",","),",",REPT(" ",99)),(ROW($1:$8)-1)*99+1,99)),IFERROR(('Final Calculation Sheet'!$AF$23)&amp;"",""))))&gt;0,AND(ISNUMBER(SEARCH("blank",$AG$4)),NOT(ISNUMBER(SEARCH("nonblank",$AG$4))),IFERROR(('Final Calculation Sheet'!$AF$23)&amp;"","")=""),AND(OR(ISNUMBER(SEARCH("nonblank",$AG$4)),ISNUMBER(SEARCH("&lt;&gt;",$AG$4))),IFERROR(('Final Calculation Sheet'!$AF$23)&amp;"","")&lt;&gt;""),AND(TRIM($AG$4)="",IFERROR(('Final Calculation Sheet'!$AF$23)&amp;"","")=""))))</f>
        <v/>
      </c>
      <c r="CT24">
        <f>IF($AH$4="",1,--(OR(SUMPRODUCT(--(TRIM(MID(SUBSTITUTE(SUBSTITUTE($AH$4,"/",","),",",REPT(" ",99)),(ROW($1:$8)-1)*99+1,99))&lt;&gt;""),--ISNUMBER(SEARCH(TRIM(MID(SUBSTITUTE(SUBSTITUTE($AH$4,"/",","),",",REPT(" ",99)),(ROW($1:$8)-1)*99+1,99)),IFERROR(('Final Calculation Sheet'!$AG$23)&amp;"",""))))&gt;0,AND(ISNUMBER(SEARCH("blank",$AH$4)),NOT(ISNUMBER(SEARCH("nonblank",$AH$4))),IFERROR(('Final Calculation Sheet'!$AG$23)&amp;"","")=""),AND(OR(ISNUMBER(SEARCH("nonblank",$AH$4)),ISNUMBER(SEARCH("&lt;&gt;",$AH$4))),IFERROR(('Final Calculation Sheet'!$AG$23)&amp;"","")&lt;&gt;""),AND(TRIM($AH$4)="",IFERROR(('Final Calculation Sheet'!$AG$23)&amp;"","")=""))))</f>
        <v/>
      </c>
      <c r="CU24">
        <f>IF($AI$4="",1,--(OR(SUMPRODUCT(--(TRIM(MID(SUBSTITUTE(SUBSTITUTE($AI$4,"/",","),",",REPT(" ",99)),(ROW($1:$8)-1)*99+1,99))&lt;&gt;""),--ISNUMBER(SEARCH(TRIM(MID(SUBSTITUTE(SUBSTITUTE($AI$4,"/",","),",",REPT(" ",99)),(ROW($1:$8)-1)*99+1,99)),IFERROR((IF('Final Calculation Sheet'!$AD$23&lt;=0,"SETTLED","OUTSTANDING"))&amp;"",""))))&gt;0,AND(ISNUMBER(SEARCH("blank",$AI$4)),NOT(ISNUMBER(SEARCH("nonblank",$AI$4))),IFERROR((IF('Final Calculation Sheet'!$AD$23&lt;=0,"SETTLED","OUTSTANDING"))&amp;"","")=""),AND(OR(ISNUMBER(SEARCH("nonblank",$AI$4)),ISNUMBER(SEARCH("&lt;&gt;",$AI$4))),IFERROR((IF('Final Calculation Sheet'!$AD$23&lt;=0,"SETTLED","OUTSTANDING"))&amp;"","")&lt;&gt;""),AND(TRIM($AI$4)="",IFERROR((IF('Final Calculation Sheet'!$AD$23&lt;=0,"SETTLED","OUTSTANDING"))&amp;"","")=""))))</f>
        <v/>
      </c>
    </row>
    <row r="25" ht="15" customHeight="1" s="77">
      <c r="A25" s="67">
        <f>IF($BJ24&gt;0,INDEX($BA$5:$BA$41,MATCH(24,$BB$5:$BB$41,0)),IF(OR($BI24=1,$BL24=1,$BH24&gt;0),"∑",""))</f>
        <v/>
      </c>
      <c r="B25" s="68">
        <f>IF($BJ24&gt;0,IF(INDEX('Final Calculation Sheet'!$F$4:$F$40,$BJ24-3)="","",INDEX('Final Calculation Sheet'!$F$4:$F$40,$BJ24-3)),"")</f>
        <v/>
      </c>
      <c r="C25" s="68">
        <f>IF($BJ24&gt;0,IF(INDEX('Final Calculation Sheet'!$G$4:$G$40,$BJ24-3)="","",INDEX('Final Calculation Sheet'!$G$4:$G$40,$BJ24-3)),IF(OR($BI24=1,$BL24=1,$BH24&gt;0),IF($BI24=1,37,IF($BL24=1,37-INDEX($BD$4:$BD$13,10),INDEX($BD$4:$BD$13,$BH24)))&amp;" lot(s)",""))</f>
        <v/>
      </c>
      <c r="D25" s="69">
        <f>IF($BJ24&gt;0,IF(INDEX('Final Calculation Sheet'!$B$4:$B$40,$BJ24-3)="","",INDEX('Final Calculation Sheet'!$B$4:$B$40,$BJ24-3)),IF(OR($BI24=1,$BL24=1,$BH24&gt;0),IF($BI24=1,"GRAND TOTAL  —  matching + remaining",IF($BL24=1,"TOTAL MATCHED  —  every group together",IF($BH24=10,"REMAINING  —  did not match the search",IF($BH24=9,IF(COUNTIF($A$4:$AI$4,"&lt;&gt;")&gt;0,"FILTERED LOTS  —  column fields","ALL LOTS  —  nothing typed in the box"),"GROUP "&amp;$BH24&amp;" TOTAL  —  lots matching  "&amp;INDEX($AR$6:$AY$6,$BH24))))),""))</f>
        <v/>
      </c>
      <c r="E25" s="69">
        <f>IF($BJ24&gt;0,IF(INDEX('Final Calculation Sheet'!$D$4:$D$40,$BJ24-3)="","",INDEX('Final Calculation Sheet'!$D$4:$D$40,$BJ24-3)),IF(OR($BI24=1,$BL24=1,$BH24&gt;0),"–",""))</f>
        <v/>
      </c>
      <c r="F25" s="69">
        <f>IF($BJ24&gt;0,IF(INDEX('Final Calculation Sheet'!$A$4:$A$40,$BJ24-3)="","",INDEX('Final Calculation Sheet'!$A$4:$A$40,$BJ24-3)),IF(OR($BI24=1,$BL24=1,$BH24&gt;0),IF($BI24=1,SUM('Final Calculation Sheet'!$A$4:$A$40),IF($BL24=1,SUM('Final Calculation Sheet'!$A$4:$A$40)-SUMIFS('Final Calculation Sheet'!$A$4:$A$40,$AZ$5:$AZ$41,10),SUMIFS('Final Calculation Sheet'!$A$4:$A$40,$AZ$5:$AZ$41,$BH24))),""))</f>
        <v/>
      </c>
      <c r="G25" s="69">
        <f>IF($BJ24&gt;0,IF(INDEX('Final Calculation Sheet'!$E$4:$E$40,$BJ24-3)="","",INDEX('Final Calculation Sheet'!$E$4:$E$40,$BJ24-3)),IF(OR($BI24=1,$BL24=1,$BH24&gt;0),"–",""))</f>
        <v/>
      </c>
      <c r="H25" s="70">
        <f>IF($BJ24&gt;0,IF(INDEX('Final Calculation Sheet'!$C$4:$C$40,$BJ24-3)="","",INDEX('Final Calculation Sheet'!$C$4:$C$40,$BJ24-3)),IF(OR($BI24=1,$BL24=1,$BH24&gt;0),"–",""))</f>
        <v/>
      </c>
      <c r="I25" s="70">
        <f>IF($BJ24&gt;0,IF(INDEX('Final Calculation Sheet'!$H$4:$H$40,$BJ24-3)="","",INDEX('Final Calculation Sheet'!$H$4:$H$40,$BJ24-3)),IF(OR($BI24=1,$BL24=1,$BH24&gt;0),IF($BI24=1,SUM('Final Calculation Sheet'!$H$4:$H$40),IF($BL24=1,SUM('Final Calculation Sheet'!$H$4:$H$40)-SUMIFS('Final Calculation Sheet'!$H$4:$H$40,$AZ$5:$AZ$41,10),SUMIFS('Final Calculation Sheet'!$H$4:$H$40,$AZ$5:$AZ$41,$BH24))),""))</f>
        <v/>
      </c>
      <c r="J25" s="70">
        <f>IF($BJ24&gt;0,IF(INDEX('Final Calculation Sheet'!$I$4:$I$40,$BJ24-3)="","",INDEX('Final Calculation Sheet'!$I$4:$I$40,$BJ24-3)),IF(OR($BI24=1,$BL24=1,$BH24&gt;0),IF($BI24=1,SUM('Final Calculation Sheet'!$I$4:$I$40),IF($BL24=1,SUM('Final Calculation Sheet'!$I$4:$I$40)-SUMIFS('Final Calculation Sheet'!$I$4:$I$40,$AZ$5:$AZ$41,10),SUMIFS('Final Calculation Sheet'!$I$4:$I$40,$AZ$5:$AZ$41,$BH24))),""))</f>
        <v/>
      </c>
      <c r="K25" s="70">
        <f>IF($BJ24&gt;0,IF(INDEX('Final Calculation Sheet'!$J$4:$J$40,$BJ24-3)="","",INDEX('Final Calculation Sheet'!$J$4:$J$40,$BJ24-3)),IF(OR($BI24=1,$BL24=1,$BH24&gt;0),IF($BI24=1,SUM('Final Calculation Sheet'!$J$4:$J$40),IF($BL24=1,SUM('Final Calculation Sheet'!$J$4:$J$40)-SUMIFS('Final Calculation Sheet'!$J$4:$J$40,$AZ$5:$AZ$41,10),SUMIFS('Final Calculation Sheet'!$J$4:$J$40,$AZ$5:$AZ$41,$BH24))),""))</f>
        <v/>
      </c>
      <c r="L25" s="70">
        <f>IF($BJ24&gt;0,IF(INDEX('Final Calculation Sheet'!$K$4:$K$40,$BJ24-3)="","",INDEX('Final Calculation Sheet'!$K$4:$K$40,$BJ24-3)),IF(OR($BI24=1,$BL24=1,$BH24&gt;0),IF($BI24=1,SUM('Final Calculation Sheet'!$K$4:$K$40),IF($BL24=1,SUM('Final Calculation Sheet'!$K$4:$K$40)-SUMIFS('Final Calculation Sheet'!$K$4:$K$40,$AZ$5:$AZ$41,10),SUMIFS('Final Calculation Sheet'!$K$4:$K$40,$AZ$5:$AZ$41,$BH24))),""))</f>
        <v/>
      </c>
      <c r="M25" s="70">
        <f>IF($BJ24&gt;0,IF(INDEX('Final Calculation Sheet'!$L$4:$L$40,$BJ24-3)="","",INDEX('Final Calculation Sheet'!$L$4:$L$40,$BJ24-3)),IF(OR($BI24=1,$BL24=1,$BH24&gt;0),IF($BI24=1,SUM('Final Calculation Sheet'!$L$4:$L$40),IF($BL24=1,SUM('Final Calculation Sheet'!$L$4:$L$40)-SUMIFS('Final Calculation Sheet'!$L$4:$L$40,$AZ$5:$AZ$41,10),SUMIFS('Final Calculation Sheet'!$L$4:$L$40,$AZ$5:$AZ$41,$BH24))),""))</f>
        <v/>
      </c>
      <c r="N25" s="70">
        <f>IF($BJ24&gt;0,IF(INDEX('Final Calculation Sheet'!$M$4:$M$40,$BJ24-3)="","",INDEX('Final Calculation Sheet'!$M$4:$M$40,$BJ24-3)),IF(OR($BI24=1,$BL24=1,$BH24&gt;0),IF($BI24=1,SUM('Final Calculation Sheet'!$M$4:$M$40),IF($BL24=1,SUM('Final Calculation Sheet'!$M$4:$M$40)-SUMIFS('Final Calculation Sheet'!$M$4:$M$40,$AZ$5:$AZ$41,10),SUMIFS('Final Calculation Sheet'!$M$4:$M$40,$AZ$5:$AZ$41,$BH24))),""))</f>
        <v/>
      </c>
      <c r="O25" s="71">
        <f>IF($BJ24&gt;0,IF(INDEX('Final Calculation Sheet'!$N$4:$N$40,$BJ24-3)="","",INDEX('Final Calculation Sheet'!$N$4:$N$40,$BJ24-3)),IF(OR($BI24=1,$BL24=1,$BH24&gt;0),IF($BI24=1,SUM('Final Calculation Sheet'!$N$4:$N$40),IF($BL24=1,SUM('Final Calculation Sheet'!$N$4:$N$40)-SUMIFS('Final Calculation Sheet'!$N$4:$N$40,$AZ$5:$AZ$41,10),SUMIFS('Final Calculation Sheet'!$N$4:$N$40,$AZ$5:$AZ$41,$BH24))),""))</f>
        <v/>
      </c>
      <c r="P25" s="70">
        <f>IF($BJ24&gt;0,IF(INDEX('Final Calculation Sheet'!$O$4:$O$40,$BJ24-3)="","",INDEX('Final Calculation Sheet'!$O$4:$O$40,$BJ24-3)),IF(OR($BI24=1,$BL24=1,$BH24&gt;0),IF($BI24=1,SUM('Final Calculation Sheet'!$O$4:$O$40),IF($BL24=1,SUM('Final Calculation Sheet'!$O$4:$O$40)-SUMIFS('Final Calculation Sheet'!$O$4:$O$40,$AZ$5:$AZ$41,10),SUMIFS('Final Calculation Sheet'!$O$4:$O$40,$AZ$5:$AZ$41,$BH24))),""))</f>
        <v/>
      </c>
      <c r="Q25" s="70">
        <f>IF($BJ24&gt;0,IF(INDEX('Final Calculation Sheet'!$P$4:$P$40,$BJ24-3)="","",INDEX('Final Calculation Sheet'!$P$4:$P$40,$BJ24-3)),IF(OR($BI24=1,$BL24=1,$BH24&gt;0),IF($BI24=1,SUM('Final Calculation Sheet'!$P$4:$P$40),IF($BL24=1,SUM('Final Calculation Sheet'!$P$4:$P$40)-SUMIFS('Final Calculation Sheet'!$P$4:$P$40,$AZ$5:$AZ$41,10),SUMIFS('Final Calculation Sheet'!$P$4:$P$40,$AZ$5:$AZ$41,$BH24))),""))</f>
        <v/>
      </c>
      <c r="R25" s="72">
        <f>IF($BJ24&gt;0,IF(INDEX('Final Calculation Sheet'!$Q$4:$Q$40,$BJ24-3)="","",INDEX('Final Calculation Sheet'!$Q$4:$Q$40,$BJ24-3)),IF(OR($BI24=1,$BL24=1,$BH24&gt;0),"–",""))</f>
        <v/>
      </c>
      <c r="S25" s="70">
        <f>IF($BJ24&gt;0,IF(INDEX('Final Calculation Sheet'!$R$4:$R$40,$BJ24-3)="","",INDEX('Final Calculation Sheet'!$R$4:$R$40,$BJ24-3)),IF(OR($BI24=1,$BL24=1,$BH24&gt;0),IF($BI24=1,SUM('Final Calculation Sheet'!$R$4:$R$40),IF($BL24=1,SUM('Final Calculation Sheet'!$R$4:$R$40)-SUMIFS('Final Calculation Sheet'!$R$4:$R$40,$AZ$5:$AZ$41,10),SUMIFS('Final Calculation Sheet'!$R$4:$R$40,$AZ$5:$AZ$41,$BH24))),""))</f>
        <v/>
      </c>
      <c r="T25" s="70">
        <f>IF($BJ24&gt;0,IF(INDEX('Final Calculation Sheet'!$S$4:$S$40,$BJ24-3)="","",INDEX('Final Calculation Sheet'!$S$4:$S$40,$BJ24-3)),IF(OR($BI24=1,$BL24=1,$BH24&gt;0),IF($BI24=1,SUM('Final Calculation Sheet'!$S$4:$S$40),IF($BL24=1,SUM('Final Calculation Sheet'!$S$4:$S$40)-SUMIFS('Final Calculation Sheet'!$S$4:$S$40,$AZ$5:$AZ$41,10),SUMIFS('Final Calculation Sheet'!$S$4:$S$40,$AZ$5:$AZ$41,$BH24))),""))</f>
        <v/>
      </c>
      <c r="U25" s="70">
        <f>IF($BJ24&gt;0,IF(INDEX('Final Calculation Sheet'!$T$4:$T$40,$BJ24-3)="","",INDEX('Final Calculation Sheet'!$T$4:$T$40,$BJ24-3)),IF(OR($BI24=1,$BL24=1,$BH24&gt;0),IF($BI24=1,SUM('Final Calculation Sheet'!$T$4:$T$40),IF($BL24=1,SUM('Final Calculation Sheet'!$T$4:$T$40)-SUMIFS('Final Calculation Sheet'!$T$4:$T$40,$AZ$5:$AZ$41,10),SUMIFS('Final Calculation Sheet'!$T$4:$T$40,$AZ$5:$AZ$41,$BH24))),""))</f>
        <v/>
      </c>
      <c r="V25" s="73">
        <f>IF($BJ24&gt;0,IF(INDEX('Final Calculation Sheet'!$U$4:$U$40,$BJ24-3)="","",INDEX('Final Calculation Sheet'!$U$4:$U$40,$BJ24-3)),IF(OR($BI24=1,$BL24=1,$BH24&gt;0),IF($BI24=1,SUM('Final Calculation Sheet'!$U$4:$U$40),IF($BL24=1,SUM('Final Calculation Sheet'!$U$4:$U$40)-SUMIFS('Final Calculation Sheet'!$U$4:$U$40,$AZ$5:$AZ$41,10),SUMIFS('Final Calculation Sheet'!$U$4:$U$40,$AZ$5:$AZ$41,$BH24))),""))</f>
        <v/>
      </c>
      <c r="W25" s="70">
        <f>IF($BJ24&gt;0,IF(INDEX('Final Calculation Sheet'!$V$4:$V$40,$BJ24-3)="","",INDEX('Final Calculation Sheet'!$V$4:$V$40,$BJ24-3)),IF(OR($BI24=1,$BL24=1,$BH24&gt;0),"–",""))</f>
        <v/>
      </c>
      <c r="X25" s="70">
        <f>IF($BJ24&gt;0,IF(INDEX('Final Calculation Sheet'!$W$4:$W$40,$BJ24-3)="","",INDEX('Final Calculation Sheet'!$W$4:$W$40,$BJ24-3)),IF(OR($BI24=1,$BL24=1,$BH24&gt;0),IF($BI24=1,SUM('Final Calculation Sheet'!$W$4:$W$40),IF($BL24=1,SUM('Final Calculation Sheet'!$W$4:$W$40)-SUMIFS('Final Calculation Sheet'!$W$4:$W$40,$AZ$5:$AZ$41,10),SUMIFS('Final Calculation Sheet'!$W$4:$W$40,$AZ$5:$AZ$41,$BH24))),""))</f>
        <v/>
      </c>
      <c r="Y25" s="70">
        <f>IF($BJ24&gt;0,IF(INDEX('Final Calculation Sheet'!$X$4:$X$40,$BJ24-3)="","",INDEX('Final Calculation Sheet'!$X$4:$X$40,$BJ24-3)),IF(OR($BI24=1,$BL24=1,$BH24&gt;0),IF($BI24=1,SUM('Final Calculation Sheet'!$X$4:$X$40),IF($BL24=1,SUM('Final Calculation Sheet'!$X$4:$X$40)-SUMIFS('Final Calculation Sheet'!$X$4:$X$40,$AZ$5:$AZ$41,10),SUMIFS('Final Calculation Sheet'!$X$4:$X$40,$AZ$5:$AZ$41,$BH24))),""))</f>
        <v/>
      </c>
      <c r="Z25" s="70">
        <f>IF($BJ24&gt;0,IF(INDEX('Final Calculation Sheet'!$Y$4:$Y$40,$BJ24-3)="","",INDEX('Final Calculation Sheet'!$Y$4:$Y$40,$BJ24-3)),IF(OR($BI24=1,$BL24=1,$BH24&gt;0),"–",""))</f>
        <v/>
      </c>
      <c r="AA25" s="70">
        <f>IF($BJ24&gt;0,IF(INDEX('Final Calculation Sheet'!$Z$4:$Z$40,$BJ24-3)="","",INDEX('Final Calculation Sheet'!$Z$4:$Z$40,$BJ24-3)),IF(OR($BI24=1,$BL24=1,$BH24&gt;0),IF($BI24=1,SUM('Final Calculation Sheet'!$Z$4:$Z$40),IF($BL24=1,SUM('Final Calculation Sheet'!$Z$4:$Z$40)-SUMIFS('Final Calculation Sheet'!$Z$4:$Z$40,$AZ$5:$AZ$41,10),SUMIFS('Final Calculation Sheet'!$Z$4:$Z$40,$AZ$5:$AZ$41,$BH24))),""))</f>
        <v/>
      </c>
      <c r="AB25" s="70">
        <f>IF($BJ24&gt;0,IF(INDEX('Final Calculation Sheet'!$AA$4:$AA$40,$BJ24-3)="","",INDEX('Final Calculation Sheet'!$AA$4:$AA$40,$BJ24-3)),IF(OR($BI24=1,$BL24=1,$BH24&gt;0),IF($BI24=1,SUM('Final Calculation Sheet'!$AA$4:$AA$40),IF($BL24=1,SUM('Final Calculation Sheet'!$AA$4:$AA$40)-SUMIFS('Final Calculation Sheet'!$AA$4:$AA$40,$AZ$5:$AZ$41,10),SUMIFS('Final Calculation Sheet'!$AA$4:$AA$40,$AZ$5:$AZ$41,$BH24))),""))</f>
        <v/>
      </c>
      <c r="AC25" s="70">
        <f>IF($BJ24&gt;0,IF(INDEX('Final Calculation Sheet'!$AB$4:$AB$40,$BJ24-3)="","",INDEX('Final Calculation Sheet'!$AB$4:$AB$40,$BJ24-3)),IF(OR($BI24=1,$BL24=1,$BH24&gt;0),"–",""))</f>
        <v/>
      </c>
      <c r="AD25" s="70">
        <f>IF($BJ24&gt;0,IF(INDEX('Final Calculation Sheet'!$AC$4:$AC$40,$BJ24-3)="","",INDEX('Final Calculation Sheet'!$AC$4:$AC$40,$BJ24-3)),IF(OR($BI24=1,$BL24=1,$BH24&gt;0),IF($BI24=1,SUM('Final Calculation Sheet'!$AC$4:$AC$40),IF($BL24=1,SUM('Final Calculation Sheet'!$AC$4:$AC$40)-SUMIFS('Final Calculation Sheet'!$AC$4:$AC$40,$AZ$5:$AZ$41,10),SUMIFS('Final Calculation Sheet'!$AC$4:$AC$40,$AZ$5:$AZ$41,$BH24))),""))</f>
        <v/>
      </c>
      <c r="AE25" s="70">
        <f>IF($BJ24&gt;0,IF(INDEX('Final Calculation Sheet'!$AD$4:$AD$40,$BJ24-3)="","",INDEX('Final Calculation Sheet'!$AD$4:$AD$40,$BJ24-3)),IF(OR($BI24=1,$BL24=1,$BH24&gt;0),IF($BI24=1,SUM('Final Calculation Sheet'!$AD$4:$AD$40),IF($BL24=1,SUM('Final Calculation Sheet'!$AD$4:$AD$40)-SUMIFS('Final Calculation Sheet'!$AD$4:$AD$40,$AZ$5:$AZ$41,10),SUMIFS('Final Calculation Sheet'!$AD$4:$AD$40,$AZ$5:$AZ$41,$BH24))),""))</f>
        <v/>
      </c>
      <c r="AF25" s="70">
        <f>IF($BJ24&gt;0,IF(INDEX('Final Calculation Sheet'!$AE$4:$AE$40,$BJ24-3)="","",INDEX('Final Calculation Sheet'!$AE$4:$AE$40,$BJ24-3)),IF(OR($BI24=1,$BL24=1,$BH24&gt;0),"–",""))</f>
        <v/>
      </c>
      <c r="AG25" s="74">
        <f>IF($BJ24&gt;0,IF(INDEX('Final Calculation Sheet'!$AF$4:$AF$40,$BJ24-3)="","",INDEX('Final Calculation Sheet'!$AF$4:$AF$40,$BJ24-3)),IF(OR($BI24=1,$BL24=1,$BH24&gt;0),"–",""))</f>
        <v/>
      </c>
      <c r="AH25" s="70">
        <f>IF($BJ24&gt;0,IF(INDEX('Final Calculation Sheet'!$AG$4:$AG$40,$BJ24-3)="","",INDEX('Final Calculation Sheet'!$AG$4:$AG$40,$BJ24-3)),IF(OR($BI24=1,$BL24=1,$BH24&gt;0),"–",""))</f>
        <v/>
      </c>
      <c r="AI25" s="75">
        <f>IF($BJ24&gt;0,IF(INDEX('Final Calculation Sheet'!$AD$4:$AD$40,$BJ24-3)="","",IF(INDEX('Final Calculation Sheet'!$AD$4:$AD$40,$BJ24-3)&lt;=0,"SETTLED","OUTSTANDING")),IF(OR($BI24=1,$BL24=1,$BH24&gt;0),IF(IF($BI24=1,SUM('Final Calculation Sheet'!$AD$4:$AD$40),IF($BL24=1,SUM('Final Calculation Sheet'!$AD$4:$AD$40)-SUMIFS('Final Calculation Sheet'!$AD$4:$AD$40,$AZ$5:$AZ$41,10),SUMIFS('Final Calculation Sheet'!$AD$4:$AD$40,$AZ$5:$AZ$41,$BH24)))&lt;=0,"ALL SETTLED","OUTSTANDING"),""))</f>
        <v/>
      </c>
      <c r="AK25">
        <f>IF($F$3="Lot No.",'Final Calculation Sheet'!$F$24,IF($F$3="Buyer",'Final Calculation Sheet'!$G$24,IF($F$3="Lot Name",'Final Calculation Sheet'!$B$24,IF($F$3="Bid Sheet",'Final Calculation Sheet'!$D$24,IF($F$3="Unit",'Final Calculation Sheet'!$E$24,'Final Calculation Sheet'!$F$24&amp;" "&amp;'Final Calculation Sheet'!$G$24&amp;" "&amp;'Final Calculation Sheet'!$B$24)))))</f>
        <v/>
      </c>
      <c r="AM25">
        <f>IF(COUNTIF($BM25:$CU25,0)&gt;0,0,IF($B$3="",1,IF(AND(IF(COUNTIF($AR$9:$AY$9,1)=0,TRUE,SUMPRODUCT(($AR$9:$AY$9=1)*($AR$6:$AY$6&lt;&gt;"")*ISNUMBER(SEARCH($AR$6:$AY$6,$AK25)))&gt;0),IF(COUNTIF($AR$9:$AY$9,2)=0,TRUE,SUMPRODUCT(($AR$9:$AY$9=2)*($AR$6:$AY$6&lt;&gt;"")*ISNUMBER(SEARCH($AR$6:$AY$6,$AK25)))&gt;0),IF(COUNTIF($AR$9:$AY$9,3)=0,TRUE,SUMPRODUCT(($AR$9:$AY$9=3)*($AR$6:$AY$6&lt;&gt;"")*ISNUMBER(SEARCH($AR$6:$AY$6,$AK25)))&gt;0),IF(COUNTIF($AR$9:$AY$9,4)=0,TRUE,SUMPRODUCT(($AR$9:$AY$9=4)*($AR$6:$AY$6&lt;&gt;"")*ISNUMBER(SEARCH($AR$6:$AY$6,$AK25)))&gt;0),IF(COUNTIF($AR$9:$AY$9,5)=0,TRUE,SUMPRODUCT(($AR$9:$AY$9=5)*($AR$6:$AY$6&lt;&gt;"")*ISNUMBER(SEARCH($AR$6:$AY$6,$AK25)))&gt;0),IF(COUNTIF($AR$9:$AY$9,6)=0,TRUE,SUMPRODUCT(($AR$9:$AY$9=6)*($AR$6:$AY$6&lt;&gt;"")*ISNUMBER(SEARCH($AR$6:$AY$6,$AK25)))&gt;0),IF(COUNTIF($AR$9:$AY$9,7)=0,TRUE,SUMPRODUCT(($AR$9:$AY$9=7)*($AR$6:$AY$6&lt;&gt;"")*ISNUMBER(SEARCH($AR$6:$AY$6,$AK25)))&gt;0),IF(COUNTIF($AR$9:$AY$9,8)=0,TRUE,SUMPRODUCT(($AR$9:$AY$9=8)*($AR$6:$AY$6&lt;&gt;"")*ISNUMBER(SEARCH($AR$6:$AY$6,$AK25)))&gt;0)),1,0)))</f>
        <v/>
      </c>
      <c r="AZ25">
        <f>IF($B$3="",IF(COUNTIF($A$4:$AI$4,"&lt;&gt;")=0,9,IF($AM25=1,9,10)),IF($AM25=0,10,IF(AND($AR$6&lt;&gt;"",ISNUMBER(SEARCH($AR$6,$AK25))),1,IF(AND($AS$6&lt;&gt;"",ISNUMBER(SEARCH($AS$6,$AK25))),2,IF(AND($AT$6&lt;&gt;"",ISNUMBER(SEARCH($AT$6,$AK25))),3,IF(AND($AU$6&lt;&gt;"",ISNUMBER(SEARCH($AU$6,$AK25))),4,IF(AND($AV$6&lt;&gt;"",ISNUMBER(SEARCH($AV$6,$AK25))),5,IF(AND($AW$6&lt;&gt;"",ISNUMBER(SEARCH($AW$6,$AK25))),6,IF(AND($AX$6&lt;&gt;"",ISNUMBER(SEARCH($AX$6,$AK25))),7,IF(AND($AY$6&lt;&gt;"",ISNUMBER(SEARCH($AY$6,$AK25))),8,0))))))))))</f>
        <v/>
      </c>
      <c r="BA25">
        <f>SUMPRODUCT(($AZ$5:$AZ$41=$AZ25)*($BC$5:$BC$41&lt;$BC25))+1</f>
        <v/>
      </c>
      <c r="BB25">
        <f>IF(INDEX($BF$4:$BF$13,$AZ25)=0,0,INDEX($BE$4:$BE$13,$AZ25)+$BA25-1)</f>
        <v/>
      </c>
      <c r="BC25" t="n">
        <v>24</v>
      </c>
      <c r="BH25">
        <f>IFERROR(MATCH(25,$BF$4:$BF$13,0),0)</f>
        <v/>
      </c>
      <c r="BI25">
        <f>IF(25=$BG$5,1,0)</f>
        <v/>
      </c>
      <c r="BJ25">
        <f>IF(OR($BH25&gt;0,$BI25=1,$BL25=1),0,IFERROR(INDEX($BC$5:$BC$41,MATCH(25,$BB$5:$BB$41,0)),0))</f>
        <v/>
      </c>
      <c r="BK25">
        <f>IF($BJ25&gt;0,IF(INDEX($AZ$5:$AZ$41,MATCH(25,$BB$5:$BB$41,0))=10,1,0),IF($BH25=10,1,0))</f>
        <v/>
      </c>
      <c r="BL25">
        <f>IF(25=$BG$4,1,0)</f>
        <v/>
      </c>
      <c r="BM2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5">
        <f>IF($B$4="",1,--(OR(SUMPRODUCT(--(TRIM(MID(SUBSTITUTE(SUBSTITUTE($B$4,"/",","),",",REPT(" ",99)),(ROW($1:$8)-1)*99+1,99))&lt;&gt;""),--ISNUMBER(SEARCH(TRIM(MID(SUBSTITUTE(SUBSTITUTE($B$4,"/",","),",",REPT(" ",99)),(ROW($1:$8)-1)*99+1,99)),IFERROR(('Final Calculation Sheet'!$F$24)&amp;"",""))))&gt;0,AND(ISNUMBER(SEARCH("blank",$B$4)),NOT(ISNUMBER(SEARCH("nonblank",$B$4))),IFERROR(('Final Calculation Sheet'!$F$24)&amp;"","")=""),AND(OR(ISNUMBER(SEARCH("nonblank",$B$4)),ISNUMBER(SEARCH("&lt;&gt;",$B$4))),IFERROR(('Final Calculation Sheet'!$F$24)&amp;"","")&lt;&gt;""),AND(TRIM($B$4)="",IFERROR(('Final Calculation Sheet'!$F$24)&amp;"","")=""))))</f>
        <v/>
      </c>
      <c r="BO25">
        <f>IF($C$4="",1,--(OR(SUMPRODUCT(--(TRIM(MID(SUBSTITUTE(SUBSTITUTE($C$4,"/",","),",",REPT(" ",99)),(ROW($1:$8)-1)*99+1,99))&lt;&gt;""),--ISNUMBER(SEARCH(TRIM(MID(SUBSTITUTE(SUBSTITUTE($C$4,"/",","),",",REPT(" ",99)),(ROW($1:$8)-1)*99+1,99)),IFERROR(('Final Calculation Sheet'!$G$24)&amp;"",""))))&gt;0,AND(ISNUMBER(SEARCH("blank",$C$4)),NOT(ISNUMBER(SEARCH("nonblank",$C$4))),IFERROR(('Final Calculation Sheet'!$G$24)&amp;"","")=""),AND(OR(ISNUMBER(SEARCH("nonblank",$C$4)),ISNUMBER(SEARCH("&lt;&gt;",$C$4))),IFERROR(('Final Calculation Sheet'!$G$24)&amp;"","")&lt;&gt;""),AND(TRIM($C$4)="",IFERROR(('Final Calculation Sheet'!$G$24)&amp;"","")=""))))</f>
        <v/>
      </c>
      <c r="BP25">
        <f>IF($D$4="",1,--(OR(SUMPRODUCT(--(TRIM(MID(SUBSTITUTE(SUBSTITUTE($D$4,"/",","),",",REPT(" ",99)),(ROW($1:$8)-1)*99+1,99))&lt;&gt;""),--ISNUMBER(SEARCH(TRIM(MID(SUBSTITUTE(SUBSTITUTE($D$4,"/",","),",",REPT(" ",99)),(ROW($1:$8)-1)*99+1,99)),IFERROR(('Final Calculation Sheet'!$B$24)&amp;"",""))))&gt;0,AND(ISNUMBER(SEARCH("blank",$D$4)),NOT(ISNUMBER(SEARCH("nonblank",$D$4))),IFERROR(('Final Calculation Sheet'!$B$24)&amp;"","")=""),AND(OR(ISNUMBER(SEARCH("nonblank",$D$4)),ISNUMBER(SEARCH("&lt;&gt;",$D$4))),IFERROR(('Final Calculation Sheet'!$B$24)&amp;"","")&lt;&gt;""),AND(TRIM($D$4)="",IFERROR(('Final Calculation Sheet'!$B$24)&amp;"","")=""))))</f>
        <v/>
      </c>
      <c r="BQ25">
        <f>IF($E$4="",1,--(OR(SUMPRODUCT(--(TRIM(MID(SUBSTITUTE(SUBSTITUTE($E$4,"/",","),",",REPT(" ",99)),(ROW($1:$8)-1)*99+1,99))&lt;&gt;""),--ISNUMBER(SEARCH(TRIM(MID(SUBSTITUTE(SUBSTITUTE($E$4,"/",","),",",REPT(" ",99)),(ROW($1:$8)-1)*99+1,99)),IFERROR(('Final Calculation Sheet'!$D$24)&amp;"",""))))&gt;0,AND(ISNUMBER(SEARCH("blank",$E$4)),NOT(ISNUMBER(SEARCH("nonblank",$E$4))),IFERROR(('Final Calculation Sheet'!$D$24)&amp;"","")=""),AND(OR(ISNUMBER(SEARCH("nonblank",$E$4)),ISNUMBER(SEARCH("&lt;&gt;",$E$4))),IFERROR(('Final Calculation Sheet'!$D$24)&amp;"","")&lt;&gt;""),AND(TRIM($E$4)="",IFERROR(('Final Calculation Sheet'!$D$24)&amp;"","")=""))))</f>
        <v/>
      </c>
      <c r="BR25">
        <f>IF($F$4="",1,--(OR(SUMPRODUCT(--(TRIM(MID(SUBSTITUTE(SUBSTITUTE($F$4,"/",","),",",REPT(" ",99)),(ROW($1:$8)-1)*99+1,99))&lt;&gt;""),--ISNUMBER(SEARCH(TRIM(MID(SUBSTITUTE(SUBSTITUTE($F$4,"/",","),",",REPT(" ",99)),(ROW($1:$8)-1)*99+1,99)),IFERROR(('Final Calculation Sheet'!$A$24)&amp;"",""))))&gt;0,AND(ISNUMBER(SEARCH("blank",$F$4)),NOT(ISNUMBER(SEARCH("nonblank",$F$4))),IFERROR(('Final Calculation Sheet'!$A$24)&amp;"","")=""),AND(OR(ISNUMBER(SEARCH("nonblank",$F$4)),ISNUMBER(SEARCH("&lt;&gt;",$F$4))),IFERROR(('Final Calculation Sheet'!$A$24)&amp;"","")&lt;&gt;""),AND(TRIM($F$4)="",IFERROR(('Final Calculation Sheet'!$A$24)&amp;"","")=""))))</f>
        <v/>
      </c>
      <c r="BS25">
        <f>IF($G$4="",1,--(OR(SUMPRODUCT(--(TRIM(MID(SUBSTITUTE(SUBSTITUTE($G$4,"/",","),",",REPT(" ",99)),(ROW($1:$8)-1)*99+1,99))&lt;&gt;""),--ISNUMBER(SEARCH(TRIM(MID(SUBSTITUTE(SUBSTITUTE($G$4,"/",","),",",REPT(" ",99)),(ROW($1:$8)-1)*99+1,99)),IFERROR(('Final Calculation Sheet'!$E$24)&amp;"",""))))&gt;0,AND(ISNUMBER(SEARCH("blank",$G$4)),NOT(ISNUMBER(SEARCH("nonblank",$G$4))),IFERROR(('Final Calculation Sheet'!$E$24)&amp;"","")=""),AND(OR(ISNUMBER(SEARCH("nonblank",$G$4)),ISNUMBER(SEARCH("&lt;&gt;",$G$4))),IFERROR(('Final Calculation Sheet'!$E$24)&amp;"","")&lt;&gt;""),AND(TRIM($G$4)="",IFERROR(('Final Calculation Sheet'!$E$24)&amp;"","")=""))))</f>
        <v/>
      </c>
      <c r="BT25">
        <f>IF($H$4="",1,--(OR(SUMPRODUCT(--(TRIM(MID(SUBSTITUTE(SUBSTITUTE($H$4,"/",","),",",REPT(" ",99)),(ROW($1:$8)-1)*99+1,99))&lt;&gt;""),--ISNUMBER(SEARCH(TRIM(MID(SUBSTITUTE(SUBSTITUTE($H$4,"/",","),",",REPT(" ",99)),(ROW($1:$8)-1)*99+1,99)),IFERROR(('Final Calculation Sheet'!$C$24)&amp;"",""))))&gt;0,AND(ISNUMBER(SEARCH("blank",$H$4)),NOT(ISNUMBER(SEARCH("nonblank",$H$4))),IFERROR(('Final Calculation Sheet'!$C$24)&amp;"","")=""),AND(OR(ISNUMBER(SEARCH("nonblank",$H$4)),ISNUMBER(SEARCH("&lt;&gt;",$H$4))),IFERROR(('Final Calculation Sheet'!$C$24)&amp;"","")&lt;&gt;""),AND(TRIM($H$4)="",IFERROR(('Final Calculation Sheet'!$C$24)&amp;"","")=""))))</f>
        <v/>
      </c>
      <c r="BU25">
        <f>IF($I$4="",1,--(OR(SUMPRODUCT(--(TRIM(MID(SUBSTITUTE(SUBSTITUTE($I$4,"/",","),",",REPT(" ",99)),(ROW($1:$8)-1)*99+1,99))&lt;&gt;""),--ISNUMBER(SEARCH(TRIM(MID(SUBSTITUTE(SUBSTITUTE($I$4,"/",","),",",REPT(" ",99)),(ROW($1:$8)-1)*99+1,99)),IFERROR(('Final Calculation Sheet'!$H$24)&amp;"",""))))&gt;0,AND(ISNUMBER(SEARCH("blank",$I$4)),NOT(ISNUMBER(SEARCH("nonblank",$I$4))),IFERROR(('Final Calculation Sheet'!$H$24)&amp;"","")=""),AND(OR(ISNUMBER(SEARCH("nonblank",$I$4)),ISNUMBER(SEARCH("&lt;&gt;",$I$4))),IFERROR(('Final Calculation Sheet'!$H$24)&amp;"","")&lt;&gt;""),AND(TRIM($I$4)="",IFERROR(('Final Calculation Sheet'!$H$24)&amp;"","")=""))))</f>
        <v/>
      </c>
      <c r="BV25">
        <f>IF($J$4="",1,--(OR(SUMPRODUCT(--(TRIM(MID(SUBSTITUTE(SUBSTITUTE($J$4,"/",","),",",REPT(" ",99)),(ROW($1:$8)-1)*99+1,99))&lt;&gt;""),--ISNUMBER(SEARCH(TRIM(MID(SUBSTITUTE(SUBSTITUTE($J$4,"/",","),",",REPT(" ",99)),(ROW($1:$8)-1)*99+1,99)),IFERROR(('Final Calculation Sheet'!$I$24)&amp;"",""))))&gt;0,AND(ISNUMBER(SEARCH("blank",$J$4)),NOT(ISNUMBER(SEARCH("nonblank",$J$4))),IFERROR(('Final Calculation Sheet'!$I$24)&amp;"","")=""),AND(OR(ISNUMBER(SEARCH("nonblank",$J$4)),ISNUMBER(SEARCH("&lt;&gt;",$J$4))),IFERROR(('Final Calculation Sheet'!$I$24)&amp;"","")&lt;&gt;""),AND(TRIM($J$4)="",IFERROR(('Final Calculation Sheet'!$I$24)&amp;"","")=""))))</f>
        <v/>
      </c>
      <c r="BW25">
        <f>IF($K$4="",1,--(OR(SUMPRODUCT(--(TRIM(MID(SUBSTITUTE(SUBSTITUTE($K$4,"/",","),",",REPT(" ",99)),(ROW($1:$8)-1)*99+1,99))&lt;&gt;""),--ISNUMBER(SEARCH(TRIM(MID(SUBSTITUTE(SUBSTITUTE($K$4,"/",","),",",REPT(" ",99)),(ROW($1:$8)-1)*99+1,99)),IFERROR(('Final Calculation Sheet'!$J$24)&amp;"",""))))&gt;0,AND(ISNUMBER(SEARCH("blank",$K$4)),NOT(ISNUMBER(SEARCH("nonblank",$K$4))),IFERROR(('Final Calculation Sheet'!$J$24)&amp;"","")=""),AND(OR(ISNUMBER(SEARCH("nonblank",$K$4)),ISNUMBER(SEARCH("&lt;&gt;",$K$4))),IFERROR(('Final Calculation Sheet'!$J$24)&amp;"","")&lt;&gt;""),AND(TRIM($K$4)="",IFERROR(('Final Calculation Sheet'!$J$24)&amp;"","")=""))))</f>
        <v/>
      </c>
      <c r="BX25">
        <f>IF($L$4="",1,--(OR(SUMPRODUCT(--(TRIM(MID(SUBSTITUTE(SUBSTITUTE($L$4,"/",","),",",REPT(" ",99)),(ROW($1:$8)-1)*99+1,99))&lt;&gt;""),--ISNUMBER(SEARCH(TRIM(MID(SUBSTITUTE(SUBSTITUTE($L$4,"/",","),",",REPT(" ",99)),(ROW($1:$8)-1)*99+1,99)),IFERROR(('Final Calculation Sheet'!$K$24)&amp;"",""))))&gt;0,AND(ISNUMBER(SEARCH("blank",$L$4)),NOT(ISNUMBER(SEARCH("nonblank",$L$4))),IFERROR(('Final Calculation Sheet'!$K$24)&amp;"","")=""),AND(OR(ISNUMBER(SEARCH("nonblank",$L$4)),ISNUMBER(SEARCH("&lt;&gt;",$L$4))),IFERROR(('Final Calculation Sheet'!$K$24)&amp;"","")&lt;&gt;""),AND(TRIM($L$4)="",IFERROR(('Final Calculation Sheet'!$K$24)&amp;"","")=""))))</f>
        <v/>
      </c>
      <c r="BY25">
        <f>IF($M$4="",1,--(OR(SUMPRODUCT(--(TRIM(MID(SUBSTITUTE(SUBSTITUTE($M$4,"/",","),",",REPT(" ",99)),(ROW($1:$8)-1)*99+1,99))&lt;&gt;""),--ISNUMBER(SEARCH(TRIM(MID(SUBSTITUTE(SUBSTITUTE($M$4,"/",","),",",REPT(" ",99)),(ROW($1:$8)-1)*99+1,99)),IFERROR(('Final Calculation Sheet'!$L$24)&amp;"",""))))&gt;0,AND(ISNUMBER(SEARCH("blank",$M$4)),NOT(ISNUMBER(SEARCH("nonblank",$M$4))),IFERROR(('Final Calculation Sheet'!$L$24)&amp;"","")=""),AND(OR(ISNUMBER(SEARCH("nonblank",$M$4)),ISNUMBER(SEARCH("&lt;&gt;",$M$4))),IFERROR(('Final Calculation Sheet'!$L$24)&amp;"","")&lt;&gt;""),AND(TRIM($M$4)="",IFERROR(('Final Calculation Sheet'!$L$24)&amp;"","")=""))))</f>
        <v/>
      </c>
      <c r="BZ25">
        <f>IF($N$4="",1,--(OR(SUMPRODUCT(--(TRIM(MID(SUBSTITUTE(SUBSTITUTE($N$4,"/",","),",",REPT(" ",99)),(ROW($1:$8)-1)*99+1,99))&lt;&gt;""),--ISNUMBER(SEARCH(TRIM(MID(SUBSTITUTE(SUBSTITUTE($N$4,"/",","),",",REPT(" ",99)),(ROW($1:$8)-1)*99+1,99)),IFERROR(('Final Calculation Sheet'!$M$24)&amp;"",""))))&gt;0,AND(ISNUMBER(SEARCH("blank",$N$4)),NOT(ISNUMBER(SEARCH("nonblank",$N$4))),IFERROR(('Final Calculation Sheet'!$M$24)&amp;"","")=""),AND(OR(ISNUMBER(SEARCH("nonblank",$N$4)),ISNUMBER(SEARCH("&lt;&gt;",$N$4))),IFERROR(('Final Calculation Sheet'!$M$24)&amp;"","")&lt;&gt;""),AND(TRIM($N$4)="",IFERROR(('Final Calculation Sheet'!$M$24)&amp;"","")=""))))</f>
        <v/>
      </c>
      <c r="CA25">
        <f>IF($O$4="",1,--(OR(SUMPRODUCT(--(TRIM(MID(SUBSTITUTE(SUBSTITUTE($O$4,"/",","),",",REPT(" ",99)),(ROW($1:$8)-1)*99+1,99))&lt;&gt;""),--ISNUMBER(SEARCH(TRIM(MID(SUBSTITUTE(SUBSTITUTE($O$4,"/",","),",",REPT(" ",99)),(ROW($1:$8)-1)*99+1,99)),IFERROR(('Final Calculation Sheet'!$N$24)&amp;"",""))))&gt;0,AND(ISNUMBER(SEARCH("blank",$O$4)),NOT(ISNUMBER(SEARCH("nonblank",$O$4))),IFERROR(('Final Calculation Sheet'!$N$24)&amp;"","")=""),AND(OR(ISNUMBER(SEARCH("nonblank",$O$4)),ISNUMBER(SEARCH("&lt;&gt;",$O$4))),IFERROR(('Final Calculation Sheet'!$N$24)&amp;"","")&lt;&gt;""),AND(TRIM($O$4)="",IFERROR(('Final Calculation Sheet'!$N$24)&amp;"","")=""))))</f>
        <v/>
      </c>
      <c r="CB25">
        <f>IF($P$4="",1,--(OR(SUMPRODUCT(--(TRIM(MID(SUBSTITUTE(SUBSTITUTE($P$4,"/",","),",",REPT(" ",99)),(ROW($1:$8)-1)*99+1,99))&lt;&gt;""),--ISNUMBER(SEARCH(TRIM(MID(SUBSTITUTE(SUBSTITUTE($P$4,"/",","),",",REPT(" ",99)),(ROW($1:$8)-1)*99+1,99)),IFERROR(('Final Calculation Sheet'!$O$24)&amp;"",""))))&gt;0,AND(ISNUMBER(SEARCH("blank",$P$4)),NOT(ISNUMBER(SEARCH("nonblank",$P$4))),IFERROR(('Final Calculation Sheet'!$O$24)&amp;"","")=""),AND(OR(ISNUMBER(SEARCH("nonblank",$P$4)),ISNUMBER(SEARCH("&lt;&gt;",$P$4))),IFERROR(('Final Calculation Sheet'!$O$24)&amp;"","")&lt;&gt;""),AND(TRIM($P$4)="",IFERROR(('Final Calculation Sheet'!$O$24)&amp;"","")=""))))</f>
        <v/>
      </c>
      <c r="CC25">
        <f>IF($Q$4="",1,--(OR(SUMPRODUCT(--(TRIM(MID(SUBSTITUTE(SUBSTITUTE($Q$4,"/",","),",",REPT(" ",99)),(ROW($1:$8)-1)*99+1,99))&lt;&gt;""),--ISNUMBER(SEARCH(TRIM(MID(SUBSTITUTE(SUBSTITUTE($Q$4,"/",","),",",REPT(" ",99)),(ROW($1:$8)-1)*99+1,99)),IFERROR(('Final Calculation Sheet'!$P$24)&amp;"",""))))&gt;0,AND(ISNUMBER(SEARCH("blank",$Q$4)),NOT(ISNUMBER(SEARCH("nonblank",$Q$4))),IFERROR(('Final Calculation Sheet'!$P$24)&amp;"","")=""),AND(OR(ISNUMBER(SEARCH("nonblank",$Q$4)),ISNUMBER(SEARCH("&lt;&gt;",$Q$4))),IFERROR(('Final Calculation Sheet'!$P$24)&amp;"","")&lt;&gt;""),AND(TRIM($Q$4)="",IFERROR(('Final Calculation Sheet'!$P$24)&amp;"","")=""))))</f>
        <v/>
      </c>
      <c r="CD25">
        <f>IF($R$4="",1,--(OR(SUMPRODUCT(--(TRIM(MID(SUBSTITUTE(SUBSTITUTE($R$4,"/",","),",",REPT(" ",99)),(ROW($1:$8)-1)*99+1,99))&lt;&gt;""),--ISNUMBER(SEARCH(TRIM(MID(SUBSTITUTE(SUBSTITUTE($R$4,"/",","),",",REPT(" ",99)),(ROW($1:$8)-1)*99+1,99)),IFERROR(('Final Calculation Sheet'!$Q$24)&amp;"",""))))&gt;0,AND(ISNUMBER(SEARCH("blank",$R$4)),NOT(ISNUMBER(SEARCH("nonblank",$R$4))),IFERROR(('Final Calculation Sheet'!$Q$24)&amp;"","")=""),AND(OR(ISNUMBER(SEARCH("nonblank",$R$4)),ISNUMBER(SEARCH("&lt;&gt;",$R$4))),IFERROR(('Final Calculation Sheet'!$Q$24)&amp;"","")&lt;&gt;""),AND(TRIM($R$4)="",IFERROR(('Final Calculation Sheet'!$Q$24)&amp;"","")=""))))</f>
        <v/>
      </c>
      <c r="CE25">
        <f>IF($S$4="",1,--(OR(SUMPRODUCT(--(TRIM(MID(SUBSTITUTE(SUBSTITUTE($S$4,"/",","),",",REPT(" ",99)),(ROW($1:$8)-1)*99+1,99))&lt;&gt;""),--ISNUMBER(SEARCH(TRIM(MID(SUBSTITUTE(SUBSTITUTE($S$4,"/",","),",",REPT(" ",99)),(ROW($1:$8)-1)*99+1,99)),IFERROR(('Final Calculation Sheet'!$R$24)&amp;"",""))))&gt;0,AND(ISNUMBER(SEARCH("blank",$S$4)),NOT(ISNUMBER(SEARCH("nonblank",$S$4))),IFERROR(('Final Calculation Sheet'!$R$24)&amp;"","")=""),AND(OR(ISNUMBER(SEARCH("nonblank",$S$4)),ISNUMBER(SEARCH("&lt;&gt;",$S$4))),IFERROR(('Final Calculation Sheet'!$R$24)&amp;"","")&lt;&gt;""),AND(TRIM($S$4)="",IFERROR(('Final Calculation Sheet'!$R$24)&amp;"","")=""))))</f>
        <v/>
      </c>
      <c r="CF25">
        <f>IF($T$4="",1,--(OR(SUMPRODUCT(--(TRIM(MID(SUBSTITUTE(SUBSTITUTE($T$4,"/",","),",",REPT(" ",99)),(ROW($1:$8)-1)*99+1,99))&lt;&gt;""),--ISNUMBER(SEARCH(TRIM(MID(SUBSTITUTE(SUBSTITUTE($T$4,"/",","),",",REPT(" ",99)),(ROW($1:$8)-1)*99+1,99)),IFERROR(('Final Calculation Sheet'!$S$24)&amp;"",""))))&gt;0,AND(ISNUMBER(SEARCH("blank",$T$4)),NOT(ISNUMBER(SEARCH("nonblank",$T$4))),IFERROR(('Final Calculation Sheet'!$S$24)&amp;"","")=""),AND(OR(ISNUMBER(SEARCH("nonblank",$T$4)),ISNUMBER(SEARCH("&lt;&gt;",$T$4))),IFERROR(('Final Calculation Sheet'!$S$24)&amp;"","")&lt;&gt;""),AND(TRIM($T$4)="",IFERROR(('Final Calculation Sheet'!$S$24)&amp;"","")=""))))</f>
        <v/>
      </c>
      <c r="CG25">
        <f>IF($U$4="",1,--(OR(SUMPRODUCT(--(TRIM(MID(SUBSTITUTE(SUBSTITUTE($U$4,"/",","),",",REPT(" ",99)),(ROW($1:$8)-1)*99+1,99))&lt;&gt;""),--ISNUMBER(SEARCH(TRIM(MID(SUBSTITUTE(SUBSTITUTE($U$4,"/",","),",",REPT(" ",99)),(ROW($1:$8)-1)*99+1,99)),IFERROR(('Final Calculation Sheet'!$T$24)&amp;"",""))))&gt;0,AND(ISNUMBER(SEARCH("blank",$U$4)),NOT(ISNUMBER(SEARCH("nonblank",$U$4))),IFERROR(('Final Calculation Sheet'!$T$24)&amp;"","")=""),AND(OR(ISNUMBER(SEARCH("nonblank",$U$4)),ISNUMBER(SEARCH("&lt;&gt;",$U$4))),IFERROR(('Final Calculation Sheet'!$T$24)&amp;"","")&lt;&gt;""),AND(TRIM($U$4)="",IFERROR(('Final Calculation Sheet'!$T$24)&amp;"","")=""))))</f>
        <v/>
      </c>
      <c r="CH25">
        <f>IF($V$4="",1,--(OR(SUMPRODUCT(--(TRIM(MID(SUBSTITUTE(SUBSTITUTE($V$4,"/",","),",",REPT(" ",99)),(ROW($1:$8)-1)*99+1,99))&lt;&gt;""),--ISNUMBER(SEARCH(TRIM(MID(SUBSTITUTE(SUBSTITUTE($V$4,"/",","),",",REPT(" ",99)),(ROW($1:$8)-1)*99+1,99)),IFERROR(('Final Calculation Sheet'!$U$24)&amp;"",""))))&gt;0,AND(ISNUMBER(SEARCH("blank",$V$4)),NOT(ISNUMBER(SEARCH("nonblank",$V$4))),IFERROR(('Final Calculation Sheet'!$U$24)&amp;"","")=""),AND(OR(ISNUMBER(SEARCH("nonblank",$V$4)),ISNUMBER(SEARCH("&lt;&gt;",$V$4))),IFERROR(('Final Calculation Sheet'!$U$24)&amp;"","")&lt;&gt;""),AND(TRIM($V$4)="",IFERROR(('Final Calculation Sheet'!$U$24)&amp;"","")=""))))</f>
        <v/>
      </c>
      <c r="CI25">
        <f>IF($W$4="",1,--(OR(SUMPRODUCT(--(TRIM(MID(SUBSTITUTE(SUBSTITUTE($W$4,"/",","),",",REPT(" ",99)),(ROW($1:$8)-1)*99+1,99))&lt;&gt;""),--ISNUMBER(SEARCH(TRIM(MID(SUBSTITUTE(SUBSTITUTE($W$4,"/",","),",",REPT(" ",99)),(ROW($1:$8)-1)*99+1,99)),IFERROR(('Final Calculation Sheet'!$V$24)&amp;"",""))))&gt;0,AND(ISNUMBER(SEARCH("blank",$W$4)),NOT(ISNUMBER(SEARCH("nonblank",$W$4))),IFERROR(('Final Calculation Sheet'!$V$24)&amp;"","")=""),AND(OR(ISNUMBER(SEARCH("nonblank",$W$4)),ISNUMBER(SEARCH("&lt;&gt;",$W$4))),IFERROR(('Final Calculation Sheet'!$V$24)&amp;"","")&lt;&gt;""),AND(TRIM($W$4)="",IFERROR(('Final Calculation Sheet'!$V$24)&amp;"","")=""))))</f>
        <v/>
      </c>
      <c r="CJ25">
        <f>IF($X$4="",1,--(OR(SUMPRODUCT(--(TRIM(MID(SUBSTITUTE(SUBSTITUTE($X$4,"/",","),",",REPT(" ",99)),(ROW($1:$8)-1)*99+1,99))&lt;&gt;""),--ISNUMBER(SEARCH(TRIM(MID(SUBSTITUTE(SUBSTITUTE($X$4,"/",","),",",REPT(" ",99)),(ROW($1:$8)-1)*99+1,99)),IFERROR(('Final Calculation Sheet'!$W$24)&amp;"",""))))&gt;0,AND(ISNUMBER(SEARCH("blank",$X$4)),NOT(ISNUMBER(SEARCH("nonblank",$X$4))),IFERROR(('Final Calculation Sheet'!$W$24)&amp;"","")=""),AND(OR(ISNUMBER(SEARCH("nonblank",$X$4)),ISNUMBER(SEARCH("&lt;&gt;",$X$4))),IFERROR(('Final Calculation Sheet'!$W$24)&amp;"","")&lt;&gt;""),AND(TRIM($X$4)="",IFERROR(('Final Calculation Sheet'!$W$24)&amp;"","")=""))))</f>
        <v/>
      </c>
      <c r="CK25">
        <f>IF($Y$4="",1,--(OR(SUMPRODUCT(--(TRIM(MID(SUBSTITUTE(SUBSTITUTE($Y$4,"/",","),",",REPT(" ",99)),(ROW($1:$8)-1)*99+1,99))&lt;&gt;""),--ISNUMBER(SEARCH(TRIM(MID(SUBSTITUTE(SUBSTITUTE($Y$4,"/",","),",",REPT(" ",99)),(ROW($1:$8)-1)*99+1,99)),IFERROR(('Final Calculation Sheet'!$X$24)&amp;"",""))))&gt;0,AND(ISNUMBER(SEARCH("blank",$Y$4)),NOT(ISNUMBER(SEARCH("nonblank",$Y$4))),IFERROR(('Final Calculation Sheet'!$X$24)&amp;"","")=""),AND(OR(ISNUMBER(SEARCH("nonblank",$Y$4)),ISNUMBER(SEARCH("&lt;&gt;",$Y$4))),IFERROR(('Final Calculation Sheet'!$X$24)&amp;"","")&lt;&gt;""),AND(TRIM($Y$4)="",IFERROR(('Final Calculation Sheet'!$X$24)&amp;"","")=""))))</f>
        <v/>
      </c>
      <c r="CL25">
        <f>IF($Z$4="",1,--(OR(SUMPRODUCT(--(TRIM(MID(SUBSTITUTE(SUBSTITUTE($Z$4,"/",","),",",REPT(" ",99)),(ROW($1:$8)-1)*99+1,99))&lt;&gt;""),--ISNUMBER(SEARCH(TRIM(MID(SUBSTITUTE(SUBSTITUTE($Z$4,"/",","),",",REPT(" ",99)),(ROW($1:$8)-1)*99+1,99)),IFERROR(('Final Calculation Sheet'!$Y$24)&amp;"",""))))&gt;0,AND(ISNUMBER(SEARCH("blank",$Z$4)),NOT(ISNUMBER(SEARCH("nonblank",$Z$4))),IFERROR(('Final Calculation Sheet'!$Y$24)&amp;"","")=""),AND(OR(ISNUMBER(SEARCH("nonblank",$Z$4)),ISNUMBER(SEARCH("&lt;&gt;",$Z$4))),IFERROR(('Final Calculation Sheet'!$Y$24)&amp;"","")&lt;&gt;""),AND(TRIM($Z$4)="",IFERROR(('Final Calculation Sheet'!$Y$24)&amp;"","")=""))))</f>
        <v/>
      </c>
      <c r="CM25">
        <f>IF($AA$4="",1,--(OR(SUMPRODUCT(--(TRIM(MID(SUBSTITUTE(SUBSTITUTE($AA$4,"/",","),",",REPT(" ",99)),(ROW($1:$8)-1)*99+1,99))&lt;&gt;""),--ISNUMBER(SEARCH(TRIM(MID(SUBSTITUTE(SUBSTITUTE($AA$4,"/",","),",",REPT(" ",99)),(ROW($1:$8)-1)*99+1,99)),IFERROR(('Final Calculation Sheet'!$Z$24)&amp;"",""))))&gt;0,AND(ISNUMBER(SEARCH("blank",$AA$4)),NOT(ISNUMBER(SEARCH("nonblank",$AA$4))),IFERROR(('Final Calculation Sheet'!$Z$24)&amp;"","")=""),AND(OR(ISNUMBER(SEARCH("nonblank",$AA$4)),ISNUMBER(SEARCH("&lt;&gt;",$AA$4))),IFERROR(('Final Calculation Sheet'!$Z$24)&amp;"","")&lt;&gt;""),AND(TRIM($AA$4)="",IFERROR(('Final Calculation Sheet'!$Z$24)&amp;"","")=""))))</f>
        <v/>
      </c>
      <c r="CN25">
        <f>IF($AB$4="",1,--(OR(SUMPRODUCT(--(TRIM(MID(SUBSTITUTE(SUBSTITUTE($AB$4,"/",","),",",REPT(" ",99)),(ROW($1:$8)-1)*99+1,99))&lt;&gt;""),--ISNUMBER(SEARCH(TRIM(MID(SUBSTITUTE(SUBSTITUTE($AB$4,"/",","),",",REPT(" ",99)),(ROW($1:$8)-1)*99+1,99)),IFERROR(('Final Calculation Sheet'!$AA$24)&amp;"",""))))&gt;0,AND(ISNUMBER(SEARCH("blank",$AB$4)),NOT(ISNUMBER(SEARCH("nonblank",$AB$4))),IFERROR(('Final Calculation Sheet'!$AA$24)&amp;"","")=""),AND(OR(ISNUMBER(SEARCH("nonblank",$AB$4)),ISNUMBER(SEARCH("&lt;&gt;",$AB$4))),IFERROR(('Final Calculation Sheet'!$AA$24)&amp;"","")&lt;&gt;""),AND(TRIM($AB$4)="",IFERROR(('Final Calculation Sheet'!$AA$24)&amp;"","")=""))))</f>
        <v/>
      </c>
      <c r="CO25">
        <f>IF($AC$4="",1,--(OR(SUMPRODUCT(--(TRIM(MID(SUBSTITUTE(SUBSTITUTE($AC$4,"/",","),",",REPT(" ",99)),(ROW($1:$8)-1)*99+1,99))&lt;&gt;""),--ISNUMBER(SEARCH(TRIM(MID(SUBSTITUTE(SUBSTITUTE($AC$4,"/",","),",",REPT(" ",99)),(ROW($1:$8)-1)*99+1,99)),IFERROR(('Final Calculation Sheet'!$AB$24)&amp;"",""))))&gt;0,AND(ISNUMBER(SEARCH("blank",$AC$4)),NOT(ISNUMBER(SEARCH("nonblank",$AC$4))),IFERROR(('Final Calculation Sheet'!$AB$24)&amp;"","")=""),AND(OR(ISNUMBER(SEARCH("nonblank",$AC$4)),ISNUMBER(SEARCH("&lt;&gt;",$AC$4))),IFERROR(('Final Calculation Sheet'!$AB$24)&amp;"","")&lt;&gt;""),AND(TRIM($AC$4)="",IFERROR(('Final Calculation Sheet'!$AB$24)&amp;"","")=""))))</f>
        <v/>
      </c>
      <c r="CP25">
        <f>IF($AD$4="",1,--(OR(SUMPRODUCT(--(TRIM(MID(SUBSTITUTE(SUBSTITUTE($AD$4,"/",","),",",REPT(" ",99)),(ROW($1:$8)-1)*99+1,99))&lt;&gt;""),--ISNUMBER(SEARCH(TRIM(MID(SUBSTITUTE(SUBSTITUTE($AD$4,"/",","),",",REPT(" ",99)),(ROW($1:$8)-1)*99+1,99)),IFERROR(('Final Calculation Sheet'!$AC$24)&amp;"",""))))&gt;0,AND(ISNUMBER(SEARCH("blank",$AD$4)),NOT(ISNUMBER(SEARCH("nonblank",$AD$4))),IFERROR(('Final Calculation Sheet'!$AC$24)&amp;"","")=""),AND(OR(ISNUMBER(SEARCH("nonblank",$AD$4)),ISNUMBER(SEARCH("&lt;&gt;",$AD$4))),IFERROR(('Final Calculation Sheet'!$AC$24)&amp;"","")&lt;&gt;""),AND(TRIM($AD$4)="",IFERROR(('Final Calculation Sheet'!$AC$24)&amp;"","")=""))))</f>
        <v/>
      </c>
      <c r="CQ25">
        <f>IF($AE$4="",1,--(OR(SUMPRODUCT(--(TRIM(MID(SUBSTITUTE(SUBSTITUTE($AE$4,"/",","),",",REPT(" ",99)),(ROW($1:$8)-1)*99+1,99))&lt;&gt;""),--ISNUMBER(SEARCH(TRIM(MID(SUBSTITUTE(SUBSTITUTE($AE$4,"/",","),",",REPT(" ",99)),(ROW($1:$8)-1)*99+1,99)),IFERROR(('Final Calculation Sheet'!$AD$24)&amp;"",""))))&gt;0,AND(ISNUMBER(SEARCH("blank",$AE$4)),NOT(ISNUMBER(SEARCH("nonblank",$AE$4))),IFERROR(('Final Calculation Sheet'!$AD$24)&amp;"","")=""),AND(OR(ISNUMBER(SEARCH("nonblank",$AE$4)),ISNUMBER(SEARCH("&lt;&gt;",$AE$4))),IFERROR(('Final Calculation Sheet'!$AD$24)&amp;"","")&lt;&gt;""),AND(TRIM($AE$4)="",IFERROR(('Final Calculation Sheet'!$AD$24)&amp;"","")=""))))</f>
        <v/>
      </c>
      <c r="CR25">
        <f>IF($AF$4="",1,--(OR(SUMPRODUCT(--(TRIM(MID(SUBSTITUTE(SUBSTITUTE($AF$4,"/",","),",",REPT(" ",99)),(ROW($1:$8)-1)*99+1,99))&lt;&gt;""),--ISNUMBER(SEARCH(TRIM(MID(SUBSTITUTE(SUBSTITUTE($AF$4,"/",","),",",REPT(" ",99)),(ROW($1:$8)-1)*99+1,99)),IFERROR(('Final Calculation Sheet'!$AE$24)&amp;"",""))))&gt;0,AND(ISNUMBER(SEARCH("blank",$AF$4)),NOT(ISNUMBER(SEARCH("nonblank",$AF$4))),IFERROR(('Final Calculation Sheet'!$AE$24)&amp;"","")=""),AND(OR(ISNUMBER(SEARCH("nonblank",$AF$4)),ISNUMBER(SEARCH("&lt;&gt;",$AF$4))),IFERROR(('Final Calculation Sheet'!$AE$24)&amp;"","")&lt;&gt;""),AND(TRIM($AF$4)="",IFERROR(('Final Calculation Sheet'!$AE$24)&amp;"","")=""))))</f>
        <v/>
      </c>
      <c r="CS25">
        <f>IF($AG$4="",1,--(OR(SUMPRODUCT(--(TRIM(MID(SUBSTITUTE(SUBSTITUTE($AG$4,"/",","),",",REPT(" ",99)),(ROW($1:$8)-1)*99+1,99))&lt;&gt;""),--ISNUMBER(SEARCH(TRIM(MID(SUBSTITUTE(SUBSTITUTE($AG$4,"/",","),",",REPT(" ",99)),(ROW($1:$8)-1)*99+1,99)),IFERROR(('Final Calculation Sheet'!$AF$24)&amp;"",""))))&gt;0,AND(ISNUMBER(SEARCH("blank",$AG$4)),NOT(ISNUMBER(SEARCH("nonblank",$AG$4))),IFERROR(('Final Calculation Sheet'!$AF$24)&amp;"","")=""),AND(OR(ISNUMBER(SEARCH("nonblank",$AG$4)),ISNUMBER(SEARCH("&lt;&gt;",$AG$4))),IFERROR(('Final Calculation Sheet'!$AF$24)&amp;"","")&lt;&gt;""),AND(TRIM($AG$4)="",IFERROR(('Final Calculation Sheet'!$AF$24)&amp;"","")=""))))</f>
        <v/>
      </c>
      <c r="CT25">
        <f>IF($AH$4="",1,--(OR(SUMPRODUCT(--(TRIM(MID(SUBSTITUTE(SUBSTITUTE($AH$4,"/",","),",",REPT(" ",99)),(ROW($1:$8)-1)*99+1,99))&lt;&gt;""),--ISNUMBER(SEARCH(TRIM(MID(SUBSTITUTE(SUBSTITUTE($AH$4,"/",","),",",REPT(" ",99)),(ROW($1:$8)-1)*99+1,99)),IFERROR(('Final Calculation Sheet'!$AG$24)&amp;"",""))))&gt;0,AND(ISNUMBER(SEARCH("blank",$AH$4)),NOT(ISNUMBER(SEARCH("nonblank",$AH$4))),IFERROR(('Final Calculation Sheet'!$AG$24)&amp;"","")=""),AND(OR(ISNUMBER(SEARCH("nonblank",$AH$4)),ISNUMBER(SEARCH("&lt;&gt;",$AH$4))),IFERROR(('Final Calculation Sheet'!$AG$24)&amp;"","")&lt;&gt;""),AND(TRIM($AH$4)="",IFERROR(('Final Calculation Sheet'!$AG$24)&amp;"","")=""))))</f>
        <v/>
      </c>
      <c r="CU25">
        <f>IF($AI$4="",1,--(OR(SUMPRODUCT(--(TRIM(MID(SUBSTITUTE(SUBSTITUTE($AI$4,"/",","),",",REPT(" ",99)),(ROW($1:$8)-1)*99+1,99))&lt;&gt;""),--ISNUMBER(SEARCH(TRIM(MID(SUBSTITUTE(SUBSTITUTE($AI$4,"/",","),",",REPT(" ",99)),(ROW($1:$8)-1)*99+1,99)),IFERROR((IF('Final Calculation Sheet'!$AD$24&lt;=0,"SETTLED","OUTSTANDING"))&amp;"",""))))&gt;0,AND(ISNUMBER(SEARCH("blank",$AI$4)),NOT(ISNUMBER(SEARCH("nonblank",$AI$4))),IFERROR((IF('Final Calculation Sheet'!$AD$24&lt;=0,"SETTLED","OUTSTANDING"))&amp;"","")=""),AND(OR(ISNUMBER(SEARCH("nonblank",$AI$4)),ISNUMBER(SEARCH("&lt;&gt;",$AI$4))),IFERROR((IF('Final Calculation Sheet'!$AD$24&lt;=0,"SETTLED","OUTSTANDING"))&amp;"","")&lt;&gt;""),AND(TRIM($AI$4)="",IFERROR((IF('Final Calculation Sheet'!$AD$24&lt;=0,"SETTLED","OUTSTANDING"))&amp;"","")=""))))</f>
        <v/>
      </c>
    </row>
    <row r="26" ht="15" customHeight="1" s="77">
      <c r="A26" s="67">
        <f>IF($BJ25&gt;0,INDEX($BA$5:$BA$41,MATCH(25,$BB$5:$BB$41,0)),IF(OR($BI25=1,$BL25=1,$BH25&gt;0),"∑",""))</f>
        <v/>
      </c>
      <c r="B26" s="68">
        <f>IF($BJ25&gt;0,IF(INDEX('Final Calculation Sheet'!$F$4:$F$40,$BJ25-3)="","",INDEX('Final Calculation Sheet'!$F$4:$F$40,$BJ25-3)),"")</f>
        <v/>
      </c>
      <c r="C26" s="68">
        <f>IF($BJ25&gt;0,IF(INDEX('Final Calculation Sheet'!$G$4:$G$40,$BJ25-3)="","",INDEX('Final Calculation Sheet'!$G$4:$G$40,$BJ25-3)),IF(OR($BI25=1,$BL25=1,$BH25&gt;0),IF($BI25=1,37,IF($BL25=1,37-INDEX($BD$4:$BD$13,10),INDEX($BD$4:$BD$13,$BH25)))&amp;" lot(s)",""))</f>
        <v/>
      </c>
      <c r="D26" s="69">
        <f>IF($BJ25&gt;0,IF(INDEX('Final Calculation Sheet'!$B$4:$B$40,$BJ25-3)="","",INDEX('Final Calculation Sheet'!$B$4:$B$40,$BJ25-3)),IF(OR($BI25=1,$BL25=1,$BH25&gt;0),IF($BI25=1,"GRAND TOTAL  —  matching + remaining",IF($BL25=1,"TOTAL MATCHED  —  every group together",IF($BH25=10,"REMAINING  —  did not match the search",IF($BH25=9,IF(COUNTIF($A$4:$AI$4,"&lt;&gt;")&gt;0,"FILTERED LOTS  —  column fields","ALL LOTS  —  nothing typed in the box"),"GROUP "&amp;$BH25&amp;" TOTAL  —  lots matching  "&amp;INDEX($AR$6:$AY$6,$BH25))))),""))</f>
        <v/>
      </c>
      <c r="E26" s="69">
        <f>IF($BJ25&gt;0,IF(INDEX('Final Calculation Sheet'!$D$4:$D$40,$BJ25-3)="","",INDEX('Final Calculation Sheet'!$D$4:$D$40,$BJ25-3)),IF(OR($BI25=1,$BL25=1,$BH25&gt;0),"–",""))</f>
        <v/>
      </c>
      <c r="F26" s="69">
        <f>IF($BJ25&gt;0,IF(INDEX('Final Calculation Sheet'!$A$4:$A$40,$BJ25-3)="","",INDEX('Final Calculation Sheet'!$A$4:$A$40,$BJ25-3)),IF(OR($BI25=1,$BL25=1,$BH25&gt;0),IF($BI25=1,SUM('Final Calculation Sheet'!$A$4:$A$40),IF($BL25=1,SUM('Final Calculation Sheet'!$A$4:$A$40)-SUMIFS('Final Calculation Sheet'!$A$4:$A$40,$AZ$5:$AZ$41,10),SUMIFS('Final Calculation Sheet'!$A$4:$A$40,$AZ$5:$AZ$41,$BH25))),""))</f>
        <v/>
      </c>
      <c r="G26" s="69">
        <f>IF($BJ25&gt;0,IF(INDEX('Final Calculation Sheet'!$E$4:$E$40,$BJ25-3)="","",INDEX('Final Calculation Sheet'!$E$4:$E$40,$BJ25-3)),IF(OR($BI25=1,$BL25=1,$BH25&gt;0),"–",""))</f>
        <v/>
      </c>
      <c r="H26" s="70">
        <f>IF($BJ25&gt;0,IF(INDEX('Final Calculation Sheet'!$C$4:$C$40,$BJ25-3)="","",INDEX('Final Calculation Sheet'!$C$4:$C$40,$BJ25-3)),IF(OR($BI25=1,$BL25=1,$BH25&gt;0),"–",""))</f>
        <v/>
      </c>
      <c r="I26" s="70">
        <f>IF($BJ25&gt;0,IF(INDEX('Final Calculation Sheet'!$H$4:$H$40,$BJ25-3)="","",INDEX('Final Calculation Sheet'!$H$4:$H$40,$BJ25-3)),IF(OR($BI25=1,$BL25=1,$BH25&gt;0),IF($BI25=1,SUM('Final Calculation Sheet'!$H$4:$H$40),IF($BL25=1,SUM('Final Calculation Sheet'!$H$4:$H$40)-SUMIFS('Final Calculation Sheet'!$H$4:$H$40,$AZ$5:$AZ$41,10),SUMIFS('Final Calculation Sheet'!$H$4:$H$40,$AZ$5:$AZ$41,$BH25))),""))</f>
        <v/>
      </c>
      <c r="J26" s="70">
        <f>IF($BJ25&gt;0,IF(INDEX('Final Calculation Sheet'!$I$4:$I$40,$BJ25-3)="","",INDEX('Final Calculation Sheet'!$I$4:$I$40,$BJ25-3)),IF(OR($BI25=1,$BL25=1,$BH25&gt;0),IF($BI25=1,SUM('Final Calculation Sheet'!$I$4:$I$40),IF($BL25=1,SUM('Final Calculation Sheet'!$I$4:$I$40)-SUMIFS('Final Calculation Sheet'!$I$4:$I$40,$AZ$5:$AZ$41,10),SUMIFS('Final Calculation Sheet'!$I$4:$I$40,$AZ$5:$AZ$41,$BH25))),""))</f>
        <v/>
      </c>
      <c r="K26" s="70">
        <f>IF($BJ25&gt;0,IF(INDEX('Final Calculation Sheet'!$J$4:$J$40,$BJ25-3)="","",INDEX('Final Calculation Sheet'!$J$4:$J$40,$BJ25-3)),IF(OR($BI25=1,$BL25=1,$BH25&gt;0),IF($BI25=1,SUM('Final Calculation Sheet'!$J$4:$J$40),IF($BL25=1,SUM('Final Calculation Sheet'!$J$4:$J$40)-SUMIFS('Final Calculation Sheet'!$J$4:$J$40,$AZ$5:$AZ$41,10),SUMIFS('Final Calculation Sheet'!$J$4:$J$40,$AZ$5:$AZ$41,$BH25))),""))</f>
        <v/>
      </c>
      <c r="L26" s="70">
        <f>IF($BJ25&gt;0,IF(INDEX('Final Calculation Sheet'!$K$4:$K$40,$BJ25-3)="","",INDEX('Final Calculation Sheet'!$K$4:$K$40,$BJ25-3)),IF(OR($BI25=1,$BL25=1,$BH25&gt;0),IF($BI25=1,SUM('Final Calculation Sheet'!$K$4:$K$40),IF($BL25=1,SUM('Final Calculation Sheet'!$K$4:$K$40)-SUMIFS('Final Calculation Sheet'!$K$4:$K$40,$AZ$5:$AZ$41,10),SUMIFS('Final Calculation Sheet'!$K$4:$K$40,$AZ$5:$AZ$41,$BH25))),""))</f>
        <v/>
      </c>
      <c r="M26" s="70">
        <f>IF($BJ25&gt;0,IF(INDEX('Final Calculation Sheet'!$L$4:$L$40,$BJ25-3)="","",INDEX('Final Calculation Sheet'!$L$4:$L$40,$BJ25-3)),IF(OR($BI25=1,$BL25=1,$BH25&gt;0),IF($BI25=1,SUM('Final Calculation Sheet'!$L$4:$L$40),IF($BL25=1,SUM('Final Calculation Sheet'!$L$4:$L$40)-SUMIFS('Final Calculation Sheet'!$L$4:$L$40,$AZ$5:$AZ$41,10),SUMIFS('Final Calculation Sheet'!$L$4:$L$40,$AZ$5:$AZ$41,$BH25))),""))</f>
        <v/>
      </c>
      <c r="N26" s="70">
        <f>IF($BJ25&gt;0,IF(INDEX('Final Calculation Sheet'!$M$4:$M$40,$BJ25-3)="","",INDEX('Final Calculation Sheet'!$M$4:$M$40,$BJ25-3)),IF(OR($BI25=1,$BL25=1,$BH25&gt;0),IF($BI25=1,SUM('Final Calculation Sheet'!$M$4:$M$40),IF($BL25=1,SUM('Final Calculation Sheet'!$M$4:$M$40)-SUMIFS('Final Calculation Sheet'!$M$4:$M$40,$AZ$5:$AZ$41,10),SUMIFS('Final Calculation Sheet'!$M$4:$M$40,$AZ$5:$AZ$41,$BH25))),""))</f>
        <v/>
      </c>
      <c r="O26" s="71">
        <f>IF($BJ25&gt;0,IF(INDEX('Final Calculation Sheet'!$N$4:$N$40,$BJ25-3)="","",INDEX('Final Calculation Sheet'!$N$4:$N$40,$BJ25-3)),IF(OR($BI25=1,$BL25=1,$BH25&gt;0),IF($BI25=1,SUM('Final Calculation Sheet'!$N$4:$N$40),IF($BL25=1,SUM('Final Calculation Sheet'!$N$4:$N$40)-SUMIFS('Final Calculation Sheet'!$N$4:$N$40,$AZ$5:$AZ$41,10),SUMIFS('Final Calculation Sheet'!$N$4:$N$40,$AZ$5:$AZ$41,$BH25))),""))</f>
        <v/>
      </c>
      <c r="P26" s="70">
        <f>IF($BJ25&gt;0,IF(INDEX('Final Calculation Sheet'!$O$4:$O$40,$BJ25-3)="","",INDEX('Final Calculation Sheet'!$O$4:$O$40,$BJ25-3)),IF(OR($BI25=1,$BL25=1,$BH25&gt;0),IF($BI25=1,SUM('Final Calculation Sheet'!$O$4:$O$40),IF($BL25=1,SUM('Final Calculation Sheet'!$O$4:$O$40)-SUMIFS('Final Calculation Sheet'!$O$4:$O$40,$AZ$5:$AZ$41,10),SUMIFS('Final Calculation Sheet'!$O$4:$O$40,$AZ$5:$AZ$41,$BH25))),""))</f>
        <v/>
      </c>
      <c r="Q26" s="70">
        <f>IF($BJ25&gt;0,IF(INDEX('Final Calculation Sheet'!$P$4:$P$40,$BJ25-3)="","",INDEX('Final Calculation Sheet'!$P$4:$P$40,$BJ25-3)),IF(OR($BI25=1,$BL25=1,$BH25&gt;0),IF($BI25=1,SUM('Final Calculation Sheet'!$P$4:$P$40),IF($BL25=1,SUM('Final Calculation Sheet'!$P$4:$P$40)-SUMIFS('Final Calculation Sheet'!$P$4:$P$40,$AZ$5:$AZ$41,10),SUMIFS('Final Calculation Sheet'!$P$4:$P$40,$AZ$5:$AZ$41,$BH25))),""))</f>
        <v/>
      </c>
      <c r="R26" s="72">
        <f>IF($BJ25&gt;0,IF(INDEX('Final Calculation Sheet'!$Q$4:$Q$40,$BJ25-3)="","",INDEX('Final Calculation Sheet'!$Q$4:$Q$40,$BJ25-3)),IF(OR($BI25=1,$BL25=1,$BH25&gt;0),"–",""))</f>
        <v/>
      </c>
      <c r="S26" s="70">
        <f>IF($BJ25&gt;0,IF(INDEX('Final Calculation Sheet'!$R$4:$R$40,$BJ25-3)="","",INDEX('Final Calculation Sheet'!$R$4:$R$40,$BJ25-3)),IF(OR($BI25=1,$BL25=1,$BH25&gt;0),IF($BI25=1,SUM('Final Calculation Sheet'!$R$4:$R$40),IF($BL25=1,SUM('Final Calculation Sheet'!$R$4:$R$40)-SUMIFS('Final Calculation Sheet'!$R$4:$R$40,$AZ$5:$AZ$41,10),SUMIFS('Final Calculation Sheet'!$R$4:$R$40,$AZ$5:$AZ$41,$BH25))),""))</f>
        <v/>
      </c>
      <c r="T26" s="70">
        <f>IF($BJ25&gt;0,IF(INDEX('Final Calculation Sheet'!$S$4:$S$40,$BJ25-3)="","",INDEX('Final Calculation Sheet'!$S$4:$S$40,$BJ25-3)),IF(OR($BI25=1,$BL25=1,$BH25&gt;0),IF($BI25=1,SUM('Final Calculation Sheet'!$S$4:$S$40),IF($BL25=1,SUM('Final Calculation Sheet'!$S$4:$S$40)-SUMIFS('Final Calculation Sheet'!$S$4:$S$40,$AZ$5:$AZ$41,10),SUMIFS('Final Calculation Sheet'!$S$4:$S$40,$AZ$5:$AZ$41,$BH25))),""))</f>
        <v/>
      </c>
      <c r="U26" s="70">
        <f>IF($BJ25&gt;0,IF(INDEX('Final Calculation Sheet'!$T$4:$T$40,$BJ25-3)="","",INDEX('Final Calculation Sheet'!$T$4:$T$40,$BJ25-3)),IF(OR($BI25=1,$BL25=1,$BH25&gt;0),IF($BI25=1,SUM('Final Calculation Sheet'!$T$4:$T$40),IF($BL25=1,SUM('Final Calculation Sheet'!$T$4:$T$40)-SUMIFS('Final Calculation Sheet'!$T$4:$T$40,$AZ$5:$AZ$41,10),SUMIFS('Final Calculation Sheet'!$T$4:$T$40,$AZ$5:$AZ$41,$BH25))),""))</f>
        <v/>
      </c>
      <c r="V26" s="73">
        <f>IF($BJ25&gt;0,IF(INDEX('Final Calculation Sheet'!$U$4:$U$40,$BJ25-3)="","",INDEX('Final Calculation Sheet'!$U$4:$U$40,$BJ25-3)),IF(OR($BI25=1,$BL25=1,$BH25&gt;0),IF($BI25=1,SUM('Final Calculation Sheet'!$U$4:$U$40),IF($BL25=1,SUM('Final Calculation Sheet'!$U$4:$U$40)-SUMIFS('Final Calculation Sheet'!$U$4:$U$40,$AZ$5:$AZ$41,10),SUMIFS('Final Calculation Sheet'!$U$4:$U$40,$AZ$5:$AZ$41,$BH25))),""))</f>
        <v/>
      </c>
      <c r="W26" s="70">
        <f>IF($BJ25&gt;0,IF(INDEX('Final Calculation Sheet'!$V$4:$V$40,$BJ25-3)="","",INDEX('Final Calculation Sheet'!$V$4:$V$40,$BJ25-3)),IF(OR($BI25=1,$BL25=1,$BH25&gt;0),"–",""))</f>
        <v/>
      </c>
      <c r="X26" s="70">
        <f>IF($BJ25&gt;0,IF(INDEX('Final Calculation Sheet'!$W$4:$W$40,$BJ25-3)="","",INDEX('Final Calculation Sheet'!$W$4:$W$40,$BJ25-3)),IF(OR($BI25=1,$BL25=1,$BH25&gt;0),IF($BI25=1,SUM('Final Calculation Sheet'!$W$4:$W$40),IF($BL25=1,SUM('Final Calculation Sheet'!$W$4:$W$40)-SUMIFS('Final Calculation Sheet'!$W$4:$W$40,$AZ$5:$AZ$41,10),SUMIFS('Final Calculation Sheet'!$W$4:$W$40,$AZ$5:$AZ$41,$BH25))),""))</f>
        <v/>
      </c>
      <c r="Y26" s="70">
        <f>IF($BJ25&gt;0,IF(INDEX('Final Calculation Sheet'!$X$4:$X$40,$BJ25-3)="","",INDEX('Final Calculation Sheet'!$X$4:$X$40,$BJ25-3)),IF(OR($BI25=1,$BL25=1,$BH25&gt;0),IF($BI25=1,SUM('Final Calculation Sheet'!$X$4:$X$40),IF($BL25=1,SUM('Final Calculation Sheet'!$X$4:$X$40)-SUMIFS('Final Calculation Sheet'!$X$4:$X$40,$AZ$5:$AZ$41,10),SUMIFS('Final Calculation Sheet'!$X$4:$X$40,$AZ$5:$AZ$41,$BH25))),""))</f>
        <v/>
      </c>
      <c r="Z26" s="70">
        <f>IF($BJ25&gt;0,IF(INDEX('Final Calculation Sheet'!$Y$4:$Y$40,$BJ25-3)="","",INDEX('Final Calculation Sheet'!$Y$4:$Y$40,$BJ25-3)),IF(OR($BI25=1,$BL25=1,$BH25&gt;0),"–",""))</f>
        <v/>
      </c>
      <c r="AA26" s="70">
        <f>IF($BJ25&gt;0,IF(INDEX('Final Calculation Sheet'!$Z$4:$Z$40,$BJ25-3)="","",INDEX('Final Calculation Sheet'!$Z$4:$Z$40,$BJ25-3)),IF(OR($BI25=1,$BL25=1,$BH25&gt;0),IF($BI25=1,SUM('Final Calculation Sheet'!$Z$4:$Z$40),IF($BL25=1,SUM('Final Calculation Sheet'!$Z$4:$Z$40)-SUMIFS('Final Calculation Sheet'!$Z$4:$Z$40,$AZ$5:$AZ$41,10),SUMIFS('Final Calculation Sheet'!$Z$4:$Z$40,$AZ$5:$AZ$41,$BH25))),""))</f>
        <v/>
      </c>
      <c r="AB26" s="70">
        <f>IF($BJ25&gt;0,IF(INDEX('Final Calculation Sheet'!$AA$4:$AA$40,$BJ25-3)="","",INDEX('Final Calculation Sheet'!$AA$4:$AA$40,$BJ25-3)),IF(OR($BI25=1,$BL25=1,$BH25&gt;0),IF($BI25=1,SUM('Final Calculation Sheet'!$AA$4:$AA$40),IF($BL25=1,SUM('Final Calculation Sheet'!$AA$4:$AA$40)-SUMIFS('Final Calculation Sheet'!$AA$4:$AA$40,$AZ$5:$AZ$41,10),SUMIFS('Final Calculation Sheet'!$AA$4:$AA$40,$AZ$5:$AZ$41,$BH25))),""))</f>
        <v/>
      </c>
      <c r="AC26" s="70">
        <f>IF($BJ25&gt;0,IF(INDEX('Final Calculation Sheet'!$AB$4:$AB$40,$BJ25-3)="","",INDEX('Final Calculation Sheet'!$AB$4:$AB$40,$BJ25-3)),IF(OR($BI25=1,$BL25=1,$BH25&gt;0),"–",""))</f>
        <v/>
      </c>
      <c r="AD26" s="70">
        <f>IF($BJ25&gt;0,IF(INDEX('Final Calculation Sheet'!$AC$4:$AC$40,$BJ25-3)="","",INDEX('Final Calculation Sheet'!$AC$4:$AC$40,$BJ25-3)),IF(OR($BI25=1,$BL25=1,$BH25&gt;0),IF($BI25=1,SUM('Final Calculation Sheet'!$AC$4:$AC$40),IF($BL25=1,SUM('Final Calculation Sheet'!$AC$4:$AC$40)-SUMIFS('Final Calculation Sheet'!$AC$4:$AC$40,$AZ$5:$AZ$41,10),SUMIFS('Final Calculation Sheet'!$AC$4:$AC$40,$AZ$5:$AZ$41,$BH25))),""))</f>
        <v/>
      </c>
      <c r="AE26" s="70">
        <f>IF($BJ25&gt;0,IF(INDEX('Final Calculation Sheet'!$AD$4:$AD$40,$BJ25-3)="","",INDEX('Final Calculation Sheet'!$AD$4:$AD$40,$BJ25-3)),IF(OR($BI25=1,$BL25=1,$BH25&gt;0),IF($BI25=1,SUM('Final Calculation Sheet'!$AD$4:$AD$40),IF($BL25=1,SUM('Final Calculation Sheet'!$AD$4:$AD$40)-SUMIFS('Final Calculation Sheet'!$AD$4:$AD$40,$AZ$5:$AZ$41,10),SUMIFS('Final Calculation Sheet'!$AD$4:$AD$40,$AZ$5:$AZ$41,$BH25))),""))</f>
        <v/>
      </c>
      <c r="AF26" s="70">
        <f>IF($BJ25&gt;0,IF(INDEX('Final Calculation Sheet'!$AE$4:$AE$40,$BJ25-3)="","",INDEX('Final Calculation Sheet'!$AE$4:$AE$40,$BJ25-3)),IF(OR($BI25=1,$BL25=1,$BH25&gt;0),"–",""))</f>
        <v/>
      </c>
      <c r="AG26" s="74">
        <f>IF($BJ25&gt;0,IF(INDEX('Final Calculation Sheet'!$AF$4:$AF$40,$BJ25-3)="","",INDEX('Final Calculation Sheet'!$AF$4:$AF$40,$BJ25-3)),IF(OR($BI25=1,$BL25=1,$BH25&gt;0),"–",""))</f>
        <v/>
      </c>
      <c r="AH26" s="70">
        <f>IF($BJ25&gt;0,IF(INDEX('Final Calculation Sheet'!$AG$4:$AG$40,$BJ25-3)="","",INDEX('Final Calculation Sheet'!$AG$4:$AG$40,$BJ25-3)),IF(OR($BI25=1,$BL25=1,$BH25&gt;0),"–",""))</f>
        <v/>
      </c>
      <c r="AI26" s="75">
        <f>IF($BJ25&gt;0,IF(INDEX('Final Calculation Sheet'!$AD$4:$AD$40,$BJ25-3)="","",IF(INDEX('Final Calculation Sheet'!$AD$4:$AD$40,$BJ25-3)&lt;=0,"SETTLED","OUTSTANDING")),IF(OR($BI25=1,$BL25=1,$BH25&gt;0),IF(IF($BI25=1,SUM('Final Calculation Sheet'!$AD$4:$AD$40),IF($BL25=1,SUM('Final Calculation Sheet'!$AD$4:$AD$40)-SUMIFS('Final Calculation Sheet'!$AD$4:$AD$40,$AZ$5:$AZ$41,10),SUMIFS('Final Calculation Sheet'!$AD$4:$AD$40,$AZ$5:$AZ$41,$BH25)))&lt;=0,"ALL SETTLED","OUTSTANDING"),""))</f>
        <v/>
      </c>
      <c r="AK26">
        <f>IF($F$3="Lot No.",'Final Calculation Sheet'!$F$25,IF($F$3="Buyer",'Final Calculation Sheet'!$G$25,IF($F$3="Lot Name",'Final Calculation Sheet'!$B$25,IF($F$3="Bid Sheet",'Final Calculation Sheet'!$D$25,IF($F$3="Unit",'Final Calculation Sheet'!$E$25,'Final Calculation Sheet'!$F$25&amp;" "&amp;'Final Calculation Sheet'!$G$25&amp;" "&amp;'Final Calculation Sheet'!$B$25)))))</f>
        <v/>
      </c>
      <c r="AM26">
        <f>IF(COUNTIF($BM26:$CU26,0)&gt;0,0,IF($B$3="",1,IF(AND(IF(COUNTIF($AR$9:$AY$9,1)=0,TRUE,SUMPRODUCT(($AR$9:$AY$9=1)*($AR$6:$AY$6&lt;&gt;"")*ISNUMBER(SEARCH($AR$6:$AY$6,$AK26)))&gt;0),IF(COUNTIF($AR$9:$AY$9,2)=0,TRUE,SUMPRODUCT(($AR$9:$AY$9=2)*($AR$6:$AY$6&lt;&gt;"")*ISNUMBER(SEARCH($AR$6:$AY$6,$AK26)))&gt;0),IF(COUNTIF($AR$9:$AY$9,3)=0,TRUE,SUMPRODUCT(($AR$9:$AY$9=3)*($AR$6:$AY$6&lt;&gt;"")*ISNUMBER(SEARCH($AR$6:$AY$6,$AK26)))&gt;0),IF(COUNTIF($AR$9:$AY$9,4)=0,TRUE,SUMPRODUCT(($AR$9:$AY$9=4)*($AR$6:$AY$6&lt;&gt;"")*ISNUMBER(SEARCH($AR$6:$AY$6,$AK26)))&gt;0),IF(COUNTIF($AR$9:$AY$9,5)=0,TRUE,SUMPRODUCT(($AR$9:$AY$9=5)*($AR$6:$AY$6&lt;&gt;"")*ISNUMBER(SEARCH($AR$6:$AY$6,$AK26)))&gt;0),IF(COUNTIF($AR$9:$AY$9,6)=0,TRUE,SUMPRODUCT(($AR$9:$AY$9=6)*($AR$6:$AY$6&lt;&gt;"")*ISNUMBER(SEARCH($AR$6:$AY$6,$AK26)))&gt;0),IF(COUNTIF($AR$9:$AY$9,7)=0,TRUE,SUMPRODUCT(($AR$9:$AY$9=7)*($AR$6:$AY$6&lt;&gt;"")*ISNUMBER(SEARCH($AR$6:$AY$6,$AK26)))&gt;0),IF(COUNTIF($AR$9:$AY$9,8)=0,TRUE,SUMPRODUCT(($AR$9:$AY$9=8)*($AR$6:$AY$6&lt;&gt;"")*ISNUMBER(SEARCH($AR$6:$AY$6,$AK26)))&gt;0)),1,0)))</f>
        <v/>
      </c>
      <c r="AZ26">
        <f>IF($B$3="",IF(COUNTIF($A$4:$AI$4,"&lt;&gt;")=0,9,IF($AM26=1,9,10)),IF($AM26=0,10,IF(AND($AR$6&lt;&gt;"",ISNUMBER(SEARCH($AR$6,$AK26))),1,IF(AND($AS$6&lt;&gt;"",ISNUMBER(SEARCH($AS$6,$AK26))),2,IF(AND($AT$6&lt;&gt;"",ISNUMBER(SEARCH($AT$6,$AK26))),3,IF(AND($AU$6&lt;&gt;"",ISNUMBER(SEARCH($AU$6,$AK26))),4,IF(AND($AV$6&lt;&gt;"",ISNUMBER(SEARCH($AV$6,$AK26))),5,IF(AND($AW$6&lt;&gt;"",ISNUMBER(SEARCH($AW$6,$AK26))),6,IF(AND($AX$6&lt;&gt;"",ISNUMBER(SEARCH($AX$6,$AK26))),7,IF(AND($AY$6&lt;&gt;"",ISNUMBER(SEARCH($AY$6,$AK26))),8,0))))))))))</f>
        <v/>
      </c>
      <c r="BA26">
        <f>SUMPRODUCT(($AZ$5:$AZ$41=$AZ26)*($BC$5:$BC$41&lt;$BC26))+1</f>
        <v/>
      </c>
      <c r="BB26">
        <f>IF(INDEX($BF$4:$BF$13,$AZ26)=0,0,INDEX($BE$4:$BE$13,$AZ26)+$BA26-1)</f>
        <v/>
      </c>
      <c r="BC26" t="n">
        <v>25</v>
      </c>
      <c r="BH26">
        <f>IFERROR(MATCH(26,$BF$4:$BF$13,0),0)</f>
        <v/>
      </c>
      <c r="BI26">
        <f>IF(26=$BG$5,1,0)</f>
        <v/>
      </c>
      <c r="BJ26">
        <f>IF(OR($BH26&gt;0,$BI26=1,$BL26=1),0,IFERROR(INDEX($BC$5:$BC$41,MATCH(26,$BB$5:$BB$41,0)),0))</f>
        <v/>
      </c>
      <c r="BK26">
        <f>IF($BJ26&gt;0,IF(INDEX($AZ$5:$AZ$41,MATCH(26,$BB$5:$BB$41,0))=10,1,0),IF($BH26=10,1,0))</f>
        <v/>
      </c>
      <c r="BL26">
        <f>IF(26=$BG$4,1,0)</f>
        <v/>
      </c>
      <c r="BM2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6">
        <f>IF($B$4="",1,--(OR(SUMPRODUCT(--(TRIM(MID(SUBSTITUTE(SUBSTITUTE($B$4,"/",","),",",REPT(" ",99)),(ROW($1:$8)-1)*99+1,99))&lt;&gt;""),--ISNUMBER(SEARCH(TRIM(MID(SUBSTITUTE(SUBSTITUTE($B$4,"/",","),",",REPT(" ",99)),(ROW($1:$8)-1)*99+1,99)),IFERROR(('Final Calculation Sheet'!$F$25)&amp;"",""))))&gt;0,AND(ISNUMBER(SEARCH("blank",$B$4)),NOT(ISNUMBER(SEARCH("nonblank",$B$4))),IFERROR(('Final Calculation Sheet'!$F$25)&amp;"","")=""),AND(OR(ISNUMBER(SEARCH("nonblank",$B$4)),ISNUMBER(SEARCH("&lt;&gt;",$B$4))),IFERROR(('Final Calculation Sheet'!$F$25)&amp;"","")&lt;&gt;""),AND(TRIM($B$4)="",IFERROR(('Final Calculation Sheet'!$F$25)&amp;"","")=""))))</f>
        <v/>
      </c>
      <c r="BO26">
        <f>IF($C$4="",1,--(OR(SUMPRODUCT(--(TRIM(MID(SUBSTITUTE(SUBSTITUTE($C$4,"/",","),",",REPT(" ",99)),(ROW($1:$8)-1)*99+1,99))&lt;&gt;""),--ISNUMBER(SEARCH(TRIM(MID(SUBSTITUTE(SUBSTITUTE($C$4,"/",","),",",REPT(" ",99)),(ROW($1:$8)-1)*99+1,99)),IFERROR(('Final Calculation Sheet'!$G$25)&amp;"",""))))&gt;0,AND(ISNUMBER(SEARCH("blank",$C$4)),NOT(ISNUMBER(SEARCH("nonblank",$C$4))),IFERROR(('Final Calculation Sheet'!$G$25)&amp;"","")=""),AND(OR(ISNUMBER(SEARCH("nonblank",$C$4)),ISNUMBER(SEARCH("&lt;&gt;",$C$4))),IFERROR(('Final Calculation Sheet'!$G$25)&amp;"","")&lt;&gt;""),AND(TRIM($C$4)="",IFERROR(('Final Calculation Sheet'!$G$25)&amp;"","")=""))))</f>
        <v/>
      </c>
      <c r="BP26">
        <f>IF($D$4="",1,--(OR(SUMPRODUCT(--(TRIM(MID(SUBSTITUTE(SUBSTITUTE($D$4,"/",","),",",REPT(" ",99)),(ROW($1:$8)-1)*99+1,99))&lt;&gt;""),--ISNUMBER(SEARCH(TRIM(MID(SUBSTITUTE(SUBSTITUTE($D$4,"/",","),",",REPT(" ",99)),(ROW($1:$8)-1)*99+1,99)),IFERROR(('Final Calculation Sheet'!$B$25)&amp;"",""))))&gt;0,AND(ISNUMBER(SEARCH("blank",$D$4)),NOT(ISNUMBER(SEARCH("nonblank",$D$4))),IFERROR(('Final Calculation Sheet'!$B$25)&amp;"","")=""),AND(OR(ISNUMBER(SEARCH("nonblank",$D$4)),ISNUMBER(SEARCH("&lt;&gt;",$D$4))),IFERROR(('Final Calculation Sheet'!$B$25)&amp;"","")&lt;&gt;""),AND(TRIM($D$4)="",IFERROR(('Final Calculation Sheet'!$B$25)&amp;"","")=""))))</f>
        <v/>
      </c>
      <c r="BQ26">
        <f>IF($E$4="",1,--(OR(SUMPRODUCT(--(TRIM(MID(SUBSTITUTE(SUBSTITUTE($E$4,"/",","),",",REPT(" ",99)),(ROW($1:$8)-1)*99+1,99))&lt;&gt;""),--ISNUMBER(SEARCH(TRIM(MID(SUBSTITUTE(SUBSTITUTE($E$4,"/",","),",",REPT(" ",99)),(ROW($1:$8)-1)*99+1,99)),IFERROR(('Final Calculation Sheet'!$D$25)&amp;"",""))))&gt;0,AND(ISNUMBER(SEARCH("blank",$E$4)),NOT(ISNUMBER(SEARCH("nonblank",$E$4))),IFERROR(('Final Calculation Sheet'!$D$25)&amp;"","")=""),AND(OR(ISNUMBER(SEARCH("nonblank",$E$4)),ISNUMBER(SEARCH("&lt;&gt;",$E$4))),IFERROR(('Final Calculation Sheet'!$D$25)&amp;"","")&lt;&gt;""),AND(TRIM($E$4)="",IFERROR(('Final Calculation Sheet'!$D$25)&amp;"","")=""))))</f>
        <v/>
      </c>
      <c r="BR26">
        <f>IF($F$4="",1,--(OR(SUMPRODUCT(--(TRIM(MID(SUBSTITUTE(SUBSTITUTE($F$4,"/",","),",",REPT(" ",99)),(ROW($1:$8)-1)*99+1,99))&lt;&gt;""),--ISNUMBER(SEARCH(TRIM(MID(SUBSTITUTE(SUBSTITUTE($F$4,"/",","),",",REPT(" ",99)),(ROW($1:$8)-1)*99+1,99)),IFERROR(('Final Calculation Sheet'!$A$25)&amp;"",""))))&gt;0,AND(ISNUMBER(SEARCH("blank",$F$4)),NOT(ISNUMBER(SEARCH("nonblank",$F$4))),IFERROR(('Final Calculation Sheet'!$A$25)&amp;"","")=""),AND(OR(ISNUMBER(SEARCH("nonblank",$F$4)),ISNUMBER(SEARCH("&lt;&gt;",$F$4))),IFERROR(('Final Calculation Sheet'!$A$25)&amp;"","")&lt;&gt;""),AND(TRIM($F$4)="",IFERROR(('Final Calculation Sheet'!$A$25)&amp;"","")=""))))</f>
        <v/>
      </c>
      <c r="BS26">
        <f>IF($G$4="",1,--(OR(SUMPRODUCT(--(TRIM(MID(SUBSTITUTE(SUBSTITUTE($G$4,"/",","),",",REPT(" ",99)),(ROW($1:$8)-1)*99+1,99))&lt;&gt;""),--ISNUMBER(SEARCH(TRIM(MID(SUBSTITUTE(SUBSTITUTE($G$4,"/",","),",",REPT(" ",99)),(ROW($1:$8)-1)*99+1,99)),IFERROR(('Final Calculation Sheet'!$E$25)&amp;"",""))))&gt;0,AND(ISNUMBER(SEARCH("blank",$G$4)),NOT(ISNUMBER(SEARCH("nonblank",$G$4))),IFERROR(('Final Calculation Sheet'!$E$25)&amp;"","")=""),AND(OR(ISNUMBER(SEARCH("nonblank",$G$4)),ISNUMBER(SEARCH("&lt;&gt;",$G$4))),IFERROR(('Final Calculation Sheet'!$E$25)&amp;"","")&lt;&gt;""),AND(TRIM($G$4)="",IFERROR(('Final Calculation Sheet'!$E$25)&amp;"","")=""))))</f>
        <v/>
      </c>
      <c r="BT26">
        <f>IF($H$4="",1,--(OR(SUMPRODUCT(--(TRIM(MID(SUBSTITUTE(SUBSTITUTE($H$4,"/",","),",",REPT(" ",99)),(ROW($1:$8)-1)*99+1,99))&lt;&gt;""),--ISNUMBER(SEARCH(TRIM(MID(SUBSTITUTE(SUBSTITUTE($H$4,"/",","),",",REPT(" ",99)),(ROW($1:$8)-1)*99+1,99)),IFERROR(('Final Calculation Sheet'!$C$25)&amp;"",""))))&gt;0,AND(ISNUMBER(SEARCH("blank",$H$4)),NOT(ISNUMBER(SEARCH("nonblank",$H$4))),IFERROR(('Final Calculation Sheet'!$C$25)&amp;"","")=""),AND(OR(ISNUMBER(SEARCH("nonblank",$H$4)),ISNUMBER(SEARCH("&lt;&gt;",$H$4))),IFERROR(('Final Calculation Sheet'!$C$25)&amp;"","")&lt;&gt;""),AND(TRIM($H$4)="",IFERROR(('Final Calculation Sheet'!$C$25)&amp;"","")=""))))</f>
        <v/>
      </c>
      <c r="BU26">
        <f>IF($I$4="",1,--(OR(SUMPRODUCT(--(TRIM(MID(SUBSTITUTE(SUBSTITUTE($I$4,"/",","),",",REPT(" ",99)),(ROW($1:$8)-1)*99+1,99))&lt;&gt;""),--ISNUMBER(SEARCH(TRIM(MID(SUBSTITUTE(SUBSTITUTE($I$4,"/",","),",",REPT(" ",99)),(ROW($1:$8)-1)*99+1,99)),IFERROR(('Final Calculation Sheet'!$H$25)&amp;"",""))))&gt;0,AND(ISNUMBER(SEARCH("blank",$I$4)),NOT(ISNUMBER(SEARCH("nonblank",$I$4))),IFERROR(('Final Calculation Sheet'!$H$25)&amp;"","")=""),AND(OR(ISNUMBER(SEARCH("nonblank",$I$4)),ISNUMBER(SEARCH("&lt;&gt;",$I$4))),IFERROR(('Final Calculation Sheet'!$H$25)&amp;"","")&lt;&gt;""),AND(TRIM($I$4)="",IFERROR(('Final Calculation Sheet'!$H$25)&amp;"","")=""))))</f>
        <v/>
      </c>
      <c r="BV26">
        <f>IF($J$4="",1,--(OR(SUMPRODUCT(--(TRIM(MID(SUBSTITUTE(SUBSTITUTE($J$4,"/",","),",",REPT(" ",99)),(ROW($1:$8)-1)*99+1,99))&lt;&gt;""),--ISNUMBER(SEARCH(TRIM(MID(SUBSTITUTE(SUBSTITUTE($J$4,"/",","),",",REPT(" ",99)),(ROW($1:$8)-1)*99+1,99)),IFERROR(('Final Calculation Sheet'!$I$25)&amp;"",""))))&gt;0,AND(ISNUMBER(SEARCH("blank",$J$4)),NOT(ISNUMBER(SEARCH("nonblank",$J$4))),IFERROR(('Final Calculation Sheet'!$I$25)&amp;"","")=""),AND(OR(ISNUMBER(SEARCH("nonblank",$J$4)),ISNUMBER(SEARCH("&lt;&gt;",$J$4))),IFERROR(('Final Calculation Sheet'!$I$25)&amp;"","")&lt;&gt;""),AND(TRIM($J$4)="",IFERROR(('Final Calculation Sheet'!$I$25)&amp;"","")=""))))</f>
        <v/>
      </c>
      <c r="BW26">
        <f>IF($K$4="",1,--(OR(SUMPRODUCT(--(TRIM(MID(SUBSTITUTE(SUBSTITUTE($K$4,"/",","),",",REPT(" ",99)),(ROW($1:$8)-1)*99+1,99))&lt;&gt;""),--ISNUMBER(SEARCH(TRIM(MID(SUBSTITUTE(SUBSTITUTE($K$4,"/",","),",",REPT(" ",99)),(ROW($1:$8)-1)*99+1,99)),IFERROR(('Final Calculation Sheet'!$J$25)&amp;"",""))))&gt;0,AND(ISNUMBER(SEARCH("blank",$K$4)),NOT(ISNUMBER(SEARCH("nonblank",$K$4))),IFERROR(('Final Calculation Sheet'!$J$25)&amp;"","")=""),AND(OR(ISNUMBER(SEARCH("nonblank",$K$4)),ISNUMBER(SEARCH("&lt;&gt;",$K$4))),IFERROR(('Final Calculation Sheet'!$J$25)&amp;"","")&lt;&gt;""),AND(TRIM($K$4)="",IFERROR(('Final Calculation Sheet'!$J$25)&amp;"","")=""))))</f>
        <v/>
      </c>
      <c r="BX26">
        <f>IF($L$4="",1,--(OR(SUMPRODUCT(--(TRIM(MID(SUBSTITUTE(SUBSTITUTE($L$4,"/",","),",",REPT(" ",99)),(ROW($1:$8)-1)*99+1,99))&lt;&gt;""),--ISNUMBER(SEARCH(TRIM(MID(SUBSTITUTE(SUBSTITUTE($L$4,"/",","),",",REPT(" ",99)),(ROW($1:$8)-1)*99+1,99)),IFERROR(('Final Calculation Sheet'!$K$25)&amp;"",""))))&gt;0,AND(ISNUMBER(SEARCH("blank",$L$4)),NOT(ISNUMBER(SEARCH("nonblank",$L$4))),IFERROR(('Final Calculation Sheet'!$K$25)&amp;"","")=""),AND(OR(ISNUMBER(SEARCH("nonblank",$L$4)),ISNUMBER(SEARCH("&lt;&gt;",$L$4))),IFERROR(('Final Calculation Sheet'!$K$25)&amp;"","")&lt;&gt;""),AND(TRIM($L$4)="",IFERROR(('Final Calculation Sheet'!$K$25)&amp;"","")=""))))</f>
        <v/>
      </c>
      <c r="BY26">
        <f>IF($M$4="",1,--(OR(SUMPRODUCT(--(TRIM(MID(SUBSTITUTE(SUBSTITUTE($M$4,"/",","),",",REPT(" ",99)),(ROW($1:$8)-1)*99+1,99))&lt;&gt;""),--ISNUMBER(SEARCH(TRIM(MID(SUBSTITUTE(SUBSTITUTE($M$4,"/",","),",",REPT(" ",99)),(ROW($1:$8)-1)*99+1,99)),IFERROR(('Final Calculation Sheet'!$L$25)&amp;"",""))))&gt;0,AND(ISNUMBER(SEARCH("blank",$M$4)),NOT(ISNUMBER(SEARCH("nonblank",$M$4))),IFERROR(('Final Calculation Sheet'!$L$25)&amp;"","")=""),AND(OR(ISNUMBER(SEARCH("nonblank",$M$4)),ISNUMBER(SEARCH("&lt;&gt;",$M$4))),IFERROR(('Final Calculation Sheet'!$L$25)&amp;"","")&lt;&gt;""),AND(TRIM($M$4)="",IFERROR(('Final Calculation Sheet'!$L$25)&amp;"","")=""))))</f>
        <v/>
      </c>
      <c r="BZ26">
        <f>IF($N$4="",1,--(OR(SUMPRODUCT(--(TRIM(MID(SUBSTITUTE(SUBSTITUTE($N$4,"/",","),",",REPT(" ",99)),(ROW($1:$8)-1)*99+1,99))&lt;&gt;""),--ISNUMBER(SEARCH(TRIM(MID(SUBSTITUTE(SUBSTITUTE($N$4,"/",","),",",REPT(" ",99)),(ROW($1:$8)-1)*99+1,99)),IFERROR(('Final Calculation Sheet'!$M$25)&amp;"",""))))&gt;0,AND(ISNUMBER(SEARCH("blank",$N$4)),NOT(ISNUMBER(SEARCH("nonblank",$N$4))),IFERROR(('Final Calculation Sheet'!$M$25)&amp;"","")=""),AND(OR(ISNUMBER(SEARCH("nonblank",$N$4)),ISNUMBER(SEARCH("&lt;&gt;",$N$4))),IFERROR(('Final Calculation Sheet'!$M$25)&amp;"","")&lt;&gt;""),AND(TRIM($N$4)="",IFERROR(('Final Calculation Sheet'!$M$25)&amp;"","")=""))))</f>
        <v/>
      </c>
      <c r="CA26">
        <f>IF($O$4="",1,--(OR(SUMPRODUCT(--(TRIM(MID(SUBSTITUTE(SUBSTITUTE($O$4,"/",","),",",REPT(" ",99)),(ROW($1:$8)-1)*99+1,99))&lt;&gt;""),--ISNUMBER(SEARCH(TRIM(MID(SUBSTITUTE(SUBSTITUTE($O$4,"/",","),",",REPT(" ",99)),(ROW($1:$8)-1)*99+1,99)),IFERROR(('Final Calculation Sheet'!$N$25)&amp;"",""))))&gt;0,AND(ISNUMBER(SEARCH("blank",$O$4)),NOT(ISNUMBER(SEARCH("nonblank",$O$4))),IFERROR(('Final Calculation Sheet'!$N$25)&amp;"","")=""),AND(OR(ISNUMBER(SEARCH("nonblank",$O$4)),ISNUMBER(SEARCH("&lt;&gt;",$O$4))),IFERROR(('Final Calculation Sheet'!$N$25)&amp;"","")&lt;&gt;""),AND(TRIM($O$4)="",IFERROR(('Final Calculation Sheet'!$N$25)&amp;"","")=""))))</f>
        <v/>
      </c>
      <c r="CB26">
        <f>IF($P$4="",1,--(OR(SUMPRODUCT(--(TRIM(MID(SUBSTITUTE(SUBSTITUTE($P$4,"/",","),",",REPT(" ",99)),(ROW($1:$8)-1)*99+1,99))&lt;&gt;""),--ISNUMBER(SEARCH(TRIM(MID(SUBSTITUTE(SUBSTITUTE($P$4,"/",","),",",REPT(" ",99)),(ROW($1:$8)-1)*99+1,99)),IFERROR(('Final Calculation Sheet'!$O$25)&amp;"",""))))&gt;0,AND(ISNUMBER(SEARCH("blank",$P$4)),NOT(ISNUMBER(SEARCH("nonblank",$P$4))),IFERROR(('Final Calculation Sheet'!$O$25)&amp;"","")=""),AND(OR(ISNUMBER(SEARCH("nonblank",$P$4)),ISNUMBER(SEARCH("&lt;&gt;",$P$4))),IFERROR(('Final Calculation Sheet'!$O$25)&amp;"","")&lt;&gt;""),AND(TRIM($P$4)="",IFERROR(('Final Calculation Sheet'!$O$25)&amp;"","")=""))))</f>
        <v/>
      </c>
      <c r="CC26">
        <f>IF($Q$4="",1,--(OR(SUMPRODUCT(--(TRIM(MID(SUBSTITUTE(SUBSTITUTE($Q$4,"/",","),",",REPT(" ",99)),(ROW($1:$8)-1)*99+1,99))&lt;&gt;""),--ISNUMBER(SEARCH(TRIM(MID(SUBSTITUTE(SUBSTITUTE($Q$4,"/",","),",",REPT(" ",99)),(ROW($1:$8)-1)*99+1,99)),IFERROR(('Final Calculation Sheet'!$P$25)&amp;"",""))))&gt;0,AND(ISNUMBER(SEARCH("blank",$Q$4)),NOT(ISNUMBER(SEARCH("nonblank",$Q$4))),IFERROR(('Final Calculation Sheet'!$P$25)&amp;"","")=""),AND(OR(ISNUMBER(SEARCH("nonblank",$Q$4)),ISNUMBER(SEARCH("&lt;&gt;",$Q$4))),IFERROR(('Final Calculation Sheet'!$P$25)&amp;"","")&lt;&gt;""),AND(TRIM($Q$4)="",IFERROR(('Final Calculation Sheet'!$P$25)&amp;"","")=""))))</f>
        <v/>
      </c>
      <c r="CD26">
        <f>IF($R$4="",1,--(OR(SUMPRODUCT(--(TRIM(MID(SUBSTITUTE(SUBSTITUTE($R$4,"/",","),",",REPT(" ",99)),(ROW($1:$8)-1)*99+1,99))&lt;&gt;""),--ISNUMBER(SEARCH(TRIM(MID(SUBSTITUTE(SUBSTITUTE($R$4,"/",","),",",REPT(" ",99)),(ROW($1:$8)-1)*99+1,99)),IFERROR(('Final Calculation Sheet'!$Q$25)&amp;"",""))))&gt;0,AND(ISNUMBER(SEARCH("blank",$R$4)),NOT(ISNUMBER(SEARCH("nonblank",$R$4))),IFERROR(('Final Calculation Sheet'!$Q$25)&amp;"","")=""),AND(OR(ISNUMBER(SEARCH("nonblank",$R$4)),ISNUMBER(SEARCH("&lt;&gt;",$R$4))),IFERROR(('Final Calculation Sheet'!$Q$25)&amp;"","")&lt;&gt;""),AND(TRIM($R$4)="",IFERROR(('Final Calculation Sheet'!$Q$25)&amp;"","")=""))))</f>
        <v/>
      </c>
      <c r="CE26">
        <f>IF($S$4="",1,--(OR(SUMPRODUCT(--(TRIM(MID(SUBSTITUTE(SUBSTITUTE($S$4,"/",","),",",REPT(" ",99)),(ROW($1:$8)-1)*99+1,99))&lt;&gt;""),--ISNUMBER(SEARCH(TRIM(MID(SUBSTITUTE(SUBSTITUTE($S$4,"/",","),",",REPT(" ",99)),(ROW($1:$8)-1)*99+1,99)),IFERROR(('Final Calculation Sheet'!$R$25)&amp;"",""))))&gt;0,AND(ISNUMBER(SEARCH("blank",$S$4)),NOT(ISNUMBER(SEARCH("nonblank",$S$4))),IFERROR(('Final Calculation Sheet'!$R$25)&amp;"","")=""),AND(OR(ISNUMBER(SEARCH("nonblank",$S$4)),ISNUMBER(SEARCH("&lt;&gt;",$S$4))),IFERROR(('Final Calculation Sheet'!$R$25)&amp;"","")&lt;&gt;""),AND(TRIM($S$4)="",IFERROR(('Final Calculation Sheet'!$R$25)&amp;"","")=""))))</f>
        <v/>
      </c>
      <c r="CF26">
        <f>IF($T$4="",1,--(OR(SUMPRODUCT(--(TRIM(MID(SUBSTITUTE(SUBSTITUTE($T$4,"/",","),",",REPT(" ",99)),(ROW($1:$8)-1)*99+1,99))&lt;&gt;""),--ISNUMBER(SEARCH(TRIM(MID(SUBSTITUTE(SUBSTITUTE($T$4,"/",","),",",REPT(" ",99)),(ROW($1:$8)-1)*99+1,99)),IFERROR(('Final Calculation Sheet'!$S$25)&amp;"",""))))&gt;0,AND(ISNUMBER(SEARCH("blank",$T$4)),NOT(ISNUMBER(SEARCH("nonblank",$T$4))),IFERROR(('Final Calculation Sheet'!$S$25)&amp;"","")=""),AND(OR(ISNUMBER(SEARCH("nonblank",$T$4)),ISNUMBER(SEARCH("&lt;&gt;",$T$4))),IFERROR(('Final Calculation Sheet'!$S$25)&amp;"","")&lt;&gt;""),AND(TRIM($T$4)="",IFERROR(('Final Calculation Sheet'!$S$25)&amp;"","")=""))))</f>
        <v/>
      </c>
      <c r="CG26">
        <f>IF($U$4="",1,--(OR(SUMPRODUCT(--(TRIM(MID(SUBSTITUTE(SUBSTITUTE($U$4,"/",","),",",REPT(" ",99)),(ROW($1:$8)-1)*99+1,99))&lt;&gt;""),--ISNUMBER(SEARCH(TRIM(MID(SUBSTITUTE(SUBSTITUTE($U$4,"/",","),",",REPT(" ",99)),(ROW($1:$8)-1)*99+1,99)),IFERROR(('Final Calculation Sheet'!$T$25)&amp;"",""))))&gt;0,AND(ISNUMBER(SEARCH("blank",$U$4)),NOT(ISNUMBER(SEARCH("nonblank",$U$4))),IFERROR(('Final Calculation Sheet'!$T$25)&amp;"","")=""),AND(OR(ISNUMBER(SEARCH("nonblank",$U$4)),ISNUMBER(SEARCH("&lt;&gt;",$U$4))),IFERROR(('Final Calculation Sheet'!$T$25)&amp;"","")&lt;&gt;""),AND(TRIM($U$4)="",IFERROR(('Final Calculation Sheet'!$T$25)&amp;"","")=""))))</f>
        <v/>
      </c>
      <c r="CH26">
        <f>IF($V$4="",1,--(OR(SUMPRODUCT(--(TRIM(MID(SUBSTITUTE(SUBSTITUTE($V$4,"/",","),",",REPT(" ",99)),(ROW($1:$8)-1)*99+1,99))&lt;&gt;""),--ISNUMBER(SEARCH(TRIM(MID(SUBSTITUTE(SUBSTITUTE($V$4,"/",","),",",REPT(" ",99)),(ROW($1:$8)-1)*99+1,99)),IFERROR(('Final Calculation Sheet'!$U$25)&amp;"",""))))&gt;0,AND(ISNUMBER(SEARCH("blank",$V$4)),NOT(ISNUMBER(SEARCH("nonblank",$V$4))),IFERROR(('Final Calculation Sheet'!$U$25)&amp;"","")=""),AND(OR(ISNUMBER(SEARCH("nonblank",$V$4)),ISNUMBER(SEARCH("&lt;&gt;",$V$4))),IFERROR(('Final Calculation Sheet'!$U$25)&amp;"","")&lt;&gt;""),AND(TRIM($V$4)="",IFERROR(('Final Calculation Sheet'!$U$25)&amp;"","")=""))))</f>
        <v/>
      </c>
      <c r="CI26">
        <f>IF($W$4="",1,--(OR(SUMPRODUCT(--(TRIM(MID(SUBSTITUTE(SUBSTITUTE($W$4,"/",","),",",REPT(" ",99)),(ROW($1:$8)-1)*99+1,99))&lt;&gt;""),--ISNUMBER(SEARCH(TRIM(MID(SUBSTITUTE(SUBSTITUTE($W$4,"/",","),",",REPT(" ",99)),(ROW($1:$8)-1)*99+1,99)),IFERROR(('Final Calculation Sheet'!$V$25)&amp;"",""))))&gt;0,AND(ISNUMBER(SEARCH("blank",$W$4)),NOT(ISNUMBER(SEARCH("nonblank",$W$4))),IFERROR(('Final Calculation Sheet'!$V$25)&amp;"","")=""),AND(OR(ISNUMBER(SEARCH("nonblank",$W$4)),ISNUMBER(SEARCH("&lt;&gt;",$W$4))),IFERROR(('Final Calculation Sheet'!$V$25)&amp;"","")&lt;&gt;""),AND(TRIM($W$4)="",IFERROR(('Final Calculation Sheet'!$V$25)&amp;"","")=""))))</f>
        <v/>
      </c>
      <c r="CJ26">
        <f>IF($X$4="",1,--(OR(SUMPRODUCT(--(TRIM(MID(SUBSTITUTE(SUBSTITUTE($X$4,"/",","),",",REPT(" ",99)),(ROW($1:$8)-1)*99+1,99))&lt;&gt;""),--ISNUMBER(SEARCH(TRIM(MID(SUBSTITUTE(SUBSTITUTE($X$4,"/",","),",",REPT(" ",99)),(ROW($1:$8)-1)*99+1,99)),IFERROR(('Final Calculation Sheet'!$W$25)&amp;"",""))))&gt;0,AND(ISNUMBER(SEARCH("blank",$X$4)),NOT(ISNUMBER(SEARCH("nonblank",$X$4))),IFERROR(('Final Calculation Sheet'!$W$25)&amp;"","")=""),AND(OR(ISNUMBER(SEARCH("nonblank",$X$4)),ISNUMBER(SEARCH("&lt;&gt;",$X$4))),IFERROR(('Final Calculation Sheet'!$W$25)&amp;"","")&lt;&gt;""),AND(TRIM($X$4)="",IFERROR(('Final Calculation Sheet'!$W$25)&amp;"","")=""))))</f>
        <v/>
      </c>
      <c r="CK26">
        <f>IF($Y$4="",1,--(OR(SUMPRODUCT(--(TRIM(MID(SUBSTITUTE(SUBSTITUTE($Y$4,"/",","),",",REPT(" ",99)),(ROW($1:$8)-1)*99+1,99))&lt;&gt;""),--ISNUMBER(SEARCH(TRIM(MID(SUBSTITUTE(SUBSTITUTE($Y$4,"/",","),",",REPT(" ",99)),(ROW($1:$8)-1)*99+1,99)),IFERROR(('Final Calculation Sheet'!$X$25)&amp;"",""))))&gt;0,AND(ISNUMBER(SEARCH("blank",$Y$4)),NOT(ISNUMBER(SEARCH("nonblank",$Y$4))),IFERROR(('Final Calculation Sheet'!$X$25)&amp;"","")=""),AND(OR(ISNUMBER(SEARCH("nonblank",$Y$4)),ISNUMBER(SEARCH("&lt;&gt;",$Y$4))),IFERROR(('Final Calculation Sheet'!$X$25)&amp;"","")&lt;&gt;""),AND(TRIM($Y$4)="",IFERROR(('Final Calculation Sheet'!$X$25)&amp;"","")=""))))</f>
        <v/>
      </c>
      <c r="CL26">
        <f>IF($Z$4="",1,--(OR(SUMPRODUCT(--(TRIM(MID(SUBSTITUTE(SUBSTITUTE($Z$4,"/",","),",",REPT(" ",99)),(ROW($1:$8)-1)*99+1,99))&lt;&gt;""),--ISNUMBER(SEARCH(TRIM(MID(SUBSTITUTE(SUBSTITUTE($Z$4,"/",","),",",REPT(" ",99)),(ROW($1:$8)-1)*99+1,99)),IFERROR(('Final Calculation Sheet'!$Y$25)&amp;"",""))))&gt;0,AND(ISNUMBER(SEARCH("blank",$Z$4)),NOT(ISNUMBER(SEARCH("nonblank",$Z$4))),IFERROR(('Final Calculation Sheet'!$Y$25)&amp;"","")=""),AND(OR(ISNUMBER(SEARCH("nonblank",$Z$4)),ISNUMBER(SEARCH("&lt;&gt;",$Z$4))),IFERROR(('Final Calculation Sheet'!$Y$25)&amp;"","")&lt;&gt;""),AND(TRIM($Z$4)="",IFERROR(('Final Calculation Sheet'!$Y$25)&amp;"","")=""))))</f>
        <v/>
      </c>
      <c r="CM26">
        <f>IF($AA$4="",1,--(OR(SUMPRODUCT(--(TRIM(MID(SUBSTITUTE(SUBSTITUTE($AA$4,"/",","),",",REPT(" ",99)),(ROW($1:$8)-1)*99+1,99))&lt;&gt;""),--ISNUMBER(SEARCH(TRIM(MID(SUBSTITUTE(SUBSTITUTE($AA$4,"/",","),",",REPT(" ",99)),(ROW($1:$8)-1)*99+1,99)),IFERROR(('Final Calculation Sheet'!$Z$25)&amp;"",""))))&gt;0,AND(ISNUMBER(SEARCH("blank",$AA$4)),NOT(ISNUMBER(SEARCH("nonblank",$AA$4))),IFERROR(('Final Calculation Sheet'!$Z$25)&amp;"","")=""),AND(OR(ISNUMBER(SEARCH("nonblank",$AA$4)),ISNUMBER(SEARCH("&lt;&gt;",$AA$4))),IFERROR(('Final Calculation Sheet'!$Z$25)&amp;"","")&lt;&gt;""),AND(TRIM($AA$4)="",IFERROR(('Final Calculation Sheet'!$Z$25)&amp;"","")=""))))</f>
        <v/>
      </c>
      <c r="CN26">
        <f>IF($AB$4="",1,--(OR(SUMPRODUCT(--(TRIM(MID(SUBSTITUTE(SUBSTITUTE($AB$4,"/",","),",",REPT(" ",99)),(ROW($1:$8)-1)*99+1,99))&lt;&gt;""),--ISNUMBER(SEARCH(TRIM(MID(SUBSTITUTE(SUBSTITUTE($AB$4,"/",","),",",REPT(" ",99)),(ROW($1:$8)-1)*99+1,99)),IFERROR(('Final Calculation Sheet'!$AA$25)&amp;"",""))))&gt;0,AND(ISNUMBER(SEARCH("blank",$AB$4)),NOT(ISNUMBER(SEARCH("nonblank",$AB$4))),IFERROR(('Final Calculation Sheet'!$AA$25)&amp;"","")=""),AND(OR(ISNUMBER(SEARCH("nonblank",$AB$4)),ISNUMBER(SEARCH("&lt;&gt;",$AB$4))),IFERROR(('Final Calculation Sheet'!$AA$25)&amp;"","")&lt;&gt;""),AND(TRIM($AB$4)="",IFERROR(('Final Calculation Sheet'!$AA$25)&amp;"","")=""))))</f>
        <v/>
      </c>
      <c r="CO26">
        <f>IF($AC$4="",1,--(OR(SUMPRODUCT(--(TRIM(MID(SUBSTITUTE(SUBSTITUTE($AC$4,"/",","),",",REPT(" ",99)),(ROW($1:$8)-1)*99+1,99))&lt;&gt;""),--ISNUMBER(SEARCH(TRIM(MID(SUBSTITUTE(SUBSTITUTE($AC$4,"/",","),",",REPT(" ",99)),(ROW($1:$8)-1)*99+1,99)),IFERROR(('Final Calculation Sheet'!$AB$25)&amp;"",""))))&gt;0,AND(ISNUMBER(SEARCH("blank",$AC$4)),NOT(ISNUMBER(SEARCH("nonblank",$AC$4))),IFERROR(('Final Calculation Sheet'!$AB$25)&amp;"","")=""),AND(OR(ISNUMBER(SEARCH("nonblank",$AC$4)),ISNUMBER(SEARCH("&lt;&gt;",$AC$4))),IFERROR(('Final Calculation Sheet'!$AB$25)&amp;"","")&lt;&gt;""),AND(TRIM($AC$4)="",IFERROR(('Final Calculation Sheet'!$AB$25)&amp;"","")=""))))</f>
        <v/>
      </c>
      <c r="CP26">
        <f>IF($AD$4="",1,--(OR(SUMPRODUCT(--(TRIM(MID(SUBSTITUTE(SUBSTITUTE($AD$4,"/",","),",",REPT(" ",99)),(ROW($1:$8)-1)*99+1,99))&lt;&gt;""),--ISNUMBER(SEARCH(TRIM(MID(SUBSTITUTE(SUBSTITUTE($AD$4,"/",","),",",REPT(" ",99)),(ROW($1:$8)-1)*99+1,99)),IFERROR(('Final Calculation Sheet'!$AC$25)&amp;"",""))))&gt;0,AND(ISNUMBER(SEARCH("blank",$AD$4)),NOT(ISNUMBER(SEARCH("nonblank",$AD$4))),IFERROR(('Final Calculation Sheet'!$AC$25)&amp;"","")=""),AND(OR(ISNUMBER(SEARCH("nonblank",$AD$4)),ISNUMBER(SEARCH("&lt;&gt;",$AD$4))),IFERROR(('Final Calculation Sheet'!$AC$25)&amp;"","")&lt;&gt;""),AND(TRIM($AD$4)="",IFERROR(('Final Calculation Sheet'!$AC$25)&amp;"","")=""))))</f>
        <v/>
      </c>
      <c r="CQ26">
        <f>IF($AE$4="",1,--(OR(SUMPRODUCT(--(TRIM(MID(SUBSTITUTE(SUBSTITUTE($AE$4,"/",","),",",REPT(" ",99)),(ROW($1:$8)-1)*99+1,99))&lt;&gt;""),--ISNUMBER(SEARCH(TRIM(MID(SUBSTITUTE(SUBSTITUTE($AE$4,"/",","),",",REPT(" ",99)),(ROW($1:$8)-1)*99+1,99)),IFERROR(('Final Calculation Sheet'!$AD$25)&amp;"",""))))&gt;0,AND(ISNUMBER(SEARCH("blank",$AE$4)),NOT(ISNUMBER(SEARCH("nonblank",$AE$4))),IFERROR(('Final Calculation Sheet'!$AD$25)&amp;"","")=""),AND(OR(ISNUMBER(SEARCH("nonblank",$AE$4)),ISNUMBER(SEARCH("&lt;&gt;",$AE$4))),IFERROR(('Final Calculation Sheet'!$AD$25)&amp;"","")&lt;&gt;""),AND(TRIM($AE$4)="",IFERROR(('Final Calculation Sheet'!$AD$25)&amp;"","")=""))))</f>
        <v/>
      </c>
      <c r="CR26">
        <f>IF($AF$4="",1,--(OR(SUMPRODUCT(--(TRIM(MID(SUBSTITUTE(SUBSTITUTE($AF$4,"/",","),",",REPT(" ",99)),(ROW($1:$8)-1)*99+1,99))&lt;&gt;""),--ISNUMBER(SEARCH(TRIM(MID(SUBSTITUTE(SUBSTITUTE($AF$4,"/",","),",",REPT(" ",99)),(ROW($1:$8)-1)*99+1,99)),IFERROR(('Final Calculation Sheet'!$AE$25)&amp;"",""))))&gt;0,AND(ISNUMBER(SEARCH("blank",$AF$4)),NOT(ISNUMBER(SEARCH("nonblank",$AF$4))),IFERROR(('Final Calculation Sheet'!$AE$25)&amp;"","")=""),AND(OR(ISNUMBER(SEARCH("nonblank",$AF$4)),ISNUMBER(SEARCH("&lt;&gt;",$AF$4))),IFERROR(('Final Calculation Sheet'!$AE$25)&amp;"","")&lt;&gt;""),AND(TRIM($AF$4)="",IFERROR(('Final Calculation Sheet'!$AE$25)&amp;"","")=""))))</f>
        <v/>
      </c>
      <c r="CS26">
        <f>IF($AG$4="",1,--(OR(SUMPRODUCT(--(TRIM(MID(SUBSTITUTE(SUBSTITUTE($AG$4,"/",","),",",REPT(" ",99)),(ROW($1:$8)-1)*99+1,99))&lt;&gt;""),--ISNUMBER(SEARCH(TRIM(MID(SUBSTITUTE(SUBSTITUTE($AG$4,"/",","),",",REPT(" ",99)),(ROW($1:$8)-1)*99+1,99)),IFERROR(('Final Calculation Sheet'!$AF$25)&amp;"",""))))&gt;0,AND(ISNUMBER(SEARCH("blank",$AG$4)),NOT(ISNUMBER(SEARCH("nonblank",$AG$4))),IFERROR(('Final Calculation Sheet'!$AF$25)&amp;"","")=""),AND(OR(ISNUMBER(SEARCH("nonblank",$AG$4)),ISNUMBER(SEARCH("&lt;&gt;",$AG$4))),IFERROR(('Final Calculation Sheet'!$AF$25)&amp;"","")&lt;&gt;""),AND(TRIM($AG$4)="",IFERROR(('Final Calculation Sheet'!$AF$25)&amp;"","")=""))))</f>
        <v/>
      </c>
      <c r="CT26">
        <f>IF($AH$4="",1,--(OR(SUMPRODUCT(--(TRIM(MID(SUBSTITUTE(SUBSTITUTE($AH$4,"/",","),",",REPT(" ",99)),(ROW($1:$8)-1)*99+1,99))&lt;&gt;""),--ISNUMBER(SEARCH(TRIM(MID(SUBSTITUTE(SUBSTITUTE($AH$4,"/",","),",",REPT(" ",99)),(ROW($1:$8)-1)*99+1,99)),IFERROR(('Final Calculation Sheet'!$AG$25)&amp;"",""))))&gt;0,AND(ISNUMBER(SEARCH("blank",$AH$4)),NOT(ISNUMBER(SEARCH("nonblank",$AH$4))),IFERROR(('Final Calculation Sheet'!$AG$25)&amp;"","")=""),AND(OR(ISNUMBER(SEARCH("nonblank",$AH$4)),ISNUMBER(SEARCH("&lt;&gt;",$AH$4))),IFERROR(('Final Calculation Sheet'!$AG$25)&amp;"","")&lt;&gt;""),AND(TRIM($AH$4)="",IFERROR(('Final Calculation Sheet'!$AG$25)&amp;"","")=""))))</f>
        <v/>
      </c>
      <c r="CU26">
        <f>IF($AI$4="",1,--(OR(SUMPRODUCT(--(TRIM(MID(SUBSTITUTE(SUBSTITUTE($AI$4,"/",","),",",REPT(" ",99)),(ROW($1:$8)-1)*99+1,99))&lt;&gt;""),--ISNUMBER(SEARCH(TRIM(MID(SUBSTITUTE(SUBSTITUTE($AI$4,"/",","),",",REPT(" ",99)),(ROW($1:$8)-1)*99+1,99)),IFERROR((IF('Final Calculation Sheet'!$AD$25&lt;=0,"SETTLED","OUTSTANDING"))&amp;"",""))))&gt;0,AND(ISNUMBER(SEARCH("blank",$AI$4)),NOT(ISNUMBER(SEARCH("nonblank",$AI$4))),IFERROR((IF('Final Calculation Sheet'!$AD$25&lt;=0,"SETTLED","OUTSTANDING"))&amp;"","")=""),AND(OR(ISNUMBER(SEARCH("nonblank",$AI$4)),ISNUMBER(SEARCH("&lt;&gt;",$AI$4))),IFERROR((IF('Final Calculation Sheet'!$AD$25&lt;=0,"SETTLED","OUTSTANDING"))&amp;"","")&lt;&gt;""),AND(TRIM($AI$4)="",IFERROR((IF('Final Calculation Sheet'!$AD$25&lt;=0,"SETTLED","OUTSTANDING"))&amp;"","")=""))))</f>
        <v/>
      </c>
    </row>
    <row r="27" ht="15" customHeight="1" s="77">
      <c r="A27" s="67">
        <f>IF($BJ26&gt;0,INDEX($BA$5:$BA$41,MATCH(26,$BB$5:$BB$41,0)),IF(OR($BI26=1,$BL26=1,$BH26&gt;0),"∑",""))</f>
        <v/>
      </c>
      <c r="B27" s="68">
        <f>IF($BJ26&gt;0,IF(INDEX('Final Calculation Sheet'!$F$4:$F$40,$BJ26-3)="","",INDEX('Final Calculation Sheet'!$F$4:$F$40,$BJ26-3)),"")</f>
        <v/>
      </c>
      <c r="C27" s="68">
        <f>IF($BJ26&gt;0,IF(INDEX('Final Calculation Sheet'!$G$4:$G$40,$BJ26-3)="","",INDEX('Final Calculation Sheet'!$G$4:$G$40,$BJ26-3)),IF(OR($BI26=1,$BL26=1,$BH26&gt;0),IF($BI26=1,37,IF($BL26=1,37-INDEX($BD$4:$BD$13,10),INDEX($BD$4:$BD$13,$BH26)))&amp;" lot(s)",""))</f>
        <v/>
      </c>
      <c r="D27" s="69">
        <f>IF($BJ26&gt;0,IF(INDEX('Final Calculation Sheet'!$B$4:$B$40,$BJ26-3)="","",INDEX('Final Calculation Sheet'!$B$4:$B$40,$BJ26-3)),IF(OR($BI26=1,$BL26=1,$BH26&gt;0),IF($BI26=1,"GRAND TOTAL  —  matching + remaining",IF($BL26=1,"TOTAL MATCHED  —  every group together",IF($BH26=10,"REMAINING  —  did not match the search",IF($BH26=9,IF(COUNTIF($A$4:$AI$4,"&lt;&gt;")&gt;0,"FILTERED LOTS  —  column fields","ALL LOTS  —  nothing typed in the box"),"GROUP "&amp;$BH26&amp;" TOTAL  —  lots matching  "&amp;INDEX($AR$6:$AY$6,$BH26))))),""))</f>
        <v/>
      </c>
      <c r="E27" s="69">
        <f>IF($BJ26&gt;0,IF(INDEX('Final Calculation Sheet'!$D$4:$D$40,$BJ26-3)="","",INDEX('Final Calculation Sheet'!$D$4:$D$40,$BJ26-3)),IF(OR($BI26=1,$BL26=1,$BH26&gt;0),"–",""))</f>
        <v/>
      </c>
      <c r="F27" s="69">
        <f>IF($BJ26&gt;0,IF(INDEX('Final Calculation Sheet'!$A$4:$A$40,$BJ26-3)="","",INDEX('Final Calculation Sheet'!$A$4:$A$40,$BJ26-3)),IF(OR($BI26=1,$BL26=1,$BH26&gt;0),IF($BI26=1,SUM('Final Calculation Sheet'!$A$4:$A$40),IF($BL26=1,SUM('Final Calculation Sheet'!$A$4:$A$40)-SUMIFS('Final Calculation Sheet'!$A$4:$A$40,$AZ$5:$AZ$41,10),SUMIFS('Final Calculation Sheet'!$A$4:$A$40,$AZ$5:$AZ$41,$BH26))),""))</f>
        <v/>
      </c>
      <c r="G27" s="69">
        <f>IF($BJ26&gt;0,IF(INDEX('Final Calculation Sheet'!$E$4:$E$40,$BJ26-3)="","",INDEX('Final Calculation Sheet'!$E$4:$E$40,$BJ26-3)),IF(OR($BI26=1,$BL26=1,$BH26&gt;0),"–",""))</f>
        <v/>
      </c>
      <c r="H27" s="70">
        <f>IF($BJ26&gt;0,IF(INDEX('Final Calculation Sheet'!$C$4:$C$40,$BJ26-3)="","",INDEX('Final Calculation Sheet'!$C$4:$C$40,$BJ26-3)),IF(OR($BI26=1,$BL26=1,$BH26&gt;0),"–",""))</f>
        <v/>
      </c>
      <c r="I27" s="70">
        <f>IF($BJ26&gt;0,IF(INDEX('Final Calculation Sheet'!$H$4:$H$40,$BJ26-3)="","",INDEX('Final Calculation Sheet'!$H$4:$H$40,$BJ26-3)),IF(OR($BI26=1,$BL26=1,$BH26&gt;0),IF($BI26=1,SUM('Final Calculation Sheet'!$H$4:$H$40),IF($BL26=1,SUM('Final Calculation Sheet'!$H$4:$H$40)-SUMIFS('Final Calculation Sheet'!$H$4:$H$40,$AZ$5:$AZ$41,10),SUMIFS('Final Calculation Sheet'!$H$4:$H$40,$AZ$5:$AZ$41,$BH26))),""))</f>
        <v/>
      </c>
      <c r="J27" s="70">
        <f>IF($BJ26&gt;0,IF(INDEX('Final Calculation Sheet'!$I$4:$I$40,$BJ26-3)="","",INDEX('Final Calculation Sheet'!$I$4:$I$40,$BJ26-3)),IF(OR($BI26=1,$BL26=1,$BH26&gt;0),IF($BI26=1,SUM('Final Calculation Sheet'!$I$4:$I$40),IF($BL26=1,SUM('Final Calculation Sheet'!$I$4:$I$40)-SUMIFS('Final Calculation Sheet'!$I$4:$I$40,$AZ$5:$AZ$41,10),SUMIFS('Final Calculation Sheet'!$I$4:$I$40,$AZ$5:$AZ$41,$BH26))),""))</f>
        <v/>
      </c>
      <c r="K27" s="70">
        <f>IF($BJ26&gt;0,IF(INDEX('Final Calculation Sheet'!$J$4:$J$40,$BJ26-3)="","",INDEX('Final Calculation Sheet'!$J$4:$J$40,$BJ26-3)),IF(OR($BI26=1,$BL26=1,$BH26&gt;0),IF($BI26=1,SUM('Final Calculation Sheet'!$J$4:$J$40),IF($BL26=1,SUM('Final Calculation Sheet'!$J$4:$J$40)-SUMIFS('Final Calculation Sheet'!$J$4:$J$40,$AZ$5:$AZ$41,10),SUMIFS('Final Calculation Sheet'!$J$4:$J$40,$AZ$5:$AZ$41,$BH26))),""))</f>
        <v/>
      </c>
      <c r="L27" s="70">
        <f>IF($BJ26&gt;0,IF(INDEX('Final Calculation Sheet'!$K$4:$K$40,$BJ26-3)="","",INDEX('Final Calculation Sheet'!$K$4:$K$40,$BJ26-3)),IF(OR($BI26=1,$BL26=1,$BH26&gt;0),IF($BI26=1,SUM('Final Calculation Sheet'!$K$4:$K$40),IF($BL26=1,SUM('Final Calculation Sheet'!$K$4:$K$40)-SUMIFS('Final Calculation Sheet'!$K$4:$K$40,$AZ$5:$AZ$41,10),SUMIFS('Final Calculation Sheet'!$K$4:$K$40,$AZ$5:$AZ$41,$BH26))),""))</f>
        <v/>
      </c>
      <c r="M27" s="70">
        <f>IF($BJ26&gt;0,IF(INDEX('Final Calculation Sheet'!$L$4:$L$40,$BJ26-3)="","",INDEX('Final Calculation Sheet'!$L$4:$L$40,$BJ26-3)),IF(OR($BI26=1,$BL26=1,$BH26&gt;0),IF($BI26=1,SUM('Final Calculation Sheet'!$L$4:$L$40),IF($BL26=1,SUM('Final Calculation Sheet'!$L$4:$L$40)-SUMIFS('Final Calculation Sheet'!$L$4:$L$40,$AZ$5:$AZ$41,10),SUMIFS('Final Calculation Sheet'!$L$4:$L$40,$AZ$5:$AZ$41,$BH26))),""))</f>
        <v/>
      </c>
      <c r="N27" s="70">
        <f>IF($BJ26&gt;0,IF(INDEX('Final Calculation Sheet'!$M$4:$M$40,$BJ26-3)="","",INDEX('Final Calculation Sheet'!$M$4:$M$40,$BJ26-3)),IF(OR($BI26=1,$BL26=1,$BH26&gt;0),IF($BI26=1,SUM('Final Calculation Sheet'!$M$4:$M$40),IF($BL26=1,SUM('Final Calculation Sheet'!$M$4:$M$40)-SUMIFS('Final Calculation Sheet'!$M$4:$M$40,$AZ$5:$AZ$41,10),SUMIFS('Final Calculation Sheet'!$M$4:$M$40,$AZ$5:$AZ$41,$BH26))),""))</f>
        <v/>
      </c>
      <c r="O27" s="71">
        <f>IF($BJ26&gt;0,IF(INDEX('Final Calculation Sheet'!$N$4:$N$40,$BJ26-3)="","",INDEX('Final Calculation Sheet'!$N$4:$N$40,$BJ26-3)),IF(OR($BI26=1,$BL26=1,$BH26&gt;0),IF($BI26=1,SUM('Final Calculation Sheet'!$N$4:$N$40),IF($BL26=1,SUM('Final Calculation Sheet'!$N$4:$N$40)-SUMIFS('Final Calculation Sheet'!$N$4:$N$40,$AZ$5:$AZ$41,10),SUMIFS('Final Calculation Sheet'!$N$4:$N$40,$AZ$5:$AZ$41,$BH26))),""))</f>
        <v/>
      </c>
      <c r="P27" s="70">
        <f>IF($BJ26&gt;0,IF(INDEX('Final Calculation Sheet'!$O$4:$O$40,$BJ26-3)="","",INDEX('Final Calculation Sheet'!$O$4:$O$40,$BJ26-3)),IF(OR($BI26=1,$BL26=1,$BH26&gt;0),IF($BI26=1,SUM('Final Calculation Sheet'!$O$4:$O$40),IF($BL26=1,SUM('Final Calculation Sheet'!$O$4:$O$40)-SUMIFS('Final Calculation Sheet'!$O$4:$O$40,$AZ$5:$AZ$41,10),SUMIFS('Final Calculation Sheet'!$O$4:$O$40,$AZ$5:$AZ$41,$BH26))),""))</f>
        <v/>
      </c>
      <c r="Q27" s="70">
        <f>IF($BJ26&gt;0,IF(INDEX('Final Calculation Sheet'!$P$4:$P$40,$BJ26-3)="","",INDEX('Final Calculation Sheet'!$P$4:$P$40,$BJ26-3)),IF(OR($BI26=1,$BL26=1,$BH26&gt;0),IF($BI26=1,SUM('Final Calculation Sheet'!$P$4:$P$40),IF($BL26=1,SUM('Final Calculation Sheet'!$P$4:$P$40)-SUMIFS('Final Calculation Sheet'!$P$4:$P$40,$AZ$5:$AZ$41,10),SUMIFS('Final Calculation Sheet'!$P$4:$P$40,$AZ$5:$AZ$41,$BH26))),""))</f>
        <v/>
      </c>
      <c r="R27" s="72">
        <f>IF($BJ26&gt;0,IF(INDEX('Final Calculation Sheet'!$Q$4:$Q$40,$BJ26-3)="","",INDEX('Final Calculation Sheet'!$Q$4:$Q$40,$BJ26-3)),IF(OR($BI26=1,$BL26=1,$BH26&gt;0),"–",""))</f>
        <v/>
      </c>
      <c r="S27" s="70">
        <f>IF($BJ26&gt;0,IF(INDEX('Final Calculation Sheet'!$R$4:$R$40,$BJ26-3)="","",INDEX('Final Calculation Sheet'!$R$4:$R$40,$BJ26-3)),IF(OR($BI26=1,$BL26=1,$BH26&gt;0),IF($BI26=1,SUM('Final Calculation Sheet'!$R$4:$R$40),IF($BL26=1,SUM('Final Calculation Sheet'!$R$4:$R$40)-SUMIFS('Final Calculation Sheet'!$R$4:$R$40,$AZ$5:$AZ$41,10),SUMIFS('Final Calculation Sheet'!$R$4:$R$40,$AZ$5:$AZ$41,$BH26))),""))</f>
        <v/>
      </c>
      <c r="T27" s="70">
        <f>IF($BJ26&gt;0,IF(INDEX('Final Calculation Sheet'!$S$4:$S$40,$BJ26-3)="","",INDEX('Final Calculation Sheet'!$S$4:$S$40,$BJ26-3)),IF(OR($BI26=1,$BL26=1,$BH26&gt;0),IF($BI26=1,SUM('Final Calculation Sheet'!$S$4:$S$40),IF($BL26=1,SUM('Final Calculation Sheet'!$S$4:$S$40)-SUMIFS('Final Calculation Sheet'!$S$4:$S$40,$AZ$5:$AZ$41,10),SUMIFS('Final Calculation Sheet'!$S$4:$S$40,$AZ$5:$AZ$41,$BH26))),""))</f>
        <v/>
      </c>
      <c r="U27" s="70">
        <f>IF($BJ26&gt;0,IF(INDEX('Final Calculation Sheet'!$T$4:$T$40,$BJ26-3)="","",INDEX('Final Calculation Sheet'!$T$4:$T$40,$BJ26-3)),IF(OR($BI26=1,$BL26=1,$BH26&gt;0),IF($BI26=1,SUM('Final Calculation Sheet'!$T$4:$T$40),IF($BL26=1,SUM('Final Calculation Sheet'!$T$4:$T$40)-SUMIFS('Final Calculation Sheet'!$T$4:$T$40,$AZ$5:$AZ$41,10),SUMIFS('Final Calculation Sheet'!$T$4:$T$40,$AZ$5:$AZ$41,$BH26))),""))</f>
        <v/>
      </c>
      <c r="V27" s="73">
        <f>IF($BJ26&gt;0,IF(INDEX('Final Calculation Sheet'!$U$4:$U$40,$BJ26-3)="","",INDEX('Final Calculation Sheet'!$U$4:$U$40,$BJ26-3)),IF(OR($BI26=1,$BL26=1,$BH26&gt;0),IF($BI26=1,SUM('Final Calculation Sheet'!$U$4:$U$40),IF($BL26=1,SUM('Final Calculation Sheet'!$U$4:$U$40)-SUMIFS('Final Calculation Sheet'!$U$4:$U$40,$AZ$5:$AZ$41,10),SUMIFS('Final Calculation Sheet'!$U$4:$U$40,$AZ$5:$AZ$41,$BH26))),""))</f>
        <v/>
      </c>
      <c r="W27" s="70">
        <f>IF($BJ26&gt;0,IF(INDEX('Final Calculation Sheet'!$V$4:$V$40,$BJ26-3)="","",INDEX('Final Calculation Sheet'!$V$4:$V$40,$BJ26-3)),IF(OR($BI26=1,$BL26=1,$BH26&gt;0),"–",""))</f>
        <v/>
      </c>
      <c r="X27" s="70">
        <f>IF($BJ26&gt;0,IF(INDEX('Final Calculation Sheet'!$W$4:$W$40,$BJ26-3)="","",INDEX('Final Calculation Sheet'!$W$4:$W$40,$BJ26-3)),IF(OR($BI26=1,$BL26=1,$BH26&gt;0),IF($BI26=1,SUM('Final Calculation Sheet'!$W$4:$W$40),IF($BL26=1,SUM('Final Calculation Sheet'!$W$4:$W$40)-SUMIFS('Final Calculation Sheet'!$W$4:$W$40,$AZ$5:$AZ$41,10),SUMIFS('Final Calculation Sheet'!$W$4:$W$40,$AZ$5:$AZ$41,$BH26))),""))</f>
        <v/>
      </c>
      <c r="Y27" s="70">
        <f>IF($BJ26&gt;0,IF(INDEX('Final Calculation Sheet'!$X$4:$X$40,$BJ26-3)="","",INDEX('Final Calculation Sheet'!$X$4:$X$40,$BJ26-3)),IF(OR($BI26=1,$BL26=1,$BH26&gt;0),IF($BI26=1,SUM('Final Calculation Sheet'!$X$4:$X$40),IF($BL26=1,SUM('Final Calculation Sheet'!$X$4:$X$40)-SUMIFS('Final Calculation Sheet'!$X$4:$X$40,$AZ$5:$AZ$41,10),SUMIFS('Final Calculation Sheet'!$X$4:$X$40,$AZ$5:$AZ$41,$BH26))),""))</f>
        <v/>
      </c>
      <c r="Z27" s="70">
        <f>IF($BJ26&gt;0,IF(INDEX('Final Calculation Sheet'!$Y$4:$Y$40,$BJ26-3)="","",INDEX('Final Calculation Sheet'!$Y$4:$Y$40,$BJ26-3)),IF(OR($BI26=1,$BL26=1,$BH26&gt;0),"–",""))</f>
        <v/>
      </c>
      <c r="AA27" s="70">
        <f>IF($BJ26&gt;0,IF(INDEX('Final Calculation Sheet'!$Z$4:$Z$40,$BJ26-3)="","",INDEX('Final Calculation Sheet'!$Z$4:$Z$40,$BJ26-3)),IF(OR($BI26=1,$BL26=1,$BH26&gt;0),IF($BI26=1,SUM('Final Calculation Sheet'!$Z$4:$Z$40),IF($BL26=1,SUM('Final Calculation Sheet'!$Z$4:$Z$40)-SUMIFS('Final Calculation Sheet'!$Z$4:$Z$40,$AZ$5:$AZ$41,10),SUMIFS('Final Calculation Sheet'!$Z$4:$Z$40,$AZ$5:$AZ$41,$BH26))),""))</f>
        <v/>
      </c>
      <c r="AB27" s="70">
        <f>IF($BJ26&gt;0,IF(INDEX('Final Calculation Sheet'!$AA$4:$AA$40,$BJ26-3)="","",INDEX('Final Calculation Sheet'!$AA$4:$AA$40,$BJ26-3)),IF(OR($BI26=1,$BL26=1,$BH26&gt;0),IF($BI26=1,SUM('Final Calculation Sheet'!$AA$4:$AA$40),IF($BL26=1,SUM('Final Calculation Sheet'!$AA$4:$AA$40)-SUMIFS('Final Calculation Sheet'!$AA$4:$AA$40,$AZ$5:$AZ$41,10),SUMIFS('Final Calculation Sheet'!$AA$4:$AA$40,$AZ$5:$AZ$41,$BH26))),""))</f>
        <v/>
      </c>
      <c r="AC27" s="70">
        <f>IF($BJ26&gt;0,IF(INDEX('Final Calculation Sheet'!$AB$4:$AB$40,$BJ26-3)="","",INDEX('Final Calculation Sheet'!$AB$4:$AB$40,$BJ26-3)),IF(OR($BI26=1,$BL26=1,$BH26&gt;0),"–",""))</f>
        <v/>
      </c>
      <c r="AD27" s="70">
        <f>IF($BJ26&gt;0,IF(INDEX('Final Calculation Sheet'!$AC$4:$AC$40,$BJ26-3)="","",INDEX('Final Calculation Sheet'!$AC$4:$AC$40,$BJ26-3)),IF(OR($BI26=1,$BL26=1,$BH26&gt;0),IF($BI26=1,SUM('Final Calculation Sheet'!$AC$4:$AC$40),IF($BL26=1,SUM('Final Calculation Sheet'!$AC$4:$AC$40)-SUMIFS('Final Calculation Sheet'!$AC$4:$AC$40,$AZ$5:$AZ$41,10),SUMIFS('Final Calculation Sheet'!$AC$4:$AC$40,$AZ$5:$AZ$41,$BH26))),""))</f>
        <v/>
      </c>
      <c r="AE27" s="70">
        <f>IF($BJ26&gt;0,IF(INDEX('Final Calculation Sheet'!$AD$4:$AD$40,$BJ26-3)="","",INDEX('Final Calculation Sheet'!$AD$4:$AD$40,$BJ26-3)),IF(OR($BI26=1,$BL26=1,$BH26&gt;0),IF($BI26=1,SUM('Final Calculation Sheet'!$AD$4:$AD$40),IF($BL26=1,SUM('Final Calculation Sheet'!$AD$4:$AD$40)-SUMIFS('Final Calculation Sheet'!$AD$4:$AD$40,$AZ$5:$AZ$41,10),SUMIFS('Final Calculation Sheet'!$AD$4:$AD$40,$AZ$5:$AZ$41,$BH26))),""))</f>
        <v/>
      </c>
      <c r="AF27" s="70">
        <f>IF($BJ26&gt;0,IF(INDEX('Final Calculation Sheet'!$AE$4:$AE$40,$BJ26-3)="","",INDEX('Final Calculation Sheet'!$AE$4:$AE$40,$BJ26-3)),IF(OR($BI26=1,$BL26=1,$BH26&gt;0),"–",""))</f>
        <v/>
      </c>
      <c r="AG27" s="74">
        <f>IF($BJ26&gt;0,IF(INDEX('Final Calculation Sheet'!$AF$4:$AF$40,$BJ26-3)="","",INDEX('Final Calculation Sheet'!$AF$4:$AF$40,$BJ26-3)),IF(OR($BI26=1,$BL26=1,$BH26&gt;0),"–",""))</f>
        <v/>
      </c>
      <c r="AH27" s="70">
        <f>IF($BJ26&gt;0,IF(INDEX('Final Calculation Sheet'!$AG$4:$AG$40,$BJ26-3)="","",INDEX('Final Calculation Sheet'!$AG$4:$AG$40,$BJ26-3)),IF(OR($BI26=1,$BL26=1,$BH26&gt;0),"–",""))</f>
        <v/>
      </c>
      <c r="AI27" s="75">
        <f>IF($BJ26&gt;0,IF(INDEX('Final Calculation Sheet'!$AD$4:$AD$40,$BJ26-3)="","",IF(INDEX('Final Calculation Sheet'!$AD$4:$AD$40,$BJ26-3)&lt;=0,"SETTLED","OUTSTANDING")),IF(OR($BI26=1,$BL26=1,$BH26&gt;0),IF(IF($BI26=1,SUM('Final Calculation Sheet'!$AD$4:$AD$40),IF($BL26=1,SUM('Final Calculation Sheet'!$AD$4:$AD$40)-SUMIFS('Final Calculation Sheet'!$AD$4:$AD$40,$AZ$5:$AZ$41,10),SUMIFS('Final Calculation Sheet'!$AD$4:$AD$40,$AZ$5:$AZ$41,$BH26)))&lt;=0,"ALL SETTLED","OUTSTANDING"),""))</f>
        <v/>
      </c>
      <c r="AK27">
        <f>IF($F$3="Lot No.",'Final Calculation Sheet'!$F$26,IF($F$3="Buyer",'Final Calculation Sheet'!$G$26,IF($F$3="Lot Name",'Final Calculation Sheet'!$B$26,IF($F$3="Bid Sheet",'Final Calculation Sheet'!$D$26,IF($F$3="Unit",'Final Calculation Sheet'!$E$26,'Final Calculation Sheet'!$F$26&amp;" "&amp;'Final Calculation Sheet'!$G$26&amp;" "&amp;'Final Calculation Sheet'!$B$26)))))</f>
        <v/>
      </c>
      <c r="AM27">
        <f>IF(COUNTIF($BM27:$CU27,0)&gt;0,0,IF($B$3="",1,IF(AND(IF(COUNTIF($AR$9:$AY$9,1)=0,TRUE,SUMPRODUCT(($AR$9:$AY$9=1)*($AR$6:$AY$6&lt;&gt;"")*ISNUMBER(SEARCH($AR$6:$AY$6,$AK27)))&gt;0),IF(COUNTIF($AR$9:$AY$9,2)=0,TRUE,SUMPRODUCT(($AR$9:$AY$9=2)*($AR$6:$AY$6&lt;&gt;"")*ISNUMBER(SEARCH($AR$6:$AY$6,$AK27)))&gt;0),IF(COUNTIF($AR$9:$AY$9,3)=0,TRUE,SUMPRODUCT(($AR$9:$AY$9=3)*($AR$6:$AY$6&lt;&gt;"")*ISNUMBER(SEARCH($AR$6:$AY$6,$AK27)))&gt;0),IF(COUNTIF($AR$9:$AY$9,4)=0,TRUE,SUMPRODUCT(($AR$9:$AY$9=4)*($AR$6:$AY$6&lt;&gt;"")*ISNUMBER(SEARCH($AR$6:$AY$6,$AK27)))&gt;0),IF(COUNTIF($AR$9:$AY$9,5)=0,TRUE,SUMPRODUCT(($AR$9:$AY$9=5)*($AR$6:$AY$6&lt;&gt;"")*ISNUMBER(SEARCH($AR$6:$AY$6,$AK27)))&gt;0),IF(COUNTIF($AR$9:$AY$9,6)=0,TRUE,SUMPRODUCT(($AR$9:$AY$9=6)*($AR$6:$AY$6&lt;&gt;"")*ISNUMBER(SEARCH($AR$6:$AY$6,$AK27)))&gt;0),IF(COUNTIF($AR$9:$AY$9,7)=0,TRUE,SUMPRODUCT(($AR$9:$AY$9=7)*($AR$6:$AY$6&lt;&gt;"")*ISNUMBER(SEARCH($AR$6:$AY$6,$AK27)))&gt;0),IF(COUNTIF($AR$9:$AY$9,8)=0,TRUE,SUMPRODUCT(($AR$9:$AY$9=8)*($AR$6:$AY$6&lt;&gt;"")*ISNUMBER(SEARCH($AR$6:$AY$6,$AK27)))&gt;0)),1,0)))</f>
        <v/>
      </c>
      <c r="AZ27">
        <f>IF($B$3="",IF(COUNTIF($A$4:$AI$4,"&lt;&gt;")=0,9,IF($AM27=1,9,10)),IF($AM27=0,10,IF(AND($AR$6&lt;&gt;"",ISNUMBER(SEARCH($AR$6,$AK27))),1,IF(AND($AS$6&lt;&gt;"",ISNUMBER(SEARCH($AS$6,$AK27))),2,IF(AND($AT$6&lt;&gt;"",ISNUMBER(SEARCH($AT$6,$AK27))),3,IF(AND($AU$6&lt;&gt;"",ISNUMBER(SEARCH($AU$6,$AK27))),4,IF(AND($AV$6&lt;&gt;"",ISNUMBER(SEARCH($AV$6,$AK27))),5,IF(AND($AW$6&lt;&gt;"",ISNUMBER(SEARCH($AW$6,$AK27))),6,IF(AND($AX$6&lt;&gt;"",ISNUMBER(SEARCH($AX$6,$AK27))),7,IF(AND($AY$6&lt;&gt;"",ISNUMBER(SEARCH($AY$6,$AK27))),8,0))))))))))</f>
        <v/>
      </c>
      <c r="BA27">
        <f>SUMPRODUCT(($AZ$5:$AZ$41=$AZ27)*($BC$5:$BC$41&lt;$BC27))+1</f>
        <v/>
      </c>
      <c r="BB27">
        <f>IF(INDEX($BF$4:$BF$13,$AZ27)=0,0,INDEX($BE$4:$BE$13,$AZ27)+$BA27-1)</f>
        <v/>
      </c>
      <c r="BC27" t="n">
        <v>26</v>
      </c>
      <c r="BH27">
        <f>IFERROR(MATCH(27,$BF$4:$BF$13,0),0)</f>
        <v/>
      </c>
      <c r="BI27">
        <f>IF(27=$BG$5,1,0)</f>
        <v/>
      </c>
      <c r="BJ27">
        <f>IF(OR($BH27&gt;0,$BI27=1,$BL27=1),0,IFERROR(INDEX($BC$5:$BC$41,MATCH(27,$BB$5:$BB$41,0)),0))</f>
        <v/>
      </c>
      <c r="BK27">
        <f>IF($BJ27&gt;0,IF(INDEX($AZ$5:$AZ$41,MATCH(27,$BB$5:$BB$41,0))=10,1,0),IF($BH27=10,1,0))</f>
        <v/>
      </c>
      <c r="BL27">
        <f>IF(27=$BG$4,1,0)</f>
        <v/>
      </c>
      <c r="BM2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7">
        <f>IF($B$4="",1,--(OR(SUMPRODUCT(--(TRIM(MID(SUBSTITUTE(SUBSTITUTE($B$4,"/",","),",",REPT(" ",99)),(ROW($1:$8)-1)*99+1,99))&lt;&gt;""),--ISNUMBER(SEARCH(TRIM(MID(SUBSTITUTE(SUBSTITUTE($B$4,"/",","),",",REPT(" ",99)),(ROW($1:$8)-1)*99+1,99)),IFERROR(('Final Calculation Sheet'!$F$26)&amp;"",""))))&gt;0,AND(ISNUMBER(SEARCH("blank",$B$4)),NOT(ISNUMBER(SEARCH("nonblank",$B$4))),IFERROR(('Final Calculation Sheet'!$F$26)&amp;"","")=""),AND(OR(ISNUMBER(SEARCH("nonblank",$B$4)),ISNUMBER(SEARCH("&lt;&gt;",$B$4))),IFERROR(('Final Calculation Sheet'!$F$26)&amp;"","")&lt;&gt;""),AND(TRIM($B$4)="",IFERROR(('Final Calculation Sheet'!$F$26)&amp;"","")=""))))</f>
        <v/>
      </c>
      <c r="BO27">
        <f>IF($C$4="",1,--(OR(SUMPRODUCT(--(TRIM(MID(SUBSTITUTE(SUBSTITUTE($C$4,"/",","),",",REPT(" ",99)),(ROW($1:$8)-1)*99+1,99))&lt;&gt;""),--ISNUMBER(SEARCH(TRIM(MID(SUBSTITUTE(SUBSTITUTE($C$4,"/",","),",",REPT(" ",99)),(ROW($1:$8)-1)*99+1,99)),IFERROR(('Final Calculation Sheet'!$G$26)&amp;"",""))))&gt;0,AND(ISNUMBER(SEARCH("blank",$C$4)),NOT(ISNUMBER(SEARCH("nonblank",$C$4))),IFERROR(('Final Calculation Sheet'!$G$26)&amp;"","")=""),AND(OR(ISNUMBER(SEARCH("nonblank",$C$4)),ISNUMBER(SEARCH("&lt;&gt;",$C$4))),IFERROR(('Final Calculation Sheet'!$G$26)&amp;"","")&lt;&gt;""),AND(TRIM($C$4)="",IFERROR(('Final Calculation Sheet'!$G$26)&amp;"","")=""))))</f>
        <v/>
      </c>
      <c r="BP27">
        <f>IF($D$4="",1,--(OR(SUMPRODUCT(--(TRIM(MID(SUBSTITUTE(SUBSTITUTE($D$4,"/",","),",",REPT(" ",99)),(ROW($1:$8)-1)*99+1,99))&lt;&gt;""),--ISNUMBER(SEARCH(TRIM(MID(SUBSTITUTE(SUBSTITUTE($D$4,"/",","),",",REPT(" ",99)),(ROW($1:$8)-1)*99+1,99)),IFERROR(('Final Calculation Sheet'!$B$26)&amp;"",""))))&gt;0,AND(ISNUMBER(SEARCH("blank",$D$4)),NOT(ISNUMBER(SEARCH("nonblank",$D$4))),IFERROR(('Final Calculation Sheet'!$B$26)&amp;"","")=""),AND(OR(ISNUMBER(SEARCH("nonblank",$D$4)),ISNUMBER(SEARCH("&lt;&gt;",$D$4))),IFERROR(('Final Calculation Sheet'!$B$26)&amp;"","")&lt;&gt;""),AND(TRIM($D$4)="",IFERROR(('Final Calculation Sheet'!$B$26)&amp;"","")=""))))</f>
        <v/>
      </c>
      <c r="BQ27">
        <f>IF($E$4="",1,--(OR(SUMPRODUCT(--(TRIM(MID(SUBSTITUTE(SUBSTITUTE($E$4,"/",","),",",REPT(" ",99)),(ROW($1:$8)-1)*99+1,99))&lt;&gt;""),--ISNUMBER(SEARCH(TRIM(MID(SUBSTITUTE(SUBSTITUTE($E$4,"/",","),",",REPT(" ",99)),(ROW($1:$8)-1)*99+1,99)),IFERROR(('Final Calculation Sheet'!$D$26)&amp;"",""))))&gt;0,AND(ISNUMBER(SEARCH("blank",$E$4)),NOT(ISNUMBER(SEARCH("nonblank",$E$4))),IFERROR(('Final Calculation Sheet'!$D$26)&amp;"","")=""),AND(OR(ISNUMBER(SEARCH("nonblank",$E$4)),ISNUMBER(SEARCH("&lt;&gt;",$E$4))),IFERROR(('Final Calculation Sheet'!$D$26)&amp;"","")&lt;&gt;""),AND(TRIM($E$4)="",IFERROR(('Final Calculation Sheet'!$D$26)&amp;"","")=""))))</f>
        <v/>
      </c>
      <c r="BR27">
        <f>IF($F$4="",1,--(OR(SUMPRODUCT(--(TRIM(MID(SUBSTITUTE(SUBSTITUTE($F$4,"/",","),",",REPT(" ",99)),(ROW($1:$8)-1)*99+1,99))&lt;&gt;""),--ISNUMBER(SEARCH(TRIM(MID(SUBSTITUTE(SUBSTITUTE($F$4,"/",","),",",REPT(" ",99)),(ROW($1:$8)-1)*99+1,99)),IFERROR(('Final Calculation Sheet'!$A$26)&amp;"",""))))&gt;0,AND(ISNUMBER(SEARCH("blank",$F$4)),NOT(ISNUMBER(SEARCH("nonblank",$F$4))),IFERROR(('Final Calculation Sheet'!$A$26)&amp;"","")=""),AND(OR(ISNUMBER(SEARCH("nonblank",$F$4)),ISNUMBER(SEARCH("&lt;&gt;",$F$4))),IFERROR(('Final Calculation Sheet'!$A$26)&amp;"","")&lt;&gt;""),AND(TRIM($F$4)="",IFERROR(('Final Calculation Sheet'!$A$26)&amp;"","")=""))))</f>
        <v/>
      </c>
      <c r="BS27">
        <f>IF($G$4="",1,--(OR(SUMPRODUCT(--(TRIM(MID(SUBSTITUTE(SUBSTITUTE($G$4,"/",","),",",REPT(" ",99)),(ROW($1:$8)-1)*99+1,99))&lt;&gt;""),--ISNUMBER(SEARCH(TRIM(MID(SUBSTITUTE(SUBSTITUTE($G$4,"/",","),",",REPT(" ",99)),(ROW($1:$8)-1)*99+1,99)),IFERROR(('Final Calculation Sheet'!$E$26)&amp;"",""))))&gt;0,AND(ISNUMBER(SEARCH("blank",$G$4)),NOT(ISNUMBER(SEARCH("nonblank",$G$4))),IFERROR(('Final Calculation Sheet'!$E$26)&amp;"","")=""),AND(OR(ISNUMBER(SEARCH("nonblank",$G$4)),ISNUMBER(SEARCH("&lt;&gt;",$G$4))),IFERROR(('Final Calculation Sheet'!$E$26)&amp;"","")&lt;&gt;""),AND(TRIM($G$4)="",IFERROR(('Final Calculation Sheet'!$E$26)&amp;"","")=""))))</f>
        <v/>
      </c>
      <c r="BT27">
        <f>IF($H$4="",1,--(OR(SUMPRODUCT(--(TRIM(MID(SUBSTITUTE(SUBSTITUTE($H$4,"/",","),",",REPT(" ",99)),(ROW($1:$8)-1)*99+1,99))&lt;&gt;""),--ISNUMBER(SEARCH(TRIM(MID(SUBSTITUTE(SUBSTITUTE($H$4,"/",","),",",REPT(" ",99)),(ROW($1:$8)-1)*99+1,99)),IFERROR(('Final Calculation Sheet'!$C$26)&amp;"",""))))&gt;0,AND(ISNUMBER(SEARCH("blank",$H$4)),NOT(ISNUMBER(SEARCH("nonblank",$H$4))),IFERROR(('Final Calculation Sheet'!$C$26)&amp;"","")=""),AND(OR(ISNUMBER(SEARCH("nonblank",$H$4)),ISNUMBER(SEARCH("&lt;&gt;",$H$4))),IFERROR(('Final Calculation Sheet'!$C$26)&amp;"","")&lt;&gt;""),AND(TRIM($H$4)="",IFERROR(('Final Calculation Sheet'!$C$26)&amp;"","")=""))))</f>
        <v/>
      </c>
      <c r="BU27">
        <f>IF($I$4="",1,--(OR(SUMPRODUCT(--(TRIM(MID(SUBSTITUTE(SUBSTITUTE($I$4,"/",","),",",REPT(" ",99)),(ROW($1:$8)-1)*99+1,99))&lt;&gt;""),--ISNUMBER(SEARCH(TRIM(MID(SUBSTITUTE(SUBSTITUTE($I$4,"/",","),",",REPT(" ",99)),(ROW($1:$8)-1)*99+1,99)),IFERROR(('Final Calculation Sheet'!$H$26)&amp;"",""))))&gt;0,AND(ISNUMBER(SEARCH("blank",$I$4)),NOT(ISNUMBER(SEARCH("nonblank",$I$4))),IFERROR(('Final Calculation Sheet'!$H$26)&amp;"","")=""),AND(OR(ISNUMBER(SEARCH("nonblank",$I$4)),ISNUMBER(SEARCH("&lt;&gt;",$I$4))),IFERROR(('Final Calculation Sheet'!$H$26)&amp;"","")&lt;&gt;""),AND(TRIM($I$4)="",IFERROR(('Final Calculation Sheet'!$H$26)&amp;"","")=""))))</f>
        <v/>
      </c>
      <c r="BV27">
        <f>IF($J$4="",1,--(OR(SUMPRODUCT(--(TRIM(MID(SUBSTITUTE(SUBSTITUTE($J$4,"/",","),",",REPT(" ",99)),(ROW($1:$8)-1)*99+1,99))&lt;&gt;""),--ISNUMBER(SEARCH(TRIM(MID(SUBSTITUTE(SUBSTITUTE($J$4,"/",","),",",REPT(" ",99)),(ROW($1:$8)-1)*99+1,99)),IFERROR(('Final Calculation Sheet'!$I$26)&amp;"",""))))&gt;0,AND(ISNUMBER(SEARCH("blank",$J$4)),NOT(ISNUMBER(SEARCH("nonblank",$J$4))),IFERROR(('Final Calculation Sheet'!$I$26)&amp;"","")=""),AND(OR(ISNUMBER(SEARCH("nonblank",$J$4)),ISNUMBER(SEARCH("&lt;&gt;",$J$4))),IFERROR(('Final Calculation Sheet'!$I$26)&amp;"","")&lt;&gt;""),AND(TRIM($J$4)="",IFERROR(('Final Calculation Sheet'!$I$26)&amp;"","")=""))))</f>
        <v/>
      </c>
      <c r="BW27">
        <f>IF($K$4="",1,--(OR(SUMPRODUCT(--(TRIM(MID(SUBSTITUTE(SUBSTITUTE($K$4,"/",","),",",REPT(" ",99)),(ROW($1:$8)-1)*99+1,99))&lt;&gt;""),--ISNUMBER(SEARCH(TRIM(MID(SUBSTITUTE(SUBSTITUTE($K$4,"/",","),",",REPT(" ",99)),(ROW($1:$8)-1)*99+1,99)),IFERROR(('Final Calculation Sheet'!$J$26)&amp;"",""))))&gt;0,AND(ISNUMBER(SEARCH("blank",$K$4)),NOT(ISNUMBER(SEARCH("nonblank",$K$4))),IFERROR(('Final Calculation Sheet'!$J$26)&amp;"","")=""),AND(OR(ISNUMBER(SEARCH("nonblank",$K$4)),ISNUMBER(SEARCH("&lt;&gt;",$K$4))),IFERROR(('Final Calculation Sheet'!$J$26)&amp;"","")&lt;&gt;""),AND(TRIM($K$4)="",IFERROR(('Final Calculation Sheet'!$J$26)&amp;"","")=""))))</f>
        <v/>
      </c>
      <c r="BX27">
        <f>IF($L$4="",1,--(OR(SUMPRODUCT(--(TRIM(MID(SUBSTITUTE(SUBSTITUTE($L$4,"/",","),",",REPT(" ",99)),(ROW($1:$8)-1)*99+1,99))&lt;&gt;""),--ISNUMBER(SEARCH(TRIM(MID(SUBSTITUTE(SUBSTITUTE($L$4,"/",","),",",REPT(" ",99)),(ROW($1:$8)-1)*99+1,99)),IFERROR(('Final Calculation Sheet'!$K$26)&amp;"",""))))&gt;0,AND(ISNUMBER(SEARCH("blank",$L$4)),NOT(ISNUMBER(SEARCH("nonblank",$L$4))),IFERROR(('Final Calculation Sheet'!$K$26)&amp;"","")=""),AND(OR(ISNUMBER(SEARCH("nonblank",$L$4)),ISNUMBER(SEARCH("&lt;&gt;",$L$4))),IFERROR(('Final Calculation Sheet'!$K$26)&amp;"","")&lt;&gt;""),AND(TRIM($L$4)="",IFERROR(('Final Calculation Sheet'!$K$26)&amp;"","")=""))))</f>
        <v/>
      </c>
      <c r="BY27">
        <f>IF($M$4="",1,--(OR(SUMPRODUCT(--(TRIM(MID(SUBSTITUTE(SUBSTITUTE($M$4,"/",","),",",REPT(" ",99)),(ROW($1:$8)-1)*99+1,99))&lt;&gt;""),--ISNUMBER(SEARCH(TRIM(MID(SUBSTITUTE(SUBSTITUTE($M$4,"/",","),",",REPT(" ",99)),(ROW($1:$8)-1)*99+1,99)),IFERROR(('Final Calculation Sheet'!$L$26)&amp;"",""))))&gt;0,AND(ISNUMBER(SEARCH("blank",$M$4)),NOT(ISNUMBER(SEARCH("nonblank",$M$4))),IFERROR(('Final Calculation Sheet'!$L$26)&amp;"","")=""),AND(OR(ISNUMBER(SEARCH("nonblank",$M$4)),ISNUMBER(SEARCH("&lt;&gt;",$M$4))),IFERROR(('Final Calculation Sheet'!$L$26)&amp;"","")&lt;&gt;""),AND(TRIM($M$4)="",IFERROR(('Final Calculation Sheet'!$L$26)&amp;"","")=""))))</f>
        <v/>
      </c>
      <c r="BZ27">
        <f>IF($N$4="",1,--(OR(SUMPRODUCT(--(TRIM(MID(SUBSTITUTE(SUBSTITUTE($N$4,"/",","),",",REPT(" ",99)),(ROW($1:$8)-1)*99+1,99))&lt;&gt;""),--ISNUMBER(SEARCH(TRIM(MID(SUBSTITUTE(SUBSTITUTE($N$4,"/",","),",",REPT(" ",99)),(ROW($1:$8)-1)*99+1,99)),IFERROR(('Final Calculation Sheet'!$M$26)&amp;"",""))))&gt;0,AND(ISNUMBER(SEARCH("blank",$N$4)),NOT(ISNUMBER(SEARCH("nonblank",$N$4))),IFERROR(('Final Calculation Sheet'!$M$26)&amp;"","")=""),AND(OR(ISNUMBER(SEARCH("nonblank",$N$4)),ISNUMBER(SEARCH("&lt;&gt;",$N$4))),IFERROR(('Final Calculation Sheet'!$M$26)&amp;"","")&lt;&gt;""),AND(TRIM($N$4)="",IFERROR(('Final Calculation Sheet'!$M$26)&amp;"","")=""))))</f>
        <v/>
      </c>
      <c r="CA27">
        <f>IF($O$4="",1,--(OR(SUMPRODUCT(--(TRIM(MID(SUBSTITUTE(SUBSTITUTE($O$4,"/",","),",",REPT(" ",99)),(ROW($1:$8)-1)*99+1,99))&lt;&gt;""),--ISNUMBER(SEARCH(TRIM(MID(SUBSTITUTE(SUBSTITUTE($O$4,"/",","),",",REPT(" ",99)),(ROW($1:$8)-1)*99+1,99)),IFERROR(('Final Calculation Sheet'!$N$26)&amp;"",""))))&gt;0,AND(ISNUMBER(SEARCH("blank",$O$4)),NOT(ISNUMBER(SEARCH("nonblank",$O$4))),IFERROR(('Final Calculation Sheet'!$N$26)&amp;"","")=""),AND(OR(ISNUMBER(SEARCH("nonblank",$O$4)),ISNUMBER(SEARCH("&lt;&gt;",$O$4))),IFERROR(('Final Calculation Sheet'!$N$26)&amp;"","")&lt;&gt;""),AND(TRIM($O$4)="",IFERROR(('Final Calculation Sheet'!$N$26)&amp;"","")=""))))</f>
        <v/>
      </c>
      <c r="CB27">
        <f>IF($P$4="",1,--(OR(SUMPRODUCT(--(TRIM(MID(SUBSTITUTE(SUBSTITUTE($P$4,"/",","),",",REPT(" ",99)),(ROW($1:$8)-1)*99+1,99))&lt;&gt;""),--ISNUMBER(SEARCH(TRIM(MID(SUBSTITUTE(SUBSTITUTE($P$4,"/",","),",",REPT(" ",99)),(ROW($1:$8)-1)*99+1,99)),IFERROR(('Final Calculation Sheet'!$O$26)&amp;"",""))))&gt;0,AND(ISNUMBER(SEARCH("blank",$P$4)),NOT(ISNUMBER(SEARCH("nonblank",$P$4))),IFERROR(('Final Calculation Sheet'!$O$26)&amp;"","")=""),AND(OR(ISNUMBER(SEARCH("nonblank",$P$4)),ISNUMBER(SEARCH("&lt;&gt;",$P$4))),IFERROR(('Final Calculation Sheet'!$O$26)&amp;"","")&lt;&gt;""),AND(TRIM($P$4)="",IFERROR(('Final Calculation Sheet'!$O$26)&amp;"","")=""))))</f>
        <v/>
      </c>
      <c r="CC27">
        <f>IF($Q$4="",1,--(OR(SUMPRODUCT(--(TRIM(MID(SUBSTITUTE(SUBSTITUTE($Q$4,"/",","),",",REPT(" ",99)),(ROW($1:$8)-1)*99+1,99))&lt;&gt;""),--ISNUMBER(SEARCH(TRIM(MID(SUBSTITUTE(SUBSTITUTE($Q$4,"/",","),",",REPT(" ",99)),(ROW($1:$8)-1)*99+1,99)),IFERROR(('Final Calculation Sheet'!$P$26)&amp;"",""))))&gt;0,AND(ISNUMBER(SEARCH("blank",$Q$4)),NOT(ISNUMBER(SEARCH("nonblank",$Q$4))),IFERROR(('Final Calculation Sheet'!$P$26)&amp;"","")=""),AND(OR(ISNUMBER(SEARCH("nonblank",$Q$4)),ISNUMBER(SEARCH("&lt;&gt;",$Q$4))),IFERROR(('Final Calculation Sheet'!$P$26)&amp;"","")&lt;&gt;""),AND(TRIM($Q$4)="",IFERROR(('Final Calculation Sheet'!$P$26)&amp;"","")=""))))</f>
        <v/>
      </c>
      <c r="CD27">
        <f>IF($R$4="",1,--(OR(SUMPRODUCT(--(TRIM(MID(SUBSTITUTE(SUBSTITUTE($R$4,"/",","),",",REPT(" ",99)),(ROW($1:$8)-1)*99+1,99))&lt;&gt;""),--ISNUMBER(SEARCH(TRIM(MID(SUBSTITUTE(SUBSTITUTE($R$4,"/",","),",",REPT(" ",99)),(ROW($1:$8)-1)*99+1,99)),IFERROR(('Final Calculation Sheet'!$Q$26)&amp;"",""))))&gt;0,AND(ISNUMBER(SEARCH("blank",$R$4)),NOT(ISNUMBER(SEARCH("nonblank",$R$4))),IFERROR(('Final Calculation Sheet'!$Q$26)&amp;"","")=""),AND(OR(ISNUMBER(SEARCH("nonblank",$R$4)),ISNUMBER(SEARCH("&lt;&gt;",$R$4))),IFERROR(('Final Calculation Sheet'!$Q$26)&amp;"","")&lt;&gt;""),AND(TRIM($R$4)="",IFERROR(('Final Calculation Sheet'!$Q$26)&amp;"","")=""))))</f>
        <v/>
      </c>
      <c r="CE27">
        <f>IF($S$4="",1,--(OR(SUMPRODUCT(--(TRIM(MID(SUBSTITUTE(SUBSTITUTE($S$4,"/",","),",",REPT(" ",99)),(ROW($1:$8)-1)*99+1,99))&lt;&gt;""),--ISNUMBER(SEARCH(TRIM(MID(SUBSTITUTE(SUBSTITUTE($S$4,"/",","),",",REPT(" ",99)),(ROW($1:$8)-1)*99+1,99)),IFERROR(('Final Calculation Sheet'!$R$26)&amp;"",""))))&gt;0,AND(ISNUMBER(SEARCH("blank",$S$4)),NOT(ISNUMBER(SEARCH("nonblank",$S$4))),IFERROR(('Final Calculation Sheet'!$R$26)&amp;"","")=""),AND(OR(ISNUMBER(SEARCH("nonblank",$S$4)),ISNUMBER(SEARCH("&lt;&gt;",$S$4))),IFERROR(('Final Calculation Sheet'!$R$26)&amp;"","")&lt;&gt;""),AND(TRIM($S$4)="",IFERROR(('Final Calculation Sheet'!$R$26)&amp;"","")=""))))</f>
        <v/>
      </c>
      <c r="CF27">
        <f>IF($T$4="",1,--(OR(SUMPRODUCT(--(TRIM(MID(SUBSTITUTE(SUBSTITUTE($T$4,"/",","),",",REPT(" ",99)),(ROW($1:$8)-1)*99+1,99))&lt;&gt;""),--ISNUMBER(SEARCH(TRIM(MID(SUBSTITUTE(SUBSTITUTE($T$4,"/",","),",",REPT(" ",99)),(ROW($1:$8)-1)*99+1,99)),IFERROR(('Final Calculation Sheet'!$S$26)&amp;"",""))))&gt;0,AND(ISNUMBER(SEARCH("blank",$T$4)),NOT(ISNUMBER(SEARCH("nonblank",$T$4))),IFERROR(('Final Calculation Sheet'!$S$26)&amp;"","")=""),AND(OR(ISNUMBER(SEARCH("nonblank",$T$4)),ISNUMBER(SEARCH("&lt;&gt;",$T$4))),IFERROR(('Final Calculation Sheet'!$S$26)&amp;"","")&lt;&gt;""),AND(TRIM($T$4)="",IFERROR(('Final Calculation Sheet'!$S$26)&amp;"","")=""))))</f>
        <v/>
      </c>
      <c r="CG27">
        <f>IF($U$4="",1,--(OR(SUMPRODUCT(--(TRIM(MID(SUBSTITUTE(SUBSTITUTE($U$4,"/",","),",",REPT(" ",99)),(ROW($1:$8)-1)*99+1,99))&lt;&gt;""),--ISNUMBER(SEARCH(TRIM(MID(SUBSTITUTE(SUBSTITUTE($U$4,"/",","),",",REPT(" ",99)),(ROW($1:$8)-1)*99+1,99)),IFERROR(('Final Calculation Sheet'!$T$26)&amp;"",""))))&gt;0,AND(ISNUMBER(SEARCH("blank",$U$4)),NOT(ISNUMBER(SEARCH("nonblank",$U$4))),IFERROR(('Final Calculation Sheet'!$T$26)&amp;"","")=""),AND(OR(ISNUMBER(SEARCH("nonblank",$U$4)),ISNUMBER(SEARCH("&lt;&gt;",$U$4))),IFERROR(('Final Calculation Sheet'!$T$26)&amp;"","")&lt;&gt;""),AND(TRIM($U$4)="",IFERROR(('Final Calculation Sheet'!$T$26)&amp;"","")=""))))</f>
        <v/>
      </c>
      <c r="CH27">
        <f>IF($V$4="",1,--(OR(SUMPRODUCT(--(TRIM(MID(SUBSTITUTE(SUBSTITUTE($V$4,"/",","),",",REPT(" ",99)),(ROW($1:$8)-1)*99+1,99))&lt;&gt;""),--ISNUMBER(SEARCH(TRIM(MID(SUBSTITUTE(SUBSTITUTE($V$4,"/",","),",",REPT(" ",99)),(ROW($1:$8)-1)*99+1,99)),IFERROR(('Final Calculation Sheet'!$U$26)&amp;"",""))))&gt;0,AND(ISNUMBER(SEARCH("blank",$V$4)),NOT(ISNUMBER(SEARCH("nonblank",$V$4))),IFERROR(('Final Calculation Sheet'!$U$26)&amp;"","")=""),AND(OR(ISNUMBER(SEARCH("nonblank",$V$4)),ISNUMBER(SEARCH("&lt;&gt;",$V$4))),IFERROR(('Final Calculation Sheet'!$U$26)&amp;"","")&lt;&gt;""),AND(TRIM($V$4)="",IFERROR(('Final Calculation Sheet'!$U$26)&amp;"","")=""))))</f>
        <v/>
      </c>
      <c r="CI27">
        <f>IF($W$4="",1,--(OR(SUMPRODUCT(--(TRIM(MID(SUBSTITUTE(SUBSTITUTE($W$4,"/",","),",",REPT(" ",99)),(ROW($1:$8)-1)*99+1,99))&lt;&gt;""),--ISNUMBER(SEARCH(TRIM(MID(SUBSTITUTE(SUBSTITUTE($W$4,"/",","),",",REPT(" ",99)),(ROW($1:$8)-1)*99+1,99)),IFERROR(('Final Calculation Sheet'!$V$26)&amp;"",""))))&gt;0,AND(ISNUMBER(SEARCH("blank",$W$4)),NOT(ISNUMBER(SEARCH("nonblank",$W$4))),IFERROR(('Final Calculation Sheet'!$V$26)&amp;"","")=""),AND(OR(ISNUMBER(SEARCH("nonblank",$W$4)),ISNUMBER(SEARCH("&lt;&gt;",$W$4))),IFERROR(('Final Calculation Sheet'!$V$26)&amp;"","")&lt;&gt;""),AND(TRIM($W$4)="",IFERROR(('Final Calculation Sheet'!$V$26)&amp;"","")=""))))</f>
        <v/>
      </c>
      <c r="CJ27">
        <f>IF($X$4="",1,--(OR(SUMPRODUCT(--(TRIM(MID(SUBSTITUTE(SUBSTITUTE($X$4,"/",","),",",REPT(" ",99)),(ROW($1:$8)-1)*99+1,99))&lt;&gt;""),--ISNUMBER(SEARCH(TRIM(MID(SUBSTITUTE(SUBSTITUTE($X$4,"/",","),",",REPT(" ",99)),(ROW($1:$8)-1)*99+1,99)),IFERROR(('Final Calculation Sheet'!$W$26)&amp;"",""))))&gt;0,AND(ISNUMBER(SEARCH("blank",$X$4)),NOT(ISNUMBER(SEARCH("nonblank",$X$4))),IFERROR(('Final Calculation Sheet'!$W$26)&amp;"","")=""),AND(OR(ISNUMBER(SEARCH("nonblank",$X$4)),ISNUMBER(SEARCH("&lt;&gt;",$X$4))),IFERROR(('Final Calculation Sheet'!$W$26)&amp;"","")&lt;&gt;""),AND(TRIM($X$4)="",IFERROR(('Final Calculation Sheet'!$W$26)&amp;"","")=""))))</f>
        <v/>
      </c>
      <c r="CK27">
        <f>IF($Y$4="",1,--(OR(SUMPRODUCT(--(TRIM(MID(SUBSTITUTE(SUBSTITUTE($Y$4,"/",","),",",REPT(" ",99)),(ROW($1:$8)-1)*99+1,99))&lt;&gt;""),--ISNUMBER(SEARCH(TRIM(MID(SUBSTITUTE(SUBSTITUTE($Y$4,"/",","),",",REPT(" ",99)),(ROW($1:$8)-1)*99+1,99)),IFERROR(('Final Calculation Sheet'!$X$26)&amp;"",""))))&gt;0,AND(ISNUMBER(SEARCH("blank",$Y$4)),NOT(ISNUMBER(SEARCH("nonblank",$Y$4))),IFERROR(('Final Calculation Sheet'!$X$26)&amp;"","")=""),AND(OR(ISNUMBER(SEARCH("nonblank",$Y$4)),ISNUMBER(SEARCH("&lt;&gt;",$Y$4))),IFERROR(('Final Calculation Sheet'!$X$26)&amp;"","")&lt;&gt;""),AND(TRIM($Y$4)="",IFERROR(('Final Calculation Sheet'!$X$26)&amp;"","")=""))))</f>
        <v/>
      </c>
      <c r="CL27">
        <f>IF($Z$4="",1,--(OR(SUMPRODUCT(--(TRIM(MID(SUBSTITUTE(SUBSTITUTE($Z$4,"/",","),",",REPT(" ",99)),(ROW($1:$8)-1)*99+1,99))&lt;&gt;""),--ISNUMBER(SEARCH(TRIM(MID(SUBSTITUTE(SUBSTITUTE($Z$4,"/",","),",",REPT(" ",99)),(ROW($1:$8)-1)*99+1,99)),IFERROR(('Final Calculation Sheet'!$Y$26)&amp;"",""))))&gt;0,AND(ISNUMBER(SEARCH("blank",$Z$4)),NOT(ISNUMBER(SEARCH("nonblank",$Z$4))),IFERROR(('Final Calculation Sheet'!$Y$26)&amp;"","")=""),AND(OR(ISNUMBER(SEARCH("nonblank",$Z$4)),ISNUMBER(SEARCH("&lt;&gt;",$Z$4))),IFERROR(('Final Calculation Sheet'!$Y$26)&amp;"","")&lt;&gt;""),AND(TRIM($Z$4)="",IFERROR(('Final Calculation Sheet'!$Y$26)&amp;"","")=""))))</f>
        <v/>
      </c>
      <c r="CM27">
        <f>IF($AA$4="",1,--(OR(SUMPRODUCT(--(TRIM(MID(SUBSTITUTE(SUBSTITUTE($AA$4,"/",","),",",REPT(" ",99)),(ROW($1:$8)-1)*99+1,99))&lt;&gt;""),--ISNUMBER(SEARCH(TRIM(MID(SUBSTITUTE(SUBSTITUTE($AA$4,"/",","),",",REPT(" ",99)),(ROW($1:$8)-1)*99+1,99)),IFERROR(('Final Calculation Sheet'!$Z$26)&amp;"",""))))&gt;0,AND(ISNUMBER(SEARCH("blank",$AA$4)),NOT(ISNUMBER(SEARCH("nonblank",$AA$4))),IFERROR(('Final Calculation Sheet'!$Z$26)&amp;"","")=""),AND(OR(ISNUMBER(SEARCH("nonblank",$AA$4)),ISNUMBER(SEARCH("&lt;&gt;",$AA$4))),IFERROR(('Final Calculation Sheet'!$Z$26)&amp;"","")&lt;&gt;""),AND(TRIM($AA$4)="",IFERROR(('Final Calculation Sheet'!$Z$26)&amp;"","")=""))))</f>
        <v/>
      </c>
      <c r="CN27">
        <f>IF($AB$4="",1,--(OR(SUMPRODUCT(--(TRIM(MID(SUBSTITUTE(SUBSTITUTE($AB$4,"/",","),",",REPT(" ",99)),(ROW($1:$8)-1)*99+1,99))&lt;&gt;""),--ISNUMBER(SEARCH(TRIM(MID(SUBSTITUTE(SUBSTITUTE($AB$4,"/",","),",",REPT(" ",99)),(ROW($1:$8)-1)*99+1,99)),IFERROR(('Final Calculation Sheet'!$AA$26)&amp;"",""))))&gt;0,AND(ISNUMBER(SEARCH("blank",$AB$4)),NOT(ISNUMBER(SEARCH("nonblank",$AB$4))),IFERROR(('Final Calculation Sheet'!$AA$26)&amp;"","")=""),AND(OR(ISNUMBER(SEARCH("nonblank",$AB$4)),ISNUMBER(SEARCH("&lt;&gt;",$AB$4))),IFERROR(('Final Calculation Sheet'!$AA$26)&amp;"","")&lt;&gt;""),AND(TRIM($AB$4)="",IFERROR(('Final Calculation Sheet'!$AA$26)&amp;"","")=""))))</f>
        <v/>
      </c>
      <c r="CO27">
        <f>IF($AC$4="",1,--(OR(SUMPRODUCT(--(TRIM(MID(SUBSTITUTE(SUBSTITUTE($AC$4,"/",","),",",REPT(" ",99)),(ROW($1:$8)-1)*99+1,99))&lt;&gt;""),--ISNUMBER(SEARCH(TRIM(MID(SUBSTITUTE(SUBSTITUTE($AC$4,"/",","),",",REPT(" ",99)),(ROW($1:$8)-1)*99+1,99)),IFERROR(('Final Calculation Sheet'!$AB$26)&amp;"",""))))&gt;0,AND(ISNUMBER(SEARCH("blank",$AC$4)),NOT(ISNUMBER(SEARCH("nonblank",$AC$4))),IFERROR(('Final Calculation Sheet'!$AB$26)&amp;"","")=""),AND(OR(ISNUMBER(SEARCH("nonblank",$AC$4)),ISNUMBER(SEARCH("&lt;&gt;",$AC$4))),IFERROR(('Final Calculation Sheet'!$AB$26)&amp;"","")&lt;&gt;""),AND(TRIM($AC$4)="",IFERROR(('Final Calculation Sheet'!$AB$26)&amp;"","")=""))))</f>
        <v/>
      </c>
      <c r="CP27">
        <f>IF($AD$4="",1,--(OR(SUMPRODUCT(--(TRIM(MID(SUBSTITUTE(SUBSTITUTE($AD$4,"/",","),",",REPT(" ",99)),(ROW($1:$8)-1)*99+1,99))&lt;&gt;""),--ISNUMBER(SEARCH(TRIM(MID(SUBSTITUTE(SUBSTITUTE($AD$4,"/",","),",",REPT(" ",99)),(ROW($1:$8)-1)*99+1,99)),IFERROR(('Final Calculation Sheet'!$AC$26)&amp;"",""))))&gt;0,AND(ISNUMBER(SEARCH("blank",$AD$4)),NOT(ISNUMBER(SEARCH("nonblank",$AD$4))),IFERROR(('Final Calculation Sheet'!$AC$26)&amp;"","")=""),AND(OR(ISNUMBER(SEARCH("nonblank",$AD$4)),ISNUMBER(SEARCH("&lt;&gt;",$AD$4))),IFERROR(('Final Calculation Sheet'!$AC$26)&amp;"","")&lt;&gt;""),AND(TRIM($AD$4)="",IFERROR(('Final Calculation Sheet'!$AC$26)&amp;"","")=""))))</f>
        <v/>
      </c>
      <c r="CQ27">
        <f>IF($AE$4="",1,--(OR(SUMPRODUCT(--(TRIM(MID(SUBSTITUTE(SUBSTITUTE($AE$4,"/",","),",",REPT(" ",99)),(ROW($1:$8)-1)*99+1,99))&lt;&gt;""),--ISNUMBER(SEARCH(TRIM(MID(SUBSTITUTE(SUBSTITUTE($AE$4,"/",","),",",REPT(" ",99)),(ROW($1:$8)-1)*99+1,99)),IFERROR(('Final Calculation Sheet'!$AD$26)&amp;"",""))))&gt;0,AND(ISNUMBER(SEARCH("blank",$AE$4)),NOT(ISNUMBER(SEARCH("nonblank",$AE$4))),IFERROR(('Final Calculation Sheet'!$AD$26)&amp;"","")=""),AND(OR(ISNUMBER(SEARCH("nonblank",$AE$4)),ISNUMBER(SEARCH("&lt;&gt;",$AE$4))),IFERROR(('Final Calculation Sheet'!$AD$26)&amp;"","")&lt;&gt;""),AND(TRIM($AE$4)="",IFERROR(('Final Calculation Sheet'!$AD$26)&amp;"","")=""))))</f>
        <v/>
      </c>
      <c r="CR27">
        <f>IF($AF$4="",1,--(OR(SUMPRODUCT(--(TRIM(MID(SUBSTITUTE(SUBSTITUTE($AF$4,"/",","),",",REPT(" ",99)),(ROW($1:$8)-1)*99+1,99))&lt;&gt;""),--ISNUMBER(SEARCH(TRIM(MID(SUBSTITUTE(SUBSTITUTE($AF$4,"/",","),",",REPT(" ",99)),(ROW($1:$8)-1)*99+1,99)),IFERROR(('Final Calculation Sheet'!$AE$26)&amp;"",""))))&gt;0,AND(ISNUMBER(SEARCH("blank",$AF$4)),NOT(ISNUMBER(SEARCH("nonblank",$AF$4))),IFERROR(('Final Calculation Sheet'!$AE$26)&amp;"","")=""),AND(OR(ISNUMBER(SEARCH("nonblank",$AF$4)),ISNUMBER(SEARCH("&lt;&gt;",$AF$4))),IFERROR(('Final Calculation Sheet'!$AE$26)&amp;"","")&lt;&gt;""),AND(TRIM($AF$4)="",IFERROR(('Final Calculation Sheet'!$AE$26)&amp;"","")=""))))</f>
        <v/>
      </c>
      <c r="CS27">
        <f>IF($AG$4="",1,--(OR(SUMPRODUCT(--(TRIM(MID(SUBSTITUTE(SUBSTITUTE($AG$4,"/",","),",",REPT(" ",99)),(ROW($1:$8)-1)*99+1,99))&lt;&gt;""),--ISNUMBER(SEARCH(TRIM(MID(SUBSTITUTE(SUBSTITUTE($AG$4,"/",","),",",REPT(" ",99)),(ROW($1:$8)-1)*99+1,99)),IFERROR(('Final Calculation Sheet'!$AF$26)&amp;"",""))))&gt;0,AND(ISNUMBER(SEARCH("blank",$AG$4)),NOT(ISNUMBER(SEARCH("nonblank",$AG$4))),IFERROR(('Final Calculation Sheet'!$AF$26)&amp;"","")=""),AND(OR(ISNUMBER(SEARCH("nonblank",$AG$4)),ISNUMBER(SEARCH("&lt;&gt;",$AG$4))),IFERROR(('Final Calculation Sheet'!$AF$26)&amp;"","")&lt;&gt;""),AND(TRIM($AG$4)="",IFERROR(('Final Calculation Sheet'!$AF$26)&amp;"","")=""))))</f>
        <v/>
      </c>
      <c r="CT27">
        <f>IF($AH$4="",1,--(OR(SUMPRODUCT(--(TRIM(MID(SUBSTITUTE(SUBSTITUTE($AH$4,"/",","),",",REPT(" ",99)),(ROW($1:$8)-1)*99+1,99))&lt;&gt;""),--ISNUMBER(SEARCH(TRIM(MID(SUBSTITUTE(SUBSTITUTE($AH$4,"/",","),",",REPT(" ",99)),(ROW($1:$8)-1)*99+1,99)),IFERROR(('Final Calculation Sheet'!$AG$26)&amp;"",""))))&gt;0,AND(ISNUMBER(SEARCH("blank",$AH$4)),NOT(ISNUMBER(SEARCH("nonblank",$AH$4))),IFERROR(('Final Calculation Sheet'!$AG$26)&amp;"","")=""),AND(OR(ISNUMBER(SEARCH("nonblank",$AH$4)),ISNUMBER(SEARCH("&lt;&gt;",$AH$4))),IFERROR(('Final Calculation Sheet'!$AG$26)&amp;"","")&lt;&gt;""),AND(TRIM($AH$4)="",IFERROR(('Final Calculation Sheet'!$AG$26)&amp;"","")=""))))</f>
        <v/>
      </c>
      <c r="CU27">
        <f>IF($AI$4="",1,--(OR(SUMPRODUCT(--(TRIM(MID(SUBSTITUTE(SUBSTITUTE($AI$4,"/",","),",",REPT(" ",99)),(ROW($1:$8)-1)*99+1,99))&lt;&gt;""),--ISNUMBER(SEARCH(TRIM(MID(SUBSTITUTE(SUBSTITUTE($AI$4,"/",","),",",REPT(" ",99)),(ROW($1:$8)-1)*99+1,99)),IFERROR((IF('Final Calculation Sheet'!$AD$26&lt;=0,"SETTLED","OUTSTANDING"))&amp;"",""))))&gt;0,AND(ISNUMBER(SEARCH("blank",$AI$4)),NOT(ISNUMBER(SEARCH("nonblank",$AI$4))),IFERROR((IF('Final Calculation Sheet'!$AD$26&lt;=0,"SETTLED","OUTSTANDING"))&amp;"","")=""),AND(OR(ISNUMBER(SEARCH("nonblank",$AI$4)),ISNUMBER(SEARCH("&lt;&gt;",$AI$4))),IFERROR((IF('Final Calculation Sheet'!$AD$26&lt;=0,"SETTLED","OUTSTANDING"))&amp;"","")&lt;&gt;""),AND(TRIM($AI$4)="",IFERROR((IF('Final Calculation Sheet'!$AD$26&lt;=0,"SETTLED","OUTSTANDING"))&amp;"","")=""))))</f>
        <v/>
      </c>
    </row>
    <row r="28" ht="15" customHeight="1" s="77">
      <c r="A28" s="67">
        <f>IF($BJ27&gt;0,INDEX($BA$5:$BA$41,MATCH(27,$BB$5:$BB$41,0)),IF(OR($BI27=1,$BL27=1,$BH27&gt;0),"∑",""))</f>
        <v/>
      </c>
      <c r="B28" s="68">
        <f>IF($BJ27&gt;0,IF(INDEX('Final Calculation Sheet'!$F$4:$F$40,$BJ27-3)="","",INDEX('Final Calculation Sheet'!$F$4:$F$40,$BJ27-3)),"")</f>
        <v/>
      </c>
      <c r="C28" s="68">
        <f>IF($BJ27&gt;0,IF(INDEX('Final Calculation Sheet'!$G$4:$G$40,$BJ27-3)="","",INDEX('Final Calculation Sheet'!$G$4:$G$40,$BJ27-3)),IF(OR($BI27=1,$BL27=1,$BH27&gt;0),IF($BI27=1,37,IF($BL27=1,37-INDEX($BD$4:$BD$13,10),INDEX($BD$4:$BD$13,$BH27)))&amp;" lot(s)",""))</f>
        <v/>
      </c>
      <c r="D28" s="69">
        <f>IF($BJ27&gt;0,IF(INDEX('Final Calculation Sheet'!$B$4:$B$40,$BJ27-3)="","",INDEX('Final Calculation Sheet'!$B$4:$B$40,$BJ27-3)),IF(OR($BI27=1,$BL27=1,$BH27&gt;0),IF($BI27=1,"GRAND TOTAL  —  matching + remaining",IF($BL27=1,"TOTAL MATCHED  —  every group together",IF($BH27=10,"REMAINING  —  did not match the search",IF($BH27=9,IF(COUNTIF($A$4:$AI$4,"&lt;&gt;")&gt;0,"FILTERED LOTS  —  column fields","ALL LOTS  —  nothing typed in the box"),"GROUP "&amp;$BH27&amp;" TOTAL  —  lots matching  "&amp;INDEX($AR$6:$AY$6,$BH27))))),""))</f>
        <v/>
      </c>
      <c r="E28" s="69">
        <f>IF($BJ27&gt;0,IF(INDEX('Final Calculation Sheet'!$D$4:$D$40,$BJ27-3)="","",INDEX('Final Calculation Sheet'!$D$4:$D$40,$BJ27-3)),IF(OR($BI27=1,$BL27=1,$BH27&gt;0),"–",""))</f>
        <v/>
      </c>
      <c r="F28" s="69">
        <f>IF($BJ27&gt;0,IF(INDEX('Final Calculation Sheet'!$A$4:$A$40,$BJ27-3)="","",INDEX('Final Calculation Sheet'!$A$4:$A$40,$BJ27-3)),IF(OR($BI27=1,$BL27=1,$BH27&gt;0),IF($BI27=1,SUM('Final Calculation Sheet'!$A$4:$A$40),IF($BL27=1,SUM('Final Calculation Sheet'!$A$4:$A$40)-SUMIFS('Final Calculation Sheet'!$A$4:$A$40,$AZ$5:$AZ$41,10),SUMIFS('Final Calculation Sheet'!$A$4:$A$40,$AZ$5:$AZ$41,$BH27))),""))</f>
        <v/>
      </c>
      <c r="G28" s="69">
        <f>IF($BJ27&gt;0,IF(INDEX('Final Calculation Sheet'!$E$4:$E$40,$BJ27-3)="","",INDEX('Final Calculation Sheet'!$E$4:$E$40,$BJ27-3)),IF(OR($BI27=1,$BL27=1,$BH27&gt;0),"–",""))</f>
        <v/>
      </c>
      <c r="H28" s="70">
        <f>IF($BJ27&gt;0,IF(INDEX('Final Calculation Sheet'!$C$4:$C$40,$BJ27-3)="","",INDEX('Final Calculation Sheet'!$C$4:$C$40,$BJ27-3)),IF(OR($BI27=1,$BL27=1,$BH27&gt;0),"–",""))</f>
        <v/>
      </c>
      <c r="I28" s="70">
        <f>IF($BJ27&gt;0,IF(INDEX('Final Calculation Sheet'!$H$4:$H$40,$BJ27-3)="","",INDEX('Final Calculation Sheet'!$H$4:$H$40,$BJ27-3)),IF(OR($BI27=1,$BL27=1,$BH27&gt;0),IF($BI27=1,SUM('Final Calculation Sheet'!$H$4:$H$40),IF($BL27=1,SUM('Final Calculation Sheet'!$H$4:$H$40)-SUMIFS('Final Calculation Sheet'!$H$4:$H$40,$AZ$5:$AZ$41,10),SUMIFS('Final Calculation Sheet'!$H$4:$H$40,$AZ$5:$AZ$41,$BH27))),""))</f>
        <v/>
      </c>
      <c r="J28" s="70">
        <f>IF($BJ27&gt;0,IF(INDEX('Final Calculation Sheet'!$I$4:$I$40,$BJ27-3)="","",INDEX('Final Calculation Sheet'!$I$4:$I$40,$BJ27-3)),IF(OR($BI27=1,$BL27=1,$BH27&gt;0),IF($BI27=1,SUM('Final Calculation Sheet'!$I$4:$I$40),IF($BL27=1,SUM('Final Calculation Sheet'!$I$4:$I$40)-SUMIFS('Final Calculation Sheet'!$I$4:$I$40,$AZ$5:$AZ$41,10),SUMIFS('Final Calculation Sheet'!$I$4:$I$40,$AZ$5:$AZ$41,$BH27))),""))</f>
        <v/>
      </c>
      <c r="K28" s="70">
        <f>IF($BJ27&gt;0,IF(INDEX('Final Calculation Sheet'!$J$4:$J$40,$BJ27-3)="","",INDEX('Final Calculation Sheet'!$J$4:$J$40,$BJ27-3)),IF(OR($BI27=1,$BL27=1,$BH27&gt;0),IF($BI27=1,SUM('Final Calculation Sheet'!$J$4:$J$40),IF($BL27=1,SUM('Final Calculation Sheet'!$J$4:$J$40)-SUMIFS('Final Calculation Sheet'!$J$4:$J$40,$AZ$5:$AZ$41,10),SUMIFS('Final Calculation Sheet'!$J$4:$J$40,$AZ$5:$AZ$41,$BH27))),""))</f>
        <v/>
      </c>
      <c r="L28" s="70">
        <f>IF($BJ27&gt;0,IF(INDEX('Final Calculation Sheet'!$K$4:$K$40,$BJ27-3)="","",INDEX('Final Calculation Sheet'!$K$4:$K$40,$BJ27-3)),IF(OR($BI27=1,$BL27=1,$BH27&gt;0),IF($BI27=1,SUM('Final Calculation Sheet'!$K$4:$K$40),IF($BL27=1,SUM('Final Calculation Sheet'!$K$4:$K$40)-SUMIFS('Final Calculation Sheet'!$K$4:$K$40,$AZ$5:$AZ$41,10),SUMIFS('Final Calculation Sheet'!$K$4:$K$40,$AZ$5:$AZ$41,$BH27))),""))</f>
        <v/>
      </c>
      <c r="M28" s="70">
        <f>IF($BJ27&gt;0,IF(INDEX('Final Calculation Sheet'!$L$4:$L$40,$BJ27-3)="","",INDEX('Final Calculation Sheet'!$L$4:$L$40,$BJ27-3)),IF(OR($BI27=1,$BL27=1,$BH27&gt;0),IF($BI27=1,SUM('Final Calculation Sheet'!$L$4:$L$40),IF($BL27=1,SUM('Final Calculation Sheet'!$L$4:$L$40)-SUMIFS('Final Calculation Sheet'!$L$4:$L$40,$AZ$5:$AZ$41,10),SUMIFS('Final Calculation Sheet'!$L$4:$L$40,$AZ$5:$AZ$41,$BH27))),""))</f>
        <v/>
      </c>
      <c r="N28" s="70">
        <f>IF($BJ27&gt;0,IF(INDEX('Final Calculation Sheet'!$M$4:$M$40,$BJ27-3)="","",INDEX('Final Calculation Sheet'!$M$4:$M$40,$BJ27-3)),IF(OR($BI27=1,$BL27=1,$BH27&gt;0),IF($BI27=1,SUM('Final Calculation Sheet'!$M$4:$M$40),IF($BL27=1,SUM('Final Calculation Sheet'!$M$4:$M$40)-SUMIFS('Final Calculation Sheet'!$M$4:$M$40,$AZ$5:$AZ$41,10),SUMIFS('Final Calculation Sheet'!$M$4:$M$40,$AZ$5:$AZ$41,$BH27))),""))</f>
        <v/>
      </c>
      <c r="O28" s="71">
        <f>IF($BJ27&gt;0,IF(INDEX('Final Calculation Sheet'!$N$4:$N$40,$BJ27-3)="","",INDEX('Final Calculation Sheet'!$N$4:$N$40,$BJ27-3)),IF(OR($BI27=1,$BL27=1,$BH27&gt;0),IF($BI27=1,SUM('Final Calculation Sheet'!$N$4:$N$40),IF($BL27=1,SUM('Final Calculation Sheet'!$N$4:$N$40)-SUMIFS('Final Calculation Sheet'!$N$4:$N$40,$AZ$5:$AZ$41,10),SUMIFS('Final Calculation Sheet'!$N$4:$N$40,$AZ$5:$AZ$41,$BH27))),""))</f>
        <v/>
      </c>
      <c r="P28" s="70">
        <f>IF($BJ27&gt;0,IF(INDEX('Final Calculation Sheet'!$O$4:$O$40,$BJ27-3)="","",INDEX('Final Calculation Sheet'!$O$4:$O$40,$BJ27-3)),IF(OR($BI27=1,$BL27=1,$BH27&gt;0),IF($BI27=1,SUM('Final Calculation Sheet'!$O$4:$O$40),IF($BL27=1,SUM('Final Calculation Sheet'!$O$4:$O$40)-SUMIFS('Final Calculation Sheet'!$O$4:$O$40,$AZ$5:$AZ$41,10),SUMIFS('Final Calculation Sheet'!$O$4:$O$40,$AZ$5:$AZ$41,$BH27))),""))</f>
        <v/>
      </c>
      <c r="Q28" s="70">
        <f>IF($BJ27&gt;0,IF(INDEX('Final Calculation Sheet'!$P$4:$P$40,$BJ27-3)="","",INDEX('Final Calculation Sheet'!$P$4:$P$40,$BJ27-3)),IF(OR($BI27=1,$BL27=1,$BH27&gt;0),IF($BI27=1,SUM('Final Calculation Sheet'!$P$4:$P$40),IF($BL27=1,SUM('Final Calculation Sheet'!$P$4:$P$40)-SUMIFS('Final Calculation Sheet'!$P$4:$P$40,$AZ$5:$AZ$41,10),SUMIFS('Final Calculation Sheet'!$P$4:$P$40,$AZ$5:$AZ$41,$BH27))),""))</f>
        <v/>
      </c>
      <c r="R28" s="72">
        <f>IF($BJ27&gt;0,IF(INDEX('Final Calculation Sheet'!$Q$4:$Q$40,$BJ27-3)="","",INDEX('Final Calculation Sheet'!$Q$4:$Q$40,$BJ27-3)),IF(OR($BI27=1,$BL27=1,$BH27&gt;0),"–",""))</f>
        <v/>
      </c>
      <c r="S28" s="70">
        <f>IF($BJ27&gt;0,IF(INDEX('Final Calculation Sheet'!$R$4:$R$40,$BJ27-3)="","",INDEX('Final Calculation Sheet'!$R$4:$R$40,$BJ27-3)),IF(OR($BI27=1,$BL27=1,$BH27&gt;0),IF($BI27=1,SUM('Final Calculation Sheet'!$R$4:$R$40),IF($BL27=1,SUM('Final Calculation Sheet'!$R$4:$R$40)-SUMIFS('Final Calculation Sheet'!$R$4:$R$40,$AZ$5:$AZ$41,10),SUMIFS('Final Calculation Sheet'!$R$4:$R$40,$AZ$5:$AZ$41,$BH27))),""))</f>
        <v/>
      </c>
      <c r="T28" s="70">
        <f>IF($BJ27&gt;0,IF(INDEX('Final Calculation Sheet'!$S$4:$S$40,$BJ27-3)="","",INDEX('Final Calculation Sheet'!$S$4:$S$40,$BJ27-3)),IF(OR($BI27=1,$BL27=1,$BH27&gt;0),IF($BI27=1,SUM('Final Calculation Sheet'!$S$4:$S$40),IF($BL27=1,SUM('Final Calculation Sheet'!$S$4:$S$40)-SUMIFS('Final Calculation Sheet'!$S$4:$S$40,$AZ$5:$AZ$41,10),SUMIFS('Final Calculation Sheet'!$S$4:$S$40,$AZ$5:$AZ$41,$BH27))),""))</f>
        <v/>
      </c>
      <c r="U28" s="70">
        <f>IF($BJ27&gt;0,IF(INDEX('Final Calculation Sheet'!$T$4:$T$40,$BJ27-3)="","",INDEX('Final Calculation Sheet'!$T$4:$T$40,$BJ27-3)),IF(OR($BI27=1,$BL27=1,$BH27&gt;0),IF($BI27=1,SUM('Final Calculation Sheet'!$T$4:$T$40),IF($BL27=1,SUM('Final Calculation Sheet'!$T$4:$T$40)-SUMIFS('Final Calculation Sheet'!$T$4:$T$40,$AZ$5:$AZ$41,10),SUMIFS('Final Calculation Sheet'!$T$4:$T$40,$AZ$5:$AZ$41,$BH27))),""))</f>
        <v/>
      </c>
      <c r="V28" s="73">
        <f>IF($BJ27&gt;0,IF(INDEX('Final Calculation Sheet'!$U$4:$U$40,$BJ27-3)="","",INDEX('Final Calculation Sheet'!$U$4:$U$40,$BJ27-3)),IF(OR($BI27=1,$BL27=1,$BH27&gt;0),IF($BI27=1,SUM('Final Calculation Sheet'!$U$4:$U$40),IF($BL27=1,SUM('Final Calculation Sheet'!$U$4:$U$40)-SUMIFS('Final Calculation Sheet'!$U$4:$U$40,$AZ$5:$AZ$41,10),SUMIFS('Final Calculation Sheet'!$U$4:$U$40,$AZ$5:$AZ$41,$BH27))),""))</f>
        <v/>
      </c>
      <c r="W28" s="70">
        <f>IF($BJ27&gt;0,IF(INDEX('Final Calculation Sheet'!$V$4:$V$40,$BJ27-3)="","",INDEX('Final Calculation Sheet'!$V$4:$V$40,$BJ27-3)),IF(OR($BI27=1,$BL27=1,$BH27&gt;0),"–",""))</f>
        <v/>
      </c>
      <c r="X28" s="70">
        <f>IF($BJ27&gt;0,IF(INDEX('Final Calculation Sheet'!$W$4:$W$40,$BJ27-3)="","",INDEX('Final Calculation Sheet'!$W$4:$W$40,$BJ27-3)),IF(OR($BI27=1,$BL27=1,$BH27&gt;0),IF($BI27=1,SUM('Final Calculation Sheet'!$W$4:$W$40),IF($BL27=1,SUM('Final Calculation Sheet'!$W$4:$W$40)-SUMIFS('Final Calculation Sheet'!$W$4:$W$40,$AZ$5:$AZ$41,10),SUMIFS('Final Calculation Sheet'!$W$4:$W$40,$AZ$5:$AZ$41,$BH27))),""))</f>
        <v/>
      </c>
      <c r="Y28" s="70">
        <f>IF($BJ27&gt;0,IF(INDEX('Final Calculation Sheet'!$X$4:$X$40,$BJ27-3)="","",INDEX('Final Calculation Sheet'!$X$4:$X$40,$BJ27-3)),IF(OR($BI27=1,$BL27=1,$BH27&gt;0),IF($BI27=1,SUM('Final Calculation Sheet'!$X$4:$X$40),IF($BL27=1,SUM('Final Calculation Sheet'!$X$4:$X$40)-SUMIFS('Final Calculation Sheet'!$X$4:$X$40,$AZ$5:$AZ$41,10),SUMIFS('Final Calculation Sheet'!$X$4:$X$40,$AZ$5:$AZ$41,$BH27))),""))</f>
        <v/>
      </c>
      <c r="Z28" s="70">
        <f>IF($BJ27&gt;0,IF(INDEX('Final Calculation Sheet'!$Y$4:$Y$40,$BJ27-3)="","",INDEX('Final Calculation Sheet'!$Y$4:$Y$40,$BJ27-3)),IF(OR($BI27=1,$BL27=1,$BH27&gt;0),"–",""))</f>
        <v/>
      </c>
      <c r="AA28" s="70">
        <f>IF($BJ27&gt;0,IF(INDEX('Final Calculation Sheet'!$Z$4:$Z$40,$BJ27-3)="","",INDEX('Final Calculation Sheet'!$Z$4:$Z$40,$BJ27-3)),IF(OR($BI27=1,$BL27=1,$BH27&gt;0),IF($BI27=1,SUM('Final Calculation Sheet'!$Z$4:$Z$40),IF($BL27=1,SUM('Final Calculation Sheet'!$Z$4:$Z$40)-SUMIFS('Final Calculation Sheet'!$Z$4:$Z$40,$AZ$5:$AZ$41,10),SUMIFS('Final Calculation Sheet'!$Z$4:$Z$40,$AZ$5:$AZ$41,$BH27))),""))</f>
        <v/>
      </c>
      <c r="AB28" s="70">
        <f>IF($BJ27&gt;0,IF(INDEX('Final Calculation Sheet'!$AA$4:$AA$40,$BJ27-3)="","",INDEX('Final Calculation Sheet'!$AA$4:$AA$40,$BJ27-3)),IF(OR($BI27=1,$BL27=1,$BH27&gt;0),IF($BI27=1,SUM('Final Calculation Sheet'!$AA$4:$AA$40),IF($BL27=1,SUM('Final Calculation Sheet'!$AA$4:$AA$40)-SUMIFS('Final Calculation Sheet'!$AA$4:$AA$40,$AZ$5:$AZ$41,10),SUMIFS('Final Calculation Sheet'!$AA$4:$AA$40,$AZ$5:$AZ$41,$BH27))),""))</f>
        <v/>
      </c>
      <c r="AC28" s="70">
        <f>IF($BJ27&gt;0,IF(INDEX('Final Calculation Sheet'!$AB$4:$AB$40,$BJ27-3)="","",INDEX('Final Calculation Sheet'!$AB$4:$AB$40,$BJ27-3)),IF(OR($BI27=1,$BL27=1,$BH27&gt;0),"–",""))</f>
        <v/>
      </c>
      <c r="AD28" s="70">
        <f>IF($BJ27&gt;0,IF(INDEX('Final Calculation Sheet'!$AC$4:$AC$40,$BJ27-3)="","",INDEX('Final Calculation Sheet'!$AC$4:$AC$40,$BJ27-3)),IF(OR($BI27=1,$BL27=1,$BH27&gt;0),IF($BI27=1,SUM('Final Calculation Sheet'!$AC$4:$AC$40),IF($BL27=1,SUM('Final Calculation Sheet'!$AC$4:$AC$40)-SUMIFS('Final Calculation Sheet'!$AC$4:$AC$40,$AZ$5:$AZ$41,10),SUMIFS('Final Calculation Sheet'!$AC$4:$AC$40,$AZ$5:$AZ$41,$BH27))),""))</f>
        <v/>
      </c>
      <c r="AE28" s="70">
        <f>IF($BJ27&gt;0,IF(INDEX('Final Calculation Sheet'!$AD$4:$AD$40,$BJ27-3)="","",INDEX('Final Calculation Sheet'!$AD$4:$AD$40,$BJ27-3)),IF(OR($BI27=1,$BL27=1,$BH27&gt;0),IF($BI27=1,SUM('Final Calculation Sheet'!$AD$4:$AD$40),IF($BL27=1,SUM('Final Calculation Sheet'!$AD$4:$AD$40)-SUMIFS('Final Calculation Sheet'!$AD$4:$AD$40,$AZ$5:$AZ$41,10),SUMIFS('Final Calculation Sheet'!$AD$4:$AD$40,$AZ$5:$AZ$41,$BH27))),""))</f>
        <v/>
      </c>
      <c r="AF28" s="70">
        <f>IF($BJ27&gt;0,IF(INDEX('Final Calculation Sheet'!$AE$4:$AE$40,$BJ27-3)="","",INDEX('Final Calculation Sheet'!$AE$4:$AE$40,$BJ27-3)),IF(OR($BI27=1,$BL27=1,$BH27&gt;0),"–",""))</f>
        <v/>
      </c>
      <c r="AG28" s="74">
        <f>IF($BJ27&gt;0,IF(INDEX('Final Calculation Sheet'!$AF$4:$AF$40,$BJ27-3)="","",INDEX('Final Calculation Sheet'!$AF$4:$AF$40,$BJ27-3)),IF(OR($BI27=1,$BL27=1,$BH27&gt;0),"–",""))</f>
        <v/>
      </c>
      <c r="AH28" s="70">
        <f>IF($BJ27&gt;0,IF(INDEX('Final Calculation Sheet'!$AG$4:$AG$40,$BJ27-3)="","",INDEX('Final Calculation Sheet'!$AG$4:$AG$40,$BJ27-3)),IF(OR($BI27=1,$BL27=1,$BH27&gt;0),"–",""))</f>
        <v/>
      </c>
      <c r="AI28" s="75">
        <f>IF($BJ27&gt;0,IF(INDEX('Final Calculation Sheet'!$AD$4:$AD$40,$BJ27-3)="","",IF(INDEX('Final Calculation Sheet'!$AD$4:$AD$40,$BJ27-3)&lt;=0,"SETTLED","OUTSTANDING")),IF(OR($BI27=1,$BL27=1,$BH27&gt;0),IF(IF($BI27=1,SUM('Final Calculation Sheet'!$AD$4:$AD$40),IF($BL27=1,SUM('Final Calculation Sheet'!$AD$4:$AD$40)-SUMIFS('Final Calculation Sheet'!$AD$4:$AD$40,$AZ$5:$AZ$41,10),SUMIFS('Final Calculation Sheet'!$AD$4:$AD$40,$AZ$5:$AZ$41,$BH27)))&lt;=0,"ALL SETTLED","OUTSTANDING"),""))</f>
        <v/>
      </c>
      <c r="AK28">
        <f>IF($F$3="Lot No.",'Final Calculation Sheet'!$F$27,IF($F$3="Buyer",'Final Calculation Sheet'!$G$27,IF($F$3="Lot Name",'Final Calculation Sheet'!$B$27,IF($F$3="Bid Sheet",'Final Calculation Sheet'!$D$27,IF($F$3="Unit",'Final Calculation Sheet'!$E$27,'Final Calculation Sheet'!$F$27&amp;" "&amp;'Final Calculation Sheet'!$G$27&amp;" "&amp;'Final Calculation Sheet'!$B$27)))))</f>
        <v/>
      </c>
      <c r="AM28">
        <f>IF(COUNTIF($BM28:$CU28,0)&gt;0,0,IF($B$3="",1,IF(AND(IF(COUNTIF($AR$9:$AY$9,1)=0,TRUE,SUMPRODUCT(($AR$9:$AY$9=1)*($AR$6:$AY$6&lt;&gt;"")*ISNUMBER(SEARCH($AR$6:$AY$6,$AK28)))&gt;0),IF(COUNTIF($AR$9:$AY$9,2)=0,TRUE,SUMPRODUCT(($AR$9:$AY$9=2)*($AR$6:$AY$6&lt;&gt;"")*ISNUMBER(SEARCH($AR$6:$AY$6,$AK28)))&gt;0),IF(COUNTIF($AR$9:$AY$9,3)=0,TRUE,SUMPRODUCT(($AR$9:$AY$9=3)*($AR$6:$AY$6&lt;&gt;"")*ISNUMBER(SEARCH($AR$6:$AY$6,$AK28)))&gt;0),IF(COUNTIF($AR$9:$AY$9,4)=0,TRUE,SUMPRODUCT(($AR$9:$AY$9=4)*($AR$6:$AY$6&lt;&gt;"")*ISNUMBER(SEARCH($AR$6:$AY$6,$AK28)))&gt;0),IF(COUNTIF($AR$9:$AY$9,5)=0,TRUE,SUMPRODUCT(($AR$9:$AY$9=5)*($AR$6:$AY$6&lt;&gt;"")*ISNUMBER(SEARCH($AR$6:$AY$6,$AK28)))&gt;0),IF(COUNTIF($AR$9:$AY$9,6)=0,TRUE,SUMPRODUCT(($AR$9:$AY$9=6)*($AR$6:$AY$6&lt;&gt;"")*ISNUMBER(SEARCH($AR$6:$AY$6,$AK28)))&gt;0),IF(COUNTIF($AR$9:$AY$9,7)=0,TRUE,SUMPRODUCT(($AR$9:$AY$9=7)*($AR$6:$AY$6&lt;&gt;"")*ISNUMBER(SEARCH($AR$6:$AY$6,$AK28)))&gt;0),IF(COUNTIF($AR$9:$AY$9,8)=0,TRUE,SUMPRODUCT(($AR$9:$AY$9=8)*($AR$6:$AY$6&lt;&gt;"")*ISNUMBER(SEARCH($AR$6:$AY$6,$AK28)))&gt;0)),1,0)))</f>
        <v/>
      </c>
      <c r="AZ28">
        <f>IF($B$3="",IF(COUNTIF($A$4:$AI$4,"&lt;&gt;")=0,9,IF($AM28=1,9,10)),IF($AM28=0,10,IF(AND($AR$6&lt;&gt;"",ISNUMBER(SEARCH($AR$6,$AK28))),1,IF(AND($AS$6&lt;&gt;"",ISNUMBER(SEARCH($AS$6,$AK28))),2,IF(AND($AT$6&lt;&gt;"",ISNUMBER(SEARCH($AT$6,$AK28))),3,IF(AND($AU$6&lt;&gt;"",ISNUMBER(SEARCH($AU$6,$AK28))),4,IF(AND($AV$6&lt;&gt;"",ISNUMBER(SEARCH($AV$6,$AK28))),5,IF(AND($AW$6&lt;&gt;"",ISNUMBER(SEARCH($AW$6,$AK28))),6,IF(AND($AX$6&lt;&gt;"",ISNUMBER(SEARCH($AX$6,$AK28))),7,IF(AND($AY$6&lt;&gt;"",ISNUMBER(SEARCH($AY$6,$AK28))),8,0))))))))))</f>
        <v/>
      </c>
      <c r="BA28">
        <f>SUMPRODUCT(($AZ$5:$AZ$41=$AZ28)*($BC$5:$BC$41&lt;$BC28))+1</f>
        <v/>
      </c>
      <c r="BB28">
        <f>IF(INDEX($BF$4:$BF$13,$AZ28)=0,0,INDEX($BE$4:$BE$13,$AZ28)+$BA28-1)</f>
        <v/>
      </c>
      <c r="BC28" t="n">
        <v>27</v>
      </c>
      <c r="BH28">
        <f>IFERROR(MATCH(28,$BF$4:$BF$13,0),0)</f>
        <v/>
      </c>
      <c r="BI28">
        <f>IF(28=$BG$5,1,0)</f>
        <v/>
      </c>
      <c r="BJ28">
        <f>IF(OR($BH28&gt;0,$BI28=1,$BL28=1),0,IFERROR(INDEX($BC$5:$BC$41,MATCH(28,$BB$5:$BB$41,0)),0))</f>
        <v/>
      </c>
      <c r="BK28">
        <f>IF($BJ28&gt;0,IF(INDEX($AZ$5:$AZ$41,MATCH(28,$BB$5:$BB$41,0))=10,1,0),IF($BH28=10,1,0))</f>
        <v/>
      </c>
      <c r="BL28">
        <f>IF(28=$BG$4,1,0)</f>
        <v/>
      </c>
      <c r="BM2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8">
        <f>IF($B$4="",1,--(OR(SUMPRODUCT(--(TRIM(MID(SUBSTITUTE(SUBSTITUTE($B$4,"/",","),",",REPT(" ",99)),(ROW($1:$8)-1)*99+1,99))&lt;&gt;""),--ISNUMBER(SEARCH(TRIM(MID(SUBSTITUTE(SUBSTITUTE($B$4,"/",","),",",REPT(" ",99)),(ROW($1:$8)-1)*99+1,99)),IFERROR(('Final Calculation Sheet'!$F$27)&amp;"",""))))&gt;0,AND(ISNUMBER(SEARCH("blank",$B$4)),NOT(ISNUMBER(SEARCH("nonblank",$B$4))),IFERROR(('Final Calculation Sheet'!$F$27)&amp;"","")=""),AND(OR(ISNUMBER(SEARCH("nonblank",$B$4)),ISNUMBER(SEARCH("&lt;&gt;",$B$4))),IFERROR(('Final Calculation Sheet'!$F$27)&amp;"","")&lt;&gt;""),AND(TRIM($B$4)="",IFERROR(('Final Calculation Sheet'!$F$27)&amp;"","")=""))))</f>
        <v/>
      </c>
      <c r="BO28">
        <f>IF($C$4="",1,--(OR(SUMPRODUCT(--(TRIM(MID(SUBSTITUTE(SUBSTITUTE($C$4,"/",","),",",REPT(" ",99)),(ROW($1:$8)-1)*99+1,99))&lt;&gt;""),--ISNUMBER(SEARCH(TRIM(MID(SUBSTITUTE(SUBSTITUTE($C$4,"/",","),",",REPT(" ",99)),(ROW($1:$8)-1)*99+1,99)),IFERROR(('Final Calculation Sheet'!$G$27)&amp;"",""))))&gt;0,AND(ISNUMBER(SEARCH("blank",$C$4)),NOT(ISNUMBER(SEARCH("nonblank",$C$4))),IFERROR(('Final Calculation Sheet'!$G$27)&amp;"","")=""),AND(OR(ISNUMBER(SEARCH("nonblank",$C$4)),ISNUMBER(SEARCH("&lt;&gt;",$C$4))),IFERROR(('Final Calculation Sheet'!$G$27)&amp;"","")&lt;&gt;""),AND(TRIM($C$4)="",IFERROR(('Final Calculation Sheet'!$G$27)&amp;"","")=""))))</f>
        <v/>
      </c>
      <c r="BP28">
        <f>IF($D$4="",1,--(OR(SUMPRODUCT(--(TRIM(MID(SUBSTITUTE(SUBSTITUTE($D$4,"/",","),",",REPT(" ",99)),(ROW($1:$8)-1)*99+1,99))&lt;&gt;""),--ISNUMBER(SEARCH(TRIM(MID(SUBSTITUTE(SUBSTITUTE($D$4,"/",","),",",REPT(" ",99)),(ROW($1:$8)-1)*99+1,99)),IFERROR(('Final Calculation Sheet'!$B$27)&amp;"",""))))&gt;0,AND(ISNUMBER(SEARCH("blank",$D$4)),NOT(ISNUMBER(SEARCH("nonblank",$D$4))),IFERROR(('Final Calculation Sheet'!$B$27)&amp;"","")=""),AND(OR(ISNUMBER(SEARCH("nonblank",$D$4)),ISNUMBER(SEARCH("&lt;&gt;",$D$4))),IFERROR(('Final Calculation Sheet'!$B$27)&amp;"","")&lt;&gt;""),AND(TRIM($D$4)="",IFERROR(('Final Calculation Sheet'!$B$27)&amp;"","")=""))))</f>
        <v/>
      </c>
      <c r="BQ28">
        <f>IF($E$4="",1,--(OR(SUMPRODUCT(--(TRIM(MID(SUBSTITUTE(SUBSTITUTE($E$4,"/",","),",",REPT(" ",99)),(ROW($1:$8)-1)*99+1,99))&lt;&gt;""),--ISNUMBER(SEARCH(TRIM(MID(SUBSTITUTE(SUBSTITUTE($E$4,"/",","),",",REPT(" ",99)),(ROW($1:$8)-1)*99+1,99)),IFERROR(('Final Calculation Sheet'!$D$27)&amp;"",""))))&gt;0,AND(ISNUMBER(SEARCH("blank",$E$4)),NOT(ISNUMBER(SEARCH("nonblank",$E$4))),IFERROR(('Final Calculation Sheet'!$D$27)&amp;"","")=""),AND(OR(ISNUMBER(SEARCH("nonblank",$E$4)),ISNUMBER(SEARCH("&lt;&gt;",$E$4))),IFERROR(('Final Calculation Sheet'!$D$27)&amp;"","")&lt;&gt;""),AND(TRIM($E$4)="",IFERROR(('Final Calculation Sheet'!$D$27)&amp;"","")=""))))</f>
        <v/>
      </c>
      <c r="BR28">
        <f>IF($F$4="",1,--(OR(SUMPRODUCT(--(TRIM(MID(SUBSTITUTE(SUBSTITUTE($F$4,"/",","),",",REPT(" ",99)),(ROW($1:$8)-1)*99+1,99))&lt;&gt;""),--ISNUMBER(SEARCH(TRIM(MID(SUBSTITUTE(SUBSTITUTE($F$4,"/",","),",",REPT(" ",99)),(ROW($1:$8)-1)*99+1,99)),IFERROR(('Final Calculation Sheet'!$A$27)&amp;"",""))))&gt;0,AND(ISNUMBER(SEARCH("blank",$F$4)),NOT(ISNUMBER(SEARCH("nonblank",$F$4))),IFERROR(('Final Calculation Sheet'!$A$27)&amp;"","")=""),AND(OR(ISNUMBER(SEARCH("nonblank",$F$4)),ISNUMBER(SEARCH("&lt;&gt;",$F$4))),IFERROR(('Final Calculation Sheet'!$A$27)&amp;"","")&lt;&gt;""),AND(TRIM($F$4)="",IFERROR(('Final Calculation Sheet'!$A$27)&amp;"","")=""))))</f>
        <v/>
      </c>
      <c r="BS28">
        <f>IF($G$4="",1,--(OR(SUMPRODUCT(--(TRIM(MID(SUBSTITUTE(SUBSTITUTE($G$4,"/",","),",",REPT(" ",99)),(ROW($1:$8)-1)*99+1,99))&lt;&gt;""),--ISNUMBER(SEARCH(TRIM(MID(SUBSTITUTE(SUBSTITUTE($G$4,"/",","),",",REPT(" ",99)),(ROW($1:$8)-1)*99+1,99)),IFERROR(('Final Calculation Sheet'!$E$27)&amp;"",""))))&gt;0,AND(ISNUMBER(SEARCH("blank",$G$4)),NOT(ISNUMBER(SEARCH("nonblank",$G$4))),IFERROR(('Final Calculation Sheet'!$E$27)&amp;"","")=""),AND(OR(ISNUMBER(SEARCH("nonblank",$G$4)),ISNUMBER(SEARCH("&lt;&gt;",$G$4))),IFERROR(('Final Calculation Sheet'!$E$27)&amp;"","")&lt;&gt;""),AND(TRIM($G$4)="",IFERROR(('Final Calculation Sheet'!$E$27)&amp;"","")=""))))</f>
        <v/>
      </c>
      <c r="BT28">
        <f>IF($H$4="",1,--(OR(SUMPRODUCT(--(TRIM(MID(SUBSTITUTE(SUBSTITUTE($H$4,"/",","),",",REPT(" ",99)),(ROW($1:$8)-1)*99+1,99))&lt;&gt;""),--ISNUMBER(SEARCH(TRIM(MID(SUBSTITUTE(SUBSTITUTE($H$4,"/",","),",",REPT(" ",99)),(ROW($1:$8)-1)*99+1,99)),IFERROR(('Final Calculation Sheet'!$C$27)&amp;"",""))))&gt;0,AND(ISNUMBER(SEARCH("blank",$H$4)),NOT(ISNUMBER(SEARCH("nonblank",$H$4))),IFERROR(('Final Calculation Sheet'!$C$27)&amp;"","")=""),AND(OR(ISNUMBER(SEARCH("nonblank",$H$4)),ISNUMBER(SEARCH("&lt;&gt;",$H$4))),IFERROR(('Final Calculation Sheet'!$C$27)&amp;"","")&lt;&gt;""),AND(TRIM($H$4)="",IFERROR(('Final Calculation Sheet'!$C$27)&amp;"","")=""))))</f>
        <v/>
      </c>
      <c r="BU28">
        <f>IF($I$4="",1,--(OR(SUMPRODUCT(--(TRIM(MID(SUBSTITUTE(SUBSTITUTE($I$4,"/",","),",",REPT(" ",99)),(ROW($1:$8)-1)*99+1,99))&lt;&gt;""),--ISNUMBER(SEARCH(TRIM(MID(SUBSTITUTE(SUBSTITUTE($I$4,"/",","),",",REPT(" ",99)),(ROW($1:$8)-1)*99+1,99)),IFERROR(('Final Calculation Sheet'!$H$27)&amp;"",""))))&gt;0,AND(ISNUMBER(SEARCH("blank",$I$4)),NOT(ISNUMBER(SEARCH("nonblank",$I$4))),IFERROR(('Final Calculation Sheet'!$H$27)&amp;"","")=""),AND(OR(ISNUMBER(SEARCH("nonblank",$I$4)),ISNUMBER(SEARCH("&lt;&gt;",$I$4))),IFERROR(('Final Calculation Sheet'!$H$27)&amp;"","")&lt;&gt;""),AND(TRIM($I$4)="",IFERROR(('Final Calculation Sheet'!$H$27)&amp;"","")=""))))</f>
        <v/>
      </c>
      <c r="BV28">
        <f>IF($J$4="",1,--(OR(SUMPRODUCT(--(TRIM(MID(SUBSTITUTE(SUBSTITUTE($J$4,"/",","),",",REPT(" ",99)),(ROW($1:$8)-1)*99+1,99))&lt;&gt;""),--ISNUMBER(SEARCH(TRIM(MID(SUBSTITUTE(SUBSTITUTE($J$4,"/",","),",",REPT(" ",99)),(ROW($1:$8)-1)*99+1,99)),IFERROR(('Final Calculation Sheet'!$I$27)&amp;"",""))))&gt;0,AND(ISNUMBER(SEARCH("blank",$J$4)),NOT(ISNUMBER(SEARCH("nonblank",$J$4))),IFERROR(('Final Calculation Sheet'!$I$27)&amp;"","")=""),AND(OR(ISNUMBER(SEARCH("nonblank",$J$4)),ISNUMBER(SEARCH("&lt;&gt;",$J$4))),IFERROR(('Final Calculation Sheet'!$I$27)&amp;"","")&lt;&gt;""),AND(TRIM($J$4)="",IFERROR(('Final Calculation Sheet'!$I$27)&amp;"","")=""))))</f>
        <v/>
      </c>
      <c r="BW28">
        <f>IF($K$4="",1,--(OR(SUMPRODUCT(--(TRIM(MID(SUBSTITUTE(SUBSTITUTE($K$4,"/",","),",",REPT(" ",99)),(ROW($1:$8)-1)*99+1,99))&lt;&gt;""),--ISNUMBER(SEARCH(TRIM(MID(SUBSTITUTE(SUBSTITUTE($K$4,"/",","),",",REPT(" ",99)),(ROW($1:$8)-1)*99+1,99)),IFERROR(('Final Calculation Sheet'!$J$27)&amp;"",""))))&gt;0,AND(ISNUMBER(SEARCH("blank",$K$4)),NOT(ISNUMBER(SEARCH("nonblank",$K$4))),IFERROR(('Final Calculation Sheet'!$J$27)&amp;"","")=""),AND(OR(ISNUMBER(SEARCH("nonblank",$K$4)),ISNUMBER(SEARCH("&lt;&gt;",$K$4))),IFERROR(('Final Calculation Sheet'!$J$27)&amp;"","")&lt;&gt;""),AND(TRIM($K$4)="",IFERROR(('Final Calculation Sheet'!$J$27)&amp;"","")=""))))</f>
        <v/>
      </c>
      <c r="BX28">
        <f>IF($L$4="",1,--(OR(SUMPRODUCT(--(TRIM(MID(SUBSTITUTE(SUBSTITUTE($L$4,"/",","),",",REPT(" ",99)),(ROW($1:$8)-1)*99+1,99))&lt;&gt;""),--ISNUMBER(SEARCH(TRIM(MID(SUBSTITUTE(SUBSTITUTE($L$4,"/",","),",",REPT(" ",99)),(ROW($1:$8)-1)*99+1,99)),IFERROR(('Final Calculation Sheet'!$K$27)&amp;"",""))))&gt;0,AND(ISNUMBER(SEARCH("blank",$L$4)),NOT(ISNUMBER(SEARCH("nonblank",$L$4))),IFERROR(('Final Calculation Sheet'!$K$27)&amp;"","")=""),AND(OR(ISNUMBER(SEARCH("nonblank",$L$4)),ISNUMBER(SEARCH("&lt;&gt;",$L$4))),IFERROR(('Final Calculation Sheet'!$K$27)&amp;"","")&lt;&gt;""),AND(TRIM($L$4)="",IFERROR(('Final Calculation Sheet'!$K$27)&amp;"","")=""))))</f>
        <v/>
      </c>
      <c r="BY28">
        <f>IF($M$4="",1,--(OR(SUMPRODUCT(--(TRIM(MID(SUBSTITUTE(SUBSTITUTE($M$4,"/",","),",",REPT(" ",99)),(ROW($1:$8)-1)*99+1,99))&lt;&gt;""),--ISNUMBER(SEARCH(TRIM(MID(SUBSTITUTE(SUBSTITUTE($M$4,"/",","),",",REPT(" ",99)),(ROW($1:$8)-1)*99+1,99)),IFERROR(('Final Calculation Sheet'!$L$27)&amp;"",""))))&gt;0,AND(ISNUMBER(SEARCH("blank",$M$4)),NOT(ISNUMBER(SEARCH("nonblank",$M$4))),IFERROR(('Final Calculation Sheet'!$L$27)&amp;"","")=""),AND(OR(ISNUMBER(SEARCH("nonblank",$M$4)),ISNUMBER(SEARCH("&lt;&gt;",$M$4))),IFERROR(('Final Calculation Sheet'!$L$27)&amp;"","")&lt;&gt;""),AND(TRIM($M$4)="",IFERROR(('Final Calculation Sheet'!$L$27)&amp;"","")=""))))</f>
        <v/>
      </c>
      <c r="BZ28">
        <f>IF($N$4="",1,--(OR(SUMPRODUCT(--(TRIM(MID(SUBSTITUTE(SUBSTITUTE($N$4,"/",","),",",REPT(" ",99)),(ROW($1:$8)-1)*99+1,99))&lt;&gt;""),--ISNUMBER(SEARCH(TRIM(MID(SUBSTITUTE(SUBSTITUTE($N$4,"/",","),",",REPT(" ",99)),(ROW($1:$8)-1)*99+1,99)),IFERROR(('Final Calculation Sheet'!$M$27)&amp;"",""))))&gt;0,AND(ISNUMBER(SEARCH("blank",$N$4)),NOT(ISNUMBER(SEARCH("nonblank",$N$4))),IFERROR(('Final Calculation Sheet'!$M$27)&amp;"","")=""),AND(OR(ISNUMBER(SEARCH("nonblank",$N$4)),ISNUMBER(SEARCH("&lt;&gt;",$N$4))),IFERROR(('Final Calculation Sheet'!$M$27)&amp;"","")&lt;&gt;""),AND(TRIM($N$4)="",IFERROR(('Final Calculation Sheet'!$M$27)&amp;"","")=""))))</f>
        <v/>
      </c>
      <c r="CA28">
        <f>IF($O$4="",1,--(OR(SUMPRODUCT(--(TRIM(MID(SUBSTITUTE(SUBSTITUTE($O$4,"/",","),",",REPT(" ",99)),(ROW($1:$8)-1)*99+1,99))&lt;&gt;""),--ISNUMBER(SEARCH(TRIM(MID(SUBSTITUTE(SUBSTITUTE($O$4,"/",","),",",REPT(" ",99)),(ROW($1:$8)-1)*99+1,99)),IFERROR(('Final Calculation Sheet'!$N$27)&amp;"",""))))&gt;0,AND(ISNUMBER(SEARCH("blank",$O$4)),NOT(ISNUMBER(SEARCH("nonblank",$O$4))),IFERROR(('Final Calculation Sheet'!$N$27)&amp;"","")=""),AND(OR(ISNUMBER(SEARCH("nonblank",$O$4)),ISNUMBER(SEARCH("&lt;&gt;",$O$4))),IFERROR(('Final Calculation Sheet'!$N$27)&amp;"","")&lt;&gt;""),AND(TRIM($O$4)="",IFERROR(('Final Calculation Sheet'!$N$27)&amp;"","")=""))))</f>
        <v/>
      </c>
      <c r="CB28">
        <f>IF($P$4="",1,--(OR(SUMPRODUCT(--(TRIM(MID(SUBSTITUTE(SUBSTITUTE($P$4,"/",","),",",REPT(" ",99)),(ROW($1:$8)-1)*99+1,99))&lt;&gt;""),--ISNUMBER(SEARCH(TRIM(MID(SUBSTITUTE(SUBSTITUTE($P$4,"/",","),",",REPT(" ",99)),(ROW($1:$8)-1)*99+1,99)),IFERROR(('Final Calculation Sheet'!$O$27)&amp;"",""))))&gt;0,AND(ISNUMBER(SEARCH("blank",$P$4)),NOT(ISNUMBER(SEARCH("nonblank",$P$4))),IFERROR(('Final Calculation Sheet'!$O$27)&amp;"","")=""),AND(OR(ISNUMBER(SEARCH("nonblank",$P$4)),ISNUMBER(SEARCH("&lt;&gt;",$P$4))),IFERROR(('Final Calculation Sheet'!$O$27)&amp;"","")&lt;&gt;""),AND(TRIM($P$4)="",IFERROR(('Final Calculation Sheet'!$O$27)&amp;"","")=""))))</f>
        <v/>
      </c>
      <c r="CC28">
        <f>IF($Q$4="",1,--(OR(SUMPRODUCT(--(TRIM(MID(SUBSTITUTE(SUBSTITUTE($Q$4,"/",","),",",REPT(" ",99)),(ROW($1:$8)-1)*99+1,99))&lt;&gt;""),--ISNUMBER(SEARCH(TRIM(MID(SUBSTITUTE(SUBSTITUTE($Q$4,"/",","),",",REPT(" ",99)),(ROW($1:$8)-1)*99+1,99)),IFERROR(('Final Calculation Sheet'!$P$27)&amp;"",""))))&gt;0,AND(ISNUMBER(SEARCH("blank",$Q$4)),NOT(ISNUMBER(SEARCH("nonblank",$Q$4))),IFERROR(('Final Calculation Sheet'!$P$27)&amp;"","")=""),AND(OR(ISNUMBER(SEARCH("nonblank",$Q$4)),ISNUMBER(SEARCH("&lt;&gt;",$Q$4))),IFERROR(('Final Calculation Sheet'!$P$27)&amp;"","")&lt;&gt;""),AND(TRIM($Q$4)="",IFERROR(('Final Calculation Sheet'!$P$27)&amp;"","")=""))))</f>
        <v/>
      </c>
      <c r="CD28">
        <f>IF($R$4="",1,--(OR(SUMPRODUCT(--(TRIM(MID(SUBSTITUTE(SUBSTITUTE($R$4,"/",","),",",REPT(" ",99)),(ROW($1:$8)-1)*99+1,99))&lt;&gt;""),--ISNUMBER(SEARCH(TRIM(MID(SUBSTITUTE(SUBSTITUTE($R$4,"/",","),",",REPT(" ",99)),(ROW($1:$8)-1)*99+1,99)),IFERROR(('Final Calculation Sheet'!$Q$27)&amp;"",""))))&gt;0,AND(ISNUMBER(SEARCH("blank",$R$4)),NOT(ISNUMBER(SEARCH("nonblank",$R$4))),IFERROR(('Final Calculation Sheet'!$Q$27)&amp;"","")=""),AND(OR(ISNUMBER(SEARCH("nonblank",$R$4)),ISNUMBER(SEARCH("&lt;&gt;",$R$4))),IFERROR(('Final Calculation Sheet'!$Q$27)&amp;"","")&lt;&gt;""),AND(TRIM($R$4)="",IFERROR(('Final Calculation Sheet'!$Q$27)&amp;"","")=""))))</f>
        <v/>
      </c>
      <c r="CE28">
        <f>IF($S$4="",1,--(OR(SUMPRODUCT(--(TRIM(MID(SUBSTITUTE(SUBSTITUTE($S$4,"/",","),",",REPT(" ",99)),(ROW($1:$8)-1)*99+1,99))&lt;&gt;""),--ISNUMBER(SEARCH(TRIM(MID(SUBSTITUTE(SUBSTITUTE($S$4,"/",","),",",REPT(" ",99)),(ROW($1:$8)-1)*99+1,99)),IFERROR(('Final Calculation Sheet'!$R$27)&amp;"",""))))&gt;0,AND(ISNUMBER(SEARCH("blank",$S$4)),NOT(ISNUMBER(SEARCH("nonblank",$S$4))),IFERROR(('Final Calculation Sheet'!$R$27)&amp;"","")=""),AND(OR(ISNUMBER(SEARCH("nonblank",$S$4)),ISNUMBER(SEARCH("&lt;&gt;",$S$4))),IFERROR(('Final Calculation Sheet'!$R$27)&amp;"","")&lt;&gt;""),AND(TRIM($S$4)="",IFERROR(('Final Calculation Sheet'!$R$27)&amp;"","")=""))))</f>
        <v/>
      </c>
      <c r="CF28">
        <f>IF($T$4="",1,--(OR(SUMPRODUCT(--(TRIM(MID(SUBSTITUTE(SUBSTITUTE($T$4,"/",","),",",REPT(" ",99)),(ROW($1:$8)-1)*99+1,99))&lt;&gt;""),--ISNUMBER(SEARCH(TRIM(MID(SUBSTITUTE(SUBSTITUTE($T$4,"/",","),",",REPT(" ",99)),(ROW($1:$8)-1)*99+1,99)),IFERROR(('Final Calculation Sheet'!$S$27)&amp;"",""))))&gt;0,AND(ISNUMBER(SEARCH("blank",$T$4)),NOT(ISNUMBER(SEARCH("nonblank",$T$4))),IFERROR(('Final Calculation Sheet'!$S$27)&amp;"","")=""),AND(OR(ISNUMBER(SEARCH("nonblank",$T$4)),ISNUMBER(SEARCH("&lt;&gt;",$T$4))),IFERROR(('Final Calculation Sheet'!$S$27)&amp;"","")&lt;&gt;""),AND(TRIM($T$4)="",IFERROR(('Final Calculation Sheet'!$S$27)&amp;"","")=""))))</f>
        <v/>
      </c>
      <c r="CG28">
        <f>IF($U$4="",1,--(OR(SUMPRODUCT(--(TRIM(MID(SUBSTITUTE(SUBSTITUTE($U$4,"/",","),",",REPT(" ",99)),(ROW($1:$8)-1)*99+1,99))&lt;&gt;""),--ISNUMBER(SEARCH(TRIM(MID(SUBSTITUTE(SUBSTITUTE($U$4,"/",","),",",REPT(" ",99)),(ROW($1:$8)-1)*99+1,99)),IFERROR(('Final Calculation Sheet'!$T$27)&amp;"",""))))&gt;0,AND(ISNUMBER(SEARCH("blank",$U$4)),NOT(ISNUMBER(SEARCH("nonblank",$U$4))),IFERROR(('Final Calculation Sheet'!$T$27)&amp;"","")=""),AND(OR(ISNUMBER(SEARCH("nonblank",$U$4)),ISNUMBER(SEARCH("&lt;&gt;",$U$4))),IFERROR(('Final Calculation Sheet'!$T$27)&amp;"","")&lt;&gt;""),AND(TRIM($U$4)="",IFERROR(('Final Calculation Sheet'!$T$27)&amp;"","")=""))))</f>
        <v/>
      </c>
      <c r="CH28">
        <f>IF($V$4="",1,--(OR(SUMPRODUCT(--(TRIM(MID(SUBSTITUTE(SUBSTITUTE($V$4,"/",","),",",REPT(" ",99)),(ROW($1:$8)-1)*99+1,99))&lt;&gt;""),--ISNUMBER(SEARCH(TRIM(MID(SUBSTITUTE(SUBSTITUTE($V$4,"/",","),",",REPT(" ",99)),(ROW($1:$8)-1)*99+1,99)),IFERROR(('Final Calculation Sheet'!$U$27)&amp;"",""))))&gt;0,AND(ISNUMBER(SEARCH("blank",$V$4)),NOT(ISNUMBER(SEARCH("nonblank",$V$4))),IFERROR(('Final Calculation Sheet'!$U$27)&amp;"","")=""),AND(OR(ISNUMBER(SEARCH("nonblank",$V$4)),ISNUMBER(SEARCH("&lt;&gt;",$V$4))),IFERROR(('Final Calculation Sheet'!$U$27)&amp;"","")&lt;&gt;""),AND(TRIM($V$4)="",IFERROR(('Final Calculation Sheet'!$U$27)&amp;"","")=""))))</f>
        <v/>
      </c>
      <c r="CI28">
        <f>IF($W$4="",1,--(OR(SUMPRODUCT(--(TRIM(MID(SUBSTITUTE(SUBSTITUTE($W$4,"/",","),",",REPT(" ",99)),(ROW($1:$8)-1)*99+1,99))&lt;&gt;""),--ISNUMBER(SEARCH(TRIM(MID(SUBSTITUTE(SUBSTITUTE($W$4,"/",","),",",REPT(" ",99)),(ROW($1:$8)-1)*99+1,99)),IFERROR(('Final Calculation Sheet'!$V$27)&amp;"",""))))&gt;0,AND(ISNUMBER(SEARCH("blank",$W$4)),NOT(ISNUMBER(SEARCH("nonblank",$W$4))),IFERROR(('Final Calculation Sheet'!$V$27)&amp;"","")=""),AND(OR(ISNUMBER(SEARCH("nonblank",$W$4)),ISNUMBER(SEARCH("&lt;&gt;",$W$4))),IFERROR(('Final Calculation Sheet'!$V$27)&amp;"","")&lt;&gt;""),AND(TRIM($W$4)="",IFERROR(('Final Calculation Sheet'!$V$27)&amp;"","")=""))))</f>
        <v/>
      </c>
      <c r="CJ28">
        <f>IF($X$4="",1,--(OR(SUMPRODUCT(--(TRIM(MID(SUBSTITUTE(SUBSTITUTE($X$4,"/",","),",",REPT(" ",99)),(ROW($1:$8)-1)*99+1,99))&lt;&gt;""),--ISNUMBER(SEARCH(TRIM(MID(SUBSTITUTE(SUBSTITUTE($X$4,"/",","),",",REPT(" ",99)),(ROW($1:$8)-1)*99+1,99)),IFERROR(('Final Calculation Sheet'!$W$27)&amp;"",""))))&gt;0,AND(ISNUMBER(SEARCH("blank",$X$4)),NOT(ISNUMBER(SEARCH("nonblank",$X$4))),IFERROR(('Final Calculation Sheet'!$W$27)&amp;"","")=""),AND(OR(ISNUMBER(SEARCH("nonblank",$X$4)),ISNUMBER(SEARCH("&lt;&gt;",$X$4))),IFERROR(('Final Calculation Sheet'!$W$27)&amp;"","")&lt;&gt;""),AND(TRIM($X$4)="",IFERROR(('Final Calculation Sheet'!$W$27)&amp;"","")=""))))</f>
        <v/>
      </c>
      <c r="CK28">
        <f>IF($Y$4="",1,--(OR(SUMPRODUCT(--(TRIM(MID(SUBSTITUTE(SUBSTITUTE($Y$4,"/",","),",",REPT(" ",99)),(ROW($1:$8)-1)*99+1,99))&lt;&gt;""),--ISNUMBER(SEARCH(TRIM(MID(SUBSTITUTE(SUBSTITUTE($Y$4,"/",","),",",REPT(" ",99)),(ROW($1:$8)-1)*99+1,99)),IFERROR(('Final Calculation Sheet'!$X$27)&amp;"",""))))&gt;0,AND(ISNUMBER(SEARCH("blank",$Y$4)),NOT(ISNUMBER(SEARCH("nonblank",$Y$4))),IFERROR(('Final Calculation Sheet'!$X$27)&amp;"","")=""),AND(OR(ISNUMBER(SEARCH("nonblank",$Y$4)),ISNUMBER(SEARCH("&lt;&gt;",$Y$4))),IFERROR(('Final Calculation Sheet'!$X$27)&amp;"","")&lt;&gt;""),AND(TRIM($Y$4)="",IFERROR(('Final Calculation Sheet'!$X$27)&amp;"","")=""))))</f>
        <v/>
      </c>
      <c r="CL28">
        <f>IF($Z$4="",1,--(OR(SUMPRODUCT(--(TRIM(MID(SUBSTITUTE(SUBSTITUTE($Z$4,"/",","),",",REPT(" ",99)),(ROW($1:$8)-1)*99+1,99))&lt;&gt;""),--ISNUMBER(SEARCH(TRIM(MID(SUBSTITUTE(SUBSTITUTE($Z$4,"/",","),",",REPT(" ",99)),(ROW($1:$8)-1)*99+1,99)),IFERROR(('Final Calculation Sheet'!$Y$27)&amp;"",""))))&gt;0,AND(ISNUMBER(SEARCH("blank",$Z$4)),NOT(ISNUMBER(SEARCH("nonblank",$Z$4))),IFERROR(('Final Calculation Sheet'!$Y$27)&amp;"","")=""),AND(OR(ISNUMBER(SEARCH("nonblank",$Z$4)),ISNUMBER(SEARCH("&lt;&gt;",$Z$4))),IFERROR(('Final Calculation Sheet'!$Y$27)&amp;"","")&lt;&gt;""),AND(TRIM($Z$4)="",IFERROR(('Final Calculation Sheet'!$Y$27)&amp;"","")=""))))</f>
        <v/>
      </c>
      <c r="CM28">
        <f>IF($AA$4="",1,--(OR(SUMPRODUCT(--(TRIM(MID(SUBSTITUTE(SUBSTITUTE($AA$4,"/",","),",",REPT(" ",99)),(ROW($1:$8)-1)*99+1,99))&lt;&gt;""),--ISNUMBER(SEARCH(TRIM(MID(SUBSTITUTE(SUBSTITUTE($AA$4,"/",","),",",REPT(" ",99)),(ROW($1:$8)-1)*99+1,99)),IFERROR(('Final Calculation Sheet'!$Z$27)&amp;"",""))))&gt;0,AND(ISNUMBER(SEARCH("blank",$AA$4)),NOT(ISNUMBER(SEARCH("nonblank",$AA$4))),IFERROR(('Final Calculation Sheet'!$Z$27)&amp;"","")=""),AND(OR(ISNUMBER(SEARCH("nonblank",$AA$4)),ISNUMBER(SEARCH("&lt;&gt;",$AA$4))),IFERROR(('Final Calculation Sheet'!$Z$27)&amp;"","")&lt;&gt;""),AND(TRIM($AA$4)="",IFERROR(('Final Calculation Sheet'!$Z$27)&amp;"","")=""))))</f>
        <v/>
      </c>
      <c r="CN28">
        <f>IF($AB$4="",1,--(OR(SUMPRODUCT(--(TRIM(MID(SUBSTITUTE(SUBSTITUTE($AB$4,"/",","),",",REPT(" ",99)),(ROW($1:$8)-1)*99+1,99))&lt;&gt;""),--ISNUMBER(SEARCH(TRIM(MID(SUBSTITUTE(SUBSTITUTE($AB$4,"/",","),",",REPT(" ",99)),(ROW($1:$8)-1)*99+1,99)),IFERROR(('Final Calculation Sheet'!$AA$27)&amp;"",""))))&gt;0,AND(ISNUMBER(SEARCH("blank",$AB$4)),NOT(ISNUMBER(SEARCH("nonblank",$AB$4))),IFERROR(('Final Calculation Sheet'!$AA$27)&amp;"","")=""),AND(OR(ISNUMBER(SEARCH("nonblank",$AB$4)),ISNUMBER(SEARCH("&lt;&gt;",$AB$4))),IFERROR(('Final Calculation Sheet'!$AA$27)&amp;"","")&lt;&gt;""),AND(TRIM($AB$4)="",IFERROR(('Final Calculation Sheet'!$AA$27)&amp;"","")=""))))</f>
        <v/>
      </c>
      <c r="CO28">
        <f>IF($AC$4="",1,--(OR(SUMPRODUCT(--(TRIM(MID(SUBSTITUTE(SUBSTITUTE($AC$4,"/",","),",",REPT(" ",99)),(ROW($1:$8)-1)*99+1,99))&lt;&gt;""),--ISNUMBER(SEARCH(TRIM(MID(SUBSTITUTE(SUBSTITUTE($AC$4,"/",","),",",REPT(" ",99)),(ROW($1:$8)-1)*99+1,99)),IFERROR(('Final Calculation Sheet'!$AB$27)&amp;"",""))))&gt;0,AND(ISNUMBER(SEARCH("blank",$AC$4)),NOT(ISNUMBER(SEARCH("nonblank",$AC$4))),IFERROR(('Final Calculation Sheet'!$AB$27)&amp;"","")=""),AND(OR(ISNUMBER(SEARCH("nonblank",$AC$4)),ISNUMBER(SEARCH("&lt;&gt;",$AC$4))),IFERROR(('Final Calculation Sheet'!$AB$27)&amp;"","")&lt;&gt;""),AND(TRIM($AC$4)="",IFERROR(('Final Calculation Sheet'!$AB$27)&amp;"","")=""))))</f>
        <v/>
      </c>
      <c r="CP28">
        <f>IF($AD$4="",1,--(OR(SUMPRODUCT(--(TRIM(MID(SUBSTITUTE(SUBSTITUTE($AD$4,"/",","),",",REPT(" ",99)),(ROW($1:$8)-1)*99+1,99))&lt;&gt;""),--ISNUMBER(SEARCH(TRIM(MID(SUBSTITUTE(SUBSTITUTE($AD$4,"/",","),",",REPT(" ",99)),(ROW($1:$8)-1)*99+1,99)),IFERROR(('Final Calculation Sheet'!$AC$27)&amp;"",""))))&gt;0,AND(ISNUMBER(SEARCH("blank",$AD$4)),NOT(ISNUMBER(SEARCH("nonblank",$AD$4))),IFERROR(('Final Calculation Sheet'!$AC$27)&amp;"","")=""),AND(OR(ISNUMBER(SEARCH("nonblank",$AD$4)),ISNUMBER(SEARCH("&lt;&gt;",$AD$4))),IFERROR(('Final Calculation Sheet'!$AC$27)&amp;"","")&lt;&gt;""),AND(TRIM($AD$4)="",IFERROR(('Final Calculation Sheet'!$AC$27)&amp;"","")=""))))</f>
        <v/>
      </c>
      <c r="CQ28">
        <f>IF($AE$4="",1,--(OR(SUMPRODUCT(--(TRIM(MID(SUBSTITUTE(SUBSTITUTE($AE$4,"/",","),",",REPT(" ",99)),(ROW($1:$8)-1)*99+1,99))&lt;&gt;""),--ISNUMBER(SEARCH(TRIM(MID(SUBSTITUTE(SUBSTITUTE($AE$4,"/",","),",",REPT(" ",99)),(ROW($1:$8)-1)*99+1,99)),IFERROR(('Final Calculation Sheet'!$AD$27)&amp;"",""))))&gt;0,AND(ISNUMBER(SEARCH("blank",$AE$4)),NOT(ISNUMBER(SEARCH("nonblank",$AE$4))),IFERROR(('Final Calculation Sheet'!$AD$27)&amp;"","")=""),AND(OR(ISNUMBER(SEARCH("nonblank",$AE$4)),ISNUMBER(SEARCH("&lt;&gt;",$AE$4))),IFERROR(('Final Calculation Sheet'!$AD$27)&amp;"","")&lt;&gt;""),AND(TRIM($AE$4)="",IFERROR(('Final Calculation Sheet'!$AD$27)&amp;"","")=""))))</f>
        <v/>
      </c>
      <c r="CR28">
        <f>IF($AF$4="",1,--(OR(SUMPRODUCT(--(TRIM(MID(SUBSTITUTE(SUBSTITUTE($AF$4,"/",","),",",REPT(" ",99)),(ROW($1:$8)-1)*99+1,99))&lt;&gt;""),--ISNUMBER(SEARCH(TRIM(MID(SUBSTITUTE(SUBSTITUTE($AF$4,"/",","),",",REPT(" ",99)),(ROW($1:$8)-1)*99+1,99)),IFERROR(('Final Calculation Sheet'!$AE$27)&amp;"",""))))&gt;0,AND(ISNUMBER(SEARCH("blank",$AF$4)),NOT(ISNUMBER(SEARCH("nonblank",$AF$4))),IFERROR(('Final Calculation Sheet'!$AE$27)&amp;"","")=""),AND(OR(ISNUMBER(SEARCH("nonblank",$AF$4)),ISNUMBER(SEARCH("&lt;&gt;",$AF$4))),IFERROR(('Final Calculation Sheet'!$AE$27)&amp;"","")&lt;&gt;""),AND(TRIM($AF$4)="",IFERROR(('Final Calculation Sheet'!$AE$27)&amp;"","")=""))))</f>
        <v/>
      </c>
      <c r="CS28">
        <f>IF($AG$4="",1,--(OR(SUMPRODUCT(--(TRIM(MID(SUBSTITUTE(SUBSTITUTE($AG$4,"/",","),",",REPT(" ",99)),(ROW($1:$8)-1)*99+1,99))&lt;&gt;""),--ISNUMBER(SEARCH(TRIM(MID(SUBSTITUTE(SUBSTITUTE($AG$4,"/",","),",",REPT(" ",99)),(ROW($1:$8)-1)*99+1,99)),IFERROR(('Final Calculation Sheet'!$AF$27)&amp;"",""))))&gt;0,AND(ISNUMBER(SEARCH("blank",$AG$4)),NOT(ISNUMBER(SEARCH("nonblank",$AG$4))),IFERROR(('Final Calculation Sheet'!$AF$27)&amp;"","")=""),AND(OR(ISNUMBER(SEARCH("nonblank",$AG$4)),ISNUMBER(SEARCH("&lt;&gt;",$AG$4))),IFERROR(('Final Calculation Sheet'!$AF$27)&amp;"","")&lt;&gt;""),AND(TRIM($AG$4)="",IFERROR(('Final Calculation Sheet'!$AF$27)&amp;"","")=""))))</f>
        <v/>
      </c>
      <c r="CT28">
        <f>IF($AH$4="",1,--(OR(SUMPRODUCT(--(TRIM(MID(SUBSTITUTE(SUBSTITUTE($AH$4,"/",","),",",REPT(" ",99)),(ROW($1:$8)-1)*99+1,99))&lt;&gt;""),--ISNUMBER(SEARCH(TRIM(MID(SUBSTITUTE(SUBSTITUTE($AH$4,"/",","),",",REPT(" ",99)),(ROW($1:$8)-1)*99+1,99)),IFERROR(('Final Calculation Sheet'!$AG$27)&amp;"",""))))&gt;0,AND(ISNUMBER(SEARCH("blank",$AH$4)),NOT(ISNUMBER(SEARCH("nonblank",$AH$4))),IFERROR(('Final Calculation Sheet'!$AG$27)&amp;"","")=""),AND(OR(ISNUMBER(SEARCH("nonblank",$AH$4)),ISNUMBER(SEARCH("&lt;&gt;",$AH$4))),IFERROR(('Final Calculation Sheet'!$AG$27)&amp;"","")&lt;&gt;""),AND(TRIM($AH$4)="",IFERROR(('Final Calculation Sheet'!$AG$27)&amp;"","")=""))))</f>
        <v/>
      </c>
      <c r="CU28">
        <f>IF($AI$4="",1,--(OR(SUMPRODUCT(--(TRIM(MID(SUBSTITUTE(SUBSTITUTE($AI$4,"/",","),",",REPT(" ",99)),(ROW($1:$8)-1)*99+1,99))&lt;&gt;""),--ISNUMBER(SEARCH(TRIM(MID(SUBSTITUTE(SUBSTITUTE($AI$4,"/",","),",",REPT(" ",99)),(ROW($1:$8)-1)*99+1,99)),IFERROR((IF('Final Calculation Sheet'!$AD$27&lt;=0,"SETTLED","OUTSTANDING"))&amp;"",""))))&gt;0,AND(ISNUMBER(SEARCH("blank",$AI$4)),NOT(ISNUMBER(SEARCH("nonblank",$AI$4))),IFERROR((IF('Final Calculation Sheet'!$AD$27&lt;=0,"SETTLED","OUTSTANDING"))&amp;"","")=""),AND(OR(ISNUMBER(SEARCH("nonblank",$AI$4)),ISNUMBER(SEARCH("&lt;&gt;",$AI$4))),IFERROR((IF('Final Calculation Sheet'!$AD$27&lt;=0,"SETTLED","OUTSTANDING"))&amp;"","")&lt;&gt;""),AND(TRIM($AI$4)="",IFERROR((IF('Final Calculation Sheet'!$AD$27&lt;=0,"SETTLED","OUTSTANDING"))&amp;"","")=""))))</f>
        <v/>
      </c>
    </row>
    <row r="29" ht="15" customHeight="1" s="77">
      <c r="A29" s="67">
        <f>IF($BJ28&gt;0,INDEX($BA$5:$BA$41,MATCH(28,$BB$5:$BB$41,0)),IF(OR($BI28=1,$BL28=1,$BH28&gt;0),"∑",""))</f>
        <v/>
      </c>
      <c r="B29" s="68">
        <f>IF($BJ28&gt;0,IF(INDEX('Final Calculation Sheet'!$F$4:$F$40,$BJ28-3)="","",INDEX('Final Calculation Sheet'!$F$4:$F$40,$BJ28-3)),"")</f>
        <v/>
      </c>
      <c r="C29" s="68">
        <f>IF($BJ28&gt;0,IF(INDEX('Final Calculation Sheet'!$G$4:$G$40,$BJ28-3)="","",INDEX('Final Calculation Sheet'!$G$4:$G$40,$BJ28-3)),IF(OR($BI28=1,$BL28=1,$BH28&gt;0),IF($BI28=1,37,IF($BL28=1,37-INDEX($BD$4:$BD$13,10),INDEX($BD$4:$BD$13,$BH28)))&amp;" lot(s)",""))</f>
        <v/>
      </c>
      <c r="D29" s="69">
        <f>IF($BJ28&gt;0,IF(INDEX('Final Calculation Sheet'!$B$4:$B$40,$BJ28-3)="","",INDEX('Final Calculation Sheet'!$B$4:$B$40,$BJ28-3)),IF(OR($BI28=1,$BL28=1,$BH28&gt;0),IF($BI28=1,"GRAND TOTAL  —  matching + remaining",IF($BL28=1,"TOTAL MATCHED  —  every group together",IF($BH28=10,"REMAINING  —  did not match the search",IF($BH28=9,IF(COUNTIF($A$4:$AI$4,"&lt;&gt;")&gt;0,"FILTERED LOTS  —  column fields","ALL LOTS  —  nothing typed in the box"),"GROUP "&amp;$BH28&amp;" TOTAL  —  lots matching  "&amp;INDEX($AR$6:$AY$6,$BH28))))),""))</f>
        <v/>
      </c>
      <c r="E29" s="69">
        <f>IF($BJ28&gt;0,IF(INDEX('Final Calculation Sheet'!$D$4:$D$40,$BJ28-3)="","",INDEX('Final Calculation Sheet'!$D$4:$D$40,$BJ28-3)),IF(OR($BI28=1,$BL28=1,$BH28&gt;0),"–",""))</f>
        <v/>
      </c>
      <c r="F29" s="69">
        <f>IF($BJ28&gt;0,IF(INDEX('Final Calculation Sheet'!$A$4:$A$40,$BJ28-3)="","",INDEX('Final Calculation Sheet'!$A$4:$A$40,$BJ28-3)),IF(OR($BI28=1,$BL28=1,$BH28&gt;0),IF($BI28=1,SUM('Final Calculation Sheet'!$A$4:$A$40),IF($BL28=1,SUM('Final Calculation Sheet'!$A$4:$A$40)-SUMIFS('Final Calculation Sheet'!$A$4:$A$40,$AZ$5:$AZ$41,10),SUMIFS('Final Calculation Sheet'!$A$4:$A$40,$AZ$5:$AZ$41,$BH28))),""))</f>
        <v/>
      </c>
      <c r="G29" s="69">
        <f>IF($BJ28&gt;0,IF(INDEX('Final Calculation Sheet'!$E$4:$E$40,$BJ28-3)="","",INDEX('Final Calculation Sheet'!$E$4:$E$40,$BJ28-3)),IF(OR($BI28=1,$BL28=1,$BH28&gt;0),"–",""))</f>
        <v/>
      </c>
      <c r="H29" s="70">
        <f>IF($BJ28&gt;0,IF(INDEX('Final Calculation Sheet'!$C$4:$C$40,$BJ28-3)="","",INDEX('Final Calculation Sheet'!$C$4:$C$40,$BJ28-3)),IF(OR($BI28=1,$BL28=1,$BH28&gt;0),"–",""))</f>
        <v/>
      </c>
      <c r="I29" s="70">
        <f>IF($BJ28&gt;0,IF(INDEX('Final Calculation Sheet'!$H$4:$H$40,$BJ28-3)="","",INDEX('Final Calculation Sheet'!$H$4:$H$40,$BJ28-3)),IF(OR($BI28=1,$BL28=1,$BH28&gt;0),IF($BI28=1,SUM('Final Calculation Sheet'!$H$4:$H$40),IF($BL28=1,SUM('Final Calculation Sheet'!$H$4:$H$40)-SUMIFS('Final Calculation Sheet'!$H$4:$H$40,$AZ$5:$AZ$41,10),SUMIFS('Final Calculation Sheet'!$H$4:$H$40,$AZ$5:$AZ$41,$BH28))),""))</f>
        <v/>
      </c>
      <c r="J29" s="70">
        <f>IF($BJ28&gt;0,IF(INDEX('Final Calculation Sheet'!$I$4:$I$40,$BJ28-3)="","",INDEX('Final Calculation Sheet'!$I$4:$I$40,$BJ28-3)),IF(OR($BI28=1,$BL28=1,$BH28&gt;0),IF($BI28=1,SUM('Final Calculation Sheet'!$I$4:$I$40),IF($BL28=1,SUM('Final Calculation Sheet'!$I$4:$I$40)-SUMIFS('Final Calculation Sheet'!$I$4:$I$40,$AZ$5:$AZ$41,10),SUMIFS('Final Calculation Sheet'!$I$4:$I$40,$AZ$5:$AZ$41,$BH28))),""))</f>
        <v/>
      </c>
      <c r="K29" s="70">
        <f>IF($BJ28&gt;0,IF(INDEX('Final Calculation Sheet'!$J$4:$J$40,$BJ28-3)="","",INDEX('Final Calculation Sheet'!$J$4:$J$40,$BJ28-3)),IF(OR($BI28=1,$BL28=1,$BH28&gt;0),IF($BI28=1,SUM('Final Calculation Sheet'!$J$4:$J$40),IF($BL28=1,SUM('Final Calculation Sheet'!$J$4:$J$40)-SUMIFS('Final Calculation Sheet'!$J$4:$J$40,$AZ$5:$AZ$41,10),SUMIFS('Final Calculation Sheet'!$J$4:$J$40,$AZ$5:$AZ$41,$BH28))),""))</f>
        <v/>
      </c>
      <c r="L29" s="70">
        <f>IF($BJ28&gt;0,IF(INDEX('Final Calculation Sheet'!$K$4:$K$40,$BJ28-3)="","",INDEX('Final Calculation Sheet'!$K$4:$K$40,$BJ28-3)),IF(OR($BI28=1,$BL28=1,$BH28&gt;0),IF($BI28=1,SUM('Final Calculation Sheet'!$K$4:$K$40),IF($BL28=1,SUM('Final Calculation Sheet'!$K$4:$K$40)-SUMIFS('Final Calculation Sheet'!$K$4:$K$40,$AZ$5:$AZ$41,10),SUMIFS('Final Calculation Sheet'!$K$4:$K$40,$AZ$5:$AZ$41,$BH28))),""))</f>
        <v/>
      </c>
      <c r="M29" s="70">
        <f>IF($BJ28&gt;0,IF(INDEX('Final Calculation Sheet'!$L$4:$L$40,$BJ28-3)="","",INDEX('Final Calculation Sheet'!$L$4:$L$40,$BJ28-3)),IF(OR($BI28=1,$BL28=1,$BH28&gt;0),IF($BI28=1,SUM('Final Calculation Sheet'!$L$4:$L$40),IF($BL28=1,SUM('Final Calculation Sheet'!$L$4:$L$40)-SUMIFS('Final Calculation Sheet'!$L$4:$L$40,$AZ$5:$AZ$41,10),SUMIFS('Final Calculation Sheet'!$L$4:$L$40,$AZ$5:$AZ$41,$BH28))),""))</f>
        <v/>
      </c>
      <c r="N29" s="70">
        <f>IF($BJ28&gt;0,IF(INDEX('Final Calculation Sheet'!$M$4:$M$40,$BJ28-3)="","",INDEX('Final Calculation Sheet'!$M$4:$M$40,$BJ28-3)),IF(OR($BI28=1,$BL28=1,$BH28&gt;0),IF($BI28=1,SUM('Final Calculation Sheet'!$M$4:$M$40),IF($BL28=1,SUM('Final Calculation Sheet'!$M$4:$M$40)-SUMIFS('Final Calculation Sheet'!$M$4:$M$40,$AZ$5:$AZ$41,10),SUMIFS('Final Calculation Sheet'!$M$4:$M$40,$AZ$5:$AZ$41,$BH28))),""))</f>
        <v/>
      </c>
      <c r="O29" s="71">
        <f>IF($BJ28&gt;0,IF(INDEX('Final Calculation Sheet'!$N$4:$N$40,$BJ28-3)="","",INDEX('Final Calculation Sheet'!$N$4:$N$40,$BJ28-3)),IF(OR($BI28=1,$BL28=1,$BH28&gt;0),IF($BI28=1,SUM('Final Calculation Sheet'!$N$4:$N$40),IF($BL28=1,SUM('Final Calculation Sheet'!$N$4:$N$40)-SUMIFS('Final Calculation Sheet'!$N$4:$N$40,$AZ$5:$AZ$41,10),SUMIFS('Final Calculation Sheet'!$N$4:$N$40,$AZ$5:$AZ$41,$BH28))),""))</f>
        <v/>
      </c>
      <c r="P29" s="70">
        <f>IF($BJ28&gt;0,IF(INDEX('Final Calculation Sheet'!$O$4:$O$40,$BJ28-3)="","",INDEX('Final Calculation Sheet'!$O$4:$O$40,$BJ28-3)),IF(OR($BI28=1,$BL28=1,$BH28&gt;0),IF($BI28=1,SUM('Final Calculation Sheet'!$O$4:$O$40),IF($BL28=1,SUM('Final Calculation Sheet'!$O$4:$O$40)-SUMIFS('Final Calculation Sheet'!$O$4:$O$40,$AZ$5:$AZ$41,10),SUMIFS('Final Calculation Sheet'!$O$4:$O$40,$AZ$5:$AZ$41,$BH28))),""))</f>
        <v/>
      </c>
      <c r="Q29" s="70">
        <f>IF($BJ28&gt;0,IF(INDEX('Final Calculation Sheet'!$P$4:$P$40,$BJ28-3)="","",INDEX('Final Calculation Sheet'!$P$4:$P$40,$BJ28-3)),IF(OR($BI28=1,$BL28=1,$BH28&gt;0),IF($BI28=1,SUM('Final Calculation Sheet'!$P$4:$P$40),IF($BL28=1,SUM('Final Calculation Sheet'!$P$4:$P$40)-SUMIFS('Final Calculation Sheet'!$P$4:$P$40,$AZ$5:$AZ$41,10),SUMIFS('Final Calculation Sheet'!$P$4:$P$40,$AZ$5:$AZ$41,$BH28))),""))</f>
        <v/>
      </c>
      <c r="R29" s="72">
        <f>IF($BJ28&gt;0,IF(INDEX('Final Calculation Sheet'!$Q$4:$Q$40,$BJ28-3)="","",INDEX('Final Calculation Sheet'!$Q$4:$Q$40,$BJ28-3)),IF(OR($BI28=1,$BL28=1,$BH28&gt;0),"–",""))</f>
        <v/>
      </c>
      <c r="S29" s="70">
        <f>IF($BJ28&gt;0,IF(INDEX('Final Calculation Sheet'!$R$4:$R$40,$BJ28-3)="","",INDEX('Final Calculation Sheet'!$R$4:$R$40,$BJ28-3)),IF(OR($BI28=1,$BL28=1,$BH28&gt;0),IF($BI28=1,SUM('Final Calculation Sheet'!$R$4:$R$40),IF($BL28=1,SUM('Final Calculation Sheet'!$R$4:$R$40)-SUMIFS('Final Calculation Sheet'!$R$4:$R$40,$AZ$5:$AZ$41,10),SUMIFS('Final Calculation Sheet'!$R$4:$R$40,$AZ$5:$AZ$41,$BH28))),""))</f>
        <v/>
      </c>
      <c r="T29" s="70">
        <f>IF($BJ28&gt;0,IF(INDEX('Final Calculation Sheet'!$S$4:$S$40,$BJ28-3)="","",INDEX('Final Calculation Sheet'!$S$4:$S$40,$BJ28-3)),IF(OR($BI28=1,$BL28=1,$BH28&gt;0),IF($BI28=1,SUM('Final Calculation Sheet'!$S$4:$S$40),IF($BL28=1,SUM('Final Calculation Sheet'!$S$4:$S$40)-SUMIFS('Final Calculation Sheet'!$S$4:$S$40,$AZ$5:$AZ$41,10),SUMIFS('Final Calculation Sheet'!$S$4:$S$40,$AZ$5:$AZ$41,$BH28))),""))</f>
        <v/>
      </c>
      <c r="U29" s="70">
        <f>IF($BJ28&gt;0,IF(INDEX('Final Calculation Sheet'!$T$4:$T$40,$BJ28-3)="","",INDEX('Final Calculation Sheet'!$T$4:$T$40,$BJ28-3)),IF(OR($BI28=1,$BL28=1,$BH28&gt;0),IF($BI28=1,SUM('Final Calculation Sheet'!$T$4:$T$40),IF($BL28=1,SUM('Final Calculation Sheet'!$T$4:$T$40)-SUMIFS('Final Calculation Sheet'!$T$4:$T$40,$AZ$5:$AZ$41,10),SUMIFS('Final Calculation Sheet'!$T$4:$T$40,$AZ$5:$AZ$41,$BH28))),""))</f>
        <v/>
      </c>
      <c r="V29" s="73">
        <f>IF($BJ28&gt;0,IF(INDEX('Final Calculation Sheet'!$U$4:$U$40,$BJ28-3)="","",INDEX('Final Calculation Sheet'!$U$4:$U$40,$BJ28-3)),IF(OR($BI28=1,$BL28=1,$BH28&gt;0),IF($BI28=1,SUM('Final Calculation Sheet'!$U$4:$U$40),IF($BL28=1,SUM('Final Calculation Sheet'!$U$4:$U$40)-SUMIFS('Final Calculation Sheet'!$U$4:$U$40,$AZ$5:$AZ$41,10),SUMIFS('Final Calculation Sheet'!$U$4:$U$40,$AZ$5:$AZ$41,$BH28))),""))</f>
        <v/>
      </c>
      <c r="W29" s="70">
        <f>IF($BJ28&gt;0,IF(INDEX('Final Calculation Sheet'!$V$4:$V$40,$BJ28-3)="","",INDEX('Final Calculation Sheet'!$V$4:$V$40,$BJ28-3)),IF(OR($BI28=1,$BL28=1,$BH28&gt;0),"–",""))</f>
        <v/>
      </c>
      <c r="X29" s="70">
        <f>IF($BJ28&gt;0,IF(INDEX('Final Calculation Sheet'!$W$4:$W$40,$BJ28-3)="","",INDEX('Final Calculation Sheet'!$W$4:$W$40,$BJ28-3)),IF(OR($BI28=1,$BL28=1,$BH28&gt;0),IF($BI28=1,SUM('Final Calculation Sheet'!$W$4:$W$40),IF($BL28=1,SUM('Final Calculation Sheet'!$W$4:$W$40)-SUMIFS('Final Calculation Sheet'!$W$4:$W$40,$AZ$5:$AZ$41,10),SUMIFS('Final Calculation Sheet'!$W$4:$W$40,$AZ$5:$AZ$41,$BH28))),""))</f>
        <v/>
      </c>
      <c r="Y29" s="70">
        <f>IF($BJ28&gt;0,IF(INDEX('Final Calculation Sheet'!$X$4:$X$40,$BJ28-3)="","",INDEX('Final Calculation Sheet'!$X$4:$X$40,$BJ28-3)),IF(OR($BI28=1,$BL28=1,$BH28&gt;0),IF($BI28=1,SUM('Final Calculation Sheet'!$X$4:$X$40),IF($BL28=1,SUM('Final Calculation Sheet'!$X$4:$X$40)-SUMIFS('Final Calculation Sheet'!$X$4:$X$40,$AZ$5:$AZ$41,10),SUMIFS('Final Calculation Sheet'!$X$4:$X$40,$AZ$5:$AZ$41,$BH28))),""))</f>
        <v/>
      </c>
      <c r="Z29" s="70">
        <f>IF($BJ28&gt;0,IF(INDEX('Final Calculation Sheet'!$Y$4:$Y$40,$BJ28-3)="","",INDEX('Final Calculation Sheet'!$Y$4:$Y$40,$BJ28-3)),IF(OR($BI28=1,$BL28=1,$BH28&gt;0),"–",""))</f>
        <v/>
      </c>
      <c r="AA29" s="70">
        <f>IF($BJ28&gt;0,IF(INDEX('Final Calculation Sheet'!$Z$4:$Z$40,$BJ28-3)="","",INDEX('Final Calculation Sheet'!$Z$4:$Z$40,$BJ28-3)),IF(OR($BI28=1,$BL28=1,$BH28&gt;0),IF($BI28=1,SUM('Final Calculation Sheet'!$Z$4:$Z$40),IF($BL28=1,SUM('Final Calculation Sheet'!$Z$4:$Z$40)-SUMIFS('Final Calculation Sheet'!$Z$4:$Z$40,$AZ$5:$AZ$41,10),SUMIFS('Final Calculation Sheet'!$Z$4:$Z$40,$AZ$5:$AZ$41,$BH28))),""))</f>
        <v/>
      </c>
      <c r="AB29" s="70">
        <f>IF($BJ28&gt;0,IF(INDEX('Final Calculation Sheet'!$AA$4:$AA$40,$BJ28-3)="","",INDEX('Final Calculation Sheet'!$AA$4:$AA$40,$BJ28-3)),IF(OR($BI28=1,$BL28=1,$BH28&gt;0),IF($BI28=1,SUM('Final Calculation Sheet'!$AA$4:$AA$40),IF($BL28=1,SUM('Final Calculation Sheet'!$AA$4:$AA$40)-SUMIFS('Final Calculation Sheet'!$AA$4:$AA$40,$AZ$5:$AZ$41,10),SUMIFS('Final Calculation Sheet'!$AA$4:$AA$40,$AZ$5:$AZ$41,$BH28))),""))</f>
        <v/>
      </c>
      <c r="AC29" s="70">
        <f>IF($BJ28&gt;0,IF(INDEX('Final Calculation Sheet'!$AB$4:$AB$40,$BJ28-3)="","",INDEX('Final Calculation Sheet'!$AB$4:$AB$40,$BJ28-3)),IF(OR($BI28=1,$BL28=1,$BH28&gt;0),"–",""))</f>
        <v/>
      </c>
      <c r="AD29" s="70">
        <f>IF($BJ28&gt;0,IF(INDEX('Final Calculation Sheet'!$AC$4:$AC$40,$BJ28-3)="","",INDEX('Final Calculation Sheet'!$AC$4:$AC$40,$BJ28-3)),IF(OR($BI28=1,$BL28=1,$BH28&gt;0),IF($BI28=1,SUM('Final Calculation Sheet'!$AC$4:$AC$40),IF($BL28=1,SUM('Final Calculation Sheet'!$AC$4:$AC$40)-SUMIFS('Final Calculation Sheet'!$AC$4:$AC$40,$AZ$5:$AZ$41,10),SUMIFS('Final Calculation Sheet'!$AC$4:$AC$40,$AZ$5:$AZ$41,$BH28))),""))</f>
        <v/>
      </c>
      <c r="AE29" s="70">
        <f>IF($BJ28&gt;0,IF(INDEX('Final Calculation Sheet'!$AD$4:$AD$40,$BJ28-3)="","",INDEX('Final Calculation Sheet'!$AD$4:$AD$40,$BJ28-3)),IF(OR($BI28=1,$BL28=1,$BH28&gt;0),IF($BI28=1,SUM('Final Calculation Sheet'!$AD$4:$AD$40),IF($BL28=1,SUM('Final Calculation Sheet'!$AD$4:$AD$40)-SUMIFS('Final Calculation Sheet'!$AD$4:$AD$40,$AZ$5:$AZ$41,10),SUMIFS('Final Calculation Sheet'!$AD$4:$AD$40,$AZ$5:$AZ$41,$BH28))),""))</f>
        <v/>
      </c>
      <c r="AF29" s="70">
        <f>IF($BJ28&gt;0,IF(INDEX('Final Calculation Sheet'!$AE$4:$AE$40,$BJ28-3)="","",INDEX('Final Calculation Sheet'!$AE$4:$AE$40,$BJ28-3)),IF(OR($BI28=1,$BL28=1,$BH28&gt;0),"–",""))</f>
        <v/>
      </c>
      <c r="AG29" s="74">
        <f>IF($BJ28&gt;0,IF(INDEX('Final Calculation Sheet'!$AF$4:$AF$40,$BJ28-3)="","",INDEX('Final Calculation Sheet'!$AF$4:$AF$40,$BJ28-3)),IF(OR($BI28=1,$BL28=1,$BH28&gt;0),"–",""))</f>
        <v/>
      </c>
      <c r="AH29" s="70">
        <f>IF($BJ28&gt;0,IF(INDEX('Final Calculation Sheet'!$AG$4:$AG$40,$BJ28-3)="","",INDEX('Final Calculation Sheet'!$AG$4:$AG$40,$BJ28-3)),IF(OR($BI28=1,$BL28=1,$BH28&gt;0),"–",""))</f>
        <v/>
      </c>
      <c r="AI29" s="75">
        <f>IF($BJ28&gt;0,IF(INDEX('Final Calculation Sheet'!$AD$4:$AD$40,$BJ28-3)="","",IF(INDEX('Final Calculation Sheet'!$AD$4:$AD$40,$BJ28-3)&lt;=0,"SETTLED","OUTSTANDING")),IF(OR($BI28=1,$BL28=1,$BH28&gt;0),IF(IF($BI28=1,SUM('Final Calculation Sheet'!$AD$4:$AD$40),IF($BL28=1,SUM('Final Calculation Sheet'!$AD$4:$AD$40)-SUMIFS('Final Calculation Sheet'!$AD$4:$AD$40,$AZ$5:$AZ$41,10),SUMIFS('Final Calculation Sheet'!$AD$4:$AD$40,$AZ$5:$AZ$41,$BH28)))&lt;=0,"ALL SETTLED","OUTSTANDING"),""))</f>
        <v/>
      </c>
      <c r="AK29">
        <f>IF($F$3="Lot No.",'Final Calculation Sheet'!$F$28,IF($F$3="Buyer",'Final Calculation Sheet'!$G$28,IF($F$3="Lot Name",'Final Calculation Sheet'!$B$28,IF($F$3="Bid Sheet",'Final Calculation Sheet'!$D$28,IF($F$3="Unit",'Final Calculation Sheet'!$E$28,'Final Calculation Sheet'!$F$28&amp;" "&amp;'Final Calculation Sheet'!$G$28&amp;" "&amp;'Final Calculation Sheet'!$B$28)))))</f>
        <v/>
      </c>
      <c r="AM29">
        <f>IF(COUNTIF($BM29:$CU29,0)&gt;0,0,IF($B$3="",1,IF(AND(IF(COUNTIF($AR$9:$AY$9,1)=0,TRUE,SUMPRODUCT(($AR$9:$AY$9=1)*($AR$6:$AY$6&lt;&gt;"")*ISNUMBER(SEARCH($AR$6:$AY$6,$AK29)))&gt;0),IF(COUNTIF($AR$9:$AY$9,2)=0,TRUE,SUMPRODUCT(($AR$9:$AY$9=2)*($AR$6:$AY$6&lt;&gt;"")*ISNUMBER(SEARCH($AR$6:$AY$6,$AK29)))&gt;0),IF(COUNTIF($AR$9:$AY$9,3)=0,TRUE,SUMPRODUCT(($AR$9:$AY$9=3)*($AR$6:$AY$6&lt;&gt;"")*ISNUMBER(SEARCH($AR$6:$AY$6,$AK29)))&gt;0),IF(COUNTIF($AR$9:$AY$9,4)=0,TRUE,SUMPRODUCT(($AR$9:$AY$9=4)*($AR$6:$AY$6&lt;&gt;"")*ISNUMBER(SEARCH($AR$6:$AY$6,$AK29)))&gt;0),IF(COUNTIF($AR$9:$AY$9,5)=0,TRUE,SUMPRODUCT(($AR$9:$AY$9=5)*($AR$6:$AY$6&lt;&gt;"")*ISNUMBER(SEARCH($AR$6:$AY$6,$AK29)))&gt;0),IF(COUNTIF($AR$9:$AY$9,6)=0,TRUE,SUMPRODUCT(($AR$9:$AY$9=6)*($AR$6:$AY$6&lt;&gt;"")*ISNUMBER(SEARCH($AR$6:$AY$6,$AK29)))&gt;0),IF(COUNTIF($AR$9:$AY$9,7)=0,TRUE,SUMPRODUCT(($AR$9:$AY$9=7)*($AR$6:$AY$6&lt;&gt;"")*ISNUMBER(SEARCH($AR$6:$AY$6,$AK29)))&gt;0),IF(COUNTIF($AR$9:$AY$9,8)=0,TRUE,SUMPRODUCT(($AR$9:$AY$9=8)*($AR$6:$AY$6&lt;&gt;"")*ISNUMBER(SEARCH($AR$6:$AY$6,$AK29)))&gt;0)),1,0)))</f>
        <v/>
      </c>
      <c r="AZ29">
        <f>IF($B$3="",IF(COUNTIF($A$4:$AI$4,"&lt;&gt;")=0,9,IF($AM29=1,9,10)),IF($AM29=0,10,IF(AND($AR$6&lt;&gt;"",ISNUMBER(SEARCH($AR$6,$AK29))),1,IF(AND($AS$6&lt;&gt;"",ISNUMBER(SEARCH($AS$6,$AK29))),2,IF(AND($AT$6&lt;&gt;"",ISNUMBER(SEARCH($AT$6,$AK29))),3,IF(AND($AU$6&lt;&gt;"",ISNUMBER(SEARCH($AU$6,$AK29))),4,IF(AND($AV$6&lt;&gt;"",ISNUMBER(SEARCH($AV$6,$AK29))),5,IF(AND($AW$6&lt;&gt;"",ISNUMBER(SEARCH($AW$6,$AK29))),6,IF(AND($AX$6&lt;&gt;"",ISNUMBER(SEARCH($AX$6,$AK29))),7,IF(AND($AY$6&lt;&gt;"",ISNUMBER(SEARCH($AY$6,$AK29))),8,0))))))))))</f>
        <v/>
      </c>
      <c r="BA29">
        <f>SUMPRODUCT(($AZ$5:$AZ$41=$AZ29)*($BC$5:$BC$41&lt;$BC29))+1</f>
        <v/>
      </c>
      <c r="BB29">
        <f>IF(INDEX($BF$4:$BF$13,$AZ29)=0,0,INDEX($BE$4:$BE$13,$AZ29)+$BA29-1)</f>
        <v/>
      </c>
      <c r="BC29" t="n">
        <v>28</v>
      </c>
      <c r="BH29">
        <f>IFERROR(MATCH(29,$BF$4:$BF$13,0),0)</f>
        <v/>
      </c>
      <c r="BI29">
        <f>IF(29=$BG$5,1,0)</f>
        <v/>
      </c>
      <c r="BJ29">
        <f>IF(OR($BH29&gt;0,$BI29=1,$BL29=1),0,IFERROR(INDEX($BC$5:$BC$41,MATCH(29,$BB$5:$BB$41,0)),0))</f>
        <v/>
      </c>
      <c r="BK29">
        <f>IF($BJ29&gt;0,IF(INDEX($AZ$5:$AZ$41,MATCH(29,$BB$5:$BB$41,0))=10,1,0),IF($BH29=10,1,0))</f>
        <v/>
      </c>
      <c r="BL29">
        <f>IF(29=$BG$4,1,0)</f>
        <v/>
      </c>
      <c r="BM2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29">
        <f>IF($B$4="",1,--(OR(SUMPRODUCT(--(TRIM(MID(SUBSTITUTE(SUBSTITUTE($B$4,"/",","),",",REPT(" ",99)),(ROW($1:$8)-1)*99+1,99))&lt;&gt;""),--ISNUMBER(SEARCH(TRIM(MID(SUBSTITUTE(SUBSTITUTE($B$4,"/",","),",",REPT(" ",99)),(ROW($1:$8)-1)*99+1,99)),IFERROR(('Final Calculation Sheet'!$F$28)&amp;"",""))))&gt;0,AND(ISNUMBER(SEARCH("blank",$B$4)),NOT(ISNUMBER(SEARCH("nonblank",$B$4))),IFERROR(('Final Calculation Sheet'!$F$28)&amp;"","")=""),AND(OR(ISNUMBER(SEARCH("nonblank",$B$4)),ISNUMBER(SEARCH("&lt;&gt;",$B$4))),IFERROR(('Final Calculation Sheet'!$F$28)&amp;"","")&lt;&gt;""),AND(TRIM($B$4)="",IFERROR(('Final Calculation Sheet'!$F$28)&amp;"","")=""))))</f>
        <v/>
      </c>
      <c r="BO29">
        <f>IF($C$4="",1,--(OR(SUMPRODUCT(--(TRIM(MID(SUBSTITUTE(SUBSTITUTE($C$4,"/",","),",",REPT(" ",99)),(ROW($1:$8)-1)*99+1,99))&lt;&gt;""),--ISNUMBER(SEARCH(TRIM(MID(SUBSTITUTE(SUBSTITUTE($C$4,"/",","),",",REPT(" ",99)),(ROW($1:$8)-1)*99+1,99)),IFERROR(('Final Calculation Sheet'!$G$28)&amp;"",""))))&gt;0,AND(ISNUMBER(SEARCH("blank",$C$4)),NOT(ISNUMBER(SEARCH("nonblank",$C$4))),IFERROR(('Final Calculation Sheet'!$G$28)&amp;"","")=""),AND(OR(ISNUMBER(SEARCH("nonblank",$C$4)),ISNUMBER(SEARCH("&lt;&gt;",$C$4))),IFERROR(('Final Calculation Sheet'!$G$28)&amp;"","")&lt;&gt;""),AND(TRIM($C$4)="",IFERROR(('Final Calculation Sheet'!$G$28)&amp;"","")=""))))</f>
        <v/>
      </c>
      <c r="BP29">
        <f>IF($D$4="",1,--(OR(SUMPRODUCT(--(TRIM(MID(SUBSTITUTE(SUBSTITUTE($D$4,"/",","),",",REPT(" ",99)),(ROW($1:$8)-1)*99+1,99))&lt;&gt;""),--ISNUMBER(SEARCH(TRIM(MID(SUBSTITUTE(SUBSTITUTE($D$4,"/",","),",",REPT(" ",99)),(ROW($1:$8)-1)*99+1,99)),IFERROR(('Final Calculation Sheet'!$B$28)&amp;"",""))))&gt;0,AND(ISNUMBER(SEARCH("blank",$D$4)),NOT(ISNUMBER(SEARCH("nonblank",$D$4))),IFERROR(('Final Calculation Sheet'!$B$28)&amp;"","")=""),AND(OR(ISNUMBER(SEARCH("nonblank",$D$4)),ISNUMBER(SEARCH("&lt;&gt;",$D$4))),IFERROR(('Final Calculation Sheet'!$B$28)&amp;"","")&lt;&gt;""),AND(TRIM($D$4)="",IFERROR(('Final Calculation Sheet'!$B$28)&amp;"","")=""))))</f>
        <v/>
      </c>
      <c r="BQ29">
        <f>IF($E$4="",1,--(OR(SUMPRODUCT(--(TRIM(MID(SUBSTITUTE(SUBSTITUTE($E$4,"/",","),",",REPT(" ",99)),(ROW($1:$8)-1)*99+1,99))&lt;&gt;""),--ISNUMBER(SEARCH(TRIM(MID(SUBSTITUTE(SUBSTITUTE($E$4,"/",","),",",REPT(" ",99)),(ROW($1:$8)-1)*99+1,99)),IFERROR(('Final Calculation Sheet'!$D$28)&amp;"",""))))&gt;0,AND(ISNUMBER(SEARCH("blank",$E$4)),NOT(ISNUMBER(SEARCH("nonblank",$E$4))),IFERROR(('Final Calculation Sheet'!$D$28)&amp;"","")=""),AND(OR(ISNUMBER(SEARCH("nonblank",$E$4)),ISNUMBER(SEARCH("&lt;&gt;",$E$4))),IFERROR(('Final Calculation Sheet'!$D$28)&amp;"","")&lt;&gt;""),AND(TRIM($E$4)="",IFERROR(('Final Calculation Sheet'!$D$28)&amp;"","")=""))))</f>
        <v/>
      </c>
      <c r="BR29">
        <f>IF($F$4="",1,--(OR(SUMPRODUCT(--(TRIM(MID(SUBSTITUTE(SUBSTITUTE($F$4,"/",","),",",REPT(" ",99)),(ROW($1:$8)-1)*99+1,99))&lt;&gt;""),--ISNUMBER(SEARCH(TRIM(MID(SUBSTITUTE(SUBSTITUTE($F$4,"/",","),",",REPT(" ",99)),(ROW($1:$8)-1)*99+1,99)),IFERROR(('Final Calculation Sheet'!$A$28)&amp;"",""))))&gt;0,AND(ISNUMBER(SEARCH("blank",$F$4)),NOT(ISNUMBER(SEARCH("nonblank",$F$4))),IFERROR(('Final Calculation Sheet'!$A$28)&amp;"","")=""),AND(OR(ISNUMBER(SEARCH("nonblank",$F$4)),ISNUMBER(SEARCH("&lt;&gt;",$F$4))),IFERROR(('Final Calculation Sheet'!$A$28)&amp;"","")&lt;&gt;""),AND(TRIM($F$4)="",IFERROR(('Final Calculation Sheet'!$A$28)&amp;"","")=""))))</f>
        <v/>
      </c>
      <c r="BS29">
        <f>IF($G$4="",1,--(OR(SUMPRODUCT(--(TRIM(MID(SUBSTITUTE(SUBSTITUTE($G$4,"/",","),",",REPT(" ",99)),(ROW($1:$8)-1)*99+1,99))&lt;&gt;""),--ISNUMBER(SEARCH(TRIM(MID(SUBSTITUTE(SUBSTITUTE($G$4,"/",","),",",REPT(" ",99)),(ROW($1:$8)-1)*99+1,99)),IFERROR(('Final Calculation Sheet'!$E$28)&amp;"",""))))&gt;0,AND(ISNUMBER(SEARCH("blank",$G$4)),NOT(ISNUMBER(SEARCH("nonblank",$G$4))),IFERROR(('Final Calculation Sheet'!$E$28)&amp;"","")=""),AND(OR(ISNUMBER(SEARCH("nonblank",$G$4)),ISNUMBER(SEARCH("&lt;&gt;",$G$4))),IFERROR(('Final Calculation Sheet'!$E$28)&amp;"","")&lt;&gt;""),AND(TRIM($G$4)="",IFERROR(('Final Calculation Sheet'!$E$28)&amp;"","")=""))))</f>
        <v/>
      </c>
      <c r="BT29">
        <f>IF($H$4="",1,--(OR(SUMPRODUCT(--(TRIM(MID(SUBSTITUTE(SUBSTITUTE($H$4,"/",","),",",REPT(" ",99)),(ROW($1:$8)-1)*99+1,99))&lt;&gt;""),--ISNUMBER(SEARCH(TRIM(MID(SUBSTITUTE(SUBSTITUTE($H$4,"/",","),",",REPT(" ",99)),(ROW($1:$8)-1)*99+1,99)),IFERROR(('Final Calculation Sheet'!$C$28)&amp;"",""))))&gt;0,AND(ISNUMBER(SEARCH("blank",$H$4)),NOT(ISNUMBER(SEARCH("nonblank",$H$4))),IFERROR(('Final Calculation Sheet'!$C$28)&amp;"","")=""),AND(OR(ISNUMBER(SEARCH("nonblank",$H$4)),ISNUMBER(SEARCH("&lt;&gt;",$H$4))),IFERROR(('Final Calculation Sheet'!$C$28)&amp;"","")&lt;&gt;""),AND(TRIM($H$4)="",IFERROR(('Final Calculation Sheet'!$C$28)&amp;"","")=""))))</f>
        <v/>
      </c>
      <c r="BU29">
        <f>IF($I$4="",1,--(OR(SUMPRODUCT(--(TRIM(MID(SUBSTITUTE(SUBSTITUTE($I$4,"/",","),",",REPT(" ",99)),(ROW($1:$8)-1)*99+1,99))&lt;&gt;""),--ISNUMBER(SEARCH(TRIM(MID(SUBSTITUTE(SUBSTITUTE($I$4,"/",","),",",REPT(" ",99)),(ROW($1:$8)-1)*99+1,99)),IFERROR(('Final Calculation Sheet'!$H$28)&amp;"",""))))&gt;0,AND(ISNUMBER(SEARCH("blank",$I$4)),NOT(ISNUMBER(SEARCH("nonblank",$I$4))),IFERROR(('Final Calculation Sheet'!$H$28)&amp;"","")=""),AND(OR(ISNUMBER(SEARCH("nonblank",$I$4)),ISNUMBER(SEARCH("&lt;&gt;",$I$4))),IFERROR(('Final Calculation Sheet'!$H$28)&amp;"","")&lt;&gt;""),AND(TRIM($I$4)="",IFERROR(('Final Calculation Sheet'!$H$28)&amp;"","")=""))))</f>
        <v/>
      </c>
      <c r="BV29">
        <f>IF($J$4="",1,--(OR(SUMPRODUCT(--(TRIM(MID(SUBSTITUTE(SUBSTITUTE($J$4,"/",","),",",REPT(" ",99)),(ROW($1:$8)-1)*99+1,99))&lt;&gt;""),--ISNUMBER(SEARCH(TRIM(MID(SUBSTITUTE(SUBSTITUTE($J$4,"/",","),",",REPT(" ",99)),(ROW($1:$8)-1)*99+1,99)),IFERROR(('Final Calculation Sheet'!$I$28)&amp;"",""))))&gt;0,AND(ISNUMBER(SEARCH("blank",$J$4)),NOT(ISNUMBER(SEARCH("nonblank",$J$4))),IFERROR(('Final Calculation Sheet'!$I$28)&amp;"","")=""),AND(OR(ISNUMBER(SEARCH("nonblank",$J$4)),ISNUMBER(SEARCH("&lt;&gt;",$J$4))),IFERROR(('Final Calculation Sheet'!$I$28)&amp;"","")&lt;&gt;""),AND(TRIM($J$4)="",IFERROR(('Final Calculation Sheet'!$I$28)&amp;"","")=""))))</f>
        <v/>
      </c>
      <c r="BW29">
        <f>IF($K$4="",1,--(OR(SUMPRODUCT(--(TRIM(MID(SUBSTITUTE(SUBSTITUTE($K$4,"/",","),",",REPT(" ",99)),(ROW($1:$8)-1)*99+1,99))&lt;&gt;""),--ISNUMBER(SEARCH(TRIM(MID(SUBSTITUTE(SUBSTITUTE($K$4,"/",","),",",REPT(" ",99)),(ROW($1:$8)-1)*99+1,99)),IFERROR(('Final Calculation Sheet'!$J$28)&amp;"",""))))&gt;0,AND(ISNUMBER(SEARCH("blank",$K$4)),NOT(ISNUMBER(SEARCH("nonblank",$K$4))),IFERROR(('Final Calculation Sheet'!$J$28)&amp;"","")=""),AND(OR(ISNUMBER(SEARCH("nonblank",$K$4)),ISNUMBER(SEARCH("&lt;&gt;",$K$4))),IFERROR(('Final Calculation Sheet'!$J$28)&amp;"","")&lt;&gt;""),AND(TRIM($K$4)="",IFERROR(('Final Calculation Sheet'!$J$28)&amp;"","")=""))))</f>
        <v/>
      </c>
      <c r="BX29">
        <f>IF($L$4="",1,--(OR(SUMPRODUCT(--(TRIM(MID(SUBSTITUTE(SUBSTITUTE($L$4,"/",","),",",REPT(" ",99)),(ROW($1:$8)-1)*99+1,99))&lt;&gt;""),--ISNUMBER(SEARCH(TRIM(MID(SUBSTITUTE(SUBSTITUTE($L$4,"/",","),",",REPT(" ",99)),(ROW($1:$8)-1)*99+1,99)),IFERROR(('Final Calculation Sheet'!$K$28)&amp;"",""))))&gt;0,AND(ISNUMBER(SEARCH("blank",$L$4)),NOT(ISNUMBER(SEARCH("nonblank",$L$4))),IFERROR(('Final Calculation Sheet'!$K$28)&amp;"","")=""),AND(OR(ISNUMBER(SEARCH("nonblank",$L$4)),ISNUMBER(SEARCH("&lt;&gt;",$L$4))),IFERROR(('Final Calculation Sheet'!$K$28)&amp;"","")&lt;&gt;""),AND(TRIM($L$4)="",IFERROR(('Final Calculation Sheet'!$K$28)&amp;"","")=""))))</f>
        <v/>
      </c>
      <c r="BY29">
        <f>IF($M$4="",1,--(OR(SUMPRODUCT(--(TRIM(MID(SUBSTITUTE(SUBSTITUTE($M$4,"/",","),",",REPT(" ",99)),(ROW($1:$8)-1)*99+1,99))&lt;&gt;""),--ISNUMBER(SEARCH(TRIM(MID(SUBSTITUTE(SUBSTITUTE($M$4,"/",","),",",REPT(" ",99)),(ROW($1:$8)-1)*99+1,99)),IFERROR(('Final Calculation Sheet'!$L$28)&amp;"",""))))&gt;0,AND(ISNUMBER(SEARCH("blank",$M$4)),NOT(ISNUMBER(SEARCH("nonblank",$M$4))),IFERROR(('Final Calculation Sheet'!$L$28)&amp;"","")=""),AND(OR(ISNUMBER(SEARCH("nonblank",$M$4)),ISNUMBER(SEARCH("&lt;&gt;",$M$4))),IFERROR(('Final Calculation Sheet'!$L$28)&amp;"","")&lt;&gt;""),AND(TRIM($M$4)="",IFERROR(('Final Calculation Sheet'!$L$28)&amp;"","")=""))))</f>
        <v/>
      </c>
      <c r="BZ29">
        <f>IF($N$4="",1,--(OR(SUMPRODUCT(--(TRIM(MID(SUBSTITUTE(SUBSTITUTE($N$4,"/",","),",",REPT(" ",99)),(ROW($1:$8)-1)*99+1,99))&lt;&gt;""),--ISNUMBER(SEARCH(TRIM(MID(SUBSTITUTE(SUBSTITUTE($N$4,"/",","),",",REPT(" ",99)),(ROW($1:$8)-1)*99+1,99)),IFERROR(('Final Calculation Sheet'!$M$28)&amp;"",""))))&gt;0,AND(ISNUMBER(SEARCH("blank",$N$4)),NOT(ISNUMBER(SEARCH("nonblank",$N$4))),IFERROR(('Final Calculation Sheet'!$M$28)&amp;"","")=""),AND(OR(ISNUMBER(SEARCH("nonblank",$N$4)),ISNUMBER(SEARCH("&lt;&gt;",$N$4))),IFERROR(('Final Calculation Sheet'!$M$28)&amp;"","")&lt;&gt;""),AND(TRIM($N$4)="",IFERROR(('Final Calculation Sheet'!$M$28)&amp;"","")=""))))</f>
        <v/>
      </c>
      <c r="CA29">
        <f>IF($O$4="",1,--(OR(SUMPRODUCT(--(TRIM(MID(SUBSTITUTE(SUBSTITUTE($O$4,"/",","),",",REPT(" ",99)),(ROW($1:$8)-1)*99+1,99))&lt;&gt;""),--ISNUMBER(SEARCH(TRIM(MID(SUBSTITUTE(SUBSTITUTE($O$4,"/",","),",",REPT(" ",99)),(ROW($1:$8)-1)*99+1,99)),IFERROR(('Final Calculation Sheet'!$N$28)&amp;"",""))))&gt;0,AND(ISNUMBER(SEARCH("blank",$O$4)),NOT(ISNUMBER(SEARCH("nonblank",$O$4))),IFERROR(('Final Calculation Sheet'!$N$28)&amp;"","")=""),AND(OR(ISNUMBER(SEARCH("nonblank",$O$4)),ISNUMBER(SEARCH("&lt;&gt;",$O$4))),IFERROR(('Final Calculation Sheet'!$N$28)&amp;"","")&lt;&gt;""),AND(TRIM($O$4)="",IFERROR(('Final Calculation Sheet'!$N$28)&amp;"","")=""))))</f>
        <v/>
      </c>
      <c r="CB29">
        <f>IF($P$4="",1,--(OR(SUMPRODUCT(--(TRIM(MID(SUBSTITUTE(SUBSTITUTE($P$4,"/",","),",",REPT(" ",99)),(ROW($1:$8)-1)*99+1,99))&lt;&gt;""),--ISNUMBER(SEARCH(TRIM(MID(SUBSTITUTE(SUBSTITUTE($P$4,"/",","),",",REPT(" ",99)),(ROW($1:$8)-1)*99+1,99)),IFERROR(('Final Calculation Sheet'!$O$28)&amp;"",""))))&gt;0,AND(ISNUMBER(SEARCH("blank",$P$4)),NOT(ISNUMBER(SEARCH("nonblank",$P$4))),IFERROR(('Final Calculation Sheet'!$O$28)&amp;"","")=""),AND(OR(ISNUMBER(SEARCH("nonblank",$P$4)),ISNUMBER(SEARCH("&lt;&gt;",$P$4))),IFERROR(('Final Calculation Sheet'!$O$28)&amp;"","")&lt;&gt;""),AND(TRIM($P$4)="",IFERROR(('Final Calculation Sheet'!$O$28)&amp;"","")=""))))</f>
        <v/>
      </c>
      <c r="CC29">
        <f>IF($Q$4="",1,--(OR(SUMPRODUCT(--(TRIM(MID(SUBSTITUTE(SUBSTITUTE($Q$4,"/",","),",",REPT(" ",99)),(ROW($1:$8)-1)*99+1,99))&lt;&gt;""),--ISNUMBER(SEARCH(TRIM(MID(SUBSTITUTE(SUBSTITUTE($Q$4,"/",","),",",REPT(" ",99)),(ROW($1:$8)-1)*99+1,99)),IFERROR(('Final Calculation Sheet'!$P$28)&amp;"",""))))&gt;0,AND(ISNUMBER(SEARCH("blank",$Q$4)),NOT(ISNUMBER(SEARCH("nonblank",$Q$4))),IFERROR(('Final Calculation Sheet'!$P$28)&amp;"","")=""),AND(OR(ISNUMBER(SEARCH("nonblank",$Q$4)),ISNUMBER(SEARCH("&lt;&gt;",$Q$4))),IFERROR(('Final Calculation Sheet'!$P$28)&amp;"","")&lt;&gt;""),AND(TRIM($Q$4)="",IFERROR(('Final Calculation Sheet'!$P$28)&amp;"","")=""))))</f>
        <v/>
      </c>
      <c r="CD29">
        <f>IF($R$4="",1,--(OR(SUMPRODUCT(--(TRIM(MID(SUBSTITUTE(SUBSTITUTE($R$4,"/",","),",",REPT(" ",99)),(ROW($1:$8)-1)*99+1,99))&lt;&gt;""),--ISNUMBER(SEARCH(TRIM(MID(SUBSTITUTE(SUBSTITUTE($R$4,"/",","),",",REPT(" ",99)),(ROW($1:$8)-1)*99+1,99)),IFERROR(('Final Calculation Sheet'!$Q$28)&amp;"",""))))&gt;0,AND(ISNUMBER(SEARCH("blank",$R$4)),NOT(ISNUMBER(SEARCH("nonblank",$R$4))),IFERROR(('Final Calculation Sheet'!$Q$28)&amp;"","")=""),AND(OR(ISNUMBER(SEARCH("nonblank",$R$4)),ISNUMBER(SEARCH("&lt;&gt;",$R$4))),IFERROR(('Final Calculation Sheet'!$Q$28)&amp;"","")&lt;&gt;""),AND(TRIM($R$4)="",IFERROR(('Final Calculation Sheet'!$Q$28)&amp;"","")=""))))</f>
        <v/>
      </c>
      <c r="CE29">
        <f>IF($S$4="",1,--(OR(SUMPRODUCT(--(TRIM(MID(SUBSTITUTE(SUBSTITUTE($S$4,"/",","),",",REPT(" ",99)),(ROW($1:$8)-1)*99+1,99))&lt;&gt;""),--ISNUMBER(SEARCH(TRIM(MID(SUBSTITUTE(SUBSTITUTE($S$4,"/",","),",",REPT(" ",99)),(ROW($1:$8)-1)*99+1,99)),IFERROR(('Final Calculation Sheet'!$R$28)&amp;"",""))))&gt;0,AND(ISNUMBER(SEARCH("blank",$S$4)),NOT(ISNUMBER(SEARCH("nonblank",$S$4))),IFERROR(('Final Calculation Sheet'!$R$28)&amp;"","")=""),AND(OR(ISNUMBER(SEARCH("nonblank",$S$4)),ISNUMBER(SEARCH("&lt;&gt;",$S$4))),IFERROR(('Final Calculation Sheet'!$R$28)&amp;"","")&lt;&gt;""),AND(TRIM($S$4)="",IFERROR(('Final Calculation Sheet'!$R$28)&amp;"","")=""))))</f>
        <v/>
      </c>
      <c r="CF29">
        <f>IF($T$4="",1,--(OR(SUMPRODUCT(--(TRIM(MID(SUBSTITUTE(SUBSTITUTE($T$4,"/",","),",",REPT(" ",99)),(ROW($1:$8)-1)*99+1,99))&lt;&gt;""),--ISNUMBER(SEARCH(TRIM(MID(SUBSTITUTE(SUBSTITUTE($T$4,"/",","),",",REPT(" ",99)),(ROW($1:$8)-1)*99+1,99)),IFERROR(('Final Calculation Sheet'!$S$28)&amp;"",""))))&gt;0,AND(ISNUMBER(SEARCH("blank",$T$4)),NOT(ISNUMBER(SEARCH("nonblank",$T$4))),IFERROR(('Final Calculation Sheet'!$S$28)&amp;"","")=""),AND(OR(ISNUMBER(SEARCH("nonblank",$T$4)),ISNUMBER(SEARCH("&lt;&gt;",$T$4))),IFERROR(('Final Calculation Sheet'!$S$28)&amp;"","")&lt;&gt;""),AND(TRIM($T$4)="",IFERROR(('Final Calculation Sheet'!$S$28)&amp;"","")=""))))</f>
        <v/>
      </c>
      <c r="CG29">
        <f>IF($U$4="",1,--(OR(SUMPRODUCT(--(TRIM(MID(SUBSTITUTE(SUBSTITUTE($U$4,"/",","),",",REPT(" ",99)),(ROW($1:$8)-1)*99+1,99))&lt;&gt;""),--ISNUMBER(SEARCH(TRIM(MID(SUBSTITUTE(SUBSTITUTE($U$4,"/",","),",",REPT(" ",99)),(ROW($1:$8)-1)*99+1,99)),IFERROR(('Final Calculation Sheet'!$T$28)&amp;"",""))))&gt;0,AND(ISNUMBER(SEARCH("blank",$U$4)),NOT(ISNUMBER(SEARCH("nonblank",$U$4))),IFERROR(('Final Calculation Sheet'!$T$28)&amp;"","")=""),AND(OR(ISNUMBER(SEARCH("nonblank",$U$4)),ISNUMBER(SEARCH("&lt;&gt;",$U$4))),IFERROR(('Final Calculation Sheet'!$T$28)&amp;"","")&lt;&gt;""),AND(TRIM($U$4)="",IFERROR(('Final Calculation Sheet'!$T$28)&amp;"","")=""))))</f>
        <v/>
      </c>
      <c r="CH29">
        <f>IF($V$4="",1,--(OR(SUMPRODUCT(--(TRIM(MID(SUBSTITUTE(SUBSTITUTE($V$4,"/",","),",",REPT(" ",99)),(ROW($1:$8)-1)*99+1,99))&lt;&gt;""),--ISNUMBER(SEARCH(TRIM(MID(SUBSTITUTE(SUBSTITUTE($V$4,"/",","),",",REPT(" ",99)),(ROW($1:$8)-1)*99+1,99)),IFERROR(('Final Calculation Sheet'!$U$28)&amp;"",""))))&gt;0,AND(ISNUMBER(SEARCH("blank",$V$4)),NOT(ISNUMBER(SEARCH("nonblank",$V$4))),IFERROR(('Final Calculation Sheet'!$U$28)&amp;"","")=""),AND(OR(ISNUMBER(SEARCH("nonblank",$V$4)),ISNUMBER(SEARCH("&lt;&gt;",$V$4))),IFERROR(('Final Calculation Sheet'!$U$28)&amp;"","")&lt;&gt;""),AND(TRIM($V$4)="",IFERROR(('Final Calculation Sheet'!$U$28)&amp;"","")=""))))</f>
        <v/>
      </c>
      <c r="CI29">
        <f>IF($W$4="",1,--(OR(SUMPRODUCT(--(TRIM(MID(SUBSTITUTE(SUBSTITUTE($W$4,"/",","),",",REPT(" ",99)),(ROW($1:$8)-1)*99+1,99))&lt;&gt;""),--ISNUMBER(SEARCH(TRIM(MID(SUBSTITUTE(SUBSTITUTE($W$4,"/",","),",",REPT(" ",99)),(ROW($1:$8)-1)*99+1,99)),IFERROR(('Final Calculation Sheet'!$V$28)&amp;"",""))))&gt;0,AND(ISNUMBER(SEARCH("blank",$W$4)),NOT(ISNUMBER(SEARCH("nonblank",$W$4))),IFERROR(('Final Calculation Sheet'!$V$28)&amp;"","")=""),AND(OR(ISNUMBER(SEARCH("nonblank",$W$4)),ISNUMBER(SEARCH("&lt;&gt;",$W$4))),IFERROR(('Final Calculation Sheet'!$V$28)&amp;"","")&lt;&gt;""),AND(TRIM($W$4)="",IFERROR(('Final Calculation Sheet'!$V$28)&amp;"","")=""))))</f>
        <v/>
      </c>
      <c r="CJ29">
        <f>IF($X$4="",1,--(OR(SUMPRODUCT(--(TRIM(MID(SUBSTITUTE(SUBSTITUTE($X$4,"/",","),",",REPT(" ",99)),(ROW($1:$8)-1)*99+1,99))&lt;&gt;""),--ISNUMBER(SEARCH(TRIM(MID(SUBSTITUTE(SUBSTITUTE($X$4,"/",","),",",REPT(" ",99)),(ROW($1:$8)-1)*99+1,99)),IFERROR(('Final Calculation Sheet'!$W$28)&amp;"",""))))&gt;0,AND(ISNUMBER(SEARCH("blank",$X$4)),NOT(ISNUMBER(SEARCH("nonblank",$X$4))),IFERROR(('Final Calculation Sheet'!$W$28)&amp;"","")=""),AND(OR(ISNUMBER(SEARCH("nonblank",$X$4)),ISNUMBER(SEARCH("&lt;&gt;",$X$4))),IFERROR(('Final Calculation Sheet'!$W$28)&amp;"","")&lt;&gt;""),AND(TRIM($X$4)="",IFERROR(('Final Calculation Sheet'!$W$28)&amp;"","")=""))))</f>
        <v/>
      </c>
      <c r="CK29">
        <f>IF($Y$4="",1,--(OR(SUMPRODUCT(--(TRIM(MID(SUBSTITUTE(SUBSTITUTE($Y$4,"/",","),",",REPT(" ",99)),(ROW($1:$8)-1)*99+1,99))&lt;&gt;""),--ISNUMBER(SEARCH(TRIM(MID(SUBSTITUTE(SUBSTITUTE($Y$4,"/",","),",",REPT(" ",99)),(ROW($1:$8)-1)*99+1,99)),IFERROR(('Final Calculation Sheet'!$X$28)&amp;"",""))))&gt;0,AND(ISNUMBER(SEARCH("blank",$Y$4)),NOT(ISNUMBER(SEARCH("nonblank",$Y$4))),IFERROR(('Final Calculation Sheet'!$X$28)&amp;"","")=""),AND(OR(ISNUMBER(SEARCH("nonblank",$Y$4)),ISNUMBER(SEARCH("&lt;&gt;",$Y$4))),IFERROR(('Final Calculation Sheet'!$X$28)&amp;"","")&lt;&gt;""),AND(TRIM($Y$4)="",IFERROR(('Final Calculation Sheet'!$X$28)&amp;"","")=""))))</f>
        <v/>
      </c>
      <c r="CL29">
        <f>IF($Z$4="",1,--(OR(SUMPRODUCT(--(TRIM(MID(SUBSTITUTE(SUBSTITUTE($Z$4,"/",","),",",REPT(" ",99)),(ROW($1:$8)-1)*99+1,99))&lt;&gt;""),--ISNUMBER(SEARCH(TRIM(MID(SUBSTITUTE(SUBSTITUTE($Z$4,"/",","),",",REPT(" ",99)),(ROW($1:$8)-1)*99+1,99)),IFERROR(('Final Calculation Sheet'!$Y$28)&amp;"",""))))&gt;0,AND(ISNUMBER(SEARCH("blank",$Z$4)),NOT(ISNUMBER(SEARCH("nonblank",$Z$4))),IFERROR(('Final Calculation Sheet'!$Y$28)&amp;"","")=""),AND(OR(ISNUMBER(SEARCH("nonblank",$Z$4)),ISNUMBER(SEARCH("&lt;&gt;",$Z$4))),IFERROR(('Final Calculation Sheet'!$Y$28)&amp;"","")&lt;&gt;""),AND(TRIM($Z$4)="",IFERROR(('Final Calculation Sheet'!$Y$28)&amp;"","")=""))))</f>
        <v/>
      </c>
      <c r="CM29">
        <f>IF($AA$4="",1,--(OR(SUMPRODUCT(--(TRIM(MID(SUBSTITUTE(SUBSTITUTE($AA$4,"/",","),",",REPT(" ",99)),(ROW($1:$8)-1)*99+1,99))&lt;&gt;""),--ISNUMBER(SEARCH(TRIM(MID(SUBSTITUTE(SUBSTITUTE($AA$4,"/",","),",",REPT(" ",99)),(ROW($1:$8)-1)*99+1,99)),IFERROR(('Final Calculation Sheet'!$Z$28)&amp;"",""))))&gt;0,AND(ISNUMBER(SEARCH("blank",$AA$4)),NOT(ISNUMBER(SEARCH("nonblank",$AA$4))),IFERROR(('Final Calculation Sheet'!$Z$28)&amp;"","")=""),AND(OR(ISNUMBER(SEARCH("nonblank",$AA$4)),ISNUMBER(SEARCH("&lt;&gt;",$AA$4))),IFERROR(('Final Calculation Sheet'!$Z$28)&amp;"","")&lt;&gt;""),AND(TRIM($AA$4)="",IFERROR(('Final Calculation Sheet'!$Z$28)&amp;"","")=""))))</f>
        <v/>
      </c>
      <c r="CN29">
        <f>IF($AB$4="",1,--(OR(SUMPRODUCT(--(TRIM(MID(SUBSTITUTE(SUBSTITUTE($AB$4,"/",","),",",REPT(" ",99)),(ROW($1:$8)-1)*99+1,99))&lt;&gt;""),--ISNUMBER(SEARCH(TRIM(MID(SUBSTITUTE(SUBSTITUTE($AB$4,"/",","),",",REPT(" ",99)),(ROW($1:$8)-1)*99+1,99)),IFERROR(('Final Calculation Sheet'!$AA$28)&amp;"",""))))&gt;0,AND(ISNUMBER(SEARCH("blank",$AB$4)),NOT(ISNUMBER(SEARCH("nonblank",$AB$4))),IFERROR(('Final Calculation Sheet'!$AA$28)&amp;"","")=""),AND(OR(ISNUMBER(SEARCH("nonblank",$AB$4)),ISNUMBER(SEARCH("&lt;&gt;",$AB$4))),IFERROR(('Final Calculation Sheet'!$AA$28)&amp;"","")&lt;&gt;""),AND(TRIM($AB$4)="",IFERROR(('Final Calculation Sheet'!$AA$28)&amp;"","")=""))))</f>
        <v/>
      </c>
      <c r="CO29">
        <f>IF($AC$4="",1,--(OR(SUMPRODUCT(--(TRIM(MID(SUBSTITUTE(SUBSTITUTE($AC$4,"/",","),",",REPT(" ",99)),(ROW($1:$8)-1)*99+1,99))&lt;&gt;""),--ISNUMBER(SEARCH(TRIM(MID(SUBSTITUTE(SUBSTITUTE($AC$4,"/",","),",",REPT(" ",99)),(ROW($1:$8)-1)*99+1,99)),IFERROR(('Final Calculation Sheet'!$AB$28)&amp;"",""))))&gt;0,AND(ISNUMBER(SEARCH("blank",$AC$4)),NOT(ISNUMBER(SEARCH("nonblank",$AC$4))),IFERROR(('Final Calculation Sheet'!$AB$28)&amp;"","")=""),AND(OR(ISNUMBER(SEARCH("nonblank",$AC$4)),ISNUMBER(SEARCH("&lt;&gt;",$AC$4))),IFERROR(('Final Calculation Sheet'!$AB$28)&amp;"","")&lt;&gt;""),AND(TRIM($AC$4)="",IFERROR(('Final Calculation Sheet'!$AB$28)&amp;"","")=""))))</f>
        <v/>
      </c>
      <c r="CP29">
        <f>IF($AD$4="",1,--(OR(SUMPRODUCT(--(TRIM(MID(SUBSTITUTE(SUBSTITUTE($AD$4,"/",","),",",REPT(" ",99)),(ROW($1:$8)-1)*99+1,99))&lt;&gt;""),--ISNUMBER(SEARCH(TRIM(MID(SUBSTITUTE(SUBSTITUTE($AD$4,"/",","),",",REPT(" ",99)),(ROW($1:$8)-1)*99+1,99)),IFERROR(('Final Calculation Sheet'!$AC$28)&amp;"",""))))&gt;0,AND(ISNUMBER(SEARCH("blank",$AD$4)),NOT(ISNUMBER(SEARCH("nonblank",$AD$4))),IFERROR(('Final Calculation Sheet'!$AC$28)&amp;"","")=""),AND(OR(ISNUMBER(SEARCH("nonblank",$AD$4)),ISNUMBER(SEARCH("&lt;&gt;",$AD$4))),IFERROR(('Final Calculation Sheet'!$AC$28)&amp;"","")&lt;&gt;""),AND(TRIM($AD$4)="",IFERROR(('Final Calculation Sheet'!$AC$28)&amp;"","")=""))))</f>
        <v/>
      </c>
      <c r="CQ29">
        <f>IF($AE$4="",1,--(OR(SUMPRODUCT(--(TRIM(MID(SUBSTITUTE(SUBSTITUTE($AE$4,"/",","),",",REPT(" ",99)),(ROW($1:$8)-1)*99+1,99))&lt;&gt;""),--ISNUMBER(SEARCH(TRIM(MID(SUBSTITUTE(SUBSTITUTE($AE$4,"/",","),",",REPT(" ",99)),(ROW($1:$8)-1)*99+1,99)),IFERROR(('Final Calculation Sheet'!$AD$28)&amp;"",""))))&gt;0,AND(ISNUMBER(SEARCH("blank",$AE$4)),NOT(ISNUMBER(SEARCH("nonblank",$AE$4))),IFERROR(('Final Calculation Sheet'!$AD$28)&amp;"","")=""),AND(OR(ISNUMBER(SEARCH("nonblank",$AE$4)),ISNUMBER(SEARCH("&lt;&gt;",$AE$4))),IFERROR(('Final Calculation Sheet'!$AD$28)&amp;"","")&lt;&gt;""),AND(TRIM($AE$4)="",IFERROR(('Final Calculation Sheet'!$AD$28)&amp;"","")=""))))</f>
        <v/>
      </c>
      <c r="CR29">
        <f>IF($AF$4="",1,--(OR(SUMPRODUCT(--(TRIM(MID(SUBSTITUTE(SUBSTITUTE($AF$4,"/",","),",",REPT(" ",99)),(ROW($1:$8)-1)*99+1,99))&lt;&gt;""),--ISNUMBER(SEARCH(TRIM(MID(SUBSTITUTE(SUBSTITUTE($AF$4,"/",","),",",REPT(" ",99)),(ROW($1:$8)-1)*99+1,99)),IFERROR(('Final Calculation Sheet'!$AE$28)&amp;"",""))))&gt;0,AND(ISNUMBER(SEARCH("blank",$AF$4)),NOT(ISNUMBER(SEARCH("nonblank",$AF$4))),IFERROR(('Final Calculation Sheet'!$AE$28)&amp;"","")=""),AND(OR(ISNUMBER(SEARCH("nonblank",$AF$4)),ISNUMBER(SEARCH("&lt;&gt;",$AF$4))),IFERROR(('Final Calculation Sheet'!$AE$28)&amp;"","")&lt;&gt;""),AND(TRIM($AF$4)="",IFERROR(('Final Calculation Sheet'!$AE$28)&amp;"","")=""))))</f>
        <v/>
      </c>
      <c r="CS29">
        <f>IF($AG$4="",1,--(OR(SUMPRODUCT(--(TRIM(MID(SUBSTITUTE(SUBSTITUTE($AG$4,"/",","),",",REPT(" ",99)),(ROW($1:$8)-1)*99+1,99))&lt;&gt;""),--ISNUMBER(SEARCH(TRIM(MID(SUBSTITUTE(SUBSTITUTE($AG$4,"/",","),",",REPT(" ",99)),(ROW($1:$8)-1)*99+1,99)),IFERROR(('Final Calculation Sheet'!$AF$28)&amp;"",""))))&gt;0,AND(ISNUMBER(SEARCH("blank",$AG$4)),NOT(ISNUMBER(SEARCH("nonblank",$AG$4))),IFERROR(('Final Calculation Sheet'!$AF$28)&amp;"","")=""),AND(OR(ISNUMBER(SEARCH("nonblank",$AG$4)),ISNUMBER(SEARCH("&lt;&gt;",$AG$4))),IFERROR(('Final Calculation Sheet'!$AF$28)&amp;"","")&lt;&gt;""),AND(TRIM($AG$4)="",IFERROR(('Final Calculation Sheet'!$AF$28)&amp;"","")=""))))</f>
        <v/>
      </c>
      <c r="CT29">
        <f>IF($AH$4="",1,--(OR(SUMPRODUCT(--(TRIM(MID(SUBSTITUTE(SUBSTITUTE($AH$4,"/",","),",",REPT(" ",99)),(ROW($1:$8)-1)*99+1,99))&lt;&gt;""),--ISNUMBER(SEARCH(TRIM(MID(SUBSTITUTE(SUBSTITUTE($AH$4,"/",","),",",REPT(" ",99)),(ROW($1:$8)-1)*99+1,99)),IFERROR(('Final Calculation Sheet'!$AG$28)&amp;"",""))))&gt;0,AND(ISNUMBER(SEARCH("blank",$AH$4)),NOT(ISNUMBER(SEARCH("nonblank",$AH$4))),IFERROR(('Final Calculation Sheet'!$AG$28)&amp;"","")=""),AND(OR(ISNUMBER(SEARCH("nonblank",$AH$4)),ISNUMBER(SEARCH("&lt;&gt;",$AH$4))),IFERROR(('Final Calculation Sheet'!$AG$28)&amp;"","")&lt;&gt;""),AND(TRIM($AH$4)="",IFERROR(('Final Calculation Sheet'!$AG$28)&amp;"","")=""))))</f>
        <v/>
      </c>
      <c r="CU29">
        <f>IF($AI$4="",1,--(OR(SUMPRODUCT(--(TRIM(MID(SUBSTITUTE(SUBSTITUTE($AI$4,"/",","),",",REPT(" ",99)),(ROW($1:$8)-1)*99+1,99))&lt;&gt;""),--ISNUMBER(SEARCH(TRIM(MID(SUBSTITUTE(SUBSTITUTE($AI$4,"/",","),",",REPT(" ",99)),(ROW($1:$8)-1)*99+1,99)),IFERROR((IF('Final Calculation Sheet'!$AD$28&lt;=0,"SETTLED","OUTSTANDING"))&amp;"",""))))&gt;0,AND(ISNUMBER(SEARCH("blank",$AI$4)),NOT(ISNUMBER(SEARCH("nonblank",$AI$4))),IFERROR((IF('Final Calculation Sheet'!$AD$28&lt;=0,"SETTLED","OUTSTANDING"))&amp;"","")=""),AND(OR(ISNUMBER(SEARCH("nonblank",$AI$4)),ISNUMBER(SEARCH("&lt;&gt;",$AI$4))),IFERROR((IF('Final Calculation Sheet'!$AD$28&lt;=0,"SETTLED","OUTSTANDING"))&amp;"","")&lt;&gt;""),AND(TRIM($AI$4)="",IFERROR((IF('Final Calculation Sheet'!$AD$28&lt;=0,"SETTLED","OUTSTANDING"))&amp;"","")=""))))</f>
        <v/>
      </c>
    </row>
    <row r="30" ht="15" customHeight="1" s="77">
      <c r="A30" s="67">
        <f>IF($BJ29&gt;0,INDEX($BA$5:$BA$41,MATCH(29,$BB$5:$BB$41,0)),IF(OR($BI29=1,$BL29=1,$BH29&gt;0),"∑",""))</f>
        <v/>
      </c>
      <c r="B30" s="68">
        <f>IF($BJ29&gt;0,IF(INDEX('Final Calculation Sheet'!$F$4:$F$40,$BJ29-3)="","",INDEX('Final Calculation Sheet'!$F$4:$F$40,$BJ29-3)),"")</f>
        <v/>
      </c>
      <c r="C30" s="68">
        <f>IF($BJ29&gt;0,IF(INDEX('Final Calculation Sheet'!$G$4:$G$40,$BJ29-3)="","",INDEX('Final Calculation Sheet'!$G$4:$G$40,$BJ29-3)),IF(OR($BI29=1,$BL29=1,$BH29&gt;0),IF($BI29=1,37,IF($BL29=1,37-INDEX($BD$4:$BD$13,10),INDEX($BD$4:$BD$13,$BH29)))&amp;" lot(s)",""))</f>
        <v/>
      </c>
      <c r="D30" s="69">
        <f>IF($BJ29&gt;0,IF(INDEX('Final Calculation Sheet'!$B$4:$B$40,$BJ29-3)="","",INDEX('Final Calculation Sheet'!$B$4:$B$40,$BJ29-3)),IF(OR($BI29=1,$BL29=1,$BH29&gt;0),IF($BI29=1,"GRAND TOTAL  —  matching + remaining",IF($BL29=1,"TOTAL MATCHED  —  every group together",IF($BH29=10,"REMAINING  —  did not match the search",IF($BH29=9,IF(COUNTIF($A$4:$AI$4,"&lt;&gt;")&gt;0,"FILTERED LOTS  —  column fields","ALL LOTS  —  nothing typed in the box"),"GROUP "&amp;$BH29&amp;" TOTAL  —  lots matching  "&amp;INDEX($AR$6:$AY$6,$BH29))))),""))</f>
        <v/>
      </c>
      <c r="E30" s="69">
        <f>IF($BJ29&gt;0,IF(INDEX('Final Calculation Sheet'!$D$4:$D$40,$BJ29-3)="","",INDEX('Final Calculation Sheet'!$D$4:$D$40,$BJ29-3)),IF(OR($BI29=1,$BL29=1,$BH29&gt;0),"–",""))</f>
        <v/>
      </c>
      <c r="F30" s="69">
        <f>IF($BJ29&gt;0,IF(INDEX('Final Calculation Sheet'!$A$4:$A$40,$BJ29-3)="","",INDEX('Final Calculation Sheet'!$A$4:$A$40,$BJ29-3)),IF(OR($BI29=1,$BL29=1,$BH29&gt;0),IF($BI29=1,SUM('Final Calculation Sheet'!$A$4:$A$40),IF($BL29=1,SUM('Final Calculation Sheet'!$A$4:$A$40)-SUMIFS('Final Calculation Sheet'!$A$4:$A$40,$AZ$5:$AZ$41,10),SUMIFS('Final Calculation Sheet'!$A$4:$A$40,$AZ$5:$AZ$41,$BH29))),""))</f>
        <v/>
      </c>
      <c r="G30" s="69">
        <f>IF($BJ29&gt;0,IF(INDEX('Final Calculation Sheet'!$E$4:$E$40,$BJ29-3)="","",INDEX('Final Calculation Sheet'!$E$4:$E$40,$BJ29-3)),IF(OR($BI29=1,$BL29=1,$BH29&gt;0),"–",""))</f>
        <v/>
      </c>
      <c r="H30" s="70">
        <f>IF($BJ29&gt;0,IF(INDEX('Final Calculation Sheet'!$C$4:$C$40,$BJ29-3)="","",INDEX('Final Calculation Sheet'!$C$4:$C$40,$BJ29-3)),IF(OR($BI29=1,$BL29=1,$BH29&gt;0),"–",""))</f>
        <v/>
      </c>
      <c r="I30" s="70">
        <f>IF($BJ29&gt;0,IF(INDEX('Final Calculation Sheet'!$H$4:$H$40,$BJ29-3)="","",INDEX('Final Calculation Sheet'!$H$4:$H$40,$BJ29-3)),IF(OR($BI29=1,$BL29=1,$BH29&gt;0),IF($BI29=1,SUM('Final Calculation Sheet'!$H$4:$H$40),IF($BL29=1,SUM('Final Calculation Sheet'!$H$4:$H$40)-SUMIFS('Final Calculation Sheet'!$H$4:$H$40,$AZ$5:$AZ$41,10),SUMIFS('Final Calculation Sheet'!$H$4:$H$40,$AZ$5:$AZ$41,$BH29))),""))</f>
        <v/>
      </c>
      <c r="J30" s="70">
        <f>IF($BJ29&gt;0,IF(INDEX('Final Calculation Sheet'!$I$4:$I$40,$BJ29-3)="","",INDEX('Final Calculation Sheet'!$I$4:$I$40,$BJ29-3)),IF(OR($BI29=1,$BL29=1,$BH29&gt;0),IF($BI29=1,SUM('Final Calculation Sheet'!$I$4:$I$40),IF($BL29=1,SUM('Final Calculation Sheet'!$I$4:$I$40)-SUMIFS('Final Calculation Sheet'!$I$4:$I$40,$AZ$5:$AZ$41,10),SUMIFS('Final Calculation Sheet'!$I$4:$I$40,$AZ$5:$AZ$41,$BH29))),""))</f>
        <v/>
      </c>
      <c r="K30" s="70">
        <f>IF($BJ29&gt;0,IF(INDEX('Final Calculation Sheet'!$J$4:$J$40,$BJ29-3)="","",INDEX('Final Calculation Sheet'!$J$4:$J$40,$BJ29-3)),IF(OR($BI29=1,$BL29=1,$BH29&gt;0),IF($BI29=1,SUM('Final Calculation Sheet'!$J$4:$J$40),IF($BL29=1,SUM('Final Calculation Sheet'!$J$4:$J$40)-SUMIFS('Final Calculation Sheet'!$J$4:$J$40,$AZ$5:$AZ$41,10),SUMIFS('Final Calculation Sheet'!$J$4:$J$40,$AZ$5:$AZ$41,$BH29))),""))</f>
        <v/>
      </c>
      <c r="L30" s="70">
        <f>IF($BJ29&gt;0,IF(INDEX('Final Calculation Sheet'!$K$4:$K$40,$BJ29-3)="","",INDEX('Final Calculation Sheet'!$K$4:$K$40,$BJ29-3)),IF(OR($BI29=1,$BL29=1,$BH29&gt;0),IF($BI29=1,SUM('Final Calculation Sheet'!$K$4:$K$40),IF($BL29=1,SUM('Final Calculation Sheet'!$K$4:$K$40)-SUMIFS('Final Calculation Sheet'!$K$4:$K$40,$AZ$5:$AZ$41,10),SUMIFS('Final Calculation Sheet'!$K$4:$K$40,$AZ$5:$AZ$41,$BH29))),""))</f>
        <v/>
      </c>
      <c r="M30" s="70">
        <f>IF($BJ29&gt;0,IF(INDEX('Final Calculation Sheet'!$L$4:$L$40,$BJ29-3)="","",INDEX('Final Calculation Sheet'!$L$4:$L$40,$BJ29-3)),IF(OR($BI29=1,$BL29=1,$BH29&gt;0),IF($BI29=1,SUM('Final Calculation Sheet'!$L$4:$L$40),IF($BL29=1,SUM('Final Calculation Sheet'!$L$4:$L$40)-SUMIFS('Final Calculation Sheet'!$L$4:$L$40,$AZ$5:$AZ$41,10),SUMIFS('Final Calculation Sheet'!$L$4:$L$40,$AZ$5:$AZ$41,$BH29))),""))</f>
        <v/>
      </c>
      <c r="N30" s="70">
        <f>IF($BJ29&gt;0,IF(INDEX('Final Calculation Sheet'!$M$4:$M$40,$BJ29-3)="","",INDEX('Final Calculation Sheet'!$M$4:$M$40,$BJ29-3)),IF(OR($BI29=1,$BL29=1,$BH29&gt;0),IF($BI29=1,SUM('Final Calculation Sheet'!$M$4:$M$40),IF($BL29=1,SUM('Final Calculation Sheet'!$M$4:$M$40)-SUMIFS('Final Calculation Sheet'!$M$4:$M$40,$AZ$5:$AZ$41,10),SUMIFS('Final Calculation Sheet'!$M$4:$M$40,$AZ$5:$AZ$41,$BH29))),""))</f>
        <v/>
      </c>
      <c r="O30" s="71">
        <f>IF($BJ29&gt;0,IF(INDEX('Final Calculation Sheet'!$N$4:$N$40,$BJ29-3)="","",INDEX('Final Calculation Sheet'!$N$4:$N$40,$BJ29-3)),IF(OR($BI29=1,$BL29=1,$BH29&gt;0),IF($BI29=1,SUM('Final Calculation Sheet'!$N$4:$N$40),IF($BL29=1,SUM('Final Calculation Sheet'!$N$4:$N$40)-SUMIFS('Final Calculation Sheet'!$N$4:$N$40,$AZ$5:$AZ$41,10),SUMIFS('Final Calculation Sheet'!$N$4:$N$40,$AZ$5:$AZ$41,$BH29))),""))</f>
        <v/>
      </c>
      <c r="P30" s="70">
        <f>IF($BJ29&gt;0,IF(INDEX('Final Calculation Sheet'!$O$4:$O$40,$BJ29-3)="","",INDEX('Final Calculation Sheet'!$O$4:$O$40,$BJ29-3)),IF(OR($BI29=1,$BL29=1,$BH29&gt;0),IF($BI29=1,SUM('Final Calculation Sheet'!$O$4:$O$40),IF($BL29=1,SUM('Final Calculation Sheet'!$O$4:$O$40)-SUMIFS('Final Calculation Sheet'!$O$4:$O$40,$AZ$5:$AZ$41,10),SUMIFS('Final Calculation Sheet'!$O$4:$O$40,$AZ$5:$AZ$41,$BH29))),""))</f>
        <v/>
      </c>
      <c r="Q30" s="70">
        <f>IF($BJ29&gt;0,IF(INDEX('Final Calculation Sheet'!$P$4:$P$40,$BJ29-3)="","",INDEX('Final Calculation Sheet'!$P$4:$P$40,$BJ29-3)),IF(OR($BI29=1,$BL29=1,$BH29&gt;0),IF($BI29=1,SUM('Final Calculation Sheet'!$P$4:$P$40),IF($BL29=1,SUM('Final Calculation Sheet'!$P$4:$P$40)-SUMIFS('Final Calculation Sheet'!$P$4:$P$40,$AZ$5:$AZ$41,10),SUMIFS('Final Calculation Sheet'!$P$4:$P$40,$AZ$5:$AZ$41,$BH29))),""))</f>
        <v/>
      </c>
      <c r="R30" s="72">
        <f>IF($BJ29&gt;0,IF(INDEX('Final Calculation Sheet'!$Q$4:$Q$40,$BJ29-3)="","",INDEX('Final Calculation Sheet'!$Q$4:$Q$40,$BJ29-3)),IF(OR($BI29=1,$BL29=1,$BH29&gt;0),"–",""))</f>
        <v/>
      </c>
      <c r="S30" s="70">
        <f>IF($BJ29&gt;0,IF(INDEX('Final Calculation Sheet'!$R$4:$R$40,$BJ29-3)="","",INDEX('Final Calculation Sheet'!$R$4:$R$40,$BJ29-3)),IF(OR($BI29=1,$BL29=1,$BH29&gt;0),IF($BI29=1,SUM('Final Calculation Sheet'!$R$4:$R$40),IF($BL29=1,SUM('Final Calculation Sheet'!$R$4:$R$40)-SUMIFS('Final Calculation Sheet'!$R$4:$R$40,$AZ$5:$AZ$41,10),SUMIFS('Final Calculation Sheet'!$R$4:$R$40,$AZ$5:$AZ$41,$BH29))),""))</f>
        <v/>
      </c>
      <c r="T30" s="70">
        <f>IF($BJ29&gt;0,IF(INDEX('Final Calculation Sheet'!$S$4:$S$40,$BJ29-3)="","",INDEX('Final Calculation Sheet'!$S$4:$S$40,$BJ29-3)),IF(OR($BI29=1,$BL29=1,$BH29&gt;0),IF($BI29=1,SUM('Final Calculation Sheet'!$S$4:$S$40),IF($BL29=1,SUM('Final Calculation Sheet'!$S$4:$S$40)-SUMIFS('Final Calculation Sheet'!$S$4:$S$40,$AZ$5:$AZ$41,10),SUMIFS('Final Calculation Sheet'!$S$4:$S$40,$AZ$5:$AZ$41,$BH29))),""))</f>
        <v/>
      </c>
      <c r="U30" s="70">
        <f>IF($BJ29&gt;0,IF(INDEX('Final Calculation Sheet'!$T$4:$T$40,$BJ29-3)="","",INDEX('Final Calculation Sheet'!$T$4:$T$40,$BJ29-3)),IF(OR($BI29=1,$BL29=1,$BH29&gt;0),IF($BI29=1,SUM('Final Calculation Sheet'!$T$4:$T$40),IF($BL29=1,SUM('Final Calculation Sheet'!$T$4:$T$40)-SUMIFS('Final Calculation Sheet'!$T$4:$T$40,$AZ$5:$AZ$41,10),SUMIFS('Final Calculation Sheet'!$T$4:$T$40,$AZ$5:$AZ$41,$BH29))),""))</f>
        <v/>
      </c>
      <c r="V30" s="73">
        <f>IF($BJ29&gt;0,IF(INDEX('Final Calculation Sheet'!$U$4:$U$40,$BJ29-3)="","",INDEX('Final Calculation Sheet'!$U$4:$U$40,$BJ29-3)),IF(OR($BI29=1,$BL29=1,$BH29&gt;0),IF($BI29=1,SUM('Final Calculation Sheet'!$U$4:$U$40),IF($BL29=1,SUM('Final Calculation Sheet'!$U$4:$U$40)-SUMIFS('Final Calculation Sheet'!$U$4:$U$40,$AZ$5:$AZ$41,10),SUMIFS('Final Calculation Sheet'!$U$4:$U$40,$AZ$5:$AZ$41,$BH29))),""))</f>
        <v/>
      </c>
      <c r="W30" s="70">
        <f>IF($BJ29&gt;0,IF(INDEX('Final Calculation Sheet'!$V$4:$V$40,$BJ29-3)="","",INDEX('Final Calculation Sheet'!$V$4:$V$40,$BJ29-3)),IF(OR($BI29=1,$BL29=1,$BH29&gt;0),"–",""))</f>
        <v/>
      </c>
      <c r="X30" s="70">
        <f>IF($BJ29&gt;0,IF(INDEX('Final Calculation Sheet'!$W$4:$W$40,$BJ29-3)="","",INDEX('Final Calculation Sheet'!$W$4:$W$40,$BJ29-3)),IF(OR($BI29=1,$BL29=1,$BH29&gt;0),IF($BI29=1,SUM('Final Calculation Sheet'!$W$4:$W$40),IF($BL29=1,SUM('Final Calculation Sheet'!$W$4:$W$40)-SUMIFS('Final Calculation Sheet'!$W$4:$W$40,$AZ$5:$AZ$41,10),SUMIFS('Final Calculation Sheet'!$W$4:$W$40,$AZ$5:$AZ$41,$BH29))),""))</f>
        <v/>
      </c>
      <c r="Y30" s="70">
        <f>IF($BJ29&gt;0,IF(INDEX('Final Calculation Sheet'!$X$4:$X$40,$BJ29-3)="","",INDEX('Final Calculation Sheet'!$X$4:$X$40,$BJ29-3)),IF(OR($BI29=1,$BL29=1,$BH29&gt;0),IF($BI29=1,SUM('Final Calculation Sheet'!$X$4:$X$40),IF($BL29=1,SUM('Final Calculation Sheet'!$X$4:$X$40)-SUMIFS('Final Calculation Sheet'!$X$4:$X$40,$AZ$5:$AZ$41,10),SUMIFS('Final Calculation Sheet'!$X$4:$X$40,$AZ$5:$AZ$41,$BH29))),""))</f>
        <v/>
      </c>
      <c r="Z30" s="70">
        <f>IF($BJ29&gt;0,IF(INDEX('Final Calculation Sheet'!$Y$4:$Y$40,$BJ29-3)="","",INDEX('Final Calculation Sheet'!$Y$4:$Y$40,$BJ29-3)),IF(OR($BI29=1,$BL29=1,$BH29&gt;0),"–",""))</f>
        <v/>
      </c>
      <c r="AA30" s="70">
        <f>IF($BJ29&gt;0,IF(INDEX('Final Calculation Sheet'!$Z$4:$Z$40,$BJ29-3)="","",INDEX('Final Calculation Sheet'!$Z$4:$Z$40,$BJ29-3)),IF(OR($BI29=1,$BL29=1,$BH29&gt;0),IF($BI29=1,SUM('Final Calculation Sheet'!$Z$4:$Z$40),IF($BL29=1,SUM('Final Calculation Sheet'!$Z$4:$Z$40)-SUMIFS('Final Calculation Sheet'!$Z$4:$Z$40,$AZ$5:$AZ$41,10),SUMIFS('Final Calculation Sheet'!$Z$4:$Z$40,$AZ$5:$AZ$41,$BH29))),""))</f>
        <v/>
      </c>
      <c r="AB30" s="70">
        <f>IF($BJ29&gt;0,IF(INDEX('Final Calculation Sheet'!$AA$4:$AA$40,$BJ29-3)="","",INDEX('Final Calculation Sheet'!$AA$4:$AA$40,$BJ29-3)),IF(OR($BI29=1,$BL29=1,$BH29&gt;0),IF($BI29=1,SUM('Final Calculation Sheet'!$AA$4:$AA$40),IF($BL29=1,SUM('Final Calculation Sheet'!$AA$4:$AA$40)-SUMIFS('Final Calculation Sheet'!$AA$4:$AA$40,$AZ$5:$AZ$41,10),SUMIFS('Final Calculation Sheet'!$AA$4:$AA$40,$AZ$5:$AZ$41,$BH29))),""))</f>
        <v/>
      </c>
      <c r="AC30" s="70">
        <f>IF($BJ29&gt;0,IF(INDEX('Final Calculation Sheet'!$AB$4:$AB$40,$BJ29-3)="","",INDEX('Final Calculation Sheet'!$AB$4:$AB$40,$BJ29-3)),IF(OR($BI29=1,$BL29=1,$BH29&gt;0),"–",""))</f>
        <v/>
      </c>
      <c r="AD30" s="70">
        <f>IF($BJ29&gt;0,IF(INDEX('Final Calculation Sheet'!$AC$4:$AC$40,$BJ29-3)="","",INDEX('Final Calculation Sheet'!$AC$4:$AC$40,$BJ29-3)),IF(OR($BI29=1,$BL29=1,$BH29&gt;0),IF($BI29=1,SUM('Final Calculation Sheet'!$AC$4:$AC$40),IF($BL29=1,SUM('Final Calculation Sheet'!$AC$4:$AC$40)-SUMIFS('Final Calculation Sheet'!$AC$4:$AC$40,$AZ$5:$AZ$41,10),SUMIFS('Final Calculation Sheet'!$AC$4:$AC$40,$AZ$5:$AZ$41,$BH29))),""))</f>
        <v/>
      </c>
      <c r="AE30" s="70">
        <f>IF($BJ29&gt;0,IF(INDEX('Final Calculation Sheet'!$AD$4:$AD$40,$BJ29-3)="","",INDEX('Final Calculation Sheet'!$AD$4:$AD$40,$BJ29-3)),IF(OR($BI29=1,$BL29=1,$BH29&gt;0),IF($BI29=1,SUM('Final Calculation Sheet'!$AD$4:$AD$40),IF($BL29=1,SUM('Final Calculation Sheet'!$AD$4:$AD$40)-SUMIFS('Final Calculation Sheet'!$AD$4:$AD$40,$AZ$5:$AZ$41,10),SUMIFS('Final Calculation Sheet'!$AD$4:$AD$40,$AZ$5:$AZ$41,$BH29))),""))</f>
        <v/>
      </c>
      <c r="AF30" s="70">
        <f>IF($BJ29&gt;0,IF(INDEX('Final Calculation Sheet'!$AE$4:$AE$40,$BJ29-3)="","",INDEX('Final Calculation Sheet'!$AE$4:$AE$40,$BJ29-3)),IF(OR($BI29=1,$BL29=1,$BH29&gt;0),"–",""))</f>
        <v/>
      </c>
      <c r="AG30" s="74">
        <f>IF($BJ29&gt;0,IF(INDEX('Final Calculation Sheet'!$AF$4:$AF$40,$BJ29-3)="","",INDEX('Final Calculation Sheet'!$AF$4:$AF$40,$BJ29-3)),IF(OR($BI29=1,$BL29=1,$BH29&gt;0),"–",""))</f>
        <v/>
      </c>
      <c r="AH30" s="70">
        <f>IF($BJ29&gt;0,IF(INDEX('Final Calculation Sheet'!$AG$4:$AG$40,$BJ29-3)="","",INDEX('Final Calculation Sheet'!$AG$4:$AG$40,$BJ29-3)),IF(OR($BI29=1,$BL29=1,$BH29&gt;0),"–",""))</f>
        <v/>
      </c>
      <c r="AI30" s="75">
        <f>IF($BJ29&gt;0,IF(INDEX('Final Calculation Sheet'!$AD$4:$AD$40,$BJ29-3)="","",IF(INDEX('Final Calculation Sheet'!$AD$4:$AD$40,$BJ29-3)&lt;=0,"SETTLED","OUTSTANDING")),IF(OR($BI29=1,$BL29=1,$BH29&gt;0),IF(IF($BI29=1,SUM('Final Calculation Sheet'!$AD$4:$AD$40),IF($BL29=1,SUM('Final Calculation Sheet'!$AD$4:$AD$40)-SUMIFS('Final Calculation Sheet'!$AD$4:$AD$40,$AZ$5:$AZ$41,10),SUMIFS('Final Calculation Sheet'!$AD$4:$AD$40,$AZ$5:$AZ$41,$BH29)))&lt;=0,"ALL SETTLED","OUTSTANDING"),""))</f>
        <v/>
      </c>
      <c r="AK30">
        <f>IF($F$3="Lot No.",'Final Calculation Sheet'!$F$29,IF($F$3="Buyer",'Final Calculation Sheet'!$G$29,IF($F$3="Lot Name",'Final Calculation Sheet'!$B$29,IF($F$3="Bid Sheet",'Final Calculation Sheet'!$D$29,IF($F$3="Unit",'Final Calculation Sheet'!$E$29,'Final Calculation Sheet'!$F$29&amp;" "&amp;'Final Calculation Sheet'!$G$29&amp;" "&amp;'Final Calculation Sheet'!$B$29)))))</f>
        <v/>
      </c>
      <c r="AM30">
        <f>IF(COUNTIF($BM30:$CU30,0)&gt;0,0,IF($B$3="",1,IF(AND(IF(COUNTIF($AR$9:$AY$9,1)=0,TRUE,SUMPRODUCT(($AR$9:$AY$9=1)*($AR$6:$AY$6&lt;&gt;"")*ISNUMBER(SEARCH($AR$6:$AY$6,$AK30)))&gt;0),IF(COUNTIF($AR$9:$AY$9,2)=0,TRUE,SUMPRODUCT(($AR$9:$AY$9=2)*($AR$6:$AY$6&lt;&gt;"")*ISNUMBER(SEARCH($AR$6:$AY$6,$AK30)))&gt;0),IF(COUNTIF($AR$9:$AY$9,3)=0,TRUE,SUMPRODUCT(($AR$9:$AY$9=3)*($AR$6:$AY$6&lt;&gt;"")*ISNUMBER(SEARCH($AR$6:$AY$6,$AK30)))&gt;0),IF(COUNTIF($AR$9:$AY$9,4)=0,TRUE,SUMPRODUCT(($AR$9:$AY$9=4)*($AR$6:$AY$6&lt;&gt;"")*ISNUMBER(SEARCH($AR$6:$AY$6,$AK30)))&gt;0),IF(COUNTIF($AR$9:$AY$9,5)=0,TRUE,SUMPRODUCT(($AR$9:$AY$9=5)*($AR$6:$AY$6&lt;&gt;"")*ISNUMBER(SEARCH($AR$6:$AY$6,$AK30)))&gt;0),IF(COUNTIF($AR$9:$AY$9,6)=0,TRUE,SUMPRODUCT(($AR$9:$AY$9=6)*($AR$6:$AY$6&lt;&gt;"")*ISNUMBER(SEARCH($AR$6:$AY$6,$AK30)))&gt;0),IF(COUNTIF($AR$9:$AY$9,7)=0,TRUE,SUMPRODUCT(($AR$9:$AY$9=7)*($AR$6:$AY$6&lt;&gt;"")*ISNUMBER(SEARCH($AR$6:$AY$6,$AK30)))&gt;0),IF(COUNTIF($AR$9:$AY$9,8)=0,TRUE,SUMPRODUCT(($AR$9:$AY$9=8)*($AR$6:$AY$6&lt;&gt;"")*ISNUMBER(SEARCH($AR$6:$AY$6,$AK30)))&gt;0)),1,0)))</f>
        <v/>
      </c>
      <c r="AZ30">
        <f>IF($B$3="",IF(COUNTIF($A$4:$AI$4,"&lt;&gt;")=0,9,IF($AM30=1,9,10)),IF($AM30=0,10,IF(AND($AR$6&lt;&gt;"",ISNUMBER(SEARCH($AR$6,$AK30))),1,IF(AND($AS$6&lt;&gt;"",ISNUMBER(SEARCH($AS$6,$AK30))),2,IF(AND($AT$6&lt;&gt;"",ISNUMBER(SEARCH($AT$6,$AK30))),3,IF(AND($AU$6&lt;&gt;"",ISNUMBER(SEARCH($AU$6,$AK30))),4,IF(AND($AV$6&lt;&gt;"",ISNUMBER(SEARCH($AV$6,$AK30))),5,IF(AND($AW$6&lt;&gt;"",ISNUMBER(SEARCH($AW$6,$AK30))),6,IF(AND($AX$6&lt;&gt;"",ISNUMBER(SEARCH($AX$6,$AK30))),7,IF(AND($AY$6&lt;&gt;"",ISNUMBER(SEARCH($AY$6,$AK30))),8,0))))))))))</f>
        <v/>
      </c>
      <c r="BA30">
        <f>SUMPRODUCT(($AZ$5:$AZ$41=$AZ30)*($BC$5:$BC$41&lt;$BC30))+1</f>
        <v/>
      </c>
      <c r="BB30">
        <f>IF(INDEX($BF$4:$BF$13,$AZ30)=0,0,INDEX($BE$4:$BE$13,$AZ30)+$BA30-1)</f>
        <v/>
      </c>
      <c r="BC30" t="n">
        <v>29</v>
      </c>
      <c r="BH30">
        <f>IFERROR(MATCH(30,$BF$4:$BF$13,0),0)</f>
        <v/>
      </c>
      <c r="BI30">
        <f>IF(30=$BG$5,1,0)</f>
        <v/>
      </c>
      <c r="BJ30">
        <f>IF(OR($BH30&gt;0,$BI30=1,$BL30=1),0,IFERROR(INDEX($BC$5:$BC$41,MATCH(30,$BB$5:$BB$41,0)),0))</f>
        <v/>
      </c>
      <c r="BK30">
        <f>IF($BJ30&gt;0,IF(INDEX($AZ$5:$AZ$41,MATCH(30,$BB$5:$BB$41,0))=10,1,0),IF($BH30=10,1,0))</f>
        <v/>
      </c>
      <c r="BL30">
        <f>IF(30=$BG$4,1,0)</f>
        <v/>
      </c>
      <c r="BM3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0">
        <f>IF($B$4="",1,--(OR(SUMPRODUCT(--(TRIM(MID(SUBSTITUTE(SUBSTITUTE($B$4,"/",","),",",REPT(" ",99)),(ROW($1:$8)-1)*99+1,99))&lt;&gt;""),--ISNUMBER(SEARCH(TRIM(MID(SUBSTITUTE(SUBSTITUTE($B$4,"/",","),",",REPT(" ",99)),(ROW($1:$8)-1)*99+1,99)),IFERROR(('Final Calculation Sheet'!$F$29)&amp;"",""))))&gt;0,AND(ISNUMBER(SEARCH("blank",$B$4)),NOT(ISNUMBER(SEARCH("nonblank",$B$4))),IFERROR(('Final Calculation Sheet'!$F$29)&amp;"","")=""),AND(OR(ISNUMBER(SEARCH("nonblank",$B$4)),ISNUMBER(SEARCH("&lt;&gt;",$B$4))),IFERROR(('Final Calculation Sheet'!$F$29)&amp;"","")&lt;&gt;""),AND(TRIM($B$4)="",IFERROR(('Final Calculation Sheet'!$F$29)&amp;"","")=""))))</f>
        <v/>
      </c>
      <c r="BO30">
        <f>IF($C$4="",1,--(OR(SUMPRODUCT(--(TRIM(MID(SUBSTITUTE(SUBSTITUTE($C$4,"/",","),",",REPT(" ",99)),(ROW($1:$8)-1)*99+1,99))&lt;&gt;""),--ISNUMBER(SEARCH(TRIM(MID(SUBSTITUTE(SUBSTITUTE($C$4,"/",","),",",REPT(" ",99)),(ROW($1:$8)-1)*99+1,99)),IFERROR(('Final Calculation Sheet'!$G$29)&amp;"",""))))&gt;0,AND(ISNUMBER(SEARCH("blank",$C$4)),NOT(ISNUMBER(SEARCH("nonblank",$C$4))),IFERROR(('Final Calculation Sheet'!$G$29)&amp;"","")=""),AND(OR(ISNUMBER(SEARCH("nonblank",$C$4)),ISNUMBER(SEARCH("&lt;&gt;",$C$4))),IFERROR(('Final Calculation Sheet'!$G$29)&amp;"","")&lt;&gt;""),AND(TRIM($C$4)="",IFERROR(('Final Calculation Sheet'!$G$29)&amp;"","")=""))))</f>
        <v/>
      </c>
      <c r="BP30">
        <f>IF($D$4="",1,--(OR(SUMPRODUCT(--(TRIM(MID(SUBSTITUTE(SUBSTITUTE($D$4,"/",","),",",REPT(" ",99)),(ROW($1:$8)-1)*99+1,99))&lt;&gt;""),--ISNUMBER(SEARCH(TRIM(MID(SUBSTITUTE(SUBSTITUTE($D$4,"/",","),",",REPT(" ",99)),(ROW($1:$8)-1)*99+1,99)),IFERROR(('Final Calculation Sheet'!$B$29)&amp;"",""))))&gt;0,AND(ISNUMBER(SEARCH("blank",$D$4)),NOT(ISNUMBER(SEARCH("nonblank",$D$4))),IFERROR(('Final Calculation Sheet'!$B$29)&amp;"","")=""),AND(OR(ISNUMBER(SEARCH("nonblank",$D$4)),ISNUMBER(SEARCH("&lt;&gt;",$D$4))),IFERROR(('Final Calculation Sheet'!$B$29)&amp;"","")&lt;&gt;""),AND(TRIM($D$4)="",IFERROR(('Final Calculation Sheet'!$B$29)&amp;"","")=""))))</f>
        <v/>
      </c>
      <c r="BQ30">
        <f>IF($E$4="",1,--(OR(SUMPRODUCT(--(TRIM(MID(SUBSTITUTE(SUBSTITUTE($E$4,"/",","),",",REPT(" ",99)),(ROW($1:$8)-1)*99+1,99))&lt;&gt;""),--ISNUMBER(SEARCH(TRIM(MID(SUBSTITUTE(SUBSTITUTE($E$4,"/",","),",",REPT(" ",99)),(ROW($1:$8)-1)*99+1,99)),IFERROR(('Final Calculation Sheet'!$D$29)&amp;"",""))))&gt;0,AND(ISNUMBER(SEARCH("blank",$E$4)),NOT(ISNUMBER(SEARCH("nonblank",$E$4))),IFERROR(('Final Calculation Sheet'!$D$29)&amp;"","")=""),AND(OR(ISNUMBER(SEARCH("nonblank",$E$4)),ISNUMBER(SEARCH("&lt;&gt;",$E$4))),IFERROR(('Final Calculation Sheet'!$D$29)&amp;"","")&lt;&gt;""),AND(TRIM($E$4)="",IFERROR(('Final Calculation Sheet'!$D$29)&amp;"","")=""))))</f>
        <v/>
      </c>
      <c r="BR30">
        <f>IF($F$4="",1,--(OR(SUMPRODUCT(--(TRIM(MID(SUBSTITUTE(SUBSTITUTE($F$4,"/",","),",",REPT(" ",99)),(ROW($1:$8)-1)*99+1,99))&lt;&gt;""),--ISNUMBER(SEARCH(TRIM(MID(SUBSTITUTE(SUBSTITUTE($F$4,"/",","),",",REPT(" ",99)),(ROW($1:$8)-1)*99+1,99)),IFERROR(('Final Calculation Sheet'!$A$29)&amp;"",""))))&gt;0,AND(ISNUMBER(SEARCH("blank",$F$4)),NOT(ISNUMBER(SEARCH("nonblank",$F$4))),IFERROR(('Final Calculation Sheet'!$A$29)&amp;"","")=""),AND(OR(ISNUMBER(SEARCH("nonblank",$F$4)),ISNUMBER(SEARCH("&lt;&gt;",$F$4))),IFERROR(('Final Calculation Sheet'!$A$29)&amp;"","")&lt;&gt;""),AND(TRIM($F$4)="",IFERROR(('Final Calculation Sheet'!$A$29)&amp;"","")=""))))</f>
        <v/>
      </c>
      <c r="BS30">
        <f>IF($G$4="",1,--(OR(SUMPRODUCT(--(TRIM(MID(SUBSTITUTE(SUBSTITUTE($G$4,"/",","),",",REPT(" ",99)),(ROW($1:$8)-1)*99+1,99))&lt;&gt;""),--ISNUMBER(SEARCH(TRIM(MID(SUBSTITUTE(SUBSTITUTE($G$4,"/",","),",",REPT(" ",99)),(ROW($1:$8)-1)*99+1,99)),IFERROR(('Final Calculation Sheet'!$E$29)&amp;"",""))))&gt;0,AND(ISNUMBER(SEARCH("blank",$G$4)),NOT(ISNUMBER(SEARCH("nonblank",$G$4))),IFERROR(('Final Calculation Sheet'!$E$29)&amp;"","")=""),AND(OR(ISNUMBER(SEARCH("nonblank",$G$4)),ISNUMBER(SEARCH("&lt;&gt;",$G$4))),IFERROR(('Final Calculation Sheet'!$E$29)&amp;"","")&lt;&gt;""),AND(TRIM($G$4)="",IFERROR(('Final Calculation Sheet'!$E$29)&amp;"","")=""))))</f>
        <v/>
      </c>
      <c r="BT30">
        <f>IF($H$4="",1,--(OR(SUMPRODUCT(--(TRIM(MID(SUBSTITUTE(SUBSTITUTE($H$4,"/",","),",",REPT(" ",99)),(ROW($1:$8)-1)*99+1,99))&lt;&gt;""),--ISNUMBER(SEARCH(TRIM(MID(SUBSTITUTE(SUBSTITUTE($H$4,"/",","),",",REPT(" ",99)),(ROW($1:$8)-1)*99+1,99)),IFERROR(('Final Calculation Sheet'!$C$29)&amp;"",""))))&gt;0,AND(ISNUMBER(SEARCH("blank",$H$4)),NOT(ISNUMBER(SEARCH("nonblank",$H$4))),IFERROR(('Final Calculation Sheet'!$C$29)&amp;"","")=""),AND(OR(ISNUMBER(SEARCH("nonblank",$H$4)),ISNUMBER(SEARCH("&lt;&gt;",$H$4))),IFERROR(('Final Calculation Sheet'!$C$29)&amp;"","")&lt;&gt;""),AND(TRIM($H$4)="",IFERROR(('Final Calculation Sheet'!$C$29)&amp;"","")=""))))</f>
        <v/>
      </c>
      <c r="BU30">
        <f>IF($I$4="",1,--(OR(SUMPRODUCT(--(TRIM(MID(SUBSTITUTE(SUBSTITUTE($I$4,"/",","),",",REPT(" ",99)),(ROW($1:$8)-1)*99+1,99))&lt;&gt;""),--ISNUMBER(SEARCH(TRIM(MID(SUBSTITUTE(SUBSTITUTE($I$4,"/",","),",",REPT(" ",99)),(ROW($1:$8)-1)*99+1,99)),IFERROR(('Final Calculation Sheet'!$H$29)&amp;"",""))))&gt;0,AND(ISNUMBER(SEARCH("blank",$I$4)),NOT(ISNUMBER(SEARCH("nonblank",$I$4))),IFERROR(('Final Calculation Sheet'!$H$29)&amp;"","")=""),AND(OR(ISNUMBER(SEARCH("nonblank",$I$4)),ISNUMBER(SEARCH("&lt;&gt;",$I$4))),IFERROR(('Final Calculation Sheet'!$H$29)&amp;"","")&lt;&gt;""),AND(TRIM($I$4)="",IFERROR(('Final Calculation Sheet'!$H$29)&amp;"","")=""))))</f>
        <v/>
      </c>
      <c r="BV30">
        <f>IF($J$4="",1,--(OR(SUMPRODUCT(--(TRIM(MID(SUBSTITUTE(SUBSTITUTE($J$4,"/",","),",",REPT(" ",99)),(ROW($1:$8)-1)*99+1,99))&lt;&gt;""),--ISNUMBER(SEARCH(TRIM(MID(SUBSTITUTE(SUBSTITUTE($J$4,"/",","),",",REPT(" ",99)),(ROW($1:$8)-1)*99+1,99)),IFERROR(('Final Calculation Sheet'!$I$29)&amp;"",""))))&gt;0,AND(ISNUMBER(SEARCH("blank",$J$4)),NOT(ISNUMBER(SEARCH("nonblank",$J$4))),IFERROR(('Final Calculation Sheet'!$I$29)&amp;"","")=""),AND(OR(ISNUMBER(SEARCH("nonblank",$J$4)),ISNUMBER(SEARCH("&lt;&gt;",$J$4))),IFERROR(('Final Calculation Sheet'!$I$29)&amp;"","")&lt;&gt;""),AND(TRIM($J$4)="",IFERROR(('Final Calculation Sheet'!$I$29)&amp;"","")=""))))</f>
        <v/>
      </c>
      <c r="BW30">
        <f>IF($K$4="",1,--(OR(SUMPRODUCT(--(TRIM(MID(SUBSTITUTE(SUBSTITUTE($K$4,"/",","),",",REPT(" ",99)),(ROW($1:$8)-1)*99+1,99))&lt;&gt;""),--ISNUMBER(SEARCH(TRIM(MID(SUBSTITUTE(SUBSTITUTE($K$4,"/",","),",",REPT(" ",99)),(ROW($1:$8)-1)*99+1,99)),IFERROR(('Final Calculation Sheet'!$J$29)&amp;"",""))))&gt;0,AND(ISNUMBER(SEARCH("blank",$K$4)),NOT(ISNUMBER(SEARCH("nonblank",$K$4))),IFERROR(('Final Calculation Sheet'!$J$29)&amp;"","")=""),AND(OR(ISNUMBER(SEARCH("nonblank",$K$4)),ISNUMBER(SEARCH("&lt;&gt;",$K$4))),IFERROR(('Final Calculation Sheet'!$J$29)&amp;"","")&lt;&gt;""),AND(TRIM($K$4)="",IFERROR(('Final Calculation Sheet'!$J$29)&amp;"","")=""))))</f>
        <v/>
      </c>
      <c r="BX30">
        <f>IF($L$4="",1,--(OR(SUMPRODUCT(--(TRIM(MID(SUBSTITUTE(SUBSTITUTE($L$4,"/",","),",",REPT(" ",99)),(ROW($1:$8)-1)*99+1,99))&lt;&gt;""),--ISNUMBER(SEARCH(TRIM(MID(SUBSTITUTE(SUBSTITUTE($L$4,"/",","),",",REPT(" ",99)),(ROW($1:$8)-1)*99+1,99)),IFERROR(('Final Calculation Sheet'!$K$29)&amp;"",""))))&gt;0,AND(ISNUMBER(SEARCH("blank",$L$4)),NOT(ISNUMBER(SEARCH("nonblank",$L$4))),IFERROR(('Final Calculation Sheet'!$K$29)&amp;"","")=""),AND(OR(ISNUMBER(SEARCH("nonblank",$L$4)),ISNUMBER(SEARCH("&lt;&gt;",$L$4))),IFERROR(('Final Calculation Sheet'!$K$29)&amp;"","")&lt;&gt;""),AND(TRIM($L$4)="",IFERROR(('Final Calculation Sheet'!$K$29)&amp;"","")=""))))</f>
        <v/>
      </c>
      <c r="BY30">
        <f>IF($M$4="",1,--(OR(SUMPRODUCT(--(TRIM(MID(SUBSTITUTE(SUBSTITUTE($M$4,"/",","),",",REPT(" ",99)),(ROW($1:$8)-1)*99+1,99))&lt;&gt;""),--ISNUMBER(SEARCH(TRIM(MID(SUBSTITUTE(SUBSTITUTE($M$4,"/",","),",",REPT(" ",99)),(ROW($1:$8)-1)*99+1,99)),IFERROR(('Final Calculation Sheet'!$L$29)&amp;"",""))))&gt;0,AND(ISNUMBER(SEARCH("blank",$M$4)),NOT(ISNUMBER(SEARCH("nonblank",$M$4))),IFERROR(('Final Calculation Sheet'!$L$29)&amp;"","")=""),AND(OR(ISNUMBER(SEARCH("nonblank",$M$4)),ISNUMBER(SEARCH("&lt;&gt;",$M$4))),IFERROR(('Final Calculation Sheet'!$L$29)&amp;"","")&lt;&gt;""),AND(TRIM($M$4)="",IFERROR(('Final Calculation Sheet'!$L$29)&amp;"","")=""))))</f>
        <v/>
      </c>
      <c r="BZ30">
        <f>IF($N$4="",1,--(OR(SUMPRODUCT(--(TRIM(MID(SUBSTITUTE(SUBSTITUTE($N$4,"/",","),",",REPT(" ",99)),(ROW($1:$8)-1)*99+1,99))&lt;&gt;""),--ISNUMBER(SEARCH(TRIM(MID(SUBSTITUTE(SUBSTITUTE($N$4,"/",","),",",REPT(" ",99)),(ROW($1:$8)-1)*99+1,99)),IFERROR(('Final Calculation Sheet'!$M$29)&amp;"",""))))&gt;0,AND(ISNUMBER(SEARCH("blank",$N$4)),NOT(ISNUMBER(SEARCH("nonblank",$N$4))),IFERROR(('Final Calculation Sheet'!$M$29)&amp;"","")=""),AND(OR(ISNUMBER(SEARCH("nonblank",$N$4)),ISNUMBER(SEARCH("&lt;&gt;",$N$4))),IFERROR(('Final Calculation Sheet'!$M$29)&amp;"","")&lt;&gt;""),AND(TRIM($N$4)="",IFERROR(('Final Calculation Sheet'!$M$29)&amp;"","")=""))))</f>
        <v/>
      </c>
      <c r="CA30">
        <f>IF($O$4="",1,--(OR(SUMPRODUCT(--(TRIM(MID(SUBSTITUTE(SUBSTITUTE($O$4,"/",","),",",REPT(" ",99)),(ROW($1:$8)-1)*99+1,99))&lt;&gt;""),--ISNUMBER(SEARCH(TRIM(MID(SUBSTITUTE(SUBSTITUTE($O$4,"/",","),",",REPT(" ",99)),(ROW($1:$8)-1)*99+1,99)),IFERROR(('Final Calculation Sheet'!$N$29)&amp;"",""))))&gt;0,AND(ISNUMBER(SEARCH("blank",$O$4)),NOT(ISNUMBER(SEARCH("nonblank",$O$4))),IFERROR(('Final Calculation Sheet'!$N$29)&amp;"","")=""),AND(OR(ISNUMBER(SEARCH("nonblank",$O$4)),ISNUMBER(SEARCH("&lt;&gt;",$O$4))),IFERROR(('Final Calculation Sheet'!$N$29)&amp;"","")&lt;&gt;""),AND(TRIM($O$4)="",IFERROR(('Final Calculation Sheet'!$N$29)&amp;"","")=""))))</f>
        <v/>
      </c>
      <c r="CB30">
        <f>IF($P$4="",1,--(OR(SUMPRODUCT(--(TRIM(MID(SUBSTITUTE(SUBSTITUTE($P$4,"/",","),",",REPT(" ",99)),(ROW($1:$8)-1)*99+1,99))&lt;&gt;""),--ISNUMBER(SEARCH(TRIM(MID(SUBSTITUTE(SUBSTITUTE($P$4,"/",","),",",REPT(" ",99)),(ROW($1:$8)-1)*99+1,99)),IFERROR(('Final Calculation Sheet'!$O$29)&amp;"",""))))&gt;0,AND(ISNUMBER(SEARCH("blank",$P$4)),NOT(ISNUMBER(SEARCH("nonblank",$P$4))),IFERROR(('Final Calculation Sheet'!$O$29)&amp;"","")=""),AND(OR(ISNUMBER(SEARCH("nonblank",$P$4)),ISNUMBER(SEARCH("&lt;&gt;",$P$4))),IFERROR(('Final Calculation Sheet'!$O$29)&amp;"","")&lt;&gt;""),AND(TRIM($P$4)="",IFERROR(('Final Calculation Sheet'!$O$29)&amp;"","")=""))))</f>
        <v/>
      </c>
      <c r="CC30">
        <f>IF($Q$4="",1,--(OR(SUMPRODUCT(--(TRIM(MID(SUBSTITUTE(SUBSTITUTE($Q$4,"/",","),",",REPT(" ",99)),(ROW($1:$8)-1)*99+1,99))&lt;&gt;""),--ISNUMBER(SEARCH(TRIM(MID(SUBSTITUTE(SUBSTITUTE($Q$4,"/",","),",",REPT(" ",99)),(ROW($1:$8)-1)*99+1,99)),IFERROR(('Final Calculation Sheet'!$P$29)&amp;"",""))))&gt;0,AND(ISNUMBER(SEARCH("blank",$Q$4)),NOT(ISNUMBER(SEARCH("nonblank",$Q$4))),IFERROR(('Final Calculation Sheet'!$P$29)&amp;"","")=""),AND(OR(ISNUMBER(SEARCH("nonblank",$Q$4)),ISNUMBER(SEARCH("&lt;&gt;",$Q$4))),IFERROR(('Final Calculation Sheet'!$P$29)&amp;"","")&lt;&gt;""),AND(TRIM($Q$4)="",IFERROR(('Final Calculation Sheet'!$P$29)&amp;"","")=""))))</f>
        <v/>
      </c>
      <c r="CD30">
        <f>IF($R$4="",1,--(OR(SUMPRODUCT(--(TRIM(MID(SUBSTITUTE(SUBSTITUTE($R$4,"/",","),",",REPT(" ",99)),(ROW($1:$8)-1)*99+1,99))&lt;&gt;""),--ISNUMBER(SEARCH(TRIM(MID(SUBSTITUTE(SUBSTITUTE($R$4,"/",","),",",REPT(" ",99)),(ROW($1:$8)-1)*99+1,99)),IFERROR(('Final Calculation Sheet'!$Q$29)&amp;"",""))))&gt;0,AND(ISNUMBER(SEARCH("blank",$R$4)),NOT(ISNUMBER(SEARCH("nonblank",$R$4))),IFERROR(('Final Calculation Sheet'!$Q$29)&amp;"","")=""),AND(OR(ISNUMBER(SEARCH("nonblank",$R$4)),ISNUMBER(SEARCH("&lt;&gt;",$R$4))),IFERROR(('Final Calculation Sheet'!$Q$29)&amp;"","")&lt;&gt;""),AND(TRIM($R$4)="",IFERROR(('Final Calculation Sheet'!$Q$29)&amp;"","")=""))))</f>
        <v/>
      </c>
      <c r="CE30">
        <f>IF($S$4="",1,--(OR(SUMPRODUCT(--(TRIM(MID(SUBSTITUTE(SUBSTITUTE($S$4,"/",","),",",REPT(" ",99)),(ROW($1:$8)-1)*99+1,99))&lt;&gt;""),--ISNUMBER(SEARCH(TRIM(MID(SUBSTITUTE(SUBSTITUTE($S$4,"/",","),",",REPT(" ",99)),(ROW($1:$8)-1)*99+1,99)),IFERROR(('Final Calculation Sheet'!$R$29)&amp;"",""))))&gt;0,AND(ISNUMBER(SEARCH("blank",$S$4)),NOT(ISNUMBER(SEARCH("nonblank",$S$4))),IFERROR(('Final Calculation Sheet'!$R$29)&amp;"","")=""),AND(OR(ISNUMBER(SEARCH("nonblank",$S$4)),ISNUMBER(SEARCH("&lt;&gt;",$S$4))),IFERROR(('Final Calculation Sheet'!$R$29)&amp;"","")&lt;&gt;""),AND(TRIM($S$4)="",IFERROR(('Final Calculation Sheet'!$R$29)&amp;"","")=""))))</f>
        <v/>
      </c>
      <c r="CF30">
        <f>IF($T$4="",1,--(OR(SUMPRODUCT(--(TRIM(MID(SUBSTITUTE(SUBSTITUTE($T$4,"/",","),",",REPT(" ",99)),(ROW($1:$8)-1)*99+1,99))&lt;&gt;""),--ISNUMBER(SEARCH(TRIM(MID(SUBSTITUTE(SUBSTITUTE($T$4,"/",","),",",REPT(" ",99)),(ROW($1:$8)-1)*99+1,99)),IFERROR(('Final Calculation Sheet'!$S$29)&amp;"",""))))&gt;0,AND(ISNUMBER(SEARCH("blank",$T$4)),NOT(ISNUMBER(SEARCH("nonblank",$T$4))),IFERROR(('Final Calculation Sheet'!$S$29)&amp;"","")=""),AND(OR(ISNUMBER(SEARCH("nonblank",$T$4)),ISNUMBER(SEARCH("&lt;&gt;",$T$4))),IFERROR(('Final Calculation Sheet'!$S$29)&amp;"","")&lt;&gt;""),AND(TRIM($T$4)="",IFERROR(('Final Calculation Sheet'!$S$29)&amp;"","")=""))))</f>
        <v/>
      </c>
      <c r="CG30">
        <f>IF($U$4="",1,--(OR(SUMPRODUCT(--(TRIM(MID(SUBSTITUTE(SUBSTITUTE($U$4,"/",","),",",REPT(" ",99)),(ROW($1:$8)-1)*99+1,99))&lt;&gt;""),--ISNUMBER(SEARCH(TRIM(MID(SUBSTITUTE(SUBSTITUTE($U$4,"/",","),",",REPT(" ",99)),(ROW($1:$8)-1)*99+1,99)),IFERROR(('Final Calculation Sheet'!$T$29)&amp;"",""))))&gt;0,AND(ISNUMBER(SEARCH("blank",$U$4)),NOT(ISNUMBER(SEARCH("nonblank",$U$4))),IFERROR(('Final Calculation Sheet'!$T$29)&amp;"","")=""),AND(OR(ISNUMBER(SEARCH("nonblank",$U$4)),ISNUMBER(SEARCH("&lt;&gt;",$U$4))),IFERROR(('Final Calculation Sheet'!$T$29)&amp;"","")&lt;&gt;""),AND(TRIM($U$4)="",IFERROR(('Final Calculation Sheet'!$T$29)&amp;"","")=""))))</f>
        <v/>
      </c>
      <c r="CH30">
        <f>IF($V$4="",1,--(OR(SUMPRODUCT(--(TRIM(MID(SUBSTITUTE(SUBSTITUTE($V$4,"/",","),",",REPT(" ",99)),(ROW($1:$8)-1)*99+1,99))&lt;&gt;""),--ISNUMBER(SEARCH(TRIM(MID(SUBSTITUTE(SUBSTITUTE($V$4,"/",","),",",REPT(" ",99)),(ROW($1:$8)-1)*99+1,99)),IFERROR(('Final Calculation Sheet'!$U$29)&amp;"",""))))&gt;0,AND(ISNUMBER(SEARCH("blank",$V$4)),NOT(ISNUMBER(SEARCH("nonblank",$V$4))),IFERROR(('Final Calculation Sheet'!$U$29)&amp;"","")=""),AND(OR(ISNUMBER(SEARCH("nonblank",$V$4)),ISNUMBER(SEARCH("&lt;&gt;",$V$4))),IFERROR(('Final Calculation Sheet'!$U$29)&amp;"","")&lt;&gt;""),AND(TRIM($V$4)="",IFERROR(('Final Calculation Sheet'!$U$29)&amp;"","")=""))))</f>
        <v/>
      </c>
      <c r="CI30">
        <f>IF($W$4="",1,--(OR(SUMPRODUCT(--(TRIM(MID(SUBSTITUTE(SUBSTITUTE($W$4,"/",","),",",REPT(" ",99)),(ROW($1:$8)-1)*99+1,99))&lt;&gt;""),--ISNUMBER(SEARCH(TRIM(MID(SUBSTITUTE(SUBSTITUTE($W$4,"/",","),",",REPT(" ",99)),(ROW($1:$8)-1)*99+1,99)),IFERROR(('Final Calculation Sheet'!$V$29)&amp;"",""))))&gt;0,AND(ISNUMBER(SEARCH("blank",$W$4)),NOT(ISNUMBER(SEARCH("nonblank",$W$4))),IFERROR(('Final Calculation Sheet'!$V$29)&amp;"","")=""),AND(OR(ISNUMBER(SEARCH("nonblank",$W$4)),ISNUMBER(SEARCH("&lt;&gt;",$W$4))),IFERROR(('Final Calculation Sheet'!$V$29)&amp;"","")&lt;&gt;""),AND(TRIM($W$4)="",IFERROR(('Final Calculation Sheet'!$V$29)&amp;"","")=""))))</f>
        <v/>
      </c>
      <c r="CJ30">
        <f>IF($X$4="",1,--(OR(SUMPRODUCT(--(TRIM(MID(SUBSTITUTE(SUBSTITUTE($X$4,"/",","),",",REPT(" ",99)),(ROW($1:$8)-1)*99+1,99))&lt;&gt;""),--ISNUMBER(SEARCH(TRIM(MID(SUBSTITUTE(SUBSTITUTE($X$4,"/",","),",",REPT(" ",99)),(ROW($1:$8)-1)*99+1,99)),IFERROR(('Final Calculation Sheet'!$W$29)&amp;"",""))))&gt;0,AND(ISNUMBER(SEARCH("blank",$X$4)),NOT(ISNUMBER(SEARCH("nonblank",$X$4))),IFERROR(('Final Calculation Sheet'!$W$29)&amp;"","")=""),AND(OR(ISNUMBER(SEARCH("nonblank",$X$4)),ISNUMBER(SEARCH("&lt;&gt;",$X$4))),IFERROR(('Final Calculation Sheet'!$W$29)&amp;"","")&lt;&gt;""),AND(TRIM($X$4)="",IFERROR(('Final Calculation Sheet'!$W$29)&amp;"","")=""))))</f>
        <v/>
      </c>
      <c r="CK30">
        <f>IF($Y$4="",1,--(OR(SUMPRODUCT(--(TRIM(MID(SUBSTITUTE(SUBSTITUTE($Y$4,"/",","),",",REPT(" ",99)),(ROW($1:$8)-1)*99+1,99))&lt;&gt;""),--ISNUMBER(SEARCH(TRIM(MID(SUBSTITUTE(SUBSTITUTE($Y$4,"/",","),",",REPT(" ",99)),(ROW($1:$8)-1)*99+1,99)),IFERROR(('Final Calculation Sheet'!$X$29)&amp;"",""))))&gt;0,AND(ISNUMBER(SEARCH("blank",$Y$4)),NOT(ISNUMBER(SEARCH("nonblank",$Y$4))),IFERROR(('Final Calculation Sheet'!$X$29)&amp;"","")=""),AND(OR(ISNUMBER(SEARCH("nonblank",$Y$4)),ISNUMBER(SEARCH("&lt;&gt;",$Y$4))),IFERROR(('Final Calculation Sheet'!$X$29)&amp;"","")&lt;&gt;""),AND(TRIM($Y$4)="",IFERROR(('Final Calculation Sheet'!$X$29)&amp;"","")=""))))</f>
        <v/>
      </c>
      <c r="CL30">
        <f>IF($Z$4="",1,--(OR(SUMPRODUCT(--(TRIM(MID(SUBSTITUTE(SUBSTITUTE($Z$4,"/",","),",",REPT(" ",99)),(ROW($1:$8)-1)*99+1,99))&lt;&gt;""),--ISNUMBER(SEARCH(TRIM(MID(SUBSTITUTE(SUBSTITUTE($Z$4,"/",","),",",REPT(" ",99)),(ROW($1:$8)-1)*99+1,99)),IFERROR(('Final Calculation Sheet'!$Y$29)&amp;"",""))))&gt;0,AND(ISNUMBER(SEARCH("blank",$Z$4)),NOT(ISNUMBER(SEARCH("nonblank",$Z$4))),IFERROR(('Final Calculation Sheet'!$Y$29)&amp;"","")=""),AND(OR(ISNUMBER(SEARCH("nonblank",$Z$4)),ISNUMBER(SEARCH("&lt;&gt;",$Z$4))),IFERROR(('Final Calculation Sheet'!$Y$29)&amp;"","")&lt;&gt;""),AND(TRIM($Z$4)="",IFERROR(('Final Calculation Sheet'!$Y$29)&amp;"","")=""))))</f>
        <v/>
      </c>
      <c r="CM30">
        <f>IF($AA$4="",1,--(OR(SUMPRODUCT(--(TRIM(MID(SUBSTITUTE(SUBSTITUTE($AA$4,"/",","),",",REPT(" ",99)),(ROW($1:$8)-1)*99+1,99))&lt;&gt;""),--ISNUMBER(SEARCH(TRIM(MID(SUBSTITUTE(SUBSTITUTE($AA$4,"/",","),",",REPT(" ",99)),(ROW($1:$8)-1)*99+1,99)),IFERROR(('Final Calculation Sheet'!$Z$29)&amp;"",""))))&gt;0,AND(ISNUMBER(SEARCH("blank",$AA$4)),NOT(ISNUMBER(SEARCH("nonblank",$AA$4))),IFERROR(('Final Calculation Sheet'!$Z$29)&amp;"","")=""),AND(OR(ISNUMBER(SEARCH("nonblank",$AA$4)),ISNUMBER(SEARCH("&lt;&gt;",$AA$4))),IFERROR(('Final Calculation Sheet'!$Z$29)&amp;"","")&lt;&gt;""),AND(TRIM($AA$4)="",IFERROR(('Final Calculation Sheet'!$Z$29)&amp;"","")=""))))</f>
        <v/>
      </c>
      <c r="CN30">
        <f>IF($AB$4="",1,--(OR(SUMPRODUCT(--(TRIM(MID(SUBSTITUTE(SUBSTITUTE($AB$4,"/",","),",",REPT(" ",99)),(ROW($1:$8)-1)*99+1,99))&lt;&gt;""),--ISNUMBER(SEARCH(TRIM(MID(SUBSTITUTE(SUBSTITUTE($AB$4,"/",","),",",REPT(" ",99)),(ROW($1:$8)-1)*99+1,99)),IFERROR(('Final Calculation Sheet'!$AA$29)&amp;"",""))))&gt;0,AND(ISNUMBER(SEARCH("blank",$AB$4)),NOT(ISNUMBER(SEARCH("nonblank",$AB$4))),IFERROR(('Final Calculation Sheet'!$AA$29)&amp;"","")=""),AND(OR(ISNUMBER(SEARCH("nonblank",$AB$4)),ISNUMBER(SEARCH("&lt;&gt;",$AB$4))),IFERROR(('Final Calculation Sheet'!$AA$29)&amp;"","")&lt;&gt;""),AND(TRIM($AB$4)="",IFERROR(('Final Calculation Sheet'!$AA$29)&amp;"","")=""))))</f>
        <v/>
      </c>
      <c r="CO30">
        <f>IF($AC$4="",1,--(OR(SUMPRODUCT(--(TRIM(MID(SUBSTITUTE(SUBSTITUTE($AC$4,"/",","),",",REPT(" ",99)),(ROW($1:$8)-1)*99+1,99))&lt;&gt;""),--ISNUMBER(SEARCH(TRIM(MID(SUBSTITUTE(SUBSTITUTE($AC$4,"/",","),",",REPT(" ",99)),(ROW($1:$8)-1)*99+1,99)),IFERROR(('Final Calculation Sheet'!$AB$29)&amp;"",""))))&gt;0,AND(ISNUMBER(SEARCH("blank",$AC$4)),NOT(ISNUMBER(SEARCH("nonblank",$AC$4))),IFERROR(('Final Calculation Sheet'!$AB$29)&amp;"","")=""),AND(OR(ISNUMBER(SEARCH("nonblank",$AC$4)),ISNUMBER(SEARCH("&lt;&gt;",$AC$4))),IFERROR(('Final Calculation Sheet'!$AB$29)&amp;"","")&lt;&gt;""),AND(TRIM($AC$4)="",IFERROR(('Final Calculation Sheet'!$AB$29)&amp;"","")=""))))</f>
        <v/>
      </c>
      <c r="CP30">
        <f>IF($AD$4="",1,--(OR(SUMPRODUCT(--(TRIM(MID(SUBSTITUTE(SUBSTITUTE($AD$4,"/",","),",",REPT(" ",99)),(ROW($1:$8)-1)*99+1,99))&lt;&gt;""),--ISNUMBER(SEARCH(TRIM(MID(SUBSTITUTE(SUBSTITUTE($AD$4,"/",","),",",REPT(" ",99)),(ROW($1:$8)-1)*99+1,99)),IFERROR(('Final Calculation Sheet'!$AC$29)&amp;"",""))))&gt;0,AND(ISNUMBER(SEARCH("blank",$AD$4)),NOT(ISNUMBER(SEARCH("nonblank",$AD$4))),IFERROR(('Final Calculation Sheet'!$AC$29)&amp;"","")=""),AND(OR(ISNUMBER(SEARCH("nonblank",$AD$4)),ISNUMBER(SEARCH("&lt;&gt;",$AD$4))),IFERROR(('Final Calculation Sheet'!$AC$29)&amp;"","")&lt;&gt;""),AND(TRIM($AD$4)="",IFERROR(('Final Calculation Sheet'!$AC$29)&amp;"","")=""))))</f>
        <v/>
      </c>
      <c r="CQ30">
        <f>IF($AE$4="",1,--(OR(SUMPRODUCT(--(TRIM(MID(SUBSTITUTE(SUBSTITUTE($AE$4,"/",","),",",REPT(" ",99)),(ROW($1:$8)-1)*99+1,99))&lt;&gt;""),--ISNUMBER(SEARCH(TRIM(MID(SUBSTITUTE(SUBSTITUTE($AE$4,"/",","),",",REPT(" ",99)),(ROW($1:$8)-1)*99+1,99)),IFERROR(('Final Calculation Sheet'!$AD$29)&amp;"",""))))&gt;0,AND(ISNUMBER(SEARCH("blank",$AE$4)),NOT(ISNUMBER(SEARCH("nonblank",$AE$4))),IFERROR(('Final Calculation Sheet'!$AD$29)&amp;"","")=""),AND(OR(ISNUMBER(SEARCH("nonblank",$AE$4)),ISNUMBER(SEARCH("&lt;&gt;",$AE$4))),IFERROR(('Final Calculation Sheet'!$AD$29)&amp;"","")&lt;&gt;""),AND(TRIM($AE$4)="",IFERROR(('Final Calculation Sheet'!$AD$29)&amp;"","")=""))))</f>
        <v/>
      </c>
      <c r="CR30">
        <f>IF($AF$4="",1,--(OR(SUMPRODUCT(--(TRIM(MID(SUBSTITUTE(SUBSTITUTE($AF$4,"/",","),",",REPT(" ",99)),(ROW($1:$8)-1)*99+1,99))&lt;&gt;""),--ISNUMBER(SEARCH(TRIM(MID(SUBSTITUTE(SUBSTITUTE($AF$4,"/",","),",",REPT(" ",99)),(ROW($1:$8)-1)*99+1,99)),IFERROR(('Final Calculation Sheet'!$AE$29)&amp;"",""))))&gt;0,AND(ISNUMBER(SEARCH("blank",$AF$4)),NOT(ISNUMBER(SEARCH("nonblank",$AF$4))),IFERROR(('Final Calculation Sheet'!$AE$29)&amp;"","")=""),AND(OR(ISNUMBER(SEARCH("nonblank",$AF$4)),ISNUMBER(SEARCH("&lt;&gt;",$AF$4))),IFERROR(('Final Calculation Sheet'!$AE$29)&amp;"","")&lt;&gt;""),AND(TRIM($AF$4)="",IFERROR(('Final Calculation Sheet'!$AE$29)&amp;"","")=""))))</f>
        <v/>
      </c>
      <c r="CS30">
        <f>IF($AG$4="",1,--(OR(SUMPRODUCT(--(TRIM(MID(SUBSTITUTE(SUBSTITUTE($AG$4,"/",","),",",REPT(" ",99)),(ROW($1:$8)-1)*99+1,99))&lt;&gt;""),--ISNUMBER(SEARCH(TRIM(MID(SUBSTITUTE(SUBSTITUTE($AG$4,"/",","),",",REPT(" ",99)),(ROW($1:$8)-1)*99+1,99)),IFERROR(('Final Calculation Sheet'!$AF$29)&amp;"",""))))&gt;0,AND(ISNUMBER(SEARCH("blank",$AG$4)),NOT(ISNUMBER(SEARCH("nonblank",$AG$4))),IFERROR(('Final Calculation Sheet'!$AF$29)&amp;"","")=""),AND(OR(ISNUMBER(SEARCH("nonblank",$AG$4)),ISNUMBER(SEARCH("&lt;&gt;",$AG$4))),IFERROR(('Final Calculation Sheet'!$AF$29)&amp;"","")&lt;&gt;""),AND(TRIM($AG$4)="",IFERROR(('Final Calculation Sheet'!$AF$29)&amp;"","")=""))))</f>
        <v/>
      </c>
      <c r="CT30">
        <f>IF($AH$4="",1,--(OR(SUMPRODUCT(--(TRIM(MID(SUBSTITUTE(SUBSTITUTE($AH$4,"/",","),",",REPT(" ",99)),(ROW($1:$8)-1)*99+1,99))&lt;&gt;""),--ISNUMBER(SEARCH(TRIM(MID(SUBSTITUTE(SUBSTITUTE($AH$4,"/",","),",",REPT(" ",99)),(ROW($1:$8)-1)*99+1,99)),IFERROR(('Final Calculation Sheet'!$AG$29)&amp;"",""))))&gt;0,AND(ISNUMBER(SEARCH("blank",$AH$4)),NOT(ISNUMBER(SEARCH("nonblank",$AH$4))),IFERROR(('Final Calculation Sheet'!$AG$29)&amp;"","")=""),AND(OR(ISNUMBER(SEARCH("nonblank",$AH$4)),ISNUMBER(SEARCH("&lt;&gt;",$AH$4))),IFERROR(('Final Calculation Sheet'!$AG$29)&amp;"","")&lt;&gt;""),AND(TRIM($AH$4)="",IFERROR(('Final Calculation Sheet'!$AG$29)&amp;"","")=""))))</f>
        <v/>
      </c>
      <c r="CU30">
        <f>IF($AI$4="",1,--(OR(SUMPRODUCT(--(TRIM(MID(SUBSTITUTE(SUBSTITUTE($AI$4,"/",","),",",REPT(" ",99)),(ROW($1:$8)-1)*99+1,99))&lt;&gt;""),--ISNUMBER(SEARCH(TRIM(MID(SUBSTITUTE(SUBSTITUTE($AI$4,"/",","),",",REPT(" ",99)),(ROW($1:$8)-1)*99+1,99)),IFERROR((IF('Final Calculation Sheet'!$AD$29&lt;=0,"SETTLED","OUTSTANDING"))&amp;"",""))))&gt;0,AND(ISNUMBER(SEARCH("blank",$AI$4)),NOT(ISNUMBER(SEARCH("nonblank",$AI$4))),IFERROR((IF('Final Calculation Sheet'!$AD$29&lt;=0,"SETTLED","OUTSTANDING"))&amp;"","")=""),AND(OR(ISNUMBER(SEARCH("nonblank",$AI$4)),ISNUMBER(SEARCH("&lt;&gt;",$AI$4))),IFERROR((IF('Final Calculation Sheet'!$AD$29&lt;=0,"SETTLED","OUTSTANDING"))&amp;"","")&lt;&gt;""),AND(TRIM($AI$4)="",IFERROR((IF('Final Calculation Sheet'!$AD$29&lt;=0,"SETTLED","OUTSTANDING"))&amp;"","")=""))))</f>
        <v/>
      </c>
    </row>
    <row r="31" ht="15" customHeight="1" s="77">
      <c r="A31" s="67">
        <f>IF($BJ30&gt;0,INDEX($BA$5:$BA$41,MATCH(30,$BB$5:$BB$41,0)),IF(OR($BI30=1,$BL30=1,$BH30&gt;0),"∑",""))</f>
        <v/>
      </c>
      <c r="B31" s="68">
        <f>IF($BJ30&gt;0,IF(INDEX('Final Calculation Sheet'!$F$4:$F$40,$BJ30-3)="","",INDEX('Final Calculation Sheet'!$F$4:$F$40,$BJ30-3)),"")</f>
        <v/>
      </c>
      <c r="C31" s="68">
        <f>IF($BJ30&gt;0,IF(INDEX('Final Calculation Sheet'!$G$4:$G$40,$BJ30-3)="","",INDEX('Final Calculation Sheet'!$G$4:$G$40,$BJ30-3)),IF(OR($BI30=1,$BL30=1,$BH30&gt;0),IF($BI30=1,37,IF($BL30=1,37-INDEX($BD$4:$BD$13,10),INDEX($BD$4:$BD$13,$BH30)))&amp;" lot(s)",""))</f>
        <v/>
      </c>
      <c r="D31" s="69">
        <f>IF($BJ30&gt;0,IF(INDEX('Final Calculation Sheet'!$B$4:$B$40,$BJ30-3)="","",INDEX('Final Calculation Sheet'!$B$4:$B$40,$BJ30-3)),IF(OR($BI30=1,$BL30=1,$BH30&gt;0),IF($BI30=1,"GRAND TOTAL  —  matching + remaining",IF($BL30=1,"TOTAL MATCHED  —  every group together",IF($BH30=10,"REMAINING  —  did not match the search",IF($BH30=9,IF(COUNTIF($A$4:$AI$4,"&lt;&gt;")&gt;0,"FILTERED LOTS  —  column fields","ALL LOTS  —  nothing typed in the box"),"GROUP "&amp;$BH30&amp;" TOTAL  —  lots matching  "&amp;INDEX($AR$6:$AY$6,$BH30))))),""))</f>
        <v/>
      </c>
      <c r="E31" s="69">
        <f>IF($BJ30&gt;0,IF(INDEX('Final Calculation Sheet'!$D$4:$D$40,$BJ30-3)="","",INDEX('Final Calculation Sheet'!$D$4:$D$40,$BJ30-3)),IF(OR($BI30=1,$BL30=1,$BH30&gt;0),"–",""))</f>
        <v/>
      </c>
      <c r="F31" s="69">
        <f>IF($BJ30&gt;0,IF(INDEX('Final Calculation Sheet'!$A$4:$A$40,$BJ30-3)="","",INDEX('Final Calculation Sheet'!$A$4:$A$40,$BJ30-3)),IF(OR($BI30=1,$BL30=1,$BH30&gt;0),IF($BI30=1,SUM('Final Calculation Sheet'!$A$4:$A$40),IF($BL30=1,SUM('Final Calculation Sheet'!$A$4:$A$40)-SUMIFS('Final Calculation Sheet'!$A$4:$A$40,$AZ$5:$AZ$41,10),SUMIFS('Final Calculation Sheet'!$A$4:$A$40,$AZ$5:$AZ$41,$BH30))),""))</f>
        <v/>
      </c>
      <c r="G31" s="69">
        <f>IF($BJ30&gt;0,IF(INDEX('Final Calculation Sheet'!$E$4:$E$40,$BJ30-3)="","",INDEX('Final Calculation Sheet'!$E$4:$E$40,$BJ30-3)),IF(OR($BI30=1,$BL30=1,$BH30&gt;0),"–",""))</f>
        <v/>
      </c>
      <c r="H31" s="70">
        <f>IF($BJ30&gt;0,IF(INDEX('Final Calculation Sheet'!$C$4:$C$40,$BJ30-3)="","",INDEX('Final Calculation Sheet'!$C$4:$C$40,$BJ30-3)),IF(OR($BI30=1,$BL30=1,$BH30&gt;0),"–",""))</f>
        <v/>
      </c>
      <c r="I31" s="70">
        <f>IF($BJ30&gt;0,IF(INDEX('Final Calculation Sheet'!$H$4:$H$40,$BJ30-3)="","",INDEX('Final Calculation Sheet'!$H$4:$H$40,$BJ30-3)),IF(OR($BI30=1,$BL30=1,$BH30&gt;0),IF($BI30=1,SUM('Final Calculation Sheet'!$H$4:$H$40),IF($BL30=1,SUM('Final Calculation Sheet'!$H$4:$H$40)-SUMIFS('Final Calculation Sheet'!$H$4:$H$40,$AZ$5:$AZ$41,10),SUMIFS('Final Calculation Sheet'!$H$4:$H$40,$AZ$5:$AZ$41,$BH30))),""))</f>
        <v/>
      </c>
      <c r="J31" s="70">
        <f>IF($BJ30&gt;0,IF(INDEX('Final Calculation Sheet'!$I$4:$I$40,$BJ30-3)="","",INDEX('Final Calculation Sheet'!$I$4:$I$40,$BJ30-3)),IF(OR($BI30=1,$BL30=1,$BH30&gt;0),IF($BI30=1,SUM('Final Calculation Sheet'!$I$4:$I$40),IF($BL30=1,SUM('Final Calculation Sheet'!$I$4:$I$40)-SUMIFS('Final Calculation Sheet'!$I$4:$I$40,$AZ$5:$AZ$41,10),SUMIFS('Final Calculation Sheet'!$I$4:$I$40,$AZ$5:$AZ$41,$BH30))),""))</f>
        <v/>
      </c>
      <c r="K31" s="70">
        <f>IF($BJ30&gt;0,IF(INDEX('Final Calculation Sheet'!$J$4:$J$40,$BJ30-3)="","",INDEX('Final Calculation Sheet'!$J$4:$J$40,$BJ30-3)),IF(OR($BI30=1,$BL30=1,$BH30&gt;0),IF($BI30=1,SUM('Final Calculation Sheet'!$J$4:$J$40),IF($BL30=1,SUM('Final Calculation Sheet'!$J$4:$J$40)-SUMIFS('Final Calculation Sheet'!$J$4:$J$40,$AZ$5:$AZ$41,10),SUMIFS('Final Calculation Sheet'!$J$4:$J$40,$AZ$5:$AZ$41,$BH30))),""))</f>
        <v/>
      </c>
      <c r="L31" s="70">
        <f>IF($BJ30&gt;0,IF(INDEX('Final Calculation Sheet'!$K$4:$K$40,$BJ30-3)="","",INDEX('Final Calculation Sheet'!$K$4:$K$40,$BJ30-3)),IF(OR($BI30=1,$BL30=1,$BH30&gt;0),IF($BI30=1,SUM('Final Calculation Sheet'!$K$4:$K$40),IF($BL30=1,SUM('Final Calculation Sheet'!$K$4:$K$40)-SUMIFS('Final Calculation Sheet'!$K$4:$K$40,$AZ$5:$AZ$41,10),SUMIFS('Final Calculation Sheet'!$K$4:$K$40,$AZ$5:$AZ$41,$BH30))),""))</f>
        <v/>
      </c>
      <c r="M31" s="70">
        <f>IF($BJ30&gt;0,IF(INDEX('Final Calculation Sheet'!$L$4:$L$40,$BJ30-3)="","",INDEX('Final Calculation Sheet'!$L$4:$L$40,$BJ30-3)),IF(OR($BI30=1,$BL30=1,$BH30&gt;0),IF($BI30=1,SUM('Final Calculation Sheet'!$L$4:$L$40),IF($BL30=1,SUM('Final Calculation Sheet'!$L$4:$L$40)-SUMIFS('Final Calculation Sheet'!$L$4:$L$40,$AZ$5:$AZ$41,10),SUMIFS('Final Calculation Sheet'!$L$4:$L$40,$AZ$5:$AZ$41,$BH30))),""))</f>
        <v/>
      </c>
      <c r="N31" s="70">
        <f>IF($BJ30&gt;0,IF(INDEX('Final Calculation Sheet'!$M$4:$M$40,$BJ30-3)="","",INDEX('Final Calculation Sheet'!$M$4:$M$40,$BJ30-3)),IF(OR($BI30=1,$BL30=1,$BH30&gt;0),IF($BI30=1,SUM('Final Calculation Sheet'!$M$4:$M$40),IF($BL30=1,SUM('Final Calculation Sheet'!$M$4:$M$40)-SUMIFS('Final Calculation Sheet'!$M$4:$M$40,$AZ$5:$AZ$41,10),SUMIFS('Final Calculation Sheet'!$M$4:$M$40,$AZ$5:$AZ$41,$BH30))),""))</f>
        <v/>
      </c>
      <c r="O31" s="71">
        <f>IF($BJ30&gt;0,IF(INDEX('Final Calculation Sheet'!$N$4:$N$40,$BJ30-3)="","",INDEX('Final Calculation Sheet'!$N$4:$N$40,$BJ30-3)),IF(OR($BI30=1,$BL30=1,$BH30&gt;0),IF($BI30=1,SUM('Final Calculation Sheet'!$N$4:$N$40),IF($BL30=1,SUM('Final Calculation Sheet'!$N$4:$N$40)-SUMIFS('Final Calculation Sheet'!$N$4:$N$40,$AZ$5:$AZ$41,10),SUMIFS('Final Calculation Sheet'!$N$4:$N$40,$AZ$5:$AZ$41,$BH30))),""))</f>
        <v/>
      </c>
      <c r="P31" s="70">
        <f>IF($BJ30&gt;0,IF(INDEX('Final Calculation Sheet'!$O$4:$O$40,$BJ30-3)="","",INDEX('Final Calculation Sheet'!$O$4:$O$40,$BJ30-3)),IF(OR($BI30=1,$BL30=1,$BH30&gt;0),IF($BI30=1,SUM('Final Calculation Sheet'!$O$4:$O$40),IF($BL30=1,SUM('Final Calculation Sheet'!$O$4:$O$40)-SUMIFS('Final Calculation Sheet'!$O$4:$O$40,$AZ$5:$AZ$41,10),SUMIFS('Final Calculation Sheet'!$O$4:$O$40,$AZ$5:$AZ$41,$BH30))),""))</f>
        <v/>
      </c>
      <c r="Q31" s="70">
        <f>IF($BJ30&gt;0,IF(INDEX('Final Calculation Sheet'!$P$4:$P$40,$BJ30-3)="","",INDEX('Final Calculation Sheet'!$P$4:$P$40,$BJ30-3)),IF(OR($BI30=1,$BL30=1,$BH30&gt;0),IF($BI30=1,SUM('Final Calculation Sheet'!$P$4:$P$40),IF($BL30=1,SUM('Final Calculation Sheet'!$P$4:$P$40)-SUMIFS('Final Calculation Sheet'!$P$4:$P$40,$AZ$5:$AZ$41,10),SUMIFS('Final Calculation Sheet'!$P$4:$P$40,$AZ$5:$AZ$41,$BH30))),""))</f>
        <v/>
      </c>
      <c r="R31" s="72">
        <f>IF($BJ30&gt;0,IF(INDEX('Final Calculation Sheet'!$Q$4:$Q$40,$BJ30-3)="","",INDEX('Final Calculation Sheet'!$Q$4:$Q$40,$BJ30-3)),IF(OR($BI30=1,$BL30=1,$BH30&gt;0),"–",""))</f>
        <v/>
      </c>
      <c r="S31" s="70">
        <f>IF($BJ30&gt;0,IF(INDEX('Final Calculation Sheet'!$R$4:$R$40,$BJ30-3)="","",INDEX('Final Calculation Sheet'!$R$4:$R$40,$BJ30-3)),IF(OR($BI30=1,$BL30=1,$BH30&gt;0),IF($BI30=1,SUM('Final Calculation Sheet'!$R$4:$R$40),IF($BL30=1,SUM('Final Calculation Sheet'!$R$4:$R$40)-SUMIFS('Final Calculation Sheet'!$R$4:$R$40,$AZ$5:$AZ$41,10),SUMIFS('Final Calculation Sheet'!$R$4:$R$40,$AZ$5:$AZ$41,$BH30))),""))</f>
        <v/>
      </c>
      <c r="T31" s="70">
        <f>IF($BJ30&gt;0,IF(INDEX('Final Calculation Sheet'!$S$4:$S$40,$BJ30-3)="","",INDEX('Final Calculation Sheet'!$S$4:$S$40,$BJ30-3)),IF(OR($BI30=1,$BL30=1,$BH30&gt;0),IF($BI30=1,SUM('Final Calculation Sheet'!$S$4:$S$40),IF($BL30=1,SUM('Final Calculation Sheet'!$S$4:$S$40)-SUMIFS('Final Calculation Sheet'!$S$4:$S$40,$AZ$5:$AZ$41,10),SUMIFS('Final Calculation Sheet'!$S$4:$S$40,$AZ$5:$AZ$41,$BH30))),""))</f>
        <v/>
      </c>
      <c r="U31" s="70">
        <f>IF($BJ30&gt;0,IF(INDEX('Final Calculation Sheet'!$T$4:$T$40,$BJ30-3)="","",INDEX('Final Calculation Sheet'!$T$4:$T$40,$BJ30-3)),IF(OR($BI30=1,$BL30=1,$BH30&gt;0),IF($BI30=1,SUM('Final Calculation Sheet'!$T$4:$T$40),IF($BL30=1,SUM('Final Calculation Sheet'!$T$4:$T$40)-SUMIFS('Final Calculation Sheet'!$T$4:$T$40,$AZ$5:$AZ$41,10),SUMIFS('Final Calculation Sheet'!$T$4:$T$40,$AZ$5:$AZ$41,$BH30))),""))</f>
        <v/>
      </c>
      <c r="V31" s="73">
        <f>IF($BJ30&gt;0,IF(INDEX('Final Calculation Sheet'!$U$4:$U$40,$BJ30-3)="","",INDEX('Final Calculation Sheet'!$U$4:$U$40,$BJ30-3)),IF(OR($BI30=1,$BL30=1,$BH30&gt;0),IF($BI30=1,SUM('Final Calculation Sheet'!$U$4:$U$40),IF($BL30=1,SUM('Final Calculation Sheet'!$U$4:$U$40)-SUMIFS('Final Calculation Sheet'!$U$4:$U$40,$AZ$5:$AZ$41,10),SUMIFS('Final Calculation Sheet'!$U$4:$U$40,$AZ$5:$AZ$41,$BH30))),""))</f>
        <v/>
      </c>
      <c r="W31" s="70">
        <f>IF($BJ30&gt;0,IF(INDEX('Final Calculation Sheet'!$V$4:$V$40,$BJ30-3)="","",INDEX('Final Calculation Sheet'!$V$4:$V$40,$BJ30-3)),IF(OR($BI30=1,$BL30=1,$BH30&gt;0),"–",""))</f>
        <v/>
      </c>
      <c r="X31" s="70">
        <f>IF($BJ30&gt;0,IF(INDEX('Final Calculation Sheet'!$W$4:$W$40,$BJ30-3)="","",INDEX('Final Calculation Sheet'!$W$4:$W$40,$BJ30-3)),IF(OR($BI30=1,$BL30=1,$BH30&gt;0),IF($BI30=1,SUM('Final Calculation Sheet'!$W$4:$W$40),IF($BL30=1,SUM('Final Calculation Sheet'!$W$4:$W$40)-SUMIFS('Final Calculation Sheet'!$W$4:$W$40,$AZ$5:$AZ$41,10),SUMIFS('Final Calculation Sheet'!$W$4:$W$40,$AZ$5:$AZ$41,$BH30))),""))</f>
        <v/>
      </c>
      <c r="Y31" s="70">
        <f>IF($BJ30&gt;0,IF(INDEX('Final Calculation Sheet'!$X$4:$X$40,$BJ30-3)="","",INDEX('Final Calculation Sheet'!$X$4:$X$40,$BJ30-3)),IF(OR($BI30=1,$BL30=1,$BH30&gt;0),IF($BI30=1,SUM('Final Calculation Sheet'!$X$4:$X$40),IF($BL30=1,SUM('Final Calculation Sheet'!$X$4:$X$40)-SUMIFS('Final Calculation Sheet'!$X$4:$X$40,$AZ$5:$AZ$41,10),SUMIFS('Final Calculation Sheet'!$X$4:$X$40,$AZ$5:$AZ$41,$BH30))),""))</f>
        <v/>
      </c>
      <c r="Z31" s="70">
        <f>IF($BJ30&gt;0,IF(INDEX('Final Calculation Sheet'!$Y$4:$Y$40,$BJ30-3)="","",INDEX('Final Calculation Sheet'!$Y$4:$Y$40,$BJ30-3)),IF(OR($BI30=1,$BL30=1,$BH30&gt;0),"–",""))</f>
        <v/>
      </c>
      <c r="AA31" s="70">
        <f>IF($BJ30&gt;0,IF(INDEX('Final Calculation Sheet'!$Z$4:$Z$40,$BJ30-3)="","",INDEX('Final Calculation Sheet'!$Z$4:$Z$40,$BJ30-3)),IF(OR($BI30=1,$BL30=1,$BH30&gt;0),IF($BI30=1,SUM('Final Calculation Sheet'!$Z$4:$Z$40),IF($BL30=1,SUM('Final Calculation Sheet'!$Z$4:$Z$40)-SUMIFS('Final Calculation Sheet'!$Z$4:$Z$40,$AZ$5:$AZ$41,10),SUMIFS('Final Calculation Sheet'!$Z$4:$Z$40,$AZ$5:$AZ$41,$BH30))),""))</f>
        <v/>
      </c>
      <c r="AB31" s="70">
        <f>IF($BJ30&gt;0,IF(INDEX('Final Calculation Sheet'!$AA$4:$AA$40,$BJ30-3)="","",INDEX('Final Calculation Sheet'!$AA$4:$AA$40,$BJ30-3)),IF(OR($BI30=1,$BL30=1,$BH30&gt;0),IF($BI30=1,SUM('Final Calculation Sheet'!$AA$4:$AA$40),IF($BL30=1,SUM('Final Calculation Sheet'!$AA$4:$AA$40)-SUMIFS('Final Calculation Sheet'!$AA$4:$AA$40,$AZ$5:$AZ$41,10),SUMIFS('Final Calculation Sheet'!$AA$4:$AA$40,$AZ$5:$AZ$41,$BH30))),""))</f>
        <v/>
      </c>
      <c r="AC31" s="70">
        <f>IF($BJ30&gt;0,IF(INDEX('Final Calculation Sheet'!$AB$4:$AB$40,$BJ30-3)="","",INDEX('Final Calculation Sheet'!$AB$4:$AB$40,$BJ30-3)),IF(OR($BI30=1,$BL30=1,$BH30&gt;0),"–",""))</f>
        <v/>
      </c>
      <c r="AD31" s="70">
        <f>IF($BJ30&gt;0,IF(INDEX('Final Calculation Sheet'!$AC$4:$AC$40,$BJ30-3)="","",INDEX('Final Calculation Sheet'!$AC$4:$AC$40,$BJ30-3)),IF(OR($BI30=1,$BL30=1,$BH30&gt;0),IF($BI30=1,SUM('Final Calculation Sheet'!$AC$4:$AC$40),IF($BL30=1,SUM('Final Calculation Sheet'!$AC$4:$AC$40)-SUMIFS('Final Calculation Sheet'!$AC$4:$AC$40,$AZ$5:$AZ$41,10),SUMIFS('Final Calculation Sheet'!$AC$4:$AC$40,$AZ$5:$AZ$41,$BH30))),""))</f>
        <v/>
      </c>
      <c r="AE31" s="70">
        <f>IF($BJ30&gt;0,IF(INDEX('Final Calculation Sheet'!$AD$4:$AD$40,$BJ30-3)="","",INDEX('Final Calculation Sheet'!$AD$4:$AD$40,$BJ30-3)),IF(OR($BI30=1,$BL30=1,$BH30&gt;0),IF($BI30=1,SUM('Final Calculation Sheet'!$AD$4:$AD$40),IF($BL30=1,SUM('Final Calculation Sheet'!$AD$4:$AD$40)-SUMIFS('Final Calculation Sheet'!$AD$4:$AD$40,$AZ$5:$AZ$41,10),SUMIFS('Final Calculation Sheet'!$AD$4:$AD$40,$AZ$5:$AZ$41,$BH30))),""))</f>
        <v/>
      </c>
      <c r="AF31" s="70">
        <f>IF($BJ30&gt;0,IF(INDEX('Final Calculation Sheet'!$AE$4:$AE$40,$BJ30-3)="","",INDEX('Final Calculation Sheet'!$AE$4:$AE$40,$BJ30-3)),IF(OR($BI30=1,$BL30=1,$BH30&gt;0),"–",""))</f>
        <v/>
      </c>
      <c r="AG31" s="74">
        <f>IF($BJ30&gt;0,IF(INDEX('Final Calculation Sheet'!$AF$4:$AF$40,$BJ30-3)="","",INDEX('Final Calculation Sheet'!$AF$4:$AF$40,$BJ30-3)),IF(OR($BI30=1,$BL30=1,$BH30&gt;0),"–",""))</f>
        <v/>
      </c>
      <c r="AH31" s="70">
        <f>IF($BJ30&gt;0,IF(INDEX('Final Calculation Sheet'!$AG$4:$AG$40,$BJ30-3)="","",INDEX('Final Calculation Sheet'!$AG$4:$AG$40,$BJ30-3)),IF(OR($BI30=1,$BL30=1,$BH30&gt;0),"–",""))</f>
        <v/>
      </c>
      <c r="AI31" s="75">
        <f>IF($BJ30&gt;0,IF(INDEX('Final Calculation Sheet'!$AD$4:$AD$40,$BJ30-3)="","",IF(INDEX('Final Calculation Sheet'!$AD$4:$AD$40,$BJ30-3)&lt;=0,"SETTLED","OUTSTANDING")),IF(OR($BI30=1,$BL30=1,$BH30&gt;0),IF(IF($BI30=1,SUM('Final Calculation Sheet'!$AD$4:$AD$40),IF($BL30=1,SUM('Final Calculation Sheet'!$AD$4:$AD$40)-SUMIFS('Final Calculation Sheet'!$AD$4:$AD$40,$AZ$5:$AZ$41,10),SUMIFS('Final Calculation Sheet'!$AD$4:$AD$40,$AZ$5:$AZ$41,$BH30)))&lt;=0,"ALL SETTLED","OUTSTANDING"),""))</f>
        <v/>
      </c>
      <c r="AK31">
        <f>IF($F$3="Lot No.",'Final Calculation Sheet'!$F$30,IF($F$3="Buyer",'Final Calculation Sheet'!$G$30,IF($F$3="Lot Name",'Final Calculation Sheet'!$B$30,IF($F$3="Bid Sheet",'Final Calculation Sheet'!$D$30,IF($F$3="Unit",'Final Calculation Sheet'!$E$30,'Final Calculation Sheet'!$F$30&amp;" "&amp;'Final Calculation Sheet'!$G$30&amp;" "&amp;'Final Calculation Sheet'!$B$30)))))</f>
        <v/>
      </c>
      <c r="AM31">
        <f>IF(COUNTIF($BM31:$CU31,0)&gt;0,0,IF($B$3="",1,IF(AND(IF(COUNTIF($AR$9:$AY$9,1)=0,TRUE,SUMPRODUCT(($AR$9:$AY$9=1)*($AR$6:$AY$6&lt;&gt;"")*ISNUMBER(SEARCH($AR$6:$AY$6,$AK31)))&gt;0),IF(COUNTIF($AR$9:$AY$9,2)=0,TRUE,SUMPRODUCT(($AR$9:$AY$9=2)*($AR$6:$AY$6&lt;&gt;"")*ISNUMBER(SEARCH($AR$6:$AY$6,$AK31)))&gt;0),IF(COUNTIF($AR$9:$AY$9,3)=0,TRUE,SUMPRODUCT(($AR$9:$AY$9=3)*($AR$6:$AY$6&lt;&gt;"")*ISNUMBER(SEARCH($AR$6:$AY$6,$AK31)))&gt;0),IF(COUNTIF($AR$9:$AY$9,4)=0,TRUE,SUMPRODUCT(($AR$9:$AY$9=4)*($AR$6:$AY$6&lt;&gt;"")*ISNUMBER(SEARCH($AR$6:$AY$6,$AK31)))&gt;0),IF(COUNTIF($AR$9:$AY$9,5)=0,TRUE,SUMPRODUCT(($AR$9:$AY$9=5)*($AR$6:$AY$6&lt;&gt;"")*ISNUMBER(SEARCH($AR$6:$AY$6,$AK31)))&gt;0),IF(COUNTIF($AR$9:$AY$9,6)=0,TRUE,SUMPRODUCT(($AR$9:$AY$9=6)*($AR$6:$AY$6&lt;&gt;"")*ISNUMBER(SEARCH($AR$6:$AY$6,$AK31)))&gt;0),IF(COUNTIF($AR$9:$AY$9,7)=0,TRUE,SUMPRODUCT(($AR$9:$AY$9=7)*($AR$6:$AY$6&lt;&gt;"")*ISNUMBER(SEARCH($AR$6:$AY$6,$AK31)))&gt;0),IF(COUNTIF($AR$9:$AY$9,8)=0,TRUE,SUMPRODUCT(($AR$9:$AY$9=8)*($AR$6:$AY$6&lt;&gt;"")*ISNUMBER(SEARCH($AR$6:$AY$6,$AK31)))&gt;0)),1,0)))</f>
        <v/>
      </c>
      <c r="AZ31">
        <f>IF($B$3="",IF(COUNTIF($A$4:$AI$4,"&lt;&gt;")=0,9,IF($AM31=1,9,10)),IF($AM31=0,10,IF(AND($AR$6&lt;&gt;"",ISNUMBER(SEARCH($AR$6,$AK31))),1,IF(AND($AS$6&lt;&gt;"",ISNUMBER(SEARCH($AS$6,$AK31))),2,IF(AND($AT$6&lt;&gt;"",ISNUMBER(SEARCH($AT$6,$AK31))),3,IF(AND($AU$6&lt;&gt;"",ISNUMBER(SEARCH($AU$6,$AK31))),4,IF(AND($AV$6&lt;&gt;"",ISNUMBER(SEARCH($AV$6,$AK31))),5,IF(AND($AW$6&lt;&gt;"",ISNUMBER(SEARCH($AW$6,$AK31))),6,IF(AND($AX$6&lt;&gt;"",ISNUMBER(SEARCH($AX$6,$AK31))),7,IF(AND($AY$6&lt;&gt;"",ISNUMBER(SEARCH($AY$6,$AK31))),8,0))))))))))</f>
        <v/>
      </c>
      <c r="BA31">
        <f>SUMPRODUCT(($AZ$5:$AZ$41=$AZ31)*($BC$5:$BC$41&lt;$BC31))+1</f>
        <v/>
      </c>
      <c r="BB31">
        <f>IF(INDEX($BF$4:$BF$13,$AZ31)=0,0,INDEX($BE$4:$BE$13,$AZ31)+$BA31-1)</f>
        <v/>
      </c>
      <c r="BC31" t="n">
        <v>30</v>
      </c>
      <c r="BH31">
        <f>IFERROR(MATCH(31,$BF$4:$BF$13,0),0)</f>
        <v/>
      </c>
      <c r="BI31">
        <f>IF(31=$BG$5,1,0)</f>
        <v/>
      </c>
      <c r="BJ31">
        <f>IF(OR($BH31&gt;0,$BI31=1,$BL31=1),0,IFERROR(INDEX($BC$5:$BC$41,MATCH(31,$BB$5:$BB$41,0)),0))</f>
        <v/>
      </c>
      <c r="BK31">
        <f>IF($BJ31&gt;0,IF(INDEX($AZ$5:$AZ$41,MATCH(31,$BB$5:$BB$41,0))=10,1,0),IF($BH31=10,1,0))</f>
        <v/>
      </c>
      <c r="BL31">
        <f>IF(31=$BG$4,1,0)</f>
        <v/>
      </c>
      <c r="BM3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1">
        <f>IF($B$4="",1,--(OR(SUMPRODUCT(--(TRIM(MID(SUBSTITUTE(SUBSTITUTE($B$4,"/",","),",",REPT(" ",99)),(ROW($1:$8)-1)*99+1,99))&lt;&gt;""),--ISNUMBER(SEARCH(TRIM(MID(SUBSTITUTE(SUBSTITUTE($B$4,"/",","),",",REPT(" ",99)),(ROW($1:$8)-1)*99+1,99)),IFERROR(('Final Calculation Sheet'!$F$30)&amp;"",""))))&gt;0,AND(ISNUMBER(SEARCH("blank",$B$4)),NOT(ISNUMBER(SEARCH("nonblank",$B$4))),IFERROR(('Final Calculation Sheet'!$F$30)&amp;"","")=""),AND(OR(ISNUMBER(SEARCH("nonblank",$B$4)),ISNUMBER(SEARCH("&lt;&gt;",$B$4))),IFERROR(('Final Calculation Sheet'!$F$30)&amp;"","")&lt;&gt;""),AND(TRIM($B$4)="",IFERROR(('Final Calculation Sheet'!$F$30)&amp;"","")=""))))</f>
        <v/>
      </c>
      <c r="BO31">
        <f>IF($C$4="",1,--(OR(SUMPRODUCT(--(TRIM(MID(SUBSTITUTE(SUBSTITUTE($C$4,"/",","),",",REPT(" ",99)),(ROW($1:$8)-1)*99+1,99))&lt;&gt;""),--ISNUMBER(SEARCH(TRIM(MID(SUBSTITUTE(SUBSTITUTE($C$4,"/",","),",",REPT(" ",99)),(ROW($1:$8)-1)*99+1,99)),IFERROR(('Final Calculation Sheet'!$G$30)&amp;"",""))))&gt;0,AND(ISNUMBER(SEARCH("blank",$C$4)),NOT(ISNUMBER(SEARCH("nonblank",$C$4))),IFERROR(('Final Calculation Sheet'!$G$30)&amp;"","")=""),AND(OR(ISNUMBER(SEARCH("nonblank",$C$4)),ISNUMBER(SEARCH("&lt;&gt;",$C$4))),IFERROR(('Final Calculation Sheet'!$G$30)&amp;"","")&lt;&gt;""),AND(TRIM($C$4)="",IFERROR(('Final Calculation Sheet'!$G$30)&amp;"","")=""))))</f>
        <v/>
      </c>
      <c r="BP31">
        <f>IF($D$4="",1,--(OR(SUMPRODUCT(--(TRIM(MID(SUBSTITUTE(SUBSTITUTE($D$4,"/",","),",",REPT(" ",99)),(ROW($1:$8)-1)*99+1,99))&lt;&gt;""),--ISNUMBER(SEARCH(TRIM(MID(SUBSTITUTE(SUBSTITUTE($D$4,"/",","),",",REPT(" ",99)),(ROW($1:$8)-1)*99+1,99)),IFERROR(('Final Calculation Sheet'!$B$30)&amp;"",""))))&gt;0,AND(ISNUMBER(SEARCH("blank",$D$4)),NOT(ISNUMBER(SEARCH("nonblank",$D$4))),IFERROR(('Final Calculation Sheet'!$B$30)&amp;"","")=""),AND(OR(ISNUMBER(SEARCH("nonblank",$D$4)),ISNUMBER(SEARCH("&lt;&gt;",$D$4))),IFERROR(('Final Calculation Sheet'!$B$30)&amp;"","")&lt;&gt;""),AND(TRIM($D$4)="",IFERROR(('Final Calculation Sheet'!$B$30)&amp;"","")=""))))</f>
        <v/>
      </c>
      <c r="BQ31">
        <f>IF($E$4="",1,--(OR(SUMPRODUCT(--(TRIM(MID(SUBSTITUTE(SUBSTITUTE($E$4,"/",","),",",REPT(" ",99)),(ROW($1:$8)-1)*99+1,99))&lt;&gt;""),--ISNUMBER(SEARCH(TRIM(MID(SUBSTITUTE(SUBSTITUTE($E$4,"/",","),",",REPT(" ",99)),(ROW($1:$8)-1)*99+1,99)),IFERROR(('Final Calculation Sheet'!$D$30)&amp;"",""))))&gt;0,AND(ISNUMBER(SEARCH("blank",$E$4)),NOT(ISNUMBER(SEARCH("nonblank",$E$4))),IFERROR(('Final Calculation Sheet'!$D$30)&amp;"","")=""),AND(OR(ISNUMBER(SEARCH("nonblank",$E$4)),ISNUMBER(SEARCH("&lt;&gt;",$E$4))),IFERROR(('Final Calculation Sheet'!$D$30)&amp;"","")&lt;&gt;""),AND(TRIM($E$4)="",IFERROR(('Final Calculation Sheet'!$D$30)&amp;"","")=""))))</f>
        <v/>
      </c>
      <c r="BR31">
        <f>IF($F$4="",1,--(OR(SUMPRODUCT(--(TRIM(MID(SUBSTITUTE(SUBSTITUTE($F$4,"/",","),",",REPT(" ",99)),(ROW($1:$8)-1)*99+1,99))&lt;&gt;""),--ISNUMBER(SEARCH(TRIM(MID(SUBSTITUTE(SUBSTITUTE($F$4,"/",","),",",REPT(" ",99)),(ROW($1:$8)-1)*99+1,99)),IFERROR(('Final Calculation Sheet'!$A$30)&amp;"",""))))&gt;0,AND(ISNUMBER(SEARCH("blank",$F$4)),NOT(ISNUMBER(SEARCH("nonblank",$F$4))),IFERROR(('Final Calculation Sheet'!$A$30)&amp;"","")=""),AND(OR(ISNUMBER(SEARCH("nonblank",$F$4)),ISNUMBER(SEARCH("&lt;&gt;",$F$4))),IFERROR(('Final Calculation Sheet'!$A$30)&amp;"","")&lt;&gt;""),AND(TRIM($F$4)="",IFERROR(('Final Calculation Sheet'!$A$30)&amp;"","")=""))))</f>
        <v/>
      </c>
      <c r="BS31">
        <f>IF($G$4="",1,--(OR(SUMPRODUCT(--(TRIM(MID(SUBSTITUTE(SUBSTITUTE($G$4,"/",","),",",REPT(" ",99)),(ROW($1:$8)-1)*99+1,99))&lt;&gt;""),--ISNUMBER(SEARCH(TRIM(MID(SUBSTITUTE(SUBSTITUTE($G$4,"/",","),",",REPT(" ",99)),(ROW($1:$8)-1)*99+1,99)),IFERROR(('Final Calculation Sheet'!$E$30)&amp;"",""))))&gt;0,AND(ISNUMBER(SEARCH("blank",$G$4)),NOT(ISNUMBER(SEARCH("nonblank",$G$4))),IFERROR(('Final Calculation Sheet'!$E$30)&amp;"","")=""),AND(OR(ISNUMBER(SEARCH("nonblank",$G$4)),ISNUMBER(SEARCH("&lt;&gt;",$G$4))),IFERROR(('Final Calculation Sheet'!$E$30)&amp;"","")&lt;&gt;""),AND(TRIM($G$4)="",IFERROR(('Final Calculation Sheet'!$E$30)&amp;"","")=""))))</f>
        <v/>
      </c>
      <c r="BT31">
        <f>IF($H$4="",1,--(OR(SUMPRODUCT(--(TRIM(MID(SUBSTITUTE(SUBSTITUTE($H$4,"/",","),",",REPT(" ",99)),(ROW($1:$8)-1)*99+1,99))&lt;&gt;""),--ISNUMBER(SEARCH(TRIM(MID(SUBSTITUTE(SUBSTITUTE($H$4,"/",","),",",REPT(" ",99)),(ROW($1:$8)-1)*99+1,99)),IFERROR(('Final Calculation Sheet'!$C$30)&amp;"",""))))&gt;0,AND(ISNUMBER(SEARCH("blank",$H$4)),NOT(ISNUMBER(SEARCH("nonblank",$H$4))),IFERROR(('Final Calculation Sheet'!$C$30)&amp;"","")=""),AND(OR(ISNUMBER(SEARCH("nonblank",$H$4)),ISNUMBER(SEARCH("&lt;&gt;",$H$4))),IFERROR(('Final Calculation Sheet'!$C$30)&amp;"","")&lt;&gt;""),AND(TRIM($H$4)="",IFERROR(('Final Calculation Sheet'!$C$30)&amp;"","")=""))))</f>
        <v/>
      </c>
      <c r="BU31">
        <f>IF($I$4="",1,--(OR(SUMPRODUCT(--(TRIM(MID(SUBSTITUTE(SUBSTITUTE($I$4,"/",","),",",REPT(" ",99)),(ROW($1:$8)-1)*99+1,99))&lt;&gt;""),--ISNUMBER(SEARCH(TRIM(MID(SUBSTITUTE(SUBSTITUTE($I$4,"/",","),",",REPT(" ",99)),(ROW($1:$8)-1)*99+1,99)),IFERROR(('Final Calculation Sheet'!$H$30)&amp;"",""))))&gt;0,AND(ISNUMBER(SEARCH("blank",$I$4)),NOT(ISNUMBER(SEARCH("nonblank",$I$4))),IFERROR(('Final Calculation Sheet'!$H$30)&amp;"","")=""),AND(OR(ISNUMBER(SEARCH("nonblank",$I$4)),ISNUMBER(SEARCH("&lt;&gt;",$I$4))),IFERROR(('Final Calculation Sheet'!$H$30)&amp;"","")&lt;&gt;""),AND(TRIM($I$4)="",IFERROR(('Final Calculation Sheet'!$H$30)&amp;"","")=""))))</f>
        <v/>
      </c>
      <c r="BV31">
        <f>IF($J$4="",1,--(OR(SUMPRODUCT(--(TRIM(MID(SUBSTITUTE(SUBSTITUTE($J$4,"/",","),",",REPT(" ",99)),(ROW($1:$8)-1)*99+1,99))&lt;&gt;""),--ISNUMBER(SEARCH(TRIM(MID(SUBSTITUTE(SUBSTITUTE($J$4,"/",","),",",REPT(" ",99)),(ROW($1:$8)-1)*99+1,99)),IFERROR(('Final Calculation Sheet'!$I$30)&amp;"",""))))&gt;0,AND(ISNUMBER(SEARCH("blank",$J$4)),NOT(ISNUMBER(SEARCH("nonblank",$J$4))),IFERROR(('Final Calculation Sheet'!$I$30)&amp;"","")=""),AND(OR(ISNUMBER(SEARCH("nonblank",$J$4)),ISNUMBER(SEARCH("&lt;&gt;",$J$4))),IFERROR(('Final Calculation Sheet'!$I$30)&amp;"","")&lt;&gt;""),AND(TRIM($J$4)="",IFERROR(('Final Calculation Sheet'!$I$30)&amp;"","")=""))))</f>
        <v/>
      </c>
      <c r="BW31">
        <f>IF($K$4="",1,--(OR(SUMPRODUCT(--(TRIM(MID(SUBSTITUTE(SUBSTITUTE($K$4,"/",","),",",REPT(" ",99)),(ROW($1:$8)-1)*99+1,99))&lt;&gt;""),--ISNUMBER(SEARCH(TRIM(MID(SUBSTITUTE(SUBSTITUTE($K$4,"/",","),",",REPT(" ",99)),(ROW($1:$8)-1)*99+1,99)),IFERROR(('Final Calculation Sheet'!$J$30)&amp;"",""))))&gt;0,AND(ISNUMBER(SEARCH("blank",$K$4)),NOT(ISNUMBER(SEARCH("nonblank",$K$4))),IFERROR(('Final Calculation Sheet'!$J$30)&amp;"","")=""),AND(OR(ISNUMBER(SEARCH("nonblank",$K$4)),ISNUMBER(SEARCH("&lt;&gt;",$K$4))),IFERROR(('Final Calculation Sheet'!$J$30)&amp;"","")&lt;&gt;""),AND(TRIM($K$4)="",IFERROR(('Final Calculation Sheet'!$J$30)&amp;"","")=""))))</f>
        <v/>
      </c>
      <c r="BX31">
        <f>IF($L$4="",1,--(OR(SUMPRODUCT(--(TRIM(MID(SUBSTITUTE(SUBSTITUTE($L$4,"/",","),",",REPT(" ",99)),(ROW($1:$8)-1)*99+1,99))&lt;&gt;""),--ISNUMBER(SEARCH(TRIM(MID(SUBSTITUTE(SUBSTITUTE($L$4,"/",","),",",REPT(" ",99)),(ROW($1:$8)-1)*99+1,99)),IFERROR(('Final Calculation Sheet'!$K$30)&amp;"",""))))&gt;0,AND(ISNUMBER(SEARCH("blank",$L$4)),NOT(ISNUMBER(SEARCH("nonblank",$L$4))),IFERROR(('Final Calculation Sheet'!$K$30)&amp;"","")=""),AND(OR(ISNUMBER(SEARCH("nonblank",$L$4)),ISNUMBER(SEARCH("&lt;&gt;",$L$4))),IFERROR(('Final Calculation Sheet'!$K$30)&amp;"","")&lt;&gt;""),AND(TRIM($L$4)="",IFERROR(('Final Calculation Sheet'!$K$30)&amp;"","")=""))))</f>
        <v/>
      </c>
      <c r="BY31">
        <f>IF($M$4="",1,--(OR(SUMPRODUCT(--(TRIM(MID(SUBSTITUTE(SUBSTITUTE($M$4,"/",","),",",REPT(" ",99)),(ROW($1:$8)-1)*99+1,99))&lt;&gt;""),--ISNUMBER(SEARCH(TRIM(MID(SUBSTITUTE(SUBSTITUTE($M$4,"/",","),",",REPT(" ",99)),(ROW($1:$8)-1)*99+1,99)),IFERROR(('Final Calculation Sheet'!$L$30)&amp;"",""))))&gt;0,AND(ISNUMBER(SEARCH("blank",$M$4)),NOT(ISNUMBER(SEARCH("nonblank",$M$4))),IFERROR(('Final Calculation Sheet'!$L$30)&amp;"","")=""),AND(OR(ISNUMBER(SEARCH("nonblank",$M$4)),ISNUMBER(SEARCH("&lt;&gt;",$M$4))),IFERROR(('Final Calculation Sheet'!$L$30)&amp;"","")&lt;&gt;""),AND(TRIM($M$4)="",IFERROR(('Final Calculation Sheet'!$L$30)&amp;"","")=""))))</f>
        <v/>
      </c>
      <c r="BZ31">
        <f>IF($N$4="",1,--(OR(SUMPRODUCT(--(TRIM(MID(SUBSTITUTE(SUBSTITUTE($N$4,"/",","),",",REPT(" ",99)),(ROW($1:$8)-1)*99+1,99))&lt;&gt;""),--ISNUMBER(SEARCH(TRIM(MID(SUBSTITUTE(SUBSTITUTE($N$4,"/",","),",",REPT(" ",99)),(ROW($1:$8)-1)*99+1,99)),IFERROR(('Final Calculation Sheet'!$M$30)&amp;"",""))))&gt;0,AND(ISNUMBER(SEARCH("blank",$N$4)),NOT(ISNUMBER(SEARCH("nonblank",$N$4))),IFERROR(('Final Calculation Sheet'!$M$30)&amp;"","")=""),AND(OR(ISNUMBER(SEARCH("nonblank",$N$4)),ISNUMBER(SEARCH("&lt;&gt;",$N$4))),IFERROR(('Final Calculation Sheet'!$M$30)&amp;"","")&lt;&gt;""),AND(TRIM($N$4)="",IFERROR(('Final Calculation Sheet'!$M$30)&amp;"","")=""))))</f>
        <v/>
      </c>
      <c r="CA31">
        <f>IF($O$4="",1,--(OR(SUMPRODUCT(--(TRIM(MID(SUBSTITUTE(SUBSTITUTE($O$4,"/",","),",",REPT(" ",99)),(ROW($1:$8)-1)*99+1,99))&lt;&gt;""),--ISNUMBER(SEARCH(TRIM(MID(SUBSTITUTE(SUBSTITUTE($O$4,"/",","),",",REPT(" ",99)),(ROW($1:$8)-1)*99+1,99)),IFERROR(('Final Calculation Sheet'!$N$30)&amp;"",""))))&gt;0,AND(ISNUMBER(SEARCH("blank",$O$4)),NOT(ISNUMBER(SEARCH("nonblank",$O$4))),IFERROR(('Final Calculation Sheet'!$N$30)&amp;"","")=""),AND(OR(ISNUMBER(SEARCH("nonblank",$O$4)),ISNUMBER(SEARCH("&lt;&gt;",$O$4))),IFERROR(('Final Calculation Sheet'!$N$30)&amp;"","")&lt;&gt;""),AND(TRIM($O$4)="",IFERROR(('Final Calculation Sheet'!$N$30)&amp;"","")=""))))</f>
        <v/>
      </c>
      <c r="CB31">
        <f>IF($P$4="",1,--(OR(SUMPRODUCT(--(TRIM(MID(SUBSTITUTE(SUBSTITUTE($P$4,"/",","),",",REPT(" ",99)),(ROW($1:$8)-1)*99+1,99))&lt;&gt;""),--ISNUMBER(SEARCH(TRIM(MID(SUBSTITUTE(SUBSTITUTE($P$4,"/",","),",",REPT(" ",99)),(ROW($1:$8)-1)*99+1,99)),IFERROR(('Final Calculation Sheet'!$O$30)&amp;"",""))))&gt;0,AND(ISNUMBER(SEARCH("blank",$P$4)),NOT(ISNUMBER(SEARCH("nonblank",$P$4))),IFERROR(('Final Calculation Sheet'!$O$30)&amp;"","")=""),AND(OR(ISNUMBER(SEARCH("nonblank",$P$4)),ISNUMBER(SEARCH("&lt;&gt;",$P$4))),IFERROR(('Final Calculation Sheet'!$O$30)&amp;"","")&lt;&gt;""),AND(TRIM($P$4)="",IFERROR(('Final Calculation Sheet'!$O$30)&amp;"","")=""))))</f>
        <v/>
      </c>
      <c r="CC31">
        <f>IF($Q$4="",1,--(OR(SUMPRODUCT(--(TRIM(MID(SUBSTITUTE(SUBSTITUTE($Q$4,"/",","),",",REPT(" ",99)),(ROW($1:$8)-1)*99+1,99))&lt;&gt;""),--ISNUMBER(SEARCH(TRIM(MID(SUBSTITUTE(SUBSTITUTE($Q$4,"/",","),",",REPT(" ",99)),(ROW($1:$8)-1)*99+1,99)),IFERROR(('Final Calculation Sheet'!$P$30)&amp;"",""))))&gt;0,AND(ISNUMBER(SEARCH("blank",$Q$4)),NOT(ISNUMBER(SEARCH("nonblank",$Q$4))),IFERROR(('Final Calculation Sheet'!$P$30)&amp;"","")=""),AND(OR(ISNUMBER(SEARCH("nonblank",$Q$4)),ISNUMBER(SEARCH("&lt;&gt;",$Q$4))),IFERROR(('Final Calculation Sheet'!$P$30)&amp;"","")&lt;&gt;""),AND(TRIM($Q$4)="",IFERROR(('Final Calculation Sheet'!$P$30)&amp;"","")=""))))</f>
        <v/>
      </c>
      <c r="CD31">
        <f>IF($R$4="",1,--(OR(SUMPRODUCT(--(TRIM(MID(SUBSTITUTE(SUBSTITUTE($R$4,"/",","),",",REPT(" ",99)),(ROW($1:$8)-1)*99+1,99))&lt;&gt;""),--ISNUMBER(SEARCH(TRIM(MID(SUBSTITUTE(SUBSTITUTE($R$4,"/",","),",",REPT(" ",99)),(ROW($1:$8)-1)*99+1,99)),IFERROR(('Final Calculation Sheet'!$Q$30)&amp;"",""))))&gt;0,AND(ISNUMBER(SEARCH("blank",$R$4)),NOT(ISNUMBER(SEARCH("nonblank",$R$4))),IFERROR(('Final Calculation Sheet'!$Q$30)&amp;"","")=""),AND(OR(ISNUMBER(SEARCH("nonblank",$R$4)),ISNUMBER(SEARCH("&lt;&gt;",$R$4))),IFERROR(('Final Calculation Sheet'!$Q$30)&amp;"","")&lt;&gt;""),AND(TRIM($R$4)="",IFERROR(('Final Calculation Sheet'!$Q$30)&amp;"","")=""))))</f>
        <v/>
      </c>
      <c r="CE31">
        <f>IF($S$4="",1,--(OR(SUMPRODUCT(--(TRIM(MID(SUBSTITUTE(SUBSTITUTE($S$4,"/",","),",",REPT(" ",99)),(ROW($1:$8)-1)*99+1,99))&lt;&gt;""),--ISNUMBER(SEARCH(TRIM(MID(SUBSTITUTE(SUBSTITUTE($S$4,"/",","),",",REPT(" ",99)),(ROW($1:$8)-1)*99+1,99)),IFERROR(('Final Calculation Sheet'!$R$30)&amp;"",""))))&gt;0,AND(ISNUMBER(SEARCH("blank",$S$4)),NOT(ISNUMBER(SEARCH("nonblank",$S$4))),IFERROR(('Final Calculation Sheet'!$R$30)&amp;"","")=""),AND(OR(ISNUMBER(SEARCH("nonblank",$S$4)),ISNUMBER(SEARCH("&lt;&gt;",$S$4))),IFERROR(('Final Calculation Sheet'!$R$30)&amp;"","")&lt;&gt;""),AND(TRIM($S$4)="",IFERROR(('Final Calculation Sheet'!$R$30)&amp;"","")=""))))</f>
        <v/>
      </c>
      <c r="CF31">
        <f>IF($T$4="",1,--(OR(SUMPRODUCT(--(TRIM(MID(SUBSTITUTE(SUBSTITUTE($T$4,"/",","),",",REPT(" ",99)),(ROW($1:$8)-1)*99+1,99))&lt;&gt;""),--ISNUMBER(SEARCH(TRIM(MID(SUBSTITUTE(SUBSTITUTE($T$4,"/",","),",",REPT(" ",99)),(ROW($1:$8)-1)*99+1,99)),IFERROR(('Final Calculation Sheet'!$S$30)&amp;"",""))))&gt;0,AND(ISNUMBER(SEARCH("blank",$T$4)),NOT(ISNUMBER(SEARCH("nonblank",$T$4))),IFERROR(('Final Calculation Sheet'!$S$30)&amp;"","")=""),AND(OR(ISNUMBER(SEARCH("nonblank",$T$4)),ISNUMBER(SEARCH("&lt;&gt;",$T$4))),IFERROR(('Final Calculation Sheet'!$S$30)&amp;"","")&lt;&gt;""),AND(TRIM($T$4)="",IFERROR(('Final Calculation Sheet'!$S$30)&amp;"","")=""))))</f>
        <v/>
      </c>
      <c r="CG31">
        <f>IF($U$4="",1,--(OR(SUMPRODUCT(--(TRIM(MID(SUBSTITUTE(SUBSTITUTE($U$4,"/",","),",",REPT(" ",99)),(ROW($1:$8)-1)*99+1,99))&lt;&gt;""),--ISNUMBER(SEARCH(TRIM(MID(SUBSTITUTE(SUBSTITUTE($U$4,"/",","),",",REPT(" ",99)),(ROW($1:$8)-1)*99+1,99)),IFERROR(('Final Calculation Sheet'!$T$30)&amp;"",""))))&gt;0,AND(ISNUMBER(SEARCH("blank",$U$4)),NOT(ISNUMBER(SEARCH("nonblank",$U$4))),IFERROR(('Final Calculation Sheet'!$T$30)&amp;"","")=""),AND(OR(ISNUMBER(SEARCH("nonblank",$U$4)),ISNUMBER(SEARCH("&lt;&gt;",$U$4))),IFERROR(('Final Calculation Sheet'!$T$30)&amp;"","")&lt;&gt;""),AND(TRIM($U$4)="",IFERROR(('Final Calculation Sheet'!$T$30)&amp;"","")=""))))</f>
        <v/>
      </c>
      <c r="CH31">
        <f>IF($V$4="",1,--(OR(SUMPRODUCT(--(TRIM(MID(SUBSTITUTE(SUBSTITUTE($V$4,"/",","),",",REPT(" ",99)),(ROW($1:$8)-1)*99+1,99))&lt;&gt;""),--ISNUMBER(SEARCH(TRIM(MID(SUBSTITUTE(SUBSTITUTE($V$4,"/",","),",",REPT(" ",99)),(ROW($1:$8)-1)*99+1,99)),IFERROR(('Final Calculation Sheet'!$U$30)&amp;"",""))))&gt;0,AND(ISNUMBER(SEARCH("blank",$V$4)),NOT(ISNUMBER(SEARCH("nonblank",$V$4))),IFERROR(('Final Calculation Sheet'!$U$30)&amp;"","")=""),AND(OR(ISNUMBER(SEARCH("nonblank",$V$4)),ISNUMBER(SEARCH("&lt;&gt;",$V$4))),IFERROR(('Final Calculation Sheet'!$U$30)&amp;"","")&lt;&gt;""),AND(TRIM($V$4)="",IFERROR(('Final Calculation Sheet'!$U$30)&amp;"","")=""))))</f>
        <v/>
      </c>
      <c r="CI31">
        <f>IF($W$4="",1,--(OR(SUMPRODUCT(--(TRIM(MID(SUBSTITUTE(SUBSTITUTE($W$4,"/",","),",",REPT(" ",99)),(ROW($1:$8)-1)*99+1,99))&lt;&gt;""),--ISNUMBER(SEARCH(TRIM(MID(SUBSTITUTE(SUBSTITUTE($W$4,"/",","),",",REPT(" ",99)),(ROW($1:$8)-1)*99+1,99)),IFERROR(('Final Calculation Sheet'!$V$30)&amp;"",""))))&gt;0,AND(ISNUMBER(SEARCH("blank",$W$4)),NOT(ISNUMBER(SEARCH("nonblank",$W$4))),IFERROR(('Final Calculation Sheet'!$V$30)&amp;"","")=""),AND(OR(ISNUMBER(SEARCH("nonblank",$W$4)),ISNUMBER(SEARCH("&lt;&gt;",$W$4))),IFERROR(('Final Calculation Sheet'!$V$30)&amp;"","")&lt;&gt;""),AND(TRIM($W$4)="",IFERROR(('Final Calculation Sheet'!$V$30)&amp;"","")=""))))</f>
        <v/>
      </c>
      <c r="CJ31">
        <f>IF($X$4="",1,--(OR(SUMPRODUCT(--(TRIM(MID(SUBSTITUTE(SUBSTITUTE($X$4,"/",","),",",REPT(" ",99)),(ROW($1:$8)-1)*99+1,99))&lt;&gt;""),--ISNUMBER(SEARCH(TRIM(MID(SUBSTITUTE(SUBSTITUTE($X$4,"/",","),",",REPT(" ",99)),(ROW($1:$8)-1)*99+1,99)),IFERROR(('Final Calculation Sheet'!$W$30)&amp;"",""))))&gt;0,AND(ISNUMBER(SEARCH("blank",$X$4)),NOT(ISNUMBER(SEARCH("nonblank",$X$4))),IFERROR(('Final Calculation Sheet'!$W$30)&amp;"","")=""),AND(OR(ISNUMBER(SEARCH("nonblank",$X$4)),ISNUMBER(SEARCH("&lt;&gt;",$X$4))),IFERROR(('Final Calculation Sheet'!$W$30)&amp;"","")&lt;&gt;""),AND(TRIM($X$4)="",IFERROR(('Final Calculation Sheet'!$W$30)&amp;"","")=""))))</f>
        <v/>
      </c>
      <c r="CK31">
        <f>IF($Y$4="",1,--(OR(SUMPRODUCT(--(TRIM(MID(SUBSTITUTE(SUBSTITUTE($Y$4,"/",","),",",REPT(" ",99)),(ROW($1:$8)-1)*99+1,99))&lt;&gt;""),--ISNUMBER(SEARCH(TRIM(MID(SUBSTITUTE(SUBSTITUTE($Y$4,"/",","),",",REPT(" ",99)),(ROW($1:$8)-1)*99+1,99)),IFERROR(('Final Calculation Sheet'!$X$30)&amp;"",""))))&gt;0,AND(ISNUMBER(SEARCH("blank",$Y$4)),NOT(ISNUMBER(SEARCH("nonblank",$Y$4))),IFERROR(('Final Calculation Sheet'!$X$30)&amp;"","")=""),AND(OR(ISNUMBER(SEARCH("nonblank",$Y$4)),ISNUMBER(SEARCH("&lt;&gt;",$Y$4))),IFERROR(('Final Calculation Sheet'!$X$30)&amp;"","")&lt;&gt;""),AND(TRIM($Y$4)="",IFERROR(('Final Calculation Sheet'!$X$30)&amp;"","")=""))))</f>
        <v/>
      </c>
      <c r="CL31">
        <f>IF($Z$4="",1,--(OR(SUMPRODUCT(--(TRIM(MID(SUBSTITUTE(SUBSTITUTE($Z$4,"/",","),",",REPT(" ",99)),(ROW($1:$8)-1)*99+1,99))&lt;&gt;""),--ISNUMBER(SEARCH(TRIM(MID(SUBSTITUTE(SUBSTITUTE($Z$4,"/",","),",",REPT(" ",99)),(ROW($1:$8)-1)*99+1,99)),IFERROR(('Final Calculation Sheet'!$Y$30)&amp;"",""))))&gt;0,AND(ISNUMBER(SEARCH("blank",$Z$4)),NOT(ISNUMBER(SEARCH("nonblank",$Z$4))),IFERROR(('Final Calculation Sheet'!$Y$30)&amp;"","")=""),AND(OR(ISNUMBER(SEARCH("nonblank",$Z$4)),ISNUMBER(SEARCH("&lt;&gt;",$Z$4))),IFERROR(('Final Calculation Sheet'!$Y$30)&amp;"","")&lt;&gt;""),AND(TRIM($Z$4)="",IFERROR(('Final Calculation Sheet'!$Y$30)&amp;"","")=""))))</f>
        <v/>
      </c>
      <c r="CM31">
        <f>IF($AA$4="",1,--(OR(SUMPRODUCT(--(TRIM(MID(SUBSTITUTE(SUBSTITUTE($AA$4,"/",","),",",REPT(" ",99)),(ROW($1:$8)-1)*99+1,99))&lt;&gt;""),--ISNUMBER(SEARCH(TRIM(MID(SUBSTITUTE(SUBSTITUTE($AA$4,"/",","),",",REPT(" ",99)),(ROW($1:$8)-1)*99+1,99)),IFERROR(('Final Calculation Sheet'!$Z$30)&amp;"",""))))&gt;0,AND(ISNUMBER(SEARCH("blank",$AA$4)),NOT(ISNUMBER(SEARCH("nonblank",$AA$4))),IFERROR(('Final Calculation Sheet'!$Z$30)&amp;"","")=""),AND(OR(ISNUMBER(SEARCH("nonblank",$AA$4)),ISNUMBER(SEARCH("&lt;&gt;",$AA$4))),IFERROR(('Final Calculation Sheet'!$Z$30)&amp;"","")&lt;&gt;""),AND(TRIM($AA$4)="",IFERROR(('Final Calculation Sheet'!$Z$30)&amp;"","")=""))))</f>
        <v/>
      </c>
      <c r="CN31">
        <f>IF($AB$4="",1,--(OR(SUMPRODUCT(--(TRIM(MID(SUBSTITUTE(SUBSTITUTE($AB$4,"/",","),",",REPT(" ",99)),(ROW($1:$8)-1)*99+1,99))&lt;&gt;""),--ISNUMBER(SEARCH(TRIM(MID(SUBSTITUTE(SUBSTITUTE($AB$4,"/",","),",",REPT(" ",99)),(ROW($1:$8)-1)*99+1,99)),IFERROR(('Final Calculation Sheet'!$AA$30)&amp;"",""))))&gt;0,AND(ISNUMBER(SEARCH("blank",$AB$4)),NOT(ISNUMBER(SEARCH("nonblank",$AB$4))),IFERROR(('Final Calculation Sheet'!$AA$30)&amp;"","")=""),AND(OR(ISNUMBER(SEARCH("nonblank",$AB$4)),ISNUMBER(SEARCH("&lt;&gt;",$AB$4))),IFERROR(('Final Calculation Sheet'!$AA$30)&amp;"","")&lt;&gt;""),AND(TRIM($AB$4)="",IFERROR(('Final Calculation Sheet'!$AA$30)&amp;"","")=""))))</f>
        <v/>
      </c>
      <c r="CO31">
        <f>IF($AC$4="",1,--(OR(SUMPRODUCT(--(TRIM(MID(SUBSTITUTE(SUBSTITUTE($AC$4,"/",","),",",REPT(" ",99)),(ROW($1:$8)-1)*99+1,99))&lt;&gt;""),--ISNUMBER(SEARCH(TRIM(MID(SUBSTITUTE(SUBSTITUTE($AC$4,"/",","),",",REPT(" ",99)),(ROW($1:$8)-1)*99+1,99)),IFERROR(('Final Calculation Sheet'!$AB$30)&amp;"",""))))&gt;0,AND(ISNUMBER(SEARCH("blank",$AC$4)),NOT(ISNUMBER(SEARCH("nonblank",$AC$4))),IFERROR(('Final Calculation Sheet'!$AB$30)&amp;"","")=""),AND(OR(ISNUMBER(SEARCH("nonblank",$AC$4)),ISNUMBER(SEARCH("&lt;&gt;",$AC$4))),IFERROR(('Final Calculation Sheet'!$AB$30)&amp;"","")&lt;&gt;""),AND(TRIM($AC$4)="",IFERROR(('Final Calculation Sheet'!$AB$30)&amp;"","")=""))))</f>
        <v/>
      </c>
      <c r="CP31">
        <f>IF($AD$4="",1,--(OR(SUMPRODUCT(--(TRIM(MID(SUBSTITUTE(SUBSTITUTE($AD$4,"/",","),",",REPT(" ",99)),(ROW($1:$8)-1)*99+1,99))&lt;&gt;""),--ISNUMBER(SEARCH(TRIM(MID(SUBSTITUTE(SUBSTITUTE($AD$4,"/",","),",",REPT(" ",99)),(ROW($1:$8)-1)*99+1,99)),IFERROR(('Final Calculation Sheet'!$AC$30)&amp;"",""))))&gt;0,AND(ISNUMBER(SEARCH("blank",$AD$4)),NOT(ISNUMBER(SEARCH("nonblank",$AD$4))),IFERROR(('Final Calculation Sheet'!$AC$30)&amp;"","")=""),AND(OR(ISNUMBER(SEARCH("nonblank",$AD$4)),ISNUMBER(SEARCH("&lt;&gt;",$AD$4))),IFERROR(('Final Calculation Sheet'!$AC$30)&amp;"","")&lt;&gt;""),AND(TRIM($AD$4)="",IFERROR(('Final Calculation Sheet'!$AC$30)&amp;"","")=""))))</f>
        <v/>
      </c>
      <c r="CQ31">
        <f>IF($AE$4="",1,--(OR(SUMPRODUCT(--(TRIM(MID(SUBSTITUTE(SUBSTITUTE($AE$4,"/",","),",",REPT(" ",99)),(ROW($1:$8)-1)*99+1,99))&lt;&gt;""),--ISNUMBER(SEARCH(TRIM(MID(SUBSTITUTE(SUBSTITUTE($AE$4,"/",","),",",REPT(" ",99)),(ROW($1:$8)-1)*99+1,99)),IFERROR(('Final Calculation Sheet'!$AD$30)&amp;"",""))))&gt;0,AND(ISNUMBER(SEARCH("blank",$AE$4)),NOT(ISNUMBER(SEARCH("nonblank",$AE$4))),IFERROR(('Final Calculation Sheet'!$AD$30)&amp;"","")=""),AND(OR(ISNUMBER(SEARCH("nonblank",$AE$4)),ISNUMBER(SEARCH("&lt;&gt;",$AE$4))),IFERROR(('Final Calculation Sheet'!$AD$30)&amp;"","")&lt;&gt;""),AND(TRIM($AE$4)="",IFERROR(('Final Calculation Sheet'!$AD$30)&amp;"","")=""))))</f>
        <v/>
      </c>
      <c r="CR31">
        <f>IF($AF$4="",1,--(OR(SUMPRODUCT(--(TRIM(MID(SUBSTITUTE(SUBSTITUTE($AF$4,"/",","),",",REPT(" ",99)),(ROW($1:$8)-1)*99+1,99))&lt;&gt;""),--ISNUMBER(SEARCH(TRIM(MID(SUBSTITUTE(SUBSTITUTE($AF$4,"/",","),",",REPT(" ",99)),(ROW($1:$8)-1)*99+1,99)),IFERROR(('Final Calculation Sheet'!$AE$30)&amp;"",""))))&gt;0,AND(ISNUMBER(SEARCH("blank",$AF$4)),NOT(ISNUMBER(SEARCH("nonblank",$AF$4))),IFERROR(('Final Calculation Sheet'!$AE$30)&amp;"","")=""),AND(OR(ISNUMBER(SEARCH("nonblank",$AF$4)),ISNUMBER(SEARCH("&lt;&gt;",$AF$4))),IFERROR(('Final Calculation Sheet'!$AE$30)&amp;"","")&lt;&gt;""),AND(TRIM($AF$4)="",IFERROR(('Final Calculation Sheet'!$AE$30)&amp;"","")=""))))</f>
        <v/>
      </c>
      <c r="CS31">
        <f>IF($AG$4="",1,--(OR(SUMPRODUCT(--(TRIM(MID(SUBSTITUTE(SUBSTITUTE($AG$4,"/",","),",",REPT(" ",99)),(ROW($1:$8)-1)*99+1,99))&lt;&gt;""),--ISNUMBER(SEARCH(TRIM(MID(SUBSTITUTE(SUBSTITUTE($AG$4,"/",","),",",REPT(" ",99)),(ROW($1:$8)-1)*99+1,99)),IFERROR(('Final Calculation Sheet'!$AF$30)&amp;"",""))))&gt;0,AND(ISNUMBER(SEARCH("blank",$AG$4)),NOT(ISNUMBER(SEARCH("nonblank",$AG$4))),IFERROR(('Final Calculation Sheet'!$AF$30)&amp;"","")=""),AND(OR(ISNUMBER(SEARCH("nonblank",$AG$4)),ISNUMBER(SEARCH("&lt;&gt;",$AG$4))),IFERROR(('Final Calculation Sheet'!$AF$30)&amp;"","")&lt;&gt;""),AND(TRIM($AG$4)="",IFERROR(('Final Calculation Sheet'!$AF$30)&amp;"","")=""))))</f>
        <v/>
      </c>
      <c r="CT31">
        <f>IF($AH$4="",1,--(OR(SUMPRODUCT(--(TRIM(MID(SUBSTITUTE(SUBSTITUTE($AH$4,"/",","),",",REPT(" ",99)),(ROW($1:$8)-1)*99+1,99))&lt;&gt;""),--ISNUMBER(SEARCH(TRIM(MID(SUBSTITUTE(SUBSTITUTE($AH$4,"/",","),",",REPT(" ",99)),(ROW($1:$8)-1)*99+1,99)),IFERROR(('Final Calculation Sheet'!$AG$30)&amp;"",""))))&gt;0,AND(ISNUMBER(SEARCH("blank",$AH$4)),NOT(ISNUMBER(SEARCH("nonblank",$AH$4))),IFERROR(('Final Calculation Sheet'!$AG$30)&amp;"","")=""),AND(OR(ISNUMBER(SEARCH("nonblank",$AH$4)),ISNUMBER(SEARCH("&lt;&gt;",$AH$4))),IFERROR(('Final Calculation Sheet'!$AG$30)&amp;"","")&lt;&gt;""),AND(TRIM($AH$4)="",IFERROR(('Final Calculation Sheet'!$AG$30)&amp;"","")=""))))</f>
        <v/>
      </c>
      <c r="CU31">
        <f>IF($AI$4="",1,--(OR(SUMPRODUCT(--(TRIM(MID(SUBSTITUTE(SUBSTITUTE($AI$4,"/",","),",",REPT(" ",99)),(ROW($1:$8)-1)*99+1,99))&lt;&gt;""),--ISNUMBER(SEARCH(TRIM(MID(SUBSTITUTE(SUBSTITUTE($AI$4,"/",","),",",REPT(" ",99)),(ROW($1:$8)-1)*99+1,99)),IFERROR((IF('Final Calculation Sheet'!$AD$30&lt;=0,"SETTLED","OUTSTANDING"))&amp;"",""))))&gt;0,AND(ISNUMBER(SEARCH("blank",$AI$4)),NOT(ISNUMBER(SEARCH("nonblank",$AI$4))),IFERROR((IF('Final Calculation Sheet'!$AD$30&lt;=0,"SETTLED","OUTSTANDING"))&amp;"","")=""),AND(OR(ISNUMBER(SEARCH("nonblank",$AI$4)),ISNUMBER(SEARCH("&lt;&gt;",$AI$4))),IFERROR((IF('Final Calculation Sheet'!$AD$30&lt;=0,"SETTLED","OUTSTANDING"))&amp;"","")&lt;&gt;""),AND(TRIM($AI$4)="",IFERROR((IF('Final Calculation Sheet'!$AD$30&lt;=0,"SETTLED","OUTSTANDING"))&amp;"","")=""))))</f>
        <v/>
      </c>
    </row>
    <row r="32" ht="15" customHeight="1" s="77">
      <c r="A32" s="67">
        <f>IF($BJ31&gt;0,INDEX($BA$5:$BA$41,MATCH(31,$BB$5:$BB$41,0)),IF(OR($BI31=1,$BL31=1,$BH31&gt;0),"∑",""))</f>
        <v/>
      </c>
      <c r="B32" s="68">
        <f>IF($BJ31&gt;0,IF(INDEX('Final Calculation Sheet'!$F$4:$F$40,$BJ31-3)="","",INDEX('Final Calculation Sheet'!$F$4:$F$40,$BJ31-3)),"")</f>
        <v/>
      </c>
      <c r="C32" s="68">
        <f>IF($BJ31&gt;0,IF(INDEX('Final Calculation Sheet'!$G$4:$G$40,$BJ31-3)="","",INDEX('Final Calculation Sheet'!$G$4:$G$40,$BJ31-3)),IF(OR($BI31=1,$BL31=1,$BH31&gt;0),IF($BI31=1,37,IF($BL31=1,37-INDEX($BD$4:$BD$13,10),INDEX($BD$4:$BD$13,$BH31)))&amp;" lot(s)",""))</f>
        <v/>
      </c>
      <c r="D32" s="69">
        <f>IF($BJ31&gt;0,IF(INDEX('Final Calculation Sheet'!$B$4:$B$40,$BJ31-3)="","",INDEX('Final Calculation Sheet'!$B$4:$B$40,$BJ31-3)),IF(OR($BI31=1,$BL31=1,$BH31&gt;0),IF($BI31=1,"GRAND TOTAL  —  matching + remaining",IF($BL31=1,"TOTAL MATCHED  —  every group together",IF($BH31=10,"REMAINING  —  did not match the search",IF($BH31=9,IF(COUNTIF($A$4:$AI$4,"&lt;&gt;")&gt;0,"FILTERED LOTS  —  column fields","ALL LOTS  —  nothing typed in the box"),"GROUP "&amp;$BH31&amp;" TOTAL  —  lots matching  "&amp;INDEX($AR$6:$AY$6,$BH31))))),""))</f>
        <v/>
      </c>
      <c r="E32" s="69">
        <f>IF($BJ31&gt;0,IF(INDEX('Final Calculation Sheet'!$D$4:$D$40,$BJ31-3)="","",INDEX('Final Calculation Sheet'!$D$4:$D$40,$BJ31-3)),IF(OR($BI31=1,$BL31=1,$BH31&gt;0),"–",""))</f>
        <v/>
      </c>
      <c r="F32" s="69">
        <f>IF($BJ31&gt;0,IF(INDEX('Final Calculation Sheet'!$A$4:$A$40,$BJ31-3)="","",INDEX('Final Calculation Sheet'!$A$4:$A$40,$BJ31-3)),IF(OR($BI31=1,$BL31=1,$BH31&gt;0),IF($BI31=1,SUM('Final Calculation Sheet'!$A$4:$A$40),IF($BL31=1,SUM('Final Calculation Sheet'!$A$4:$A$40)-SUMIFS('Final Calculation Sheet'!$A$4:$A$40,$AZ$5:$AZ$41,10),SUMIFS('Final Calculation Sheet'!$A$4:$A$40,$AZ$5:$AZ$41,$BH31))),""))</f>
        <v/>
      </c>
      <c r="G32" s="69">
        <f>IF($BJ31&gt;0,IF(INDEX('Final Calculation Sheet'!$E$4:$E$40,$BJ31-3)="","",INDEX('Final Calculation Sheet'!$E$4:$E$40,$BJ31-3)),IF(OR($BI31=1,$BL31=1,$BH31&gt;0),"–",""))</f>
        <v/>
      </c>
      <c r="H32" s="70">
        <f>IF($BJ31&gt;0,IF(INDEX('Final Calculation Sheet'!$C$4:$C$40,$BJ31-3)="","",INDEX('Final Calculation Sheet'!$C$4:$C$40,$BJ31-3)),IF(OR($BI31=1,$BL31=1,$BH31&gt;0),"–",""))</f>
        <v/>
      </c>
      <c r="I32" s="70">
        <f>IF($BJ31&gt;0,IF(INDEX('Final Calculation Sheet'!$H$4:$H$40,$BJ31-3)="","",INDEX('Final Calculation Sheet'!$H$4:$H$40,$BJ31-3)),IF(OR($BI31=1,$BL31=1,$BH31&gt;0),IF($BI31=1,SUM('Final Calculation Sheet'!$H$4:$H$40),IF($BL31=1,SUM('Final Calculation Sheet'!$H$4:$H$40)-SUMIFS('Final Calculation Sheet'!$H$4:$H$40,$AZ$5:$AZ$41,10),SUMIFS('Final Calculation Sheet'!$H$4:$H$40,$AZ$5:$AZ$41,$BH31))),""))</f>
        <v/>
      </c>
      <c r="J32" s="70">
        <f>IF($BJ31&gt;0,IF(INDEX('Final Calculation Sheet'!$I$4:$I$40,$BJ31-3)="","",INDEX('Final Calculation Sheet'!$I$4:$I$40,$BJ31-3)),IF(OR($BI31=1,$BL31=1,$BH31&gt;0),IF($BI31=1,SUM('Final Calculation Sheet'!$I$4:$I$40),IF($BL31=1,SUM('Final Calculation Sheet'!$I$4:$I$40)-SUMIFS('Final Calculation Sheet'!$I$4:$I$40,$AZ$5:$AZ$41,10),SUMIFS('Final Calculation Sheet'!$I$4:$I$40,$AZ$5:$AZ$41,$BH31))),""))</f>
        <v/>
      </c>
      <c r="K32" s="70">
        <f>IF($BJ31&gt;0,IF(INDEX('Final Calculation Sheet'!$J$4:$J$40,$BJ31-3)="","",INDEX('Final Calculation Sheet'!$J$4:$J$40,$BJ31-3)),IF(OR($BI31=1,$BL31=1,$BH31&gt;0),IF($BI31=1,SUM('Final Calculation Sheet'!$J$4:$J$40),IF($BL31=1,SUM('Final Calculation Sheet'!$J$4:$J$40)-SUMIFS('Final Calculation Sheet'!$J$4:$J$40,$AZ$5:$AZ$41,10),SUMIFS('Final Calculation Sheet'!$J$4:$J$40,$AZ$5:$AZ$41,$BH31))),""))</f>
        <v/>
      </c>
      <c r="L32" s="70">
        <f>IF($BJ31&gt;0,IF(INDEX('Final Calculation Sheet'!$K$4:$K$40,$BJ31-3)="","",INDEX('Final Calculation Sheet'!$K$4:$K$40,$BJ31-3)),IF(OR($BI31=1,$BL31=1,$BH31&gt;0),IF($BI31=1,SUM('Final Calculation Sheet'!$K$4:$K$40),IF($BL31=1,SUM('Final Calculation Sheet'!$K$4:$K$40)-SUMIFS('Final Calculation Sheet'!$K$4:$K$40,$AZ$5:$AZ$41,10),SUMIFS('Final Calculation Sheet'!$K$4:$K$40,$AZ$5:$AZ$41,$BH31))),""))</f>
        <v/>
      </c>
      <c r="M32" s="70">
        <f>IF($BJ31&gt;0,IF(INDEX('Final Calculation Sheet'!$L$4:$L$40,$BJ31-3)="","",INDEX('Final Calculation Sheet'!$L$4:$L$40,$BJ31-3)),IF(OR($BI31=1,$BL31=1,$BH31&gt;0),IF($BI31=1,SUM('Final Calculation Sheet'!$L$4:$L$40),IF($BL31=1,SUM('Final Calculation Sheet'!$L$4:$L$40)-SUMIFS('Final Calculation Sheet'!$L$4:$L$40,$AZ$5:$AZ$41,10),SUMIFS('Final Calculation Sheet'!$L$4:$L$40,$AZ$5:$AZ$41,$BH31))),""))</f>
        <v/>
      </c>
      <c r="N32" s="70">
        <f>IF($BJ31&gt;0,IF(INDEX('Final Calculation Sheet'!$M$4:$M$40,$BJ31-3)="","",INDEX('Final Calculation Sheet'!$M$4:$M$40,$BJ31-3)),IF(OR($BI31=1,$BL31=1,$BH31&gt;0),IF($BI31=1,SUM('Final Calculation Sheet'!$M$4:$M$40),IF($BL31=1,SUM('Final Calculation Sheet'!$M$4:$M$40)-SUMIFS('Final Calculation Sheet'!$M$4:$M$40,$AZ$5:$AZ$41,10),SUMIFS('Final Calculation Sheet'!$M$4:$M$40,$AZ$5:$AZ$41,$BH31))),""))</f>
        <v/>
      </c>
      <c r="O32" s="71">
        <f>IF($BJ31&gt;0,IF(INDEX('Final Calculation Sheet'!$N$4:$N$40,$BJ31-3)="","",INDEX('Final Calculation Sheet'!$N$4:$N$40,$BJ31-3)),IF(OR($BI31=1,$BL31=1,$BH31&gt;0),IF($BI31=1,SUM('Final Calculation Sheet'!$N$4:$N$40),IF($BL31=1,SUM('Final Calculation Sheet'!$N$4:$N$40)-SUMIFS('Final Calculation Sheet'!$N$4:$N$40,$AZ$5:$AZ$41,10),SUMIFS('Final Calculation Sheet'!$N$4:$N$40,$AZ$5:$AZ$41,$BH31))),""))</f>
        <v/>
      </c>
      <c r="P32" s="70">
        <f>IF($BJ31&gt;0,IF(INDEX('Final Calculation Sheet'!$O$4:$O$40,$BJ31-3)="","",INDEX('Final Calculation Sheet'!$O$4:$O$40,$BJ31-3)),IF(OR($BI31=1,$BL31=1,$BH31&gt;0),IF($BI31=1,SUM('Final Calculation Sheet'!$O$4:$O$40),IF($BL31=1,SUM('Final Calculation Sheet'!$O$4:$O$40)-SUMIFS('Final Calculation Sheet'!$O$4:$O$40,$AZ$5:$AZ$41,10),SUMIFS('Final Calculation Sheet'!$O$4:$O$40,$AZ$5:$AZ$41,$BH31))),""))</f>
        <v/>
      </c>
      <c r="Q32" s="70">
        <f>IF($BJ31&gt;0,IF(INDEX('Final Calculation Sheet'!$P$4:$P$40,$BJ31-3)="","",INDEX('Final Calculation Sheet'!$P$4:$P$40,$BJ31-3)),IF(OR($BI31=1,$BL31=1,$BH31&gt;0),IF($BI31=1,SUM('Final Calculation Sheet'!$P$4:$P$40),IF($BL31=1,SUM('Final Calculation Sheet'!$P$4:$P$40)-SUMIFS('Final Calculation Sheet'!$P$4:$P$40,$AZ$5:$AZ$41,10),SUMIFS('Final Calculation Sheet'!$P$4:$P$40,$AZ$5:$AZ$41,$BH31))),""))</f>
        <v/>
      </c>
      <c r="R32" s="72">
        <f>IF($BJ31&gt;0,IF(INDEX('Final Calculation Sheet'!$Q$4:$Q$40,$BJ31-3)="","",INDEX('Final Calculation Sheet'!$Q$4:$Q$40,$BJ31-3)),IF(OR($BI31=1,$BL31=1,$BH31&gt;0),"–",""))</f>
        <v/>
      </c>
      <c r="S32" s="70">
        <f>IF($BJ31&gt;0,IF(INDEX('Final Calculation Sheet'!$R$4:$R$40,$BJ31-3)="","",INDEX('Final Calculation Sheet'!$R$4:$R$40,$BJ31-3)),IF(OR($BI31=1,$BL31=1,$BH31&gt;0),IF($BI31=1,SUM('Final Calculation Sheet'!$R$4:$R$40),IF($BL31=1,SUM('Final Calculation Sheet'!$R$4:$R$40)-SUMIFS('Final Calculation Sheet'!$R$4:$R$40,$AZ$5:$AZ$41,10),SUMIFS('Final Calculation Sheet'!$R$4:$R$40,$AZ$5:$AZ$41,$BH31))),""))</f>
        <v/>
      </c>
      <c r="T32" s="70">
        <f>IF($BJ31&gt;0,IF(INDEX('Final Calculation Sheet'!$S$4:$S$40,$BJ31-3)="","",INDEX('Final Calculation Sheet'!$S$4:$S$40,$BJ31-3)),IF(OR($BI31=1,$BL31=1,$BH31&gt;0),IF($BI31=1,SUM('Final Calculation Sheet'!$S$4:$S$40),IF($BL31=1,SUM('Final Calculation Sheet'!$S$4:$S$40)-SUMIFS('Final Calculation Sheet'!$S$4:$S$40,$AZ$5:$AZ$41,10),SUMIFS('Final Calculation Sheet'!$S$4:$S$40,$AZ$5:$AZ$41,$BH31))),""))</f>
        <v/>
      </c>
      <c r="U32" s="70">
        <f>IF($BJ31&gt;0,IF(INDEX('Final Calculation Sheet'!$T$4:$T$40,$BJ31-3)="","",INDEX('Final Calculation Sheet'!$T$4:$T$40,$BJ31-3)),IF(OR($BI31=1,$BL31=1,$BH31&gt;0),IF($BI31=1,SUM('Final Calculation Sheet'!$T$4:$T$40),IF($BL31=1,SUM('Final Calculation Sheet'!$T$4:$T$40)-SUMIFS('Final Calculation Sheet'!$T$4:$T$40,$AZ$5:$AZ$41,10),SUMIFS('Final Calculation Sheet'!$T$4:$T$40,$AZ$5:$AZ$41,$BH31))),""))</f>
        <v/>
      </c>
      <c r="V32" s="73">
        <f>IF($BJ31&gt;0,IF(INDEX('Final Calculation Sheet'!$U$4:$U$40,$BJ31-3)="","",INDEX('Final Calculation Sheet'!$U$4:$U$40,$BJ31-3)),IF(OR($BI31=1,$BL31=1,$BH31&gt;0),IF($BI31=1,SUM('Final Calculation Sheet'!$U$4:$U$40),IF($BL31=1,SUM('Final Calculation Sheet'!$U$4:$U$40)-SUMIFS('Final Calculation Sheet'!$U$4:$U$40,$AZ$5:$AZ$41,10),SUMIFS('Final Calculation Sheet'!$U$4:$U$40,$AZ$5:$AZ$41,$BH31))),""))</f>
        <v/>
      </c>
      <c r="W32" s="70">
        <f>IF($BJ31&gt;0,IF(INDEX('Final Calculation Sheet'!$V$4:$V$40,$BJ31-3)="","",INDEX('Final Calculation Sheet'!$V$4:$V$40,$BJ31-3)),IF(OR($BI31=1,$BL31=1,$BH31&gt;0),"–",""))</f>
        <v/>
      </c>
      <c r="X32" s="70">
        <f>IF($BJ31&gt;0,IF(INDEX('Final Calculation Sheet'!$W$4:$W$40,$BJ31-3)="","",INDEX('Final Calculation Sheet'!$W$4:$W$40,$BJ31-3)),IF(OR($BI31=1,$BL31=1,$BH31&gt;0),IF($BI31=1,SUM('Final Calculation Sheet'!$W$4:$W$40),IF($BL31=1,SUM('Final Calculation Sheet'!$W$4:$W$40)-SUMIFS('Final Calculation Sheet'!$W$4:$W$40,$AZ$5:$AZ$41,10),SUMIFS('Final Calculation Sheet'!$W$4:$W$40,$AZ$5:$AZ$41,$BH31))),""))</f>
        <v/>
      </c>
      <c r="Y32" s="70">
        <f>IF($BJ31&gt;0,IF(INDEX('Final Calculation Sheet'!$X$4:$X$40,$BJ31-3)="","",INDEX('Final Calculation Sheet'!$X$4:$X$40,$BJ31-3)),IF(OR($BI31=1,$BL31=1,$BH31&gt;0),IF($BI31=1,SUM('Final Calculation Sheet'!$X$4:$X$40),IF($BL31=1,SUM('Final Calculation Sheet'!$X$4:$X$40)-SUMIFS('Final Calculation Sheet'!$X$4:$X$40,$AZ$5:$AZ$41,10),SUMIFS('Final Calculation Sheet'!$X$4:$X$40,$AZ$5:$AZ$41,$BH31))),""))</f>
        <v/>
      </c>
      <c r="Z32" s="70">
        <f>IF($BJ31&gt;0,IF(INDEX('Final Calculation Sheet'!$Y$4:$Y$40,$BJ31-3)="","",INDEX('Final Calculation Sheet'!$Y$4:$Y$40,$BJ31-3)),IF(OR($BI31=1,$BL31=1,$BH31&gt;0),"–",""))</f>
        <v/>
      </c>
      <c r="AA32" s="70">
        <f>IF($BJ31&gt;0,IF(INDEX('Final Calculation Sheet'!$Z$4:$Z$40,$BJ31-3)="","",INDEX('Final Calculation Sheet'!$Z$4:$Z$40,$BJ31-3)),IF(OR($BI31=1,$BL31=1,$BH31&gt;0),IF($BI31=1,SUM('Final Calculation Sheet'!$Z$4:$Z$40),IF($BL31=1,SUM('Final Calculation Sheet'!$Z$4:$Z$40)-SUMIFS('Final Calculation Sheet'!$Z$4:$Z$40,$AZ$5:$AZ$41,10),SUMIFS('Final Calculation Sheet'!$Z$4:$Z$40,$AZ$5:$AZ$41,$BH31))),""))</f>
        <v/>
      </c>
      <c r="AB32" s="70">
        <f>IF($BJ31&gt;0,IF(INDEX('Final Calculation Sheet'!$AA$4:$AA$40,$BJ31-3)="","",INDEX('Final Calculation Sheet'!$AA$4:$AA$40,$BJ31-3)),IF(OR($BI31=1,$BL31=1,$BH31&gt;0),IF($BI31=1,SUM('Final Calculation Sheet'!$AA$4:$AA$40),IF($BL31=1,SUM('Final Calculation Sheet'!$AA$4:$AA$40)-SUMIFS('Final Calculation Sheet'!$AA$4:$AA$40,$AZ$5:$AZ$41,10),SUMIFS('Final Calculation Sheet'!$AA$4:$AA$40,$AZ$5:$AZ$41,$BH31))),""))</f>
        <v/>
      </c>
      <c r="AC32" s="70">
        <f>IF($BJ31&gt;0,IF(INDEX('Final Calculation Sheet'!$AB$4:$AB$40,$BJ31-3)="","",INDEX('Final Calculation Sheet'!$AB$4:$AB$40,$BJ31-3)),IF(OR($BI31=1,$BL31=1,$BH31&gt;0),"–",""))</f>
        <v/>
      </c>
      <c r="AD32" s="70">
        <f>IF($BJ31&gt;0,IF(INDEX('Final Calculation Sheet'!$AC$4:$AC$40,$BJ31-3)="","",INDEX('Final Calculation Sheet'!$AC$4:$AC$40,$BJ31-3)),IF(OR($BI31=1,$BL31=1,$BH31&gt;0),IF($BI31=1,SUM('Final Calculation Sheet'!$AC$4:$AC$40),IF($BL31=1,SUM('Final Calculation Sheet'!$AC$4:$AC$40)-SUMIFS('Final Calculation Sheet'!$AC$4:$AC$40,$AZ$5:$AZ$41,10),SUMIFS('Final Calculation Sheet'!$AC$4:$AC$40,$AZ$5:$AZ$41,$BH31))),""))</f>
        <v/>
      </c>
      <c r="AE32" s="70">
        <f>IF($BJ31&gt;0,IF(INDEX('Final Calculation Sheet'!$AD$4:$AD$40,$BJ31-3)="","",INDEX('Final Calculation Sheet'!$AD$4:$AD$40,$BJ31-3)),IF(OR($BI31=1,$BL31=1,$BH31&gt;0),IF($BI31=1,SUM('Final Calculation Sheet'!$AD$4:$AD$40),IF($BL31=1,SUM('Final Calculation Sheet'!$AD$4:$AD$40)-SUMIFS('Final Calculation Sheet'!$AD$4:$AD$40,$AZ$5:$AZ$41,10),SUMIFS('Final Calculation Sheet'!$AD$4:$AD$40,$AZ$5:$AZ$41,$BH31))),""))</f>
        <v/>
      </c>
      <c r="AF32" s="70">
        <f>IF($BJ31&gt;0,IF(INDEX('Final Calculation Sheet'!$AE$4:$AE$40,$BJ31-3)="","",INDEX('Final Calculation Sheet'!$AE$4:$AE$40,$BJ31-3)),IF(OR($BI31=1,$BL31=1,$BH31&gt;0),"–",""))</f>
        <v/>
      </c>
      <c r="AG32" s="74">
        <f>IF($BJ31&gt;0,IF(INDEX('Final Calculation Sheet'!$AF$4:$AF$40,$BJ31-3)="","",INDEX('Final Calculation Sheet'!$AF$4:$AF$40,$BJ31-3)),IF(OR($BI31=1,$BL31=1,$BH31&gt;0),"–",""))</f>
        <v/>
      </c>
      <c r="AH32" s="70">
        <f>IF($BJ31&gt;0,IF(INDEX('Final Calculation Sheet'!$AG$4:$AG$40,$BJ31-3)="","",INDEX('Final Calculation Sheet'!$AG$4:$AG$40,$BJ31-3)),IF(OR($BI31=1,$BL31=1,$BH31&gt;0),"–",""))</f>
        <v/>
      </c>
      <c r="AI32" s="75">
        <f>IF($BJ31&gt;0,IF(INDEX('Final Calculation Sheet'!$AD$4:$AD$40,$BJ31-3)="","",IF(INDEX('Final Calculation Sheet'!$AD$4:$AD$40,$BJ31-3)&lt;=0,"SETTLED","OUTSTANDING")),IF(OR($BI31=1,$BL31=1,$BH31&gt;0),IF(IF($BI31=1,SUM('Final Calculation Sheet'!$AD$4:$AD$40),IF($BL31=1,SUM('Final Calculation Sheet'!$AD$4:$AD$40)-SUMIFS('Final Calculation Sheet'!$AD$4:$AD$40,$AZ$5:$AZ$41,10),SUMIFS('Final Calculation Sheet'!$AD$4:$AD$40,$AZ$5:$AZ$41,$BH31)))&lt;=0,"ALL SETTLED","OUTSTANDING"),""))</f>
        <v/>
      </c>
      <c r="AK32">
        <f>IF($F$3="Lot No.",'Final Calculation Sheet'!$F$31,IF($F$3="Buyer",'Final Calculation Sheet'!$G$31,IF($F$3="Lot Name",'Final Calculation Sheet'!$B$31,IF($F$3="Bid Sheet",'Final Calculation Sheet'!$D$31,IF($F$3="Unit",'Final Calculation Sheet'!$E$31,'Final Calculation Sheet'!$F$31&amp;" "&amp;'Final Calculation Sheet'!$G$31&amp;" "&amp;'Final Calculation Sheet'!$B$31)))))</f>
        <v/>
      </c>
      <c r="AM32">
        <f>IF(COUNTIF($BM32:$CU32,0)&gt;0,0,IF($B$3="",1,IF(AND(IF(COUNTIF($AR$9:$AY$9,1)=0,TRUE,SUMPRODUCT(($AR$9:$AY$9=1)*($AR$6:$AY$6&lt;&gt;"")*ISNUMBER(SEARCH($AR$6:$AY$6,$AK32)))&gt;0),IF(COUNTIF($AR$9:$AY$9,2)=0,TRUE,SUMPRODUCT(($AR$9:$AY$9=2)*($AR$6:$AY$6&lt;&gt;"")*ISNUMBER(SEARCH($AR$6:$AY$6,$AK32)))&gt;0),IF(COUNTIF($AR$9:$AY$9,3)=0,TRUE,SUMPRODUCT(($AR$9:$AY$9=3)*($AR$6:$AY$6&lt;&gt;"")*ISNUMBER(SEARCH($AR$6:$AY$6,$AK32)))&gt;0),IF(COUNTIF($AR$9:$AY$9,4)=0,TRUE,SUMPRODUCT(($AR$9:$AY$9=4)*($AR$6:$AY$6&lt;&gt;"")*ISNUMBER(SEARCH($AR$6:$AY$6,$AK32)))&gt;0),IF(COUNTIF($AR$9:$AY$9,5)=0,TRUE,SUMPRODUCT(($AR$9:$AY$9=5)*($AR$6:$AY$6&lt;&gt;"")*ISNUMBER(SEARCH($AR$6:$AY$6,$AK32)))&gt;0),IF(COUNTIF($AR$9:$AY$9,6)=0,TRUE,SUMPRODUCT(($AR$9:$AY$9=6)*($AR$6:$AY$6&lt;&gt;"")*ISNUMBER(SEARCH($AR$6:$AY$6,$AK32)))&gt;0),IF(COUNTIF($AR$9:$AY$9,7)=0,TRUE,SUMPRODUCT(($AR$9:$AY$9=7)*($AR$6:$AY$6&lt;&gt;"")*ISNUMBER(SEARCH($AR$6:$AY$6,$AK32)))&gt;0),IF(COUNTIF($AR$9:$AY$9,8)=0,TRUE,SUMPRODUCT(($AR$9:$AY$9=8)*($AR$6:$AY$6&lt;&gt;"")*ISNUMBER(SEARCH($AR$6:$AY$6,$AK32)))&gt;0)),1,0)))</f>
        <v/>
      </c>
      <c r="AZ32">
        <f>IF($B$3="",IF(COUNTIF($A$4:$AI$4,"&lt;&gt;")=0,9,IF($AM32=1,9,10)),IF($AM32=0,10,IF(AND($AR$6&lt;&gt;"",ISNUMBER(SEARCH($AR$6,$AK32))),1,IF(AND($AS$6&lt;&gt;"",ISNUMBER(SEARCH($AS$6,$AK32))),2,IF(AND($AT$6&lt;&gt;"",ISNUMBER(SEARCH($AT$6,$AK32))),3,IF(AND($AU$6&lt;&gt;"",ISNUMBER(SEARCH($AU$6,$AK32))),4,IF(AND($AV$6&lt;&gt;"",ISNUMBER(SEARCH($AV$6,$AK32))),5,IF(AND($AW$6&lt;&gt;"",ISNUMBER(SEARCH($AW$6,$AK32))),6,IF(AND($AX$6&lt;&gt;"",ISNUMBER(SEARCH($AX$6,$AK32))),7,IF(AND($AY$6&lt;&gt;"",ISNUMBER(SEARCH($AY$6,$AK32))),8,0))))))))))</f>
        <v/>
      </c>
      <c r="BA32">
        <f>SUMPRODUCT(($AZ$5:$AZ$41=$AZ32)*($BC$5:$BC$41&lt;$BC32))+1</f>
        <v/>
      </c>
      <c r="BB32">
        <f>IF(INDEX($BF$4:$BF$13,$AZ32)=0,0,INDEX($BE$4:$BE$13,$AZ32)+$BA32-1)</f>
        <v/>
      </c>
      <c r="BC32" t="n">
        <v>31</v>
      </c>
      <c r="BH32">
        <f>IFERROR(MATCH(32,$BF$4:$BF$13,0),0)</f>
        <v/>
      </c>
      <c r="BI32">
        <f>IF(32=$BG$5,1,0)</f>
        <v/>
      </c>
      <c r="BJ32">
        <f>IF(OR($BH32&gt;0,$BI32=1,$BL32=1),0,IFERROR(INDEX($BC$5:$BC$41,MATCH(32,$BB$5:$BB$41,0)),0))</f>
        <v/>
      </c>
      <c r="BK32">
        <f>IF($BJ32&gt;0,IF(INDEX($AZ$5:$AZ$41,MATCH(32,$BB$5:$BB$41,0))=10,1,0),IF($BH32=10,1,0))</f>
        <v/>
      </c>
      <c r="BL32">
        <f>IF(32=$BG$4,1,0)</f>
        <v/>
      </c>
      <c r="BM32">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2">
        <f>IF($B$4="",1,--(OR(SUMPRODUCT(--(TRIM(MID(SUBSTITUTE(SUBSTITUTE($B$4,"/",","),",",REPT(" ",99)),(ROW($1:$8)-1)*99+1,99))&lt;&gt;""),--ISNUMBER(SEARCH(TRIM(MID(SUBSTITUTE(SUBSTITUTE($B$4,"/",","),",",REPT(" ",99)),(ROW($1:$8)-1)*99+1,99)),IFERROR(('Final Calculation Sheet'!$F$31)&amp;"",""))))&gt;0,AND(ISNUMBER(SEARCH("blank",$B$4)),NOT(ISNUMBER(SEARCH("nonblank",$B$4))),IFERROR(('Final Calculation Sheet'!$F$31)&amp;"","")=""),AND(OR(ISNUMBER(SEARCH("nonblank",$B$4)),ISNUMBER(SEARCH("&lt;&gt;",$B$4))),IFERROR(('Final Calculation Sheet'!$F$31)&amp;"","")&lt;&gt;""),AND(TRIM($B$4)="",IFERROR(('Final Calculation Sheet'!$F$31)&amp;"","")=""))))</f>
        <v/>
      </c>
      <c r="BO32">
        <f>IF($C$4="",1,--(OR(SUMPRODUCT(--(TRIM(MID(SUBSTITUTE(SUBSTITUTE($C$4,"/",","),",",REPT(" ",99)),(ROW($1:$8)-1)*99+1,99))&lt;&gt;""),--ISNUMBER(SEARCH(TRIM(MID(SUBSTITUTE(SUBSTITUTE($C$4,"/",","),",",REPT(" ",99)),(ROW($1:$8)-1)*99+1,99)),IFERROR(('Final Calculation Sheet'!$G$31)&amp;"",""))))&gt;0,AND(ISNUMBER(SEARCH("blank",$C$4)),NOT(ISNUMBER(SEARCH("nonblank",$C$4))),IFERROR(('Final Calculation Sheet'!$G$31)&amp;"","")=""),AND(OR(ISNUMBER(SEARCH("nonblank",$C$4)),ISNUMBER(SEARCH("&lt;&gt;",$C$4))),IFERROR(('Final Calculation Sheet'!$G$31)&amp;"","")&lt;&gt;""),AND(TRIM($C$4)="",IFERROR(('Final Calculation Sheet'!$G$31)&amp;"","")=""))))</f>
        <v/>
      </c>
      <c r="BP32">
        <f>IF($D$4="",1,--(OR(SUMPRODUCT(--(TRIM(MID(SUBSTITUTE(SUBSTITUTE($D$4,"/",","),",",REPT(" ",99)),(ROW($1:$8)-1)*99+1,99))&lt;&gt;""),--ISNUMBER(SEARCH(TRIM(MID(SUBSTITUTE(SUBSTITUTE($D$4,"/",","),",",REPT(" ",99)),(ROW($1:$8)-1)*99+1,99)),IFERROR(('Final Calculation Sheet'!$B$31)&amp;"",""))))&gt;0,AND(ISNUMBER(SEARCH("blank",$D$4)),NOT(ISNUMBER(SEARCH("nonblank",$D$4))),IFERROR(('Final Calculation Sheet'!$B$31)&amp;"","")=""),AND(OR(ISNUMBER(SEARCH("nonblank",$D$4)),ISNUMBER(SEARCH("&lt;&gt;",$D$4))),IFERROR(('Final Calculation Sheet'!$B$31)&amp;"","")&lt;&gt;""),AND(TRIM($D$4)="",IFERROR(('Final Calculation Sheet'!$B$31)&amp;"","")=""))))</f>
        <v/>
      </c>
      <c r="BQ32">
        <f>IF($E$4="",1,--(OR(SUMPRODUCT(--(TRIM(MID(SUBSTITUTE(SUBSTITUTE($E$4,"/",","),",",REPT(" ",99)),(ROW($1:$8)-1)*99+1,99))&lt;&gt;""),--ISNUMBER(SEARCH(TRIM(MID(SUBSTITUTE(SUBSTITUTE($E$4,"/",","),",",REPT(" ",99)),(ROW($1:$8)-1)*99+1,99)),IFERROR(('Final Calculation Sheet'!$D$31)&amp;"",""))))&gt;0,AND(ISNUMBER(SEARCH("blank",$E$4)),NOT(ISNUMBER(SEARCH("nonblank",$E$4))),IFERROR(('Final Calculation Sheet'!$D$31)&amp;"","")=""),AND(OR(ISNUMBER(SEARCH("nonblank",$E$4)),ISNUMBER(SEARCH("&lt;&gt;",$E$4))),IFERROR(('Final Calculation Sheet'!$D$31)&amp;"","")&lt;&gt;""),AND(TRIM($E$4)="",IFERROR(('Final Calculation Sheet'!$D$31)&amp;"","")=""))))</f>
        <v/>
      </c>
      <c r="BR32">
        <f>IF($F$4="",1,--(OR(SUMPRODUCT(--(TRIM(MID(SUBSTITUTE(SUBSTITUTE($F$4,"/",","),",",REPT(" ",99)),(ROW($1:$8)-1)*99+1,99))&lt;&gt;""),--ISNUMBER(SEARCH(TRIM(MID(SUBSTITUTE(SUBSTITUTE($F$4,"/",","),",",REPT(" ",99)),(ROW($1:$8)-1)*99+1,99)),IFERROR(('Final Calculation Sheet'!$A$31)&amp;"",""))))&gt;0,AND(ISNUMBER(SEARCH("blank",$F$4)),NOT(ISNUMBER(SEARCH("nonblank",$F$4))),IFERROR(('Final Calculation Sheet'!$A$31)&amp;"","")=""),AND(OR(ISNUMBER(SEARCH("nonblank",$F$4)),ISNUMBER(SEARCH("&lt;&gt;",$F$4))),IFERROR(('Final Calculation Sheet'!$A$31)&amp;"","")&lt;&gt;""),AND(TRIM($F$4)="",IFERROR(('Final Calculation Sheet'!$A$31)&amp;"","")=""))))</f>
        <v/>
      </c>
      <c r="BS32">
        <f>IF($G$4="",1,--(OR(SUMPRODUCT(--(TRIM(MID(SUBSTITUTE(SUBSTITUTE($G$4,"/",","),",",REPT(" ",99)),(ROW($1:$8)-1)*99+1,99))&lt;&gt;""),--ISNUMBER(SEARCH(TRIM(MID(SUBSTITUTE(SUBSTITUTE($G$4,"/",","),",",REPT(" ",99)),(ROW($1:$8)-1)*99+1,99)),IFERROR(('Final Calculation Sheet'!$E$31)&amp;"",""))))&gt;0,AND(ISNUMBER(SEARCH("blank",$G$4)),NOT(ISNUMBER(SEARCH("nonblank",$G$4))),IFERROR(('Final Calculation Sheet'!$E$31)&amp;"","")=""),AND(OR(ISNUMBER(SEARCH("nonblank",$G$4)),ISNUMBER(SEARCH("&lt;&gt;",$G$4))),IFERROR(('Final Calculation Sheet'!$E$31)&amp;"","")&lt;&gt;""),AND(TRIM($G$4)="",IFERROR(('Final Calculation Sheet'!$E$31)&amp;"","")=""))))</f>
        <v/>
      </c>
      <c r="BT32">
        <f>IF($H$4="",1,--(OR(SUMPRODUCT(--(TRIM(MID(SUBSTITUTE(SUBSTITUTE($H$4,"/",","),",",REPT(" ",99)),(ROW($1:$8)-1)*99+1,99))&lt;&gt;""),--ISNUMBER(SEARCH(TRIM(MID(SUBSTITUTE(SUBSTITUTE($H$4,"/",","),",",REPT(" ",99)),(ROW($1:$8)-1)*99+1,99)),IFERROR(('Final Calculation Sheet'!$C$31)&amp;"",""))))&gt;0,AND(ISNUMBER(SEARCH("blank",$H$4)),NOT(ISNUMBER(SEARCH("nonblank",$H$4))),IFERROR(('Final Calculation Sheet'!$C$31)&amp;"","")=""),AND(OR(ISNUMBER(SEARCH("nonblank",$H$4)),ISNUMBER(SEARCH("&lt;&gt;",$H$4))),IFERROR(('Final Calculation Sheet'!$C$31)&amp;"","")&lt;&gt;""),AND(TRIM($H$4)="",IFERROR(('Final Calculation Sheet'!$C$31)&amp;"","")=""))))</f>
        <v/>
      </c>
      <c r="BU32">
        <f>IF($I$4="",1,--(OR(SUMPRODUCT(--(TRIM(MID(SUBSTITUTE(SUBSTITUTE($I$4,"/",","),",",REPT(" ",99)),(ROW($1:$8)-1)*99+1,99))&lt;&gt;""),--ISNUMBER(SEARCH(TRIM(MID(SUBSTITUTE(SUBSTITUTE($I$4,"/",","),",",REPT(" ",99)),(ROW($1:$8)-1)*99+1,99)),IFERROR(('Final Calculation Sheet'!$H$31)&amp;"",""))))&gt;0,AND(ISNUMBER(SEARCH("blank",$I$4)),NOT(ISNUMBER(SEARCH("nonblank",$I$4))),IFERROR(('Final Calculation Sheet'!$H$31)&amp;"","")=""),AND(OR(ISNUMBER(SEARCH("nonblank",$I$4)),ISNUMBER(SEARCH("&lt;&gt;",$I$4))),IFERROR(('Final Calculation Sheet'!$H$31)&amp;"","")&lt;&gt;""),AND(TRIM($I$4)="",IFERROR(('Final Calculation Sheet'!$H$31)&amp;"","")=""))))</f>
        <v/>
      </c>
      <c r="BV32">
        <f>IF($J$4="",1,--(OR(SUMPRODUCT(--(TRIM(MID(SUBSTITUTE(SUBSTITUTE($J$4,"/",","),",",REPT(" ",99)),(ROW($1:$8)-1)*99+1,99))&lt;&gt;""),--ISNUMBER(SEARCH(TRIM(MID(SUBSTITUTE(SUBSTITUTE($J$4,"/",","),",",REPT(" ",99)),(ROW($1:$8)-1)*99+1,99)),IFERROR(('Final Calculation Sheet'!$I$31)&amp;"",""))))&gt;0,AND(ISNUMBER(SEARCH("blank",$J$4)),NOT(ISNUMBER(SEARCH("nonblank",$J$4))),IFERROR(('Final Calculation Sheet'!$I$31)&amp;"","")=""),AND(OR(ISNUMBER(SEARCH("nonblank",$J$4)),ISNUMBER(SEARCH("&lt;&gt;",$J$4))),IFERROR(('Final Calculation Sheet'!$I$31)&amp;"","")&lt;&gt;""),AND(TRIM($J$4)="",IFERROR(('Final Calculation Sheet'!$I$31)&amp;"","")=""))))</f>
        <v/>
      </c>
      <c r="BW32">
        <f>IF($K$4="",1,--(OR(SUMPRODUCT(--(TRIM(MID(SUBSTITUTE(SUBSTITUTE($K$4,"/",","),",",REPT(" ",99)),(ROW($1:$8)-1)*99+1,99))&lt;&gt;""),--ISNUMBER(SEARCH(TRIM(MID(SUBSTITUTE(SUBSTITUTE($K$4,"/",","),",",REPT(" ",99)),(ROW($1:$8)-1)*99+1,99)),IFERROR(('Final Calculation Sheet'!$J$31)&amp;"",""))))&gt;0,AND(ISNUMBER(SEARCH("blank",$K$4)),NOT(ISNUMBER(SEARCH("nonblank",$K$4))),IFERROR(('Final Calculation Sheet'!$J$31)&amp;"","")=""),AND(OR(ISNUMBER(SEARCH("nonblank",$K$4)),ISNUMBER(SEARCH("&lt;&gt;",$K$4))),IFERROR(('Final Calculation Sheet'!$J$31)&amp;"","")&lt;&gt;""),AND(TRIM($K$4)="",IFERROR(('Final Calculation Sheet'!$J$31)&amp;"","")=""))))</f>
        <v/>
      </c>
      <c r="BX32">
        <f>IF($L$4="",1,--(OR(SUMPRODUCT(--(TRIM(MID(SUBSTITUTE(SUBSTITUTE($L$4,"/",","),",",REPT(" ",99)),(ROW($1:$8)-1)*99+1,99))&lt;&gt;""),--ISNUMBER(SEARCH(TRIM(MID(SUBSTITUTE(SUBSTITUTE($L$4,"/",","),",",REPT(" ",99)),(ROW($1:$8)-1)*99+1,99)),IFERROR(('Final Calculation Sheet'!$K$31)&amp;"",""))))&gt;0,AND(ISNUMBER(SEARCH("blank",$L$4)),NOT(ISNUMBER(SEARCH("nonblank",$L$4))),IFERROR(('Final Calculation Sheet'!$K$31)&amp;"","")=""),AND(OR(ISNUMBER(SEARCH("nonblank",$L$4)),ISNUMBER(SEARCH("&lt;&gt;",$L$4))),IFERROR(('Final Calculation Sheet'!$K$31)&amp;"","")&lt;&gt;""),AND(TRIM($L$4)="",IFERROR(('Final Calculation Sheet'!$K$31)&amp;"","")=""))))</f>
        <v/>
      </c>
      <c r="BY32">
        <f>IF($M$4="",1,--(OR(SUMPRODUCT(--(TRIM(MID(SUBSTITUTE(SUBSTITUTE($M$4,"/",","),",",REPT(" ",99)),(ROW($1:$8)-1)*99+1,99))&lt;&gt;""),--ISNUMBER(SEARCH(TRIM(MID(SUBSTITUTE(SUBSTITUTE($M$4,"/",","),",",REPT(" ",99)),(ROW($1:$8)-1)*99+1,99)),IFERROR(('Final Calculation Sheet'!$L$31)&amp;"",""))))&gt;0,AND(ISNUMBER(SEARCH("blank",$M$4)),NOT(ISNUMBER(SEARCH("nonblank",$M$4))),IFERROR(('Final Calculation Sheet'!$L$31)&amp;"","")=""),AND(OR(ISNUMBER(SEARCH("nonblank",$M$4)),ISNUMBER(SEARCH("&lt;&gt;",$M$4))),IFERROR(('Final Calculation Sheet'!$L$31)&amp;"","")&lt;&gt;""),AND(TRIM($M$4)="",IFERROR(('Final Calculation Sheet'!$L$31)&amp;"","")=""))))</f>
        <v/>
      </c>
      <c r="BZ32">
        <f>IF($N$4="",1,--(OR(SUMPRODUCT(--(TRIM(MID(SUBSTITUTE(SUBSTITUTE($N$4,"/",","),",",REPT(" ",99)),(ROW($1:$8)-1)*99+1,99))&lt;&gt;""),--ISNUMBER(SEARCH(TRIM(MID(SUBSTITUTE(SUBSTITUTE($N$4,"/",","),",",REPT(" ",99)),(ROW($1:$8)-1)*99+1,99)),IFERROR(('Final Calculation Sheet'!$M$31)&amp;"",""))))&gt;0,AND(ISNUMBER(SEARCH("blank",$N$4)),NOT(ISNUMBER(SEARCH("nonblank",$N$4))),IFERROR(('Final Calculation Sheet'!$M$31)&amp;"","")=""),AND(OR(ISNUMBER(SEARCH("nonblank",$N$4)),ISNUMBER(SEARCH("&lt;&gt;",$N$4))),IFERROR(('Final Calculation Sheet'!$M$31)&amp;"","")&lt;&gt;""),AND(TRIM($N$4)="",IFERROR(('Final Calculation Sheet'!$M$31)&amp;"","")=""))))</f>
        <v/>
      </c>
      <c r="CA32">
        <f>IF($O$4="",1,--(OR(SUMPRODUCT(--(TRIM(MID(SUBSTITUTE(SUBSTITUTE($O$4,"/",","),",",REPT(" ",99)),(ROW($1:$8)-1)*99+1,99))&lt;&gt;""),--ISNUMBER(SEARCH(TRIM(MID(SUBSTITUTE(SUBSTITUTE($O$4,"/",","),",",REPT(" ",99)),(ROW($1:$8)-1)*99+1,99)),IFERROR(('Final Calculation Sheet'!$N$31)&amp;"",""))))&gt;0,AND(ISNUMBER(SEARCH("blank",$O$4)),NOT(ISNUMBER(SEARCH("nonblank",$O$4))),IFERROR(('Final Calculation Sheet'!$N$31)&amp;"","")=""),AND(OR(ISNUMBER(SEARCH("nonblank",$O$4)),ISNUMBER(SEARCH("&lt;&gt;",$O$4))),IFERROR(('Final Calculation Sheet'!$N$31)&amp;"","")&lt;&gt;""),AND(TRIM($O$4)="",IFERROR(('Final Calculation Sheet'!$N$31)&amp;"","")=""))))</f>
        <v/>
      </c>
      <c r="CB32">
        <f>IF($P$4="",1,--(OR(SUMPRODUCT(--(TRIM(MID(SUBSTITUTE(SUBSTITUTE($P$4,"/",","),",",REPT(" ",99)),(ROW($1:$8)-1)*99+1,99))&lt;&gt;""),--ISNUMBER(SEARCH(TRIM(MID(SUBSTITUTE(SUBSTITUTE($P$4,"/",","),",",REPT(" ",99)),(ROW($1:$8)-1)*99+1,99)),IFERROR(('Final Calculation Sheet'!$O$31)&amp;"",""))))&gt;0,AND(ISNUMBER(SEARCH("blank",$P$4)),NOT(ISNUMBER(SEARCH("nonblank",$P$4))),IFERROR(('Final Calculation Sheet'!$O$31)&amp;"","")=""),AND(OR(ISNUMBER(SEARCH("nonblank",$P$4)),ISNUMBER(SEARCH("&lt;&gt;",$P$4))),IFERROR(('Final Calculation Sheet'!$O$31)&amp;"","")&lt;&gt;""),AND(TRIM($P$4)="",IFERROR(('Final Calculation Sheet'!$O$31)&amp;"","")=""))))</f>
        <v/>
      </c>
      <c r="CC32">
        <f>IF($Q$4="",1,--(OR(SUMPRODUCT(--(TRIM(MID(SUBSTITUTE(SUBSTITUTE($Q$4,"/",","),",",REPT(" ",99)),(ROW($1:$8)-1)*99+1,99))&lt;&gt;""),--ISNUMBER(SEARCH(TRIM(MID(SUBSTITUTE(SUBSTITUTE($Q$4,"/",","),",",REPT(" ",99)),(ROW($1:$8)-1)*99+1,99)),IFERROR(('Final Calculation Sheet'!$P$31)&amp;"",""))))&gt;0,AND(ISNUMBER(SEARCH("blank",$Q$4)),NOT(ISNUMBER(SEARCH("nonblank",$Q$4))),IFERROR(('Final Calculation Sheet'!$P$31)&amp;"","")=""),AND(OR(ISNUMBER(SEARCH("nonblank",$Q$4)),ISNUMBER(SEARCH("&lt;&gt;",$Q$4))),IFERROR(('Final Calculation Sheet'!$P$31)&amp;"","")&lt;&gt;""),AND(TRIM($Q$4)="",IFERROR(('Final Calculation Sheet'!$P$31)&amp;"","")=""))))</f>
        <v/>
      </c>
      <c r="CD32">
        <f>IF($R$4="",1,--(OR(SUMPRODUCT(--(TRIM(MID(SUBSTITUTE(SUBSTITUTE($R$4,"/",","),",",REPT(" ",99)),(ROW($1:$8)-1)*99+1,99))&lt;&gt;""),--ISNUMBER(SEARCH(TRIM(MID(SUBSTITUTE(SUBSTITUTE($R$4,"/",","),",",REPT(" ",99)),(ROW($1:$8)-1)*99+1,99)),IFERROR(('Final Calculation Sheet'!$Q$31)&amp;"",""))))&gt;0,AND(ISNUMBER(SEARCH("blank",$R$4)),NOT(ISNUMBER(SEARCH("nonblank",$R$4))),IFERROR(('Final Calculation Sheet'!$Q$31)&amp;"","")=""),AND(OR(ISNUMBER(SEARCH("nonblank",$R$4)),ISNUMBER(SEARCH("&lt;&gt;",$R$4))),IFERROR(('Final Calculation Sheet'!$Q$31)&amp;"","")&lt;&gt;""),AND(TRIM($R$4)="",IFERROR(('Final Calculation Sheet'!$Q$31)&amp;"","")=""))))</f>
        <v/>
      </c>
      <c r="CE32">
        <f>IF($S$4="",1,--(OR(SUMPRODUCT(--(TRIM(MID(SUBSTITUTE(SUBSTITUTE($S$4,"/",","),",",REPT(" ",99)),(ROW($1:$8)-1)*99+1,99))&lt;&gt;""),--ISNUMBER(SEARCH(TRIM(MID(SUBSTITUTE(SUBSTITUTE($S$4,"/",","),",",REPT(" ",99)),(ROW($1:$8)-1)*99+1,99)),IFERROR(('Final Calculation Sheet'!$R$31)&amp;"",""))))&gt;0,AND(ISNUMBER(SEARCH("blank",$S$4)),NOT(ISNUMBER(SEARCH("nonblank",$S$4))),IFERROR(('Final Calculation Sheet'!$R$31)&amp;"","")=""),AND(OR(ISNUMBER(SEARCH("nonblank",$S$4)),ISNUMBER(SEARCH("&lt;&gt;",$S$4))),IFERROR(('Final Calculation Sheet'!$R$31)&amp;"","")&lt;&gt;""),AND(TRIM($S$4)="",IFERROR(('Final Calculation Sheet'!$R$31)&amp;"","")=""))))</f>
        <v/>
      </c>
      <c r="CF32">
        <f>IF($T$4="",1,--(OR(SUMPRODUCT(--(TRIM(MID(SUBSTITUTE(SUBSTITUTE($T$4,"/",","),",",REPT(" ",99)),(ROW($1:$8)-1)*99+1,99))&lt;&gt;""),--ISNUMBER(SEARCH(TRIM(MID(SUBSTITUTE(SUBSTITUTE($T$4,"/",","),",",REPT(" ",99)),(ROW($1:$8)-1)*99+1,99)),IFERROR(('Final Calculation Sheet'!$S$31)&amp;"",""))))&gt;0,AND(ISNUMBER(SEARCH("blank",$T$4)),NOT(ISNUMBER(SEARCH("nonblank",$T$4))),IFERROR(('Final Calculation Sheet'!$S$31)&amp;"","")=""),AND(OR(ISNUMBER(SEARCH("nonblank",$T$4)),ISNUMBER(SEARCH("&lt;&gt;",$T$4))),IFERROR(('Final Calculation Sheet'!$S$31)&amp;"","")&lt;&gt;""),AND(TRIM($T$4)="",IFERROR(('Final Calculation Sheet'!$S$31)&amp;"","")=""))))</f>
        <v/>
      </c>
      <c r="CG32">
        <f>IF($U$4="",1,--(OR(SUMPRODUCT(--(TRIM(MID(SUBSTITUTE(SUBSTITUTE($U$4,"/",","),",",REPT(" ",99)),(ROW($1:$8)-1)*99+1,99))&lt;&gt;""),--ISNUMBER(SEARCH(TRIM(MID(SUBSTITUTE(SUBSTITUTE($U$4,"/",","),",",REPT(" ",99)),(ROW($1:$8)-1)*99+1,99)),IFERROR(('Final Calculation Sheet'!$T$31)&amp;"",""))))&gt;0,AND(ISNUMBER(SEARCH("blank",$U$4)),NOT(ISNUMBER(SEARCH("nonblank",$U$4))),IFERROR(('Final Calculation Sheet'!$T$31)&amp;"","")=""),AND(OR(ISNUMBER(SEARCH("nonblank",$U$4)),ISNUMBER(SEARCH("&lt;&gt;",$U$4))),IFERROR(('Final Calculation Sheet'!$T$31)&amp;"","")&lt;&gt;""),AND(TRIM($U$4)="",IFERROR(('Final Calculation Sheet'!$T$31)&amp;"","")=""))))</f>
        <v/>
      </c>
      <c r="CH32">
        <f>IF($V$4="",1,--(OR(SUMPRODUCT(--(TRIM(MID(SUBSTITUTE(SUBSTITUTE($V$4,"/",","),",",REPT(" ",99)),(ROW($1:$8)-1)*99+1,99))&lt;&gt;""),--ISNUMBER(SEARCH(TRIM(MID(SUBSTITUTE(SUBSTITUTE($V$4,"/",","),",",REPT(" ",99)),(ROW($1:$8)-1)*99+1,99)),IFERROR(('Final Calculation Sheet'!$U$31)&amp;"",""))))&gt;0,AND(ISNUMBER(SEARCH("blank",$V$4)),NOT(ISNUMBER(SEARCH("nonblank",$V$4))),IFERROR(('Final Calculation Sheet'!$U$31)&amp;"","")=""),AND(OR(ISNUMBER(SEARCH("nonblank",$V$4)),ISNUMBER(SEARCH("&lt;&gt;",$V$4))),IFERROR(('Final Calculation Sheet'!$U$31)&amp;"","")&lt;&gt;""),AND(TRIM($V$4)="",IFERROR(('Final Calculation Sheet'!$U$31)&amp;"","")=""))))</f>
        <v/>
      </c>
      <c r="CI32">
        <f>IF($W$4="",1,--(OR(SUMPRODUCT(--(TRIM(MID(SUBSTITUTE(SUBSTITUTE($W$4,"/",","),",",REPT(" ",99)),(ROW($1:$8)-1)*99+1,99))&lt;&gt;""),--ISNUMBER(SEARCH(TRIM(MID(SUBSTITUTE(SUBSTITUTE($W$4,"/",","),",",REPT(" ",99)),(ROW($1:$8)-1)*99+1,99)),IFERROR(('Final Calculation Sheet'!$V$31)&amp;"",""))))&gt;0,AND(ISNUMBER(SEARCH("blank",$W$4)),NOT(ISNUMBER(SEARCH("nonblank",$W$4))),IFERROR(('Final Calculation Sheet'!$V$31)&amp;"","")=""),AND(OR(ISNUMBER(SEARCH("nonblank",$W$4)),ISNUMBER(SEARCH("&lt;&gt;",$W$4))),IFERROR(('Final Calculation Sheet'!$V$31)&amp;"","")&lt;&gt;""),AND(TRIM($W$4)="",IFERROR(('Final Calculation Sheet'!$V$31)&amp;"","")=""))))</f>
        <v/>
      </c>
      <c r="CJ32">
        <f>IF($X$4="",1,--(OR(SUMPRODUCT(--(TRIM(MID(SUBSTITUTE(SUBSTITUTE($X$4,"/",","),",",REPT(" ",99)),(ROW($1:$8)-1)*99+1,99))&lt;&gt;""),--ISNUMBER(SEARCH(TRIM(MID(SUBSTITUTE(SUBSTITUTE($X$4,"/",","),",",REPT(" ",99)),(ROW($1:$8)-1)*99+1,99)),IFERROR(('Final Calculation Sheet'!$W$31)&amp;"",""))))&gt;0,AND(ISNUMBER(SEARCH("blank",$X$4)),NOT(ISNUMBER(SEARCH("nonblank",$X$4))),IFERROR(('Final Calculation Sheet'!$W$31)&amp;"","")=""),AND(OR(ISNUMBER(SEARCH("nonblank",$X$4)),ISNUMBER(SEARCH("&lt;&gt;",$X$4))),IFERROR(('Final Calculation Sheet'!$W$31)&amp;"","")&lt;&gt;""),AND(TRIM($X$4)="",IFERROR(('Final Calculation Sheet'!$W$31)&amp;"","")=""))))</f>
        <v/>
      </c>
      <c r="CK32">
        <f>IF($Y$4="",1,--(OR(SUMPRODUCT(--(TRIM(MID(SUBSTITUTE(SUBSTITUTE($Y$4,"/",","),",",REPT(" ",99)),(ROW($1:$8)-1)*99+1,99))&lt;&gt;""),--ISNUMBER(SEARCH(TRIM(MID(SUBSTITUTE(SUBSTITUTE($Y$4,"/",","),",",REPT(" ",99)),(ROW($1:$8)-1)*99+1,99)),IFERROR(('Final Calculation Sheet'!$X$31)&amp;"",""))))&gt;0,AND(ISNUMBER(SEARCH("blank",$Y$4)),NOT(ISNUMBER(SEARCH("nonblank",$Y$4))),IFERROR(('Final Calculation Sheet'!$X$31)&amp;"","")=""),AND(OR(ISNUMBER(SEARCH("nonblank",$Y$4)),ISNUMBER(SEARCH("&lt;&gt;",$Y$4))),IFERROR(('Final Calculation Sheet'!$X$31)&amp;"","")&lt;&gt;""),AND(TRIM($Y$4)="",IFERROR(('Final Calculation Sheet'!$X$31)&amp;"","")=""))))</f>
        <v/>
      </c>
      <c r="CL32">
        <f>IF($Z$4="",1,--(OR(SUMPRODUCT(--(TRIM(MID(SUBSTITUTE(SUBSTITUTE($Z$4,"/",","),",",REPT(" ",99)),(ROW($1:$8)-1)*99+1,99))&lt;&gt;""),--ISNUMBER(SEARCH(TRIM(MID(SUBSTITUTE(SUBSTITUTE($Z$4,"/",","),",",REPT(" ",99)),(ROW($1:$8)-1)*99+1,99)),IFERROR(('Final Calculation Sheet'!$Y$31)&amp;"",""))))&gt;0,AND(ISNUMBER(SEARCH("blank",$Z$4)),NOT(ISNUMBER(SEARCH("nonblank",$Z$4))),IFERROR(('Final Calculation Sheet'!$Y$31)&amp;"","")=""),AND(OR(ISNUMBER(SEARCH("nonblank",$Z$4)),ISNUMBER(SEARCH("&lt;&gt;",$Z$4))),IFERROR(('Final Calculation Sheet'!$Y$31)&amp;"","")&lt;&gt;""),AND(TRIM($Z$4)="",IFERROR(('Final Calculation Sheet'!$Y$31)&amp;"","")=""))))</f>
        <v/>
      </c>
      <c r="CM32">
        <f>IF($AA$4="",1,--(OR(SUMPRODUCT(--(TRIM(MID(SUBSTITUTE(SUBSTITUTE($AA$4,"/",","),",",REPT(" ",99)),(ROW($1:$8)-1)*99+1,99))&lt;&gt;""),--ISNUMBER(SEARCH(TRIM(MID(SUBSTITUTE(SUBSTITUTE($AA$4,"/",","),",",REPT(" ",99)),(ROW($1:$8)-1)*99+1,99)),IFERROR(('Final Calculation Sheet'!$Z$31)&amp;"",""))))&gt;0,AND(ISNUMBER(SEARCH("blank",$AA$4)),NOT(ISNUMBER(SEARCH("nonblank",$AA$4))),IFERROR(('Final Calculation Sheet'!$Z$31)&amp;"","")=""),AND(OR(ISNUMBER(SEARCH("nonblank",$AA$4)),ISNUMBER(SEARCH("&lt;&gt;",$AA$4))),IFERROR(('Final Calculation Sheet'!$Z$31)&amp;"","")&lt;&gt;""),AND(TRIM($AA$4)="",IFERROR(('Final Calculation Sheet'!$Z$31)&amp;"","")=""))))</f>
        <v/>
      </c>
      <c r="CN32">
        <f>IF($AB$4="",1,--(OR(SUMPRODUCT(--(TRIM(MID(SUBSTITUTE(SUBSTITUTE($AB$4,"/",","),",",REPT(" ",99)),(ROW($1:$8)-1)*99+1,99))&lt;&gt;""),--ISNUMBER(SEARCH(TRIM(MID(SUBSTITUTE(SUBSTITUTE($AB$4,"/",","),",",REPT(" ",99)),(ROW($1:$8)-1)*99+1,99)),IFERROR(('Final Calculation Sheet'!$AA$31)&amp;"",""))))&gt;0,AND(ISNUMBER(SEARCH("blank",$AB$4)),NOT(ISNUMBER(SEARCH("nonblank",$AB$4))),IFERROR(('Final Calculation Sheet'!$AA$31)&amp;"","")=""),AND(OR(ISNUMBER(SEARCH("nonblank",$AB$4)),ISNUMBER(SEARCH("&lt;&gt;",$AB$4))),IFERROR(('Final Calculation Sheet'!$AA$31)&amp;"","")&lt;&gt;""),AND(TRIM($AB$4)="",IFERROR(('Final Calculation Sheet'!$AA$31)&amp;"","")=""))))</f>
        <v/>
      </c>
      <c r="CO32">
        <f>IF($AC$4="",1,--(OR(SUMPRODUCT(--(TRIM(MID(SUBSTITUTE(SUBSTITUTE($AC$4,"/",","),",",REPT(" ",99)),(ROW($1:$8)-1)*99+1,99))&lt;&gt;""),--ISNUMBER(SEARCH(TRIM(MID(SUBSTITUTE(SUBSTITUTE($AC$4,"/",","),",",REPT(" ",99)),(ROW($1:$8)-1)*99+1,99)),IFERROR(('Final Calculation Sheet'!$AB$31)&amp;"",""))))&gt;0,AND(ISNUMBER(SEARCH("blank",$AC$4)),NOT(ISNUMBER(SEARCH("nonblank",$AC$4))),IFERROR(('Final Calculation Sheet'!$AB$31)&amp;"","")=""),AND(OR(ISNUMBER(SEARCH("nonblank",$AC$4)),ISNUMBER(SEARCH("&lt;&gt;",$AC$4))),IFERROR(('Final Calculation Sheet'!$AB$31)&amp;"","")&lt;&gt;""),AND(TRIM($AC$4)="",IFERROR(('Final Calculation Sheet'!$AB$31)&amp;"","")=""))))</f>
        <v/>
      </c>
      <c r="CP32">
        <f>IF($AD$4="",1,--(OR(SUMPRODUCT(--(TRIM(MID(SUBSTITUTE(SUBSTITUTE($AD$4,"/",","),",",REPT(" ",99)),(ROW($1:$8)-1)*99+1,99))&lt;&gt;""),--ISNUMBER(SEARCH(TRIM(MID(SUBSTITUTE(SUBSTITUTE($AD$4,"/",","),",",REPT(" ",99)),(ROW($1:$8)-1)*99+1,99)),IFERROR(('Final Calculation Sheet'!$AC$31)&amp;"",""))))&gt;0,AND(ISNUMBER(SEARCH("blank",$AD$4)),NOT(ISNUMBER(SEARCH("nonblank",$AD$4))),IFERROR(('Final Calculation Sheet'!$AC$31)&amp;"","")=""),AND(OR(ISNUMBER(SEARCH("nonblank",$AD$4)),ISNUMBER(SEARCH("&lt;&gt;",$AD$4))),IFERROR(('Final Calculation Sheet'!$AC$31)&amp;"","")&lt;&gt;""),AND(TRIM($AD$4)="",IFERROR(('Final Calculation Sheet'!$AC$31)&amp;"","")=""))))</f>
        <v/>
      </c>
      <c r="CQ32">
        <f>IF($AE$4="",1,--(OR(SUMPRODUCT(--(TRIM(MID(SUBSTITUTE(SUBSTITUTE($AE$4,"/",","),",",REPT(" ",99)),(ROW($1:$8)-1)*99+1,99))&lt;&gt;""),--ISNUMBER(SEARCH(TRIM(MID(SUBSTITUTE(SUBSTITUTE($AE$4,"/",","),",",REPT(" ",99)),(ROW($1:$8)-1)*99+1,99)),IFERROR(('Final Calculation Sheet'!$AD$31)&amp;"",""))))&gt;0,AND(ISNUMBER(SEARCH("blank",$AE$4)),NOT(ISNUMBER(SEARCH("nonblank",$AE$4))),IFERROR(('Final Calculation Sheet'!$AD$31)&amp;"","")=""),AND(OR(ISNUMBER(SEARCH("nonblank",$AE$4)),ISNUMBER(SEARCH("&lt;&gt;",$AE$4))),IFERROR(('Final Calculation Sheet'!$AD$31)&amp;"","")&lt;&gt;""),AND(TRIM($AE$4)="",IFERROR(('Final Calculation Sheet'!$AD$31)&amp;"","")=""))))</f>
        <v/>
      </c>
      <c r="CR32">
        <f>IF($AF$4="",1,--(OR(SUMPRODUCT(--(TRIM(MID(SUBSTITUTE(SUBSTITUTE($AF$4,"/",","),",",REPT(" ",99)),(ROW($1:$8)-1)*99+1,99))&lt;&gt;""),--ISNUMBER(SEARCH(TRIM(MID(SUBSTITUTE(SUBSTITUTE($AF$4,"/",","),",",REPT(" ",99)),(ROW($1:$8)-1)*99+1,99)),IFERROR(('Final Calculation Sheet'!$AE$31)&amp;"",""))))&gt;0,AND(ISNUMBER(SEARCH("blank",$AF$4)),NOT(ISNUMBER(SEARCH("nonblank",$AF$4))),IFERROR(('Final Calculation Sheet'!$AE$31)&amp;"","")=""),AND(OR(ISNUMBER(SEARCH("nonblank",$AF$4)),ISNUMBER(SEARCH("&lt;&gt;",$AF$4))),IFERROR(('Final Calculation Sheet'!$AE$31)&amp;"","")&lt;&gt;""),AND(TRIM($AF$4)="",IFERROR(('Final Calculation Sheet'!$AE$31)&amp;"","")=""))))</f>
        <v/>
      </c>
      <c r="CS32">
        <f>IF($AG$4="",1,--(OR(SUMPRODUCT(--(TRIM(MID(SUBSTITUTE(SUBSTITUTE($AG$4,"/",","),",",REPT(" ",99)),(ROW($1:$8)-1)*99+1,99))&lt;&gt;""),--ISNUMBER(SEARCH(TRIM(MID(SUBSTITUTE(SUBSTITUTE($AG$4,"/",","),",",REPT(" ",99)),(ROW($1:$8)-1)*99+1,99)),IFERROR(('Final Calculation Sheet'!$AF$31)&amp;"",""))))&gt;0,AND(ISNUMBER(SEARCH("blank",$AG$4)),NOT(ISNUMBER(SEARCH("nonblank",$AG$4))),IFERROR(('Final Calculation Sheet'!$AF$31)&amp;"","")=""),AND(OR(ISNUMBER(SEARCH("nonblank",$AG$4)),ISNUMBER(SEARCH("&lt;&gt;",$AG$4))),IFERROR(('Final Calculation Sheet'!$AF$31)&amp;"","")&lt;&gt;""),AND(TRIM($AG$4)="",IFERROR(('Final Calculation Sheet'!$AF$31)&amp;"","")=""))))</f>
        <v/>
      </c>
      <c r="CT32">
        <f>IF($AH$4="",1,--(OR(SUMPRODUCT(--(TRIM(MID(SUBSTITUTE(SUBSTITUTE($AH$4,"/",","),",",REPT(" ",99)),(ROW($1:$8)-1)*99+1,99))&lt;&gt;""),--ISNUMBER(SEARCH(TRIM(MID(SUBSTITUTE(SUBSTITUTE($AH$4,"/",","),",",REPT(" ",99)),(ROW($1:$8)-1)*99+1,99)),IFERROR(('Final Calculation Sheet'!$AG$31)&amp;"",""))))&gt;0,AND(ISNUMBER(SEARCH("blank",$AH$4)),NOT(ISNUMBER(SEARCH("nonblank",$AH$4))),IFERROR(('Final Calculation Sheet'!$AG$31)&amp;"","")=""),AND(OR(ISNUMBER(SEARCH("nonblank",$AH$4)),ISNUMBER(SEARCH("&lt;&gt;",$AH$4))),IFERROR(('Final Calculation Sheet'!$AG$31)&amp;"","")&lt;&gt;""),AND(TRIM($AH$4)="",IFERROR(('Final Calculation Sheet'!$AG$31)&amp;"","")=""))))</f>
        <v/>
      </c>
      <c r="CU32">
        <f>IF($AI$4="",1,--(OR(SUMPRODUCT(--(TRIM(MID(SUBSTITUTE(SUBSTITUTE($AI$4,"/",","),",",REPT(" ",99)),(ROW($1:$8)-1)*99+1,99))&lt;&gt;""),--ISNUMBER(SEARCH(TRIM(MID(SUBSTITUTE(SUBSTITUTE($AI$4,"/",","),",",REPT(" ",99)),(ROW($1:$8)-1)*99+1,99)),IFERROR((IF('Final Calculation Sheet'!$AD$31&lt;=0,"SETTLED","OUTSTANDING"))&amp;"",""))))&gt;0,AND(ISNUMBER(SEARCH("blank",$AI$4)),NOT(ISNUMBER(SEARCH("nonblank",$AI$4))),IFERROR((IF('Final Calculation Sheet'!$AD$31&lt;=0,"SETTLED","OUTSTANDING"))&amp;"","")=""),AND(OR(ISNUMBER(SEARCH("nonblank",$AI$4)),ISNUMBER(SEARCH("&lt;&gt;",$AI$4))),IFERROR((IF('Final Calculation Sheet'!$AD$31&lt;=0,"SETTLED","OUTSTANDING"))&amp;"","")&lt;&gt;""),AND(TRIM($AI$4)="",IFERROR((IF('Final Calculation Sheet'!$AD$31&lt;=0,"SETTLED","OUTSTANDING"))&amp;"","")=""))))</f>
        <v/>
      </c>
    </row>
    <row r="33" ht="15" customHeight="1" s="77">
      <c r="A33" s="67">
        <f>IF($BJ32&gt;0,INDEX($BA$5:$BA$41,MATCH(32,$BB$5:$BB$41,0)),IF(OR($BI32=1,$BL32=1,$BH32&gt;0),"∑",""))</f>
        <v/>
      </c>
      <c r="B33" s="68">
        <f>IF($BJ32&gt;0,IF(INDEX('Final Calculation Sheet'!$F$4:$F$40,$BJ32-3)="","",INDEX('Final Calculation Sheet'!$F$4:$F$40,$BJ32-3)),"")</f>
        <v/>
      </c>
      <c r="C33" s="68">
        <f>IF($BJ32&gt;0,IF(INDEX('Final Calculation Sheet'!$G$4:$G$40,$BJ32-3)="","",INDEX('Final Calculation Sheet'!$G$4:$G$40,$BJ32-3)),IF(OR($BI32=1,$BL32=1,$BH32&gt;0),IF($BI32=1,37,IF($BL32=1,37-INDEX($BD$4:$BD$13,10),INDEX($BD$4:$BD$13,$BH32)))&amp;" lot(s)",""))</f>
        <v/>
      </c>
      <c r="D33" s="69">
        <f>IF($BJ32&gt;0,IF(INDEX('Final Calculation Sheet'!$B$4:$B$40,$BJ32-3)="","",INDEX('Final Calculation Sheet'!$B$4:$B$40,$BJ32-3)),IF(OR($BI32=1,$BL32=1,$BH32&gt;0),IF($BI32=1,"GRAND TOTAL  —  matching + remaining",IF($BL32=1,"TOTAL MATCHED  —  every group together",IF($BH32=10,"REMAINING  —  did not match the search",IF($BH32=9,IF(COUNTIF($A$4:$AI$4,"&lt;&gt;")&gt;0,"FILTERED LOTS  —  column fields","ALL LOTS  —  nothing typed in the box"),"GROUP "&amp;$BH32&amp;" TOTAL  —  lots matching  "&amp;INDEX($AR$6:$AY$6,$BH32))))),""))</f>
        <v/>
      </c>
      <c r="E33" s="69">
        <f>IF($BJ32&gt;0,IF(INDEX('Final Calculation Sheet'!$D$4:$D$40,$BJ32-3)="","",INDEX('Final Calculation Sheet'!$D$4:$D$40,$BJ32-3)),IF(OR($BI32=1,$BL32=1,$BH32&gt;0),"–",""))</f>
        <v/>
      </c>
      <c r="F33" s="69">
        <f>IF($BJ32&gt;0,IF(INDEX('Final Calculation Sheet'!$A$4:$A$40,$BJ32-3)="","",INDEX('Final Calculation Sheet'!$A$4:$A$40,$BJ32-3)),IF(OR($BI32=1,$BL32=1,$BH32&gt;0),IF($BI32=1,SUM('Final Calculation Sheet'!$A$4:$A$40),IF($BL32=1,SUM('Final Calculation Sheet'!$A$4:$A$40)-SUMIFS('Final Calculation Sheet'!$A$4:$A$40,$AZ$5:$AZ$41,10),SUMIFS('Final Calculation Sheet'!$A$4:$A$40,$AZ$5:$AZ$41,$BH32))),""))</f>
        <v/>
      </c>
      <c r="G33" s="69">
        <f>IF($BJ32&gt;0,IF(INDEX('Final Calculation Sheet'!$E$4:$E$40,$BJ32-3)="","",INDEX('Final Calculation Sheet'!$E$4:$E$40,$BJ32-3)),IF(OR($BI32=1,$BL32=1,$BH32&gt;0),"–",""))</f>
        <v/>
      </c>
      <c r="H33" s="70">
        <f>IF($BJ32&gt;0,IF(INDEX('Final Calculation Sheet'!$C$4:$C$40,$BJ32-3)="","",INDEX('Final Calculation Sheet'!$C$4:$C$40,$BJ32-3)),IF(OR($BI32=1,$BL32=1,$BH32&gt;0),"–",""))</f>
        <v/>
      </c>
      <c r="I33" s="70">
        <f>IF($BJ32&gt;0,IF(INDEX('Final Calculation Sheet'!$H$4:$H$40,$BJ32-3)="","",INDEX('Final Calculation Sheet'!$H$4:$H$40,$BJ32-3)),IF(OR($BI32=1,$BL32=1,$BH32&gt;0),IF($BI32=1,SUM('Final Calculation Sheet'!$H$4:$H$40),IF($BL32=1,SUM('Final Calculation Sheet'!$H$4:$H$40)-SUMIFS('Final Calculation Sheet'!$H$4:$H$40,$AZ$5:$AZ$41,10),SUMIFS('Final Calculation Sheet'!$H$4:$H$40,$AZ$5:$AZ$41,$BH32))),""))</f>
        <v/>
      </c>
      <c r="J33" s="70">
        <f>IF($BJ32&gt;0,IF(INDEX('Final Calculation Sheet'!$I$4:$I$40,$BJ32-3)="","",INDEX('Final Calculation Sheet'!$I$4:$I$40,$BJ32-3)),IF(OR($BI32=1,$BL32=1,$BH32&gt;0),IF($BI32=1,SUM('Final Calculation Sheet'!$I$4:$I$40),IF($BL32=1,SUM('Final Calculation Sheet'!$I$4:$I$40)-SUMIFS('Final Calculation Sheet'!$I$4:$I$40,$AZ$5:$AZ$41,10),SUMIFS('Final Calculation Sheet'!$I$4:$I$40,$AZ$5:$AZ$41,$BH32))),""))</f>
        <v/>
      </c>
      <c r="K33" s="70">
        <f>IF($BJ32&gt;0,IF(INDEX('Final Calculation Sheet'!$J$4:$J$40,$BJ32-3)="","",INDEX('Final Calculation Sheet'!$J$4:$J$40,$BJ32-3)),IF(OR($BI32=1,$BL32=1,$BH32&gt;0),IF($BI32=1,SUM('Final Calculation Sheet'!$J$4:$J$40),IF($BL32=1,SUM('Final Calculation Sheet'!$J$4:$J$40)-SUMIFS('Final Calculation Sheet'!$J$4:$J$40,$AZ$5:$AZ$41,10),SUMIFS('Final Calculation Sheet'!$J$4:$J$40,$AZ$5:$AZ$41,$BH32))),""))</f>
        <v/>
      </c>
      <c r="L33" s="70">
        <f>IF($BJ32&gt;0,IF(INDEX('Final Calculation Sheet'!$K$4:$K$40,$BJ32-3)="","",INDEX('Final Calculation Sheet'!$K$4:$K$40,$BJ32-3)),IF(OR($BI32=1,$BL32=1,$BH32&gt;0),IF($BI32=1,SUM('Final Calculation Sheet'!$K$4:$K$40),IF($BL32=1,SUM('Final Calculation Sheet'!$K$4:$K$40)-SUMIFS('Final Calculation Sheet'!$K$4:$K$40,$AZ$5:$AZ$41,10),SUMIFS('Final Calculation Sheet'!$K$4:$K$40,$AZ$5:$AZ$41,$BH32))),""))</f>
        <v/>
      </c>
      <c r="M33" s="70">
        <f>IF($BJ32&gt;0,IF(INDEX('Final Calculation Sheet'!$L$4:$L$40,$BJ32-3)="","",INDEX('Final Calculation Sheet'!$L$4:$L$40,$BJ32-3)),IF(OR($BI32=1,$BL32=1,$BH32&gt;0),IF($BI32=1,SUM('Final Calculation Sheet'!$L$4:$L$40),IF($BL32=1,SUM('Final Calculation Sheet'!$L$4:$L$40)-SUMIFS('Final Calculation Sheet'!$L$4:$L$40,$AZ$5:$AZ$41,10),SUMIFS('Final Calculation Sheet'!$L$4:$L$40,$AZ$5:$AZ$41,$BH32))),""))</f>
        <v/>
      </c>
      <c r="N33" s="70">
        <f>IF($BJ32&gt;0,IF(INDEX('Final Calculation Sheet'!$M$4:$M$40,$BJ32-3)="","",INDEX('Final Calculation Sheet'!$M$4:$M$40,$BJ32-3)),IF(OR($BI32=1,$BL32=1,$BH32&gt;0),IF($BI32=1,SUM('Final Calculation Sheet'!$M$4:$M$40),IF($BL32=1,SUM('Final Calculation Sheet'!$M$4:$M$40)-SUMIFS('Final Calculation Sheet'!$M$4:$M$40,$AZ$5:$AZ$41,10),SUMIFS('Final Calculation Sheet'!$M$4:$M$40,$AZ$5:$AZ$41,$BH32))),""))</f>
        <v/>
      </c>
      <c r="O33" s="71">
        <f>IF($BJ32&gt;0,IF(INDEX('Final Calculation Sheet'!$N$4:$N$40,$BJ32-3)="","",INDEX('Final Calculation Sheet'!$N$4:$N$40,$BJ32-3)),IF(OR($BI32=1,$BL32=1,$BH32&gt;0),IF($BI32=1,SUM('Final Calculation Sheet'!$N$4:$N$40),IF($BL32=1,SUM('Final Calculation Sheet'!$N$4:$N$40)-SUMIFS('Final Calculation Sheet'!$N$4:$N$40,$AZ$5:$AZ$41,10),SUMIFS('Final Calculation Sheet'!$N$4:$N$40,$AZ$5:$AZ$41,$BH32))),""))</f>
        <v/>
      </c>
      <c r="P33" s="70">
        <f>IF($BJ32&gt;0,IF(INDEX('Final Calculation Sheet'!$O$4:$O$40,$BJ32-3)="","",INDEX('Final Calculation Sheet'!$O$4:$O$40,$BJ32-3)),IF(OR($BI32=1,$BL32=1,$BH32&gt;0),IF($BI32=1,SUM('Final Calculation Sheet'!$O$4:$O$40),IF($BL32=1,SUM('Final Calculation Sheet'!$O$4:$O$40)-SUMIFS('Final Calculation Sheet'!$O$4:$O$40,$AZ$5:$AZ$41,10),SUMIFS('Final Calculation Sheet'!$O$4:$O$40,$AZ$5:$AZ$41,$BH32))),""))</f>
        <v/>
      </c>
      <c r="Q33" s="70">
        <f>IF($BJ32&gt;0,IF(INDEX('Final Calculation Sheet'!$P$4:$P$40,$BJ32-3)="","",INDEX('Final Calculation Sheet'!$P$4:$P$40,$BJ32-3)),IF(OR($BI32=1,$BL32=1,$BH32&gt;0),IF($BI32=1,SUM('Final Calculation Sheet'!$P$4:$P$40),IF($BL32=1,SUM('Final Calculation Sheet'!$P$4:$P$40)-SUMIFS('Final Calculation Sheet'!$P$4:$P$40,$AZ$5:$AZ$41,10),SUMIFS('Final Calculation Sheet'!$P$4:$P$40,$AZ$5:$AZ$41,$BH32))),""))</f>
        <v/>
      </c>
      <c r="R33" s="72">
        <f>IF($BJ32&gt;0,IF(INDEX('Final Calculation Sheet'!$Q$4:$Q$40,$BJ32-3)="","",INDEX('Final Calculation Sheet'!$Q$4:$Q$40,$BJ32-3)),IF(OR($BI32=1,$BL32=1,$BH32&gt;0),"–",""))</f>
        <v/>
      </c>
      <c r="S33" s="70">
        <f>IF($BJ32&gt;0,IF(INDEX('Final Calculation Sheet'!$R$4:$R$40,$BJ32-3)="","",INDEX('Final Calculation Sheet'!$R$4:$R$40,$BJ32-3)),IF(OR($BI32=1,$BL32=1,$BH32&gt;0),IF($BI32=1,SUM('Final Calculation Sheet'!$R$4:$R$40),IF($BL32=1,SUM('Final Calculation Sheet'!$R$4:$R$40)-SUMIFS('Final Calculation Sheet'!$R$4:$R$40,$AZ$5:$AZ$41,10),SUMIFS('Final Calculation Sheet'!$R$4:$R$40,$AZ$5:$AZ$41,$BH32))),""))</f>
        <v/>
      </c>
      <c r="T33" s="70">
        <f>IF($BJ32&gt;0,IF(INDEX('Final Calculation Sheet'!$S$4:$S$40,$BJ32-3)="","",INDEX('Final Calculation Sheet'!$S$4:$S$40,$BJ32-3)),IF(OR($BI32=1,$BL32=1,$BH32&gt;0),IF($BI32=1,SUM('Final Calculation Sheet'!$S$4:$S$40),IF($BL32=1,SUM('Final Calculation Sheet'!$S$4:$S$40)-SUMIFS('Final Calculation Sheet'!$S$4:$S$40,$AZ$5:$AZ$41,10),SUMIFS('Final Calculation Sheet'!$S$4:$S$40,$AZ$5:$AZ$41,$BH32))),""))</f>
        <v/>
      </c>
      <c r="U33" s="70">
        <f>IF($BJ32&gt;0,IF(INDEX('Final Calculation Sheet'!$T$4:$T$40,$BJ32-3)="","",INDEX('Final Calculation Sheet'!$T$4:$T$40,$BJ32-3)),IF(OR($BI32=1,$BL32=1,$BH32&gt;0),IF($BI32=1,SUM('Final Calculation Sheet'!$T$4:$T$40),IF($BL32=1,SUM('Final Calculation Sheet'!$T$4:$T$40)-SUMIFS('Final Calculation Sheet'!$T$4:$T$40,$AZ$5:$AZ$41,10),SUMIFS('Final Calculation Sheet'!$T$4:$T$40,$AZ$5:$AZ$41,$BH32))),""))</f>
        <v/>
      </c>
      <c r="V33" s="73">
        <f>IF($BJ32&gt;0,IF(INDEX('Final Calculation Sheet'!$U$4:$U$40,$BJ32-3)="","",INDEX('Final Calculation Sheet'!$U$4:$U$40,$BJ32-3)),IF(OR($BI32=1,$BL32=1,$BH32&gt;0),IF($BI32=1,SUM('Final Calculation Sheet'!$U$4:$U$40),IF($BL32=1,SUM('Final Calculation Sheet'!$U$4:$U$40)-SUMIFS('Final Calculation Sheet'!$U$4:$U$40,$AZ$5:$AZ$41,10),SUMIFS('Final Calculation Sheet'!$U$4:$U$40,$AZ$5:$AZ$41,$BH32))),""))</f>
        <v/>
      </c>
      <c r="W33" s="70">
        <f>IF($BJ32&gt;0,IF(INDEX('Final Calculation Sheet'!$V$4:$V$40,$BJ32-3)="","",INDEX('Final Calculation Sheet'!$V$4:$V$40,$BJ32-3)),IF(OR($BI32=1,$BL32=1,$BH32&gt;0),"–",""))</f>
        <v/>
      </c>
      <c r="X33" s="70">
        <f>IF($BJ32&gt;0,IF(INDEX('Final Calculation Sheet'!$W$4:$W$40,$BJ32-3)="","",INDEX('Final Calculation Sheet'!$W$4:$W$40,$BJ32-3)),IF(OR($BI32=1,$BL32=1,$BH32&gt;0),IF($BI32=1,SUM('Final Calculation Sheet'!$W$4:$W$40),IF($BL32=1,SUM('Final Calculation Sheet'!$W$4:$W$40)-SUMIFS('Final Calculation Sheet'!$W$4:$W$40,$AZ$5:$AZ$41,10),SUMIFS('Final Calculation Sheet'!$W$4:$W$40,$AZ$5:$AZ$41,$BH32))),""))</f>
        <v/>
      </c>
      <c r="Y33" s="70">
        <f>IF($BJ32&gt;0,IF(INDEX('Final Calculation Sheet'!$X$4:$X$40,$BJ32-3)="","",INDEX('Final Calculation Sheet'!$X$4:$X$40,$BJ32-3)),IF(OR($BI32=1,$BL32=1,$BH32&gt;0),IF($BI32=1,SUM('Final Calculation Sheet'!$X$4:$X$40),IF($BL32=1,SUM('Final Calculation Sheet'!$X$4:$X$40)-SUMIFS('Final Calculation Sheet'!$X$4:$X$40,$AZ$5:$AZ$41,10),SUMIFS('Final Calculation Sheet'!$X$4:$X$40,$AZ$5:$AZ$41,$BH32))),""))</f>
        <v/>
      </c>
      <c r="Z33" s="70">
        <f>IF($BJ32&gt;0,IF(INDEX('Final Calculation Sheet'!$Y$4:$Y$40,$BJ32-3)="","",INDEX('Final Calculation Sheet'!$Y$4:$Y$40,$BJ32-3)),IF(OR($BI32=1,$BL32=1,$BH32&gt;0),"–",""))</f>
        <v/>
      </c>
      <c r="AA33" s="70">
        <f>IF($BJ32&gt;0,IF(INDEX('Final Calculation Sheet'!$Z$4:$Z$40,$BJ32-3)="","",INDEX('Final Calculation Sheet'!$Z$4:$Z$40,$BJ32-3)),IF(OR($BI32=1,$BL32=1,$BH32&gt;0),IF($BI32=1,SUM('Final Calculation Sheet'!$Z$4:$Z$40),IF($BL32=1,SUM('Final Calculation Sheet'!$Z$4:$Z$40)-SUMIFS('Final Calculation Sheet'!$Z$4:$Z$40,$AZ$5:$AZ$41,10),SUMIFS('Final Calculation Sheet'!$Z$4:$Z$40,$AZ$5:$AZ$41,$BH32))),""))</f>
        <v/>
      </c>
      <c r="AB33" s="70">
        <f>IF($BJ32&gt;0,IF(INDEX('Final Calculation Sheet'!$AA$4:$AA$40,$BJ32-3)="","",INDEX('Final Calculation Sheet'!$AA$4:$AA$40,$BJ32-3)),IF(OR($BI32=1,$BL32=1,$BH32&gt;0),IF($BI32=1,SUM('Final Calculation Sheet'!$AA$4:$AA$40),IF($BL32=1,SUM('Final Calculation Sheet'!$AA$4:$AA$40)-SUMIFS('Final Calculation Sheet'!$AA$4:$AA$40,$AZ$5:$AZ$41,10),SUMIFS('Final Calculation Sheet'!$AA$4:$AA$40,$AZ$5:$AZ$41,$BH32))),""))</f>
        <v/>
      </c>
      <c r="AC33" s="70">
        <f>IF($BJ32&gt;0,IF(INDEX('Final Calculation Sheet'!$AB$4:$AB$40,$BJ32-3)="","",INDEX('Final Calculation Sheet'!$AB$4:$AB$40,$BJ32-3)),IF(OR($BI32=1,$BL32=1,$BH32&gt;0),"–",""))</f>
        <v/>
      </c>
      <c r="AD33" s="70">
        <f>IF($BJ32&gt;0,IF(INDEX('Final Calculation Sheet'!$AC$4:$AC$40,$BJ32-3)="","",INDEX('Final Calculation Sheet'!$AC$4:$AC$40,$BJ32-3)),IF(OR($BI32=1,$BL32=1,$BH32&gt;0),IF($BI32=1,SUM('Final Calculation Sheet'!$AC$4:$AC$40),IF($BL32=1,SUM('Final Calculation Sheet'!$AC$4:$AC$40)-SUMIFS('Final Calculation Sheet'!$AC$4:$AC$40,$AZ$5:$AZ$41,10),SUMIFS('Final Calculation Sheet'!$AC$4:$AC$40,$AZ$5:$AZ$41,$BH32))),""))</f>
        <v/>
      </c>
      <c r="AE33" s="70">
        <f>IF($BJ32&gt;0,IF(INDEX('Final Calculation Sheet'!$AD$4:$AD$40,$BJ32-3)="","",INDEX('Final Calculation Sheet'!$AD$4:$AD$40,$BJ32-3)),IF(OR($BI32=1,$BL32=1,$BH32&gt;0),IF($BI32=1,SUM('Final Calculation Sheet'!$AD$4:$AD$40),IF($BL32=1,SUM('Final Calculation Sheet'!$AD$4:$AD$40)-SUMIFS('Final Calculation Sheet'!$AD$4:$AD$40,$AZ$5:$AZ$41,10),SUMIFS('Final Calculation Sheet'!$AD$4:$AD$40,$AZ$5:$AZ$41,$BH32))),""))</f>
        <v/>
      </c>
      <c r="AF33" s="70">
        <f>IF($BJ32&gt;0,IF(INDEX('Final Calculation Sheet'!$AE$4:$AE$40,$BJ32-3)="","",INDEX('Final Calculation Sheet'!$AE$4:$AE$40,$BJ32-3)),IF(OR($BI32=1,$BL32=1,$BH32&gt;0),"–",""))</f>
        <v/>
      </c>
      <c r="AG33" s="74">
        <f>IF($BJ32&gt;0,IF(INDEX('Final Calculation Sheet'!$AF$4:$AF$40,$BJ32-3)="","",INDEX('Final Calculation Sheet'!$AF$4:$AF$40,$BJ32-3)),IF(OR($BI32=1,$BL32=1,$BH32&gt;0),"–",""))</f>
        <v/>
      </c>
      <c r="AH33" s="70">
        <f>IF($BJ32&gt;0,IF(INDEX('Final Calculation Sheet'!$AG$4:$AG$40,$BJ32-3)="","",INDEX('Final Calculation Sheet'!$AG$4:$AG$40,$BJ32-3)),IF(OR($BI32=1,$BL32=1,$BH32&gt;0),"–",""))</f>
        <v/>
      </c>
      <c r="AI33" s="75">
        <f>IF($BJ32&gt;0,IF(INDEX('Final Calculation Sheet'!$AD$4:$AD$40,$BJ32-3)="","",IF(INDEX('Final Calculation Sheet'!$AD$4:$AD$40,$BJ32-3)&lt;=0,"SETTLED","OUTSTANDING")),IF(OR($BI32=1,$BL32=1,$BH32&gt;0),IF(IF($BI32=1,SUM('Final Calculation Sheet'!$AD$4:$AD$40),IF($BL32=1,SUM('Final Calculation Sheet'!$AD$4:$AD$40)-SUMIFS('Final Calculation Sheet'!$AD$4:$AD$40,$AZ$5:$AZ$41,10),SUMIFS('Final Calculation Sheet'!$AD$4:$AD$40,$AZ$5:$AZ$41,$BH32)))&lt;=0,"ALL SETTLED","OUTSTANDING"),""))</f>
        <v/>
      </c>
      <c r="AK33">
        <f>IF($F$3="Lot No.",'Final Calculation Sheet'!$F$32,IF($F$3="Buyer",'Final Calculation Sheet'!$G$32,IF($F$3="Lot Name",'Final Calculation Sheet'!$B$32,IF($F$3="Bid Sheet",'Final Calculation Sheet'!$D$32,IF($F$3="Unit",'Final Calculation Sheet'!$E$32,'Final Calculation Sheet'!$F$32&amp;" "&amp;'Final Calculation Sheet'!$G$32&amp;" "&amp;'Final Calculation Sheet'!$B$32)))))</f>
        <v/>
      </c>
      <c r="AM33">
        <f>IF(COUNTIF($BM33:$CU33,0)&gt;0,0,IF($B$3="",1,IF(AND(IF(COUNTIF($AR$9:$AY$9,1)=0,TRUE,SUMPRODUCT(($AR$9:$AY$9=1)*($AR$6:$AY$6&lt;&gt;"")*ISNUMBER(SEARCH($AR$6:$AY$6,$AK33)))&gt;0),IF(COUNTIF($AR$9:$AY$9,2)=0,TRUE,SUMPRODUCT(($AR$9:$AY$9=2)*($AR$6:$AY$6&lt;&gt;"")*ISNUMBER(SEARCH($AR$6:$AY$6,$AK33)))&gt;0),IF(COUNTIF($AR$9:$AY$9,3)=0,TRUE,SUMPRODUCT(($AR$9:$AY$9=3)*($AR$6:$AY$6&lt;&gt;"")*ISNUMBER(SEARCH($AR$6:$AY$6,$AK33)))&gt;0),IF(COUNTIF($AR$9:$AY$9,4)=0,TRUE,SUMPRODUCT(($AR$9:$AY$9=4)*($AR$6:$AY$6&lt;&gt;"")*ISNUMBER(SEARCH($AR$6:$AY$6,$AK33)))&gt;0),IF(COUNTIF($AR$9:$AY$9,5)=0,TRUE,SUMPRODUCT(($AR$9:$AY$9=5)*($AR$6:$AY$6&lt;&gt;"")*ISNUMBER(SEARCH($AR$6:$AY$6,$AK33)))&gt;0),IF(COUNTIF($AR$9:$AY$9,6)=0,TRUE,SUMPRODUCT(($AR$9:$AY$9=6)*($AR$6:$AY$6&lt;&gt;"")*ISNUMBER(SEARCH($AR$6:$AY$6,$AK33)))&gt;0),IF(COUNTIF($AR$9:$AY$9,7)=0,TRUE,SUMPRODUCT(($AR$9:$AY$9=7)*($AR$6:$AY$6&lt;&gt;"")*ISNUMBER(SEARCH($AR$6:$AY$6,$AK33)))&gt;0),IF(COUNTIF($AR$9:$AY$9,8)=0,TRUE,SUMPRODUCT(($AR$9:$AY$9=8)*($AR$6:$AY$6&lt;&gt;"")*ISNUMBER(SEARCH($AR$6:$AY$6,$AK33)))&gt;0)),1,0)))</f>
        <v/>
      </c>
      <c r="AZ33">
        <f>IF($B$3="",IF(COUNTIF($A$4:$AI$4,"&lt;&gt;")=0,9,IF($AM33=1,9,10)),IF($AM33=0,10,IF(AND($AR$6&lt;&gt;"",ISNUMBER(SEARCH($AR$6,$AK33))),1,IF(AND($AS$6&lt;&gt;"",ISNUMBER(SEARCH($AS$6,$AK33))),2,IF(AND($AT$6&lt;&gt;"",ISNUMBER(SEARCH($AT$6,$AK33))),3,IF(AND($AU$6&lt;&gt;"",ISNUMBER(SEARCH($AU$6,$AK33))),4,IF(AND($AV$6&lt;&gt;"",ISNUMBER(SEARCH($AV$6,$AK33))),5,IF(AND($AW$6&lt;&gt;"",ISNUMBER(SEARCH($AW$6,$AK33))),6,IF(AND($AX$6&lt;&gt;"",ISNUMBER(SEARCH($AX$6,$AK33))),7,IF(AND($AY$6&lt;&gt;"",ISNUMBER(SEARCH($AY$6,$AK33))),8,0))))))))))</f>
        <v/>
      </c>
      <c r="BA33">
        <f>SUMPRODUCT(($AZ$5:$AZ$41=$AZ33)*($BC$5:$BC$41&lt;$BC33))+1</f>
        <v/>
      </c>
      <c r="BB33">
        <f>IF(INDEX($BF$4:$BF$13,$AZ33)=0,0,INDEX($BE$4:$BE$13,$AZ33)+$BA33-1)</f>
        <v/>
      </c>
      <c r="BC33" t="n">
        <v>32</v>
      </c>
      <c r="BH33">
        <f>IFERROR(MATCH(33,$BF$4:$BF$13,0),0)</f>
        <v/>
      </c>
      <c r="BI33">
        <f>IF(33=$BG$5,1,0)</f>
        <v/>
      </c>
      <c r="BJ33">
        <f>IF(OR($BH33&gt;0,$BI33=1,$BL33=1),0,IFERROR(INDEX($BC$5:$BC$41,MATCH(33,$BB$5:$BB$41,0)),0))</f>
        <v/>
      </c>
      <c r="BK33">
        <f>IF($BJ33&gt;0,IF(INDEX($AZ$5:$AZ$41,MATCH(33,$BB$5:$BB$41,0))=10,1,0),IF($BH33=10,1,0))</f>
        <v/>
      </c>
      <c r="BL33">
        <f>IF(33=$BG$4,1,0)</f>
        <v/>
      </c>
      <c r="BM33">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3">
        <f>IF($B$4="",1,--(OR(SUMPRODUCT(--(TRIM(MID(SUBSTITUTE(SUBSTITUTE($B$4,"/",","),",",REPT(" ",99)),(ROW($1:$8)-1)*99+1,99))&lt;&gt;""),--ISNUMBER(SEARCH(TRIM(MID(SUBSTITUTE(SUBSTITUTE($B$4,"/",","),",",REPT(" ",99)),(ROW($1:$8)-1)*99+1,99)),IFERROR(('Final Calculation Sheet'!$F$32)&amp;"",""))))&gt;0,AND(ISNUMBER(SEARCH("blank",$B$4)),NOT(ISNUMBER(SEARCH("nonblank",$B$4))),IFERROR(('Final Calculation Sheet'!$F$32)&amp;"","")=""),AND(OR(ISNUMBER(SEARCH("nonblank",$B$4)),ISNUMBER(SEARCH("&lt;&gt;",$B$4))),IFERROR(('Final Calculation Sheet'!$F$32)&amp;"","")&lt;&gt;""),AND(TRIM($B$4)="",IFERROR(('Final Calculation Sheet'!$F$32)&amp;"","")=""))))</f>
        <v/>
      </c>
      <c r="BO33">
        <f>IF($C$4="",1,--(OR(SUMPRODUCT(--(TRIM(MID(SUBSTITUTE(SUBSTITUTE($C$4,"/",","),",",REPT(" ",99)),(ROW($1:$8)-1)*99+1,99))&lt;&gt;""),--ISNUMBER(SEARCH(TRIM(MID(SUBSTITUTE(SUBSTITUTE($C$4,"/",","),",",REPT(" ",99)),(ROW($1:$8)-1)*99+1,99)),IFERROR(('Final Calculation Sheet'!$G$32)&amp;"",""))))&gt;0,AND(ISNUMBER(SEARCH("blank",$C$4)),NOT(ISNUMBER(SEARCH("nonblank",$C$4))),IFERROR(('Final Calculation Sheet'!$G$32)&amp;"","")=""),AND(OR(ISNUMBER(SEARCH("nonblank",$C$4)),ISNUMBER(SEARCH("&lt;&gt;",$C$4))),IFERROR(('Final Calculation Sheet'!$G$32)&amp;"","")&lt;&gt;""),AND(TRIM($C$4)="",IFERROR(('Final Calculation Sheet'!$G$32)&amp;"","")=""))))</f>
        <v/>
      </c>
      <c r="BP33">
        <f>IF($D$4="",1,--(OR(SUMPRODUCT(--(TRIM(MID(SUBSTITUTE(SUBSTITUTE($D$4,"/",","),",",REPT(" ",99)),(ROW($1:$8)-1)*99+1,99))&lt;&gt;""),--ISNUMBER(SEARCH(TRIM(MID(SUBSTITUTE(SUBSTITUTE($D$4,"/",","),",",REPT(" ",99)),(ROW($1:$8)-1)*99+1,99)),IFERROR(('Final Calculation Sheet'!$B$32)&amp;"",""))))&gt;0,AND(ISNUMBER(SEARCH("blank",$D$4)),NOT(ISNUMBER(SEARCH("nonblank",$D$4))),IFERROR(('Final Calculation Sheet'!$B$32)&amp;"","")=""),AND(OR(ISNUMBER(SEARCH("nonblank",$D$4)),ISNUMBER(SEARCH("&lt;&gt;",$D$4))),IFERROR(('Final Calculation Sheet'!$B$32)&amp;"","")&lt;&gt;""),AND(TRIM($D$4)="",IFERROR(('Final Calculation Sheet'!$B$32)&amp;"","")=""))))</f>
        <v/>
      </c>
      <c r="BQ33">
        <f>IF($E$4="",1,--(OR(SUMPRODUCT(--(TRIM(MID(SUBSTITUTE(SUBSTITUTE($E$4,"/",","),",",REPT(" ",99)),(ROW($1:$8)-1)*99+1,99))&lt;&gt;""),--ISNUMBER(SEARCH(TRIM(MID(SUBSTITUTE(SUBSTITUTE($E$4,"/",","),",",REPT(" ",99)),(ROW($1:$8)-1)*99+1,99)),IFERROR(('Final Calculation Sheet'!$D$32)&amp;"",""))))&gt;0,AND(ISNUMBER(SEARCH("blank",$E$4)),NOT(ISNUMBER(SEARCH("nonblank",$E$4))),IFERROR(('Final Calculation Sheet'!$D$32)&amp;"","")=""),AND(OR(ISNUMBER(SEARCH("nonblank",$E$4)),ISNUMBER(SEARCH("&lt;&gt;",$E$4))),IFERROR(('Final Calculation Sheet'!$D$32)&amp;"","")&lt;&gt;""),AND(TRIM($E$4)="",IFERROR(('Final Calculation Sheet'!$D$32)&amp;"","")=""))))</f>
        <v/>
      </c>
      <c r="BR33">
        <f>IF($F$4="",1,--(OR(SUMPRODUCT(--(TRIM(MID(SUBSTITUTE(SUBSTITUTE($F$4,"/",","),",",REPT(" ",99)),(ROW($1:$8)-1)*99+1,99))&lt;&gt;""),--ISNUMBER(SEARCH(TRIM(MID(SUBSTITUTE(SUBSTITUTE($F$4,"/",","),",",REPT(" ",99)),(ROW($1:$8)-1)*99+1,99)),IFERROR(('Final Calculation Sheet'!$A$32)&amp;"",""))))&gt;0,AND(ISNUMBER(SEARCH("blank",$F$4)),NOT(ISNUMBER(SEARCH("nonblank",$F$4))),IFERROR(('Final Calculation Sheet'!$A$32)&amp;"","")=""),AND(OR(ISNUMBER(SEARCH("nonblank",$F$4)),ISNUMBER(SEARCH("&lt;&gt;",$F$4))),IFERROR(('Final Calculation Sheet'!$A$32)&amp;"","")&lt;&gt;""),AND(TRIM($F$4)="",IFERROR(('Final Calculation Sheet'!$A$32)&amp;"","")=""))))</f>
        <v/>
      </c>
      <c r="BS33">
        <f>IF($G$4="",1,--(OR(SUMPRODUCT(--(TRIM(MID(SUBSTITUTE(SUBSTITUTE($G$4,"/",","),",",REPT(" ",99)),(ROW($1:$8)-1)*99+1,99))&lt;&gt;""),--ISNUMBER(SEARCH(TRIM(MID(SUBSTITUTE(SUBSTITUTE($G$4,"/",","),",",REPT(" ",99)),(ROW($1:$8)-1)*99+1,99)),IFERROR(('Final Calculation Sheet'!$E$32)&amp;"",""))))&gt;0,AND(ISNUMBER(SEARCH("blank",$G$4)),NOT(ISNUMBER(SEARCH("nonblank",$G$4))),IFERROR(('Final Calculation Sheet'!$E$32)&amp;"","")=""),AND(OR(ISNUMBER(SEARCH("nonblank",$G$4)),ISNUMBER(SEARCH("&lt;&gt;",$G$4))),IFERROR(('Final Calculation Sheet'!$E$32)&amp;"","")&lt;&gt;""),AND(TRIM($G$4)="",IFERROR(('Final Calculation Sheet'!$E$32)&amp;"","")=""))))</f>
        <v/>
      </c>
      <c r="BT33">
        <f>IF($H$4="",1,--(OR(SUMPRODUCT(--(TRIM(MID(SUBSTITUTE(SUBSTITUTE($H$4,"/",","),",",REPT(" ",99)),(ROW($1:$8)-1)*99+1,99))&lt;&gt;""),--ISNUMBER(SEARCH(TRIM(MID(SUBSTITUTE(SUBSTITUTE($H$4,"/",","),",",REPT(" ",99)),(ROW($1:$8)-1)*99+1,99)),IFERROR(('Final Calculation Sheet'!$C$32)&amp;"",""))))&gt;0,AND(ISNUMBER(SEARCH("blank",$H$4)),NOT(ISNUMBER(SEARCH("nonblank",$H$4))),IFERROR(('Final Calculation Sheet'!$C$32)&amp;"","")=""),AND(OR(ISNUMBER(SEARCH("nonblank",$H$4)),ISNUMBER(SEARCH("&lt;&gt;",$H$4))),IFERROR(('Final Calculation Sheet'!$C$32)&amp;"","")&lt;&gt;""),AND(TRIM($H$4)="",IFERROR(('Final Calculation Sheet'!$C$32)&amp;"","")=""))))</f>
        <v/>
      </c>
      <c r="BU33">
        <f>IF($I$4="",1,--(OR(SUMPRODUCT(--(TRIM(MID(SUBSTITUTE(SUBSTITUTE($I$4,"/",","),",",REPT(" ",99)),(ROW($1:$8)-1)*99+1,99))&lt;&gt;""),--ISNUMBER(SEARCH(TRIM(MID(SUBSTITUTE(SUBSTITUTE($I$4,"/",","),",",REPT(" ",99)),(ROW($1:$8)-1)*99+1,99)),IFERROR(('Final Calculation Sheet'!$H$32)&amp;"",""))))&gt;0,AND(ISNUMBER(SEARCH("blank",$I$4)),NOT(ISNUMBER(SEARCH("nonblank",$I$4))),IFERROR(('Final Calculation Sheet'!$H$32)&amp;"","")=""),AND(OR(ISNUMBER(SEARCH("nonblank",$I$4)),ISNUMBER(SEARCH("&lt;&gt;",$I$4))),IFERROR(('Final Calculation Sheet'!$H$32)&amp;"","")&lt;&gt;""),AND(TRIM($I$4)="",IFERROR(('Final Calculation Sheet'!$H$32)&amp;"","")=""))))</f>
        <v/>
      </c>
      <c r="BV33">
        <f>IF($J$4="",1,--(OR(SUMPRODUCT(--(TRIM(MID(SUBSTITUTE(SUBSTITUTE($J$4,"/",","),",",REPT(" ",99)),(ROW($1:$8)-1)*99+1,99))&lt;&gt;""),--ISNUMBER(SEARCH(TRIM(MID(SUBSTITUTE(SUBSTITUTE($J$4,"/",","),",",REPT(" ",99)),(ROW($1:$8)-1)*99+1,99)),IFERROR(('Final Calculation Sheet'!$I$32)&amp;"",""))))&gt;0,AND(ISNUMBER(SEARCH("blank",$J$4)),NOT(ISNUMBER(SEARCH("nonblank",$J$4))),IFERROR(('Final Calculation Sheet'!$I$32)&amp;"","")=""),AND(OR(ISNUMBER(SEARCH("nonblank",$J$4)),ISNUMBER(SEARCH("&lt;&gt;",$J$4))),IFERROR(('Final Calculation Sheet'!$I$32)&amp;"","")&lt;&gt;""),AND(TRIM($J$4)="",IFERROR(('Final Calculation Sheet'!$I$32)&amp;"","")=""))))</f>
        <v/>
      </c>
      <c r="BW33">
        <f>IF($K$4="",1,--(OR(SUMPRODUCT(--(TRIM(MID(SUBSTITUTE(SUBSTITUTE($K$4,"/",","),",",REPT(" ",99)),(ROW($1:$8)-1)*99+1,99))&lt;&gt;""),--ISNUMBER(SEARCH(TRIM(MID(SUBSTITUTE(SUBSTITUTE($K$4,"/",","),",",REPT(" ",99)),(ROW($1:$8)-1)*99+1,99)),IFERROR(('Final Calculation Sheet'!$J$32)&amp;"",""))))&gt;0,AND(ISNUMBER(SEARCH("blank",$K$4)),NOT(ISNUMBER(SEARCH("nonblank",$K$4))),IFERROR(('Final Calculation Sheet'!$J$32)&amp;"","")=""),AND(OR(ISNUMBER(SEARCH("nonblank",$K$4)),ISNUMBER(SEARCH("&lt;&gt;",$K$4))),IFERROR(('Final Calculation Sheet'!$J$32)&amp;"","")&lt;&gt;""),AND(TRIM($K$4)="",IFERROR(('Final Calculation Sheet'!$J$32)&amp;"","")=""))))</f>
        <v/>
      </c>
      <c r="BX33">
        <f>IF($L$4="",1,--(OR(SUMPRODUCT(--(TRIM(MID(SUBSTITUTE(SUBSTITUTE($L$4,"/",","),",",REPT(" ",99)),(ROW($1:$8)-1)*99+1,99))&lt;&gt;""),--ISNUMBER(SEARCH(TRIM(MID(SUBSTITUTE(SUBSTITUTE($L$4,"/",","),",",REPT(" ",99)),(ROW($1:$8)-1)*99+1,99)),IFERROR(('Final Calculation Sheet'!$K$32)&amp;"",""))))&gt;0,AND(ISNUMBER(SEARCH("blank",$L$4)),NOT(ISNUMBER(SEARCH("nonblank",$L$4))),IFERROR(('Final Calculation Sheet'!$K$32)&amp;"","")=""),AND(OR(ISNUMBER(SEARCH("nonblank",$L$4)),ISNUMBER(SEARCH("&lt;&gt;",$L$4))),IFERROR(('Final Calculation Sheet'!$K$32)&amp;"","")&lt;&gt;""),AND(TRIM($L$4)="",IFERROR(('Final Calculation Sheet'!$K$32)&amp;"","")=""))))</f>
        <v/>
      </c>
      <c r="BY33">
        <f>IF($M$4="",1,--(OR(SUMPRODUCT(--(TRIM(MID(SUBSTITUTE(SUBSTITUTE($M$4,"/",","),",",REPT(" ",99)),(ROW($1:$8)-1)*99+1,99))&lt;&gt;""),--ISNUMBER(SEARCH(TRIM(MID(SUBSTITUTE(SUBSTITUTE($M$4,"/",","),",",REPT(" ",99)),(ROW($1:$8)-1)*99+1,99)),IFERROR(('Final Calculation Sheet'!$L$32)&amp;"",""))))&gt;0,AND(ISNUMBER(SEARCH("blank",$M$4)),NOT(ISNUMBER(SEARCH("nonblank",$M$4))),IFERROR(('Final Calculation Sheet'!$L$32)&amp;"","")=""),AND(OR(ISNUMBER(SEARCH("nonblank",$M$4)),ISNUMBER(SEARCH("&lt;&gt;",$M$4))),IFERROR(('Final Calculation Sheet'!$L$32)&amp;"","")&lt;&gt;""),AND(TRIM($M$4)="",IFERROR(('Final Calculation Sheet'!$L$32)&amp;"","")=""))))</f>
        <v/>
      </c>
      <c r="BZ33">
        <f>IF($N$4="",1,--(OR(SUMPRODUCT(--(TRIM(MID(SUBSTITUTE(SUBSTITUTE($N$4,"/",","),",",REPT(" ",99)),(ROW($1:$8)-1)*99+1,99))&lt;&gt;""),--ISNUMBER(SEARCH(TRIM(MID(SUBSTITUTE(SUBSTITUTE($N$4,"/",","),",",REPT(" ",99)),(ROW($1:$8)-1)*99+1,99)),IFERROR(('Final Calculation Sheet'!$M$32)&amp;"",""))))&gt;0,AND(ISNUMBER(SEARCH("blank",$N$4)),NOT(ISNUMBER(SEARCH("nonblank",$N$4))),IFERROR(('Final Calculation Sheet'!$M$32)&amp;"","")=""),AND(OR(ISNUMBER(SEARCH("nonblank",$N$4)),ISNUMBER(SEARCH("&lt;&gt;",$N$4))),IFERROR(('Final Calculation Sheet'!$M$32)&amp;"","")&lt;&gt;""),AND(TRIM($N$4)="",IFERROR(('Final Calculation Sheet'!$M$32)&amp;"","")=""))))</f>
        <v/>
      </c>
      <c r="CA33">
        <f>IF($O$4="",1,--(OR(SUMPRODUCT(--(TRIM(MID(SUBSTITUTE(SUBSTITUTE($O$4,"/",","),",",REPT(" ",99)),(ROW($1:$8)-1)*99+1,99))&lt;&gt;""),--ISNUMBER(SEARCH(TRIM(MID(SUBSTITUTE(SUBSTITUTE($O$4,"/",","),",",REPT(" ",99)),(ROW($1:$8)-1)*99+1,99)),IFERROR(('Final Calculation Sheet'!$N$32)&amp;"",""))))&gt;0,AND(ISNUMBER(SEARCH("blank",$O$4)),NOT(ISNUMBER(SEARCH("nonblank",$O$4))),IFERROR(('Final Calculation Sheet'!$N$32)&amp;"","")=""),AND(OR(ISNUMBER(SEARCH("nonblank",$O$4)),ISNUMBER(SEARCH("&lt;&gt;",$O$4))),IFERROR(('Final Calculation Sheet'!$N$32)&amp;"","")&lt;&gt;""),AND(TRIM($O$4)="",IFERROR(('Final Calculation Sheet'!$N$32)&amp;"","")=""))))</f>
        <v/>
      </c>
      <c r="CB33">
        <f>IF($P$4="",1,--(OR(SUMPRODUCT(--(TRIM(MID(SUBSTITUTE(SUBSTITUTE($P$4,"/",","),",",REPT(" ",99)),(ROW($1:$8)-1)*99+1,99))&lt;&gt;""),--ISNUMBER(SEARCH(TRIM(MID(SUBSTITUTE(SUBSTITUTE($P$4,"/",","),",",REPT(" ",99)),(ROW($1:$8)-1)*99+1,99)),IFERROR(('Final Calculation Sheet'!$O$32)&amp;"",""))))&gt;0,AND(ISNUMBER(SEARCH("blank",$P$4)),NOT(ISNUMBER(SEARCH("nonblank",$P$4))),IFERROR(('Final Calculation Sheet'!$O$32)&amp;"","")=""),AND(OR(ISNUMBER(SEARCH("nonblank",$P$4)),ISNUMBER(SEARCH("&lt;&gt;",$P$4))),IFERROR(('Final Calculation Sheet'!$O$32)&amp;"","")&lt;&gt;""),AND(TRIM($P$4)="",IFERROR(('Final Calculation Sheet'!$O$32)&amp;"","")=""))))</f>
        <v/>
      </c>
      <c r="CC33">
        <f>IF($Q$4="",1,--(OR(SUMPRODUCT(--(TRIM(MID(SUBSTITUTE(SUBSTITUTE($Q$4,"/",","),",",REPT(" ",99)),(ROW($1:$8)-1)*99+1,99))&lt;&gt;""),--ISNUMBER(SEARCH(TRIM(MID(SUBSTITUTE(SUBSTITUTE($Q$4,"/",","),",",REPT(" ",99)),(ROW($1:$8)-1)*99+1,99)),IFERROR(('Final Calculation Sheet'!$P$32)&amp;"",""))))&gt;0,AND(ISNUMBER(SEARCH("blank",$Q$4)),NOT(ISNUMBER(SEARCH("nonblank",$Q$4))),IFERROR(('Final Calculation Sheet'!$P$32)&amp;"","")=""),AND(OR(ISNUMBER(SEARCH("nonblank",$Q$4)),ISNUMBER(SEARCH("&lt;&gt;",$Q$4))),IFERROR(('Final Calculation Sheet'!$P$32)&amp;"","")&lt;&gt;""),AND(TRIM($Q$4)="",IFERROR(('Final Calculation Sheet'!$P$32)&amp;"","")=""))))</f>
        <v/>
      </c>
      <c r="CD33">
        <f>IF($R$4="",1,--(OR(SUMPRODUCT(--(TRIM(MID(SUBSTITUTE(SUBSTITUTE($R$4,"/",","),",",REPT(" ",99)),(ROW($1:$8)-1)*99+1,99))&lt;&gt;""),--ISNUMBER(SEARCH(TRIM(MID(SUBSTITUTE(SUBSTITUTE($R$4,"/",","),",",REPT(" ",99)),(ROW($1:$8)-1)*99+1,99)),IFERROR(('Final Calculation Sheet'!$Q$32)&amp;"",""))))&gt;0,AND(ISNUMBER(SEARCH("blank",$R$4)),NOT(ISNUMBER(SEARCH("nonblank",$R$4))),IFERROR(('Final Calculation Sheet'!$Q$32)&amp;"","")=""),AND(OR(ISNUMBER(SEARCH("nonblank",$R$4)),ISNUMBER(SEARCH("&lt;&gt;",$R$4))),IFERROR(('Final Calculation Sheet'!$Q$32)&amp;"","")&lt;&gt;""),AND(TRIM($R$4)="",IFERROR(('Final Calculation Sheet'!$Q$32)&amp;"","")=""))))</f>
        <v/>
      </c>
      <c r="CE33">
        <f>IF($S$4="",1,--(OR(SUMPRODUCT(--(TRIM(MID(SUBSTITUTE(SUBSTITUTE($S$4,"/",","),",",REPT(" ",99)),(ROW($1:$8)-1)*99+1,99))&lt;&gt;""),--ISNUMBER(SEARCH(TRIM(MID(SUBSTITUTE(SUBSTITUTE($S$4,"/",","),",",REPT(" ",99)),(ROW($1:$8)-1)*99+1,99)),IFERROR(('Final Calculation Sheet'!$R$32)&amp;"",""))))&gt;0,AND(ISNUMBER(SEARCH("blank",$S$4)),NOT(ISNUMBER(SEARCH("nonblank",$S$4))),IFERROR(('Final Calculation Sheet'!$R$32)&amp;"","")=""),AND(OR(ISNUMBER(SEARCH("nonblank",$S$4)),ISNUMBER(SEARCH("&lt;&gt;",$S$4))),IFERROR(('Final Calculation Sheet'!$R$32)&amp;"","")&lt;&gt;""),AND(TRIM($S$4)="",IFERROR(('Final Calculation Sheet'!$R$32)&amp;"","")=""))))</f>
        <v/>
      </c>
      <c r="CF33">
        <f>IF($T$4="",1,--(OR(SUMPRODUCT(--(TRIM(MID(SUBSTITUTE(SUBSTITUTE($T$4,"/",","),",",REPT(" ",99)),(ROW($1:$8)-1)*99+1,99))&lt;&gt;""),--ISNUMBER(SEARCH(TRIM(MID(SUBSTITUTE(SUBSTITUTE($T$4,"/",","),",",REPT(" ",99)),(ROW($1:$8)-1)*99+1,99)),IFERROR(('Final Calculation Sheet'!$S$32)&amp;"",""))))&gt;0,AND(ISNUMBER(SEARCH("blank",$T$4)),NOT(ISNUMBER(SEARCH("nonblank",$T$4))),IFERROR(('Final Calculation Sheet'!$S$32)&amp;"","")=""),AND(OR(ISNUMBER(SEARCH("nonblank",$T$4)),ISNUMBER(SEARCH("&lt;&gt;",$T$4))),IFERROR(('Final Calculation Sheet'!$S$32)&amp;"","")&lt;&gt;""),AND(TRIM($T$4)="",IFERROR(('Final Calculation Sheet'!$S$32)&amp;"","")=""))))</f>
        <v/>
      </c>
      <c r="CG33">
        <f>IF($U$4="",1,--(OR(SUMPRODUCT(--(TRIM(MID(SUBSTITUTE(SUBSTITUTE($U$4,"/",","),",",REPT(" ",99)),(ROW($1:$8)-1)*99+1,99))&lt;&gt;""),--ISNUMBER(SEARCH(TRIM(MID(SUBSTITUTE(SUBSTITUTE($U$4,"/",","),",",REPT(" ",99)),(ROW($1:$8)-1)*99+1,99)),IFERROR(('Final Calculation Sheet'!$T$32)&amp;"",""))))&gt;0,AND(ISNUMBER(SEARCH("blank",$U$4)),NOT(ISNUMBER(SEARCH("nonblank",$U$4))),IFERROR(('Final Calculation Sheet'!$T$32)&amp;"","")=""),AND(OR(ISNUMBER(SEARCH("nonblank",$U$4)),ISNUMBER(SEARCH("&lt;&gt;",$U$4))),IFERROR(('Final Calculation Sheet'!$T$32)&amp;"","")&lt;&gt;""),AND(TRIM($U$4)="",IFERROR(('Final Calculation Sheet'!$T$32)&amp;"","")=""))))</f>
        <v/>
      </c>
      <c r="CH33">
        <f>IF($V$4="",1,--(OR(SUMPRODUCT(--(TRIM(MID(SUBSTITUTE(SUBSTITUTE($V$4,"/",","),",",REPT(" ",99)),(ROW($1:$8)-1)*99+1,99))&lt;&gt;""),--ISNUMBER(SEARCH(TRIM(MID(SUBSTITUTE(SUBSTITUTE($V$4,"/",","),",",REPT(" ",99)),(ROW($1:$8)-1)*99+1,99)),IFERROR(('Final Calculation Sheet'!$U$32)&amp;"",""))))&gt;0,AND(ISNUMBER(SEARCH("blank",$V$4)),NOT(ISNUMBER(SEARCH("nonblank",$V$4))),IFERROR(('Final Calculation Sheet'!$U$32)&amp;"","")=""),AND(OR(ISNUMBER(SEARCH("nonblank",$V$4)),ISNUMBER(SEARCH("&lt;&gt;",$V$4))),IFERROR(('Final Calculation Sheet'!$U$32)&amp;"","")&lt;&gt;""),AND(TRIM($V$4)="",IFERROR(('Final Calculation Sheet'!$U$32)&amp;"","")=""))))</f>
        <v/>
      </c>
      <c r="CI33">
        <f>IF($W$4="",1,--(OR(SUMPRODUCT(--(TRIM(MID(SUBSTITUTE(SUBSTITUTE($W$4,"/",","),",",REPT(" ",99)),(ROW($1:$8)-1)*99+1,99))&lt;&gt;""),--ISNUMBER(SEARCH(TRIM(MID(SUBSTITUTE(SUBSTITUTE($W$4,"/",","),",",REPT(" ",99)),(ROW($1:$8)-1)*99+1,99)),IFERROR(('Final Calculation Sheet'!$V$32)&amp;"",""))))&gt;0,AND(ISNUMBER(SEARCH("blank",$W$4)),NOT(ISNUMBER(SEARCH("nonblank",$W$4))),IFERROR(('Final Calculation Sheet'!$V$32)&amp;"","")=""),AND(OR(ISNUMBER(SEARCH("nonblank",$W$4)),ISNUMBER(SEARCH("&lt;&gt;",$W$4))),IFERROR(('Final Calculation Sheet'!$V$32)&amp;"","")&lt;&gt;""),AND(TRIM($W$4)="",IFERROR(('Final Calculation Sheet'!$V$32)&amp;"","")=""))))</f>
        <v/>
      </c>
      <c r="CJ33">
        <f>IF($X$4="",1,--(OR(SUMPRODUCT(--(TRIM(MID(SUBSTITUTE(SUBSTITUTE($X$4,"/",","),",",REPT(" ",99)),(ROW($1:$8)-1)*99+1,99))&lt;&gt;""),--ISNUMBER(SEARCH(TRIM(MID(SUBSTITUTE(SUBSTITUTE($X$4,"/",","),",",REPT(" ",99)),(ROW($1:$8)-1)*99+1,99)),IFERROR(('Final Calculation Sheet'!$W$32)&amp;"",""))))&gt;0,AND(ISNUMBER(SEARCH("blank",$X$4)),NOT(ISNUMBER(SEARCH("nonblank",$X$4))),IFERROR(('Final Calculation Sheet'!$W$32)&amp;"","")=""),AND(OR(ISNUMBER(SEARCH("nonblank",$X$4)),ISNUMBER(SEARCH("&lt;&gt;",$X$4))),IFERROR(('Final Calculation Sheet'!$W$32)&amp;"","")&lt;&gt;""),AND(TRIM($X$4)="",IFERROR(('Final Calculation Sheet'!$W$32)&amp;"","")=""))))</f>
        <v/>
      </c>
      <c r="CK33">
        <f>IF($Y$4="",1,--(OR(SUMPRODUCT(--(TRIM(MID(SUBSTITUTE(SUBSTITUTE($Y$4,"/",","),",",REPT(" ",99)),(ROW($1:$8)-1)*99+1,99))&lt;&gt;""),--ISNUMBER(SEARCH(TRIM(MID(SUBSTITUTE(SUBSTITUTE($Y$4,"/",","),",",REPT(" ",99)),(ROW($1:$8)-1)*99+1,99)),IFERROR(('Final Calculation Sheet'!$X$32)&amp;"",""))))&gt;0,AND(ISNUMBER(SEARCH("blank",$Y$4)),NOT(ISNUMBER(SEARCH("nonblank",$Y$4))),IFERROR(('Final Calculation Sheet'!$X$32)&amp;"","")=""),AND(OR(ISNUMBER(SEARCH("nonblank",$Y$4)),ISNUMBER(SEARCH("&lt;&gt;",$Y$4))),IFERROR(('Final Calculation Sheet'!$X$32)&amp;"","")&lt;&gt;""),AND(TRIM($Y$4)="",IFERROR(('Final Calculation Sheet'!$X$32)&amp;"","")=""))))</f>
        <v/>
      </c>
      <c r="CL33">
        <f>IF($Z$4="",1,--(OR(SUMPRODUCT(--(TRIM(MID(SUBSTITUTE(SUBSTITUTE($Z$4,"/",","),",",REPT(" ",99)),(ROW($1:$8)-1)*99+1,99))&lt;&gt;""),--ISNUMBER(SEARCH(TRIM(MID(SUBSTITUTE(SUBSTITUTE($Z$4,"/",","),",",REPT(" ",99)),(ROW($1:$8)-1)*99+1,99)),IFERROR(('Final Calculation Sheet'!$Y$32)&amp;"",""))))&gt;0,AND(ISNUMBER(SEARCH("blank",$Z$4)),NOT(ISNUMBER(SEARCH("nonblank",$Z$4))),IFERROR(('Final Calculation Sheet'!$Y$32)&amp;"","")=""),AND(OR(ISNUMBER(SEARCH("nonblank",$Z$4)),ISNUMBER(SEARCH("&lt;&gt;",$Z$4))),IFERROR(('Final Calculation Sheet'!$Y$32)&amp;"","")&lt;&gt;""),AND(TRIM($Z$4)="",IFERROR(('Final Calculation Sheet'!$Y$32)&amp;"","")=""))))</f>
        <v/>
      </c>
      <c r="CM33">
        <f>IF($AA$4="",1,--(OR(SUMPRODUCT(--(TRIM(MID(SUBSTITUTE(SUBSTITUTE($AA$4,"/",","),",",REPT(" ",99)),(ROW($1:$8)-1)*99+1,99))&lt;&gt;""),--ISNUMBER(SEARCH(TRIM(MID(SUBSTITUTE(SUBSTITUTE($AA$4,"/",","),",",REPT(" ",99)),(ROW($1:$8)-1)*99+1,99)),IFERROR(('Final Calculation Sheet'!$Z$32)&amp;"",""))))&gt;0,AND(ISNUMBER(SEARCH("blank",$AA$4)),NOT(ISNUMBER(SEARCH("nonblank",$AA$4))),IFERROR(('Final Calculation Sheet'!$Z$32)&amp;"","")=""),AND(OR(ISNUMBER(SEARCH("nonblank",$AA$4)),ISNUMBER(SEARCH("&lt;&gt;",$AA$4))),IFERROR(('Final Calculation Sheet'!$Z$32)&amp;"","")&lt;&gt;""),AND(TRIM($AA$4)="",IFERROR(('Final Calculation Sheet'!$Z$32)&amp;"","")=""))))</f>
        <v/>
      </c>
      <c r="CN33">
        <f>IF($AB$4="",1,--(OR(SUMPRODUCT(--(TRIM(MID(SUBSTITUTE(SUBSTITUTE($AB$4,"/",","),",",REPT(" ",99)),(ROW($1:$8)-1)*99+1,99))&lt;&gt;""),--ISNUMBER(SEARCH(TRIM(MID(SUBSTITUTE(SUBSTITUTE($AB$4,"/",","),",",REPT(" ",99)),(ROW($1:$8)-1)*99+1,99)),IFERROR(('Final Calculation Sheet'!$AA$32)&amp;"",""))))&gt;0,AND(ISNUMBER(SEARCH("blank",$AB$4)),NOT(ISNUMBER(SEARCH("nonblank",$AB$4))),IFERROR(('Final Calculation Sheet'!$AA$32)&amp;"","")=""),AND(OR(ISNUMBER(SEARCH("nonblank",$AB$4)),ISNUMBER(SEARCH("&lt;&gt;",$AB$4))),IFERROR(('Final Calculation Sheet'!$AA$32)&amp;"","")&lt;&gt;""),AND(TRIM($AB$4)="",IFERROR(('Final Calculation Sheet'!$AA$32)&amp;"","")=""))))</f>
        <v/>
      </c>
      <c r="CO33">
        <f>IF($AC$4="",1,--(OR(SUMPRODUCT(--(TRIM(MID(SUBSTITUTE(SUBSTITUTE($AC$4,"/",","),",",REPT(" ",99)),(ROW($1:$8)-1)*99+1,99))&lt;&gt;""),--ISNUMBER(SEARCH(TRIM(MID(SUBSTITUTE(SUBSTITUTE($AC$4,"/",","),",",REPT(" ",99)),(ROW($1:$8)-1)*99+1,99)),IFERROR(('Final Calculation Sheet'!$AB$32)&amp;"",""))))&gt;0,AND(ISNUMBER(SEARCH("blank",$AC$4)),NOT(ISNUMBER(SEARCH("nonblank",$AC$4))),IFERROR(('Final Calculation Sheet'!$AB$32)&amp;"","")=""),AND(OR(ISNUMBER(SEARCH("nonblank",$AC$4)),ISNUMBER(SEARCH("&lt;&gt;",$AC$4))),IFERROR(('Final Calculation Sheet'!$AB$32)&amp;"","")&lt;&gt;""),AND(TRIM($AC$4)="",IFERROR(('Final Calculation Sheet'!$AB$32)&amp;"","")=""))))</f>
        <v/>
      </c>
      <c r="CP33">
        <f>IF($AD$4="",1,--(OR(SUMPRODUCT(--(TRIM(MID(SUBSTITUTE(SUBSTITUTE($AD$4,"/",","),",",REPT(" ",99)),(ROW($1:$8)-1)*99+1,99))&lt;&gt;""),--ISNUMBER(SEARCH(TRIM(MID(SUBSTITUTE(SUBSTITUTE($AD$4,"/",","),",",REPT(" ",99)),(ROW($1:$8)-1)*99+1,99)),IFERROR(('Final Calculation Sheet'!$AC$32)&amp;"",""))))&gt;0,AND(ISNUMBER(SEARCH("blank",$AD$4)),NOT(ISNUMBER(SEARCH("nonblank",$AD$4))),IFERROR(('Final Calculation Sheet'!$AC$32)&amp;"","")=""),AND(OR(ISNUMBER(SEARCH("nonblank",$AD$4)),ISNUMBER(SEARCH("&lt;&gt;",$AD$4))),IFERROR(('Final Calculation Sheet'!$AC$32)&amp;"","")&lt;&gt;""),AND(TRIM($AD$4)="",IFERROR(('Final Calculation Sheet'!$AC$32)&amp;"","")=""))))</f>
        <v/>
      </c>
      <c r="CQ33">
        <f>IF($AE$4="",1,--(OR(SUMPRODUCT(--(TRIM(MID(SUBSTITUTE(SUBSTITUTE($AE$4,"/",","),",",REPT(" ",99)),(ROW($1:$8)-1)*99+1,99))&lt;&gt;""),--ISNUMBER(SEARCH(TRIM(MID(SUBSTITUTE(SUBSTITUTE($AE$4,"/",","),",",REPT(" ",99)),(ROW($1:$8)-1)*99+1,99)),IFERROR(('Final Calculation Sheet'!$AD$32)&amp;"",""))))&gt;0,AND(ISNUMBER(SEARCH("blank",$AE$4)),NOT(ISNUMBER(SEARCH("nonblank",$AE$4))),IFERROR(('Final Calculation Sheet'!$AD$32)&amp;"","")=""),AND(OR(ISNUMBER(SEARCH("nonblank",$AE$4)),ISNUMBER(SEARCH("&lt;&gt;",$AE$4))),IFERROR(('Final Calculation Sheet'!$AD$32)&amp;"","")&lt;&gt;""),AND(TRIM($AE$4)="",IFERROR(('Final Calculation Sheet'!$AD$32)&amp;"","")=""))))</f>
        <v/>
      </c>
      <c r="CR33">
        <f>IF($AF$4="",1,--(OR(SUMPRODUCT(--(TRIM(MID(SUBSTITUTE(SUBSTITUTE($AF$4,"/",","),",",REPT(" ",99)),(ROW($1:$8)-1)*99+1,99))&lt;&gt;""),--ISNUMBER(SEARCH(TRIM(MID(SUBSTITUTE(SUBSTITUTE($AF$4,"/",","),",",REPT(" ",99)),(ROW($1:$8)-1)*99+1,99)),IFERROR(('Final Calculation Sheet'!$AE$32)&amp;"",""))))&gt;0,AND(ISNUMBER(SEARCH("blank",$AF$4)),NOT(ISNUMBER(SEARCH("nonblank",$AF$4))),IFERROR(('Final Calculation Sheet'!$AE$32)&amp;"","")=""),AND(OR(ISNUMBER(SEARCH("nonblank",$AF$4)),ISNUMBER(SEARCH("&lt;&gt;",$AF$4))),IFERROR(('Final Calculation Sheet'!$AE$32)&amp;"","")&lt;&gt;""),AND(TRIM($AF$4)="",IFERROR(('Final Calculation Sheet'!$AE$32)&amp;"","")=""))))</f>
        <v/>
      </c>
      <c r="CS33">
        <f>IF($AG$4="",1,--(OR(SUMPRODUCT(--(TRIM(MID(SUBSTITUTE(SUBSTITUTE($AG$4,"/",","),",",REPT(" ",99)),(ROW($1:$8)-1)*99+1,99))&lt;&gt;""),--ISNUMBER(SEARCH(TRIM(MID(SUBSTITUTE(SUBSTITUTE($AG$4,"/",","),",",REPT(" ",99)),(ROW($1:$8)-1)*99+1,99)),IFERROR(('Final Calculation Sheet'!$AF$32)&amp;"",""))))&gt;0,AND(ISNUMBER(SEARCH("blank",$AG$4)),NOT(ISNUMBER(SEARCH("nonblank",$AG$4))),IFERROR(('Final Calculation Sheet'!$AF$32)&amp;"","")=""),AND(OR(ISNUMBER(SEARCH("nonblank",$AG$4)),ISNUMBER(SEARCH("&lt;&gt;",$AG$4))),IFERROR(('Final Calculation Sheet'!$AF$32)&amp;"","")&lt;&gt;""),AND(TRIM($AG$4)="",IFERROR(('Final Calculation Sheet'!$AF$32)&amp;"","")=""))))</f>
        <v/>
      </c>
      <c r="CT33">
        <f>IF($AH$4="",1,--(OR(SUMPRODUCT(--(TRIM(MID(SUBSTITUTE(SUBSTITUTE($AH$4,"/",","),",",REPT(" ",99)),(ROW($1:$8)-1)*99+1,99))&lt;&gt;""),--ISNUMBER(SEARCH(TRIM(MID(SUBSTITUTE(SUBSTITUTE($AH$4,"/",","),",",REPT(" ",99)),(ROW($1:$8)-1)*99+1,99)),IFERROR(('Final Calculation Sheet'!$AG$32)&amp;"",""))))&gt;0,AND(ISNUMBER(SEARCH("blank",$AH$4)),NOT(ISNUMBER(SEARCH("nonblank",$AH$4))),IFERROR(('Final Calculation Sheet'!$AG$32)&amp;"","")=""),AND(OR(ISNUMBER(SEARCH("nonblank",$AH$4)),ISNUMBER(SEARCH("&lt;&gt;",$AH$4))),IFERROR(('Final Calculation Sheet'!$AG$32)&amp;"","")&lt;&gt;""),AND(TRIM($AH$4)="",IFERROR(('Final Calculation Sheet'!$AG$32)&amp;"","")=""))))</f>
        <v/>
      </c>
      <c r="CU33">
        <f>IF($AI$4="",1,--(OR(SUMPRODUCT(--(TRIM(MID(SUBSTITUTE(SUBSTITUTE($AI$4,"/",","),",",REPT(" ",99)),(ROW($1:$8)-1)*99+1,99))&lt;&gt;""),--ISNUMBER(SEARCH(TRIM(MID(SUBSTITUTE(SUBSTITUTE($AI$4,"/",","),",",REPT(" ",99)),(ROW($1:$8)-1)*99+1,99)),IFERROR((IF('Final Calculation Sheet'!$AD$32&lt;=0,"SETTLED","OUTSTANDING"))&amp;"",""))))&gt;0,AND(ISNUMBER(SEARCH("blank",$AI$4)),NOT(ISNUMBER(SEARCH("nonblank",$AI$4))),IFERROR((IF('Final Calculation Sheet'!$AD$32&lt;=0,"SETTLED","OUTSTANDING"))&amp;"","")=""),AND(OR(ISNUMBER(SEARCH("nonblank",$AI$4)),ISNUMBER(SEARCH("&lt;&gt;",$AI$4))),IFERROR((IF('Final Calculation Sheet'!$AD$32&lt;=0,"SETTLED","OUTSTANDING"))&amp;"","")&lt;&gt;""),AND(TRIM($AI$4)="",IFERROR((IF('Final Calculation Sheet'!$AD$32&lt;=0,"SETTLED","OUTSTANDING"))&amp;"","")=""))))</f>
        <v/>
      </c>
    </row>
    <row r="34" ht="15" customHeight="1" s="77">
      <c r="A34" s="67">
        <f>IF($BJ33&gt;0,INDEX($BA$5:$BA$41,MATCH(33,$BB$5:$BB$41,0)),IF(OR($BI33=1,$BL33=1,$BH33&gt;0),"∑",""))</f>
        <v/>
      </c>
      <c r="B34" s="68">
        <f>IF($BJ33&gt;0,IF(INDEX('Final Calculation Sheet'!$F$4:$F$40,$BJ33-3)="","",INDEX('Final Calculation Sheet'!$F$4:$F$40,$BJ33-3)),"")</f>
        <v/>
      </c>
      <c r="C34" s="68">
        <f>IF($BJ33&gt;0,IF(INDEX('Final Calculation Sheet'!$G$4:$G$40,$BJ33-3)="","",INDEX('Final Calculation Sheet'!$G$4:$G$40,$BJ33-3)),IF(OR($BI33=1,$BL33=1,$BH33&gt;0),IF($BI33=1,37,IF($BL33=1,37-INDEX($BD$4:$BD$13,10),INDEX($BD$4:$BD$13,$BH33)))&amp;" lot(s)",""))</f>
        <v/>
      </c>
      <c r="D34" s="69">
        <f>IF($BJ33&gt;0,IF(INDEX('Final Calculation Sheet'!$B$4:$B$40,$BJ33-3)="","",INDEX('Final Calculation Sheet'!$B$4:$B$40,$BJ33-3)),IF(OR($BI33=1,$BL33=1,$BH33&gt;0),IF($BI33=1,"GRAND TOTAL  —  matching + remaining",IF($BL33=1,"TOTAL MATCHED  —  every group together",IF($BH33=10,"REMAINING  —  did not match the search",IF($BH33=9,IF(COUNTIF($A$4:$AI$4,"&lt;&gt;")&gt;0,"FILTERED LOTS  —  column fields","ALL LOTS  —  nothing typed in the box"),"GROUP "&amp;$BH33&amp;" TOTAL  —  lots matching  "&amp;INDEX($AR$6:$AY$6,$BH33))))),""))</f>
        <v/>
      </c>
      <c r="E34" s="69">
        <f>IF($BJ33&gt;0,IF(INDEX('Final Calculation Sheet'!$D$4:$D$40,$BJ33-3)="","",INDEX('Final Calculation Sheet'!$D$4:$D$40,$BJ33-3)),IF(OR($BI33=1,$BL33=1,$BH33&gt;0),"–",""))</f>
        <v/>
      </c>
      <c r="F34" s="69">
        <f>IF($BJ33&gt;0,IF(INDEX('Final Calculation Sheet'!$A$4:$A$40,$BJ33-3)="","",INDEX('Final Calculation Sheet'!$A$4:$A$40,$BJ33-3)),IF(OR($BI33=1,$BL33=1,$BH33&gt;0),IF($BI33=1,SUM('Final Calculation Sheet'!$A$4:$A$40),IF($BL33=1,SUM('Final Calculation Sheet'!$A$4:$A$40)-SUMIFS('Final Calculation Sheet'!$A$4:$A$40,$AZ$5:$AZ$41,10),SUMIFS('Final Calculation Sheet'!$A$4:$A$40,$AZ$5:$AZ$41,$BH33))),""))</f>
        <v/>
      </c>
      <c r="G34" s="69">
        <f>IF($BJ33&gt;0,IF(INDEX('Final Calculation Sheet'!$E$4:$E$40,$BJ33-3)="","",INDEX('Final Calculation Sheet'!$E$4:$E$40,$BJ33-3)),IF(OR($BI33=1,$BL33=1,$BH33&gt;0),"–",""))</f>
        <v/>
      </c>
      <c r="H34" s="70">
        <f>IF($BJ33&gt;0,IF(INDEX('Final Calculation Sheet'!$C$4:$C$40,$BJ33-3)="","",INDEX('Final Calculation Sheet'!$C$4:$C$40,$BJ33-3)),IF(OR($BI33=1,$BL33=1,$BH33&gt;0),"–",""))</f>
        <v/>
      </c>
      <c r="I34" s="70">
        <f>IF($BJ33&gt;0,IF(INDEX('Final Calculation Sheet'!$H$4:$H$40,$BJ33-3)="","",INDEX('Final Calculation Sheet'!$H$4:$H$40,$BJ33-3)),IF(OR($BI33=1,$BL33=1,$BH33&gt;0),IF($BI33=1,SUM('Final Calculation Sheet'!$H$4:$H$40),IF($BL33=1,SUM('Final Calculation Sheet'!$H$4:$H$40)-SUMIFS('Final Calculation Sheet'!$H$4:$H$40,$AZ$5:$AZ$41,10),SUMIFS('Final Calculation Sheet'!$H$4:$H$40,$AZ$5:$AZ$41,$BH33))),""))</f>
        <v/>
      </c>
      <c r="J34" s="70">
        <f>IF($BJ33&gt;0,IF(INDEX('Final Calculation Sheet'!$I$4:$I$40,$BJ33-3)="","",INDEX('Final Calculation Sheet'!$I$4:$I$40,$BJ33-3)),IF(OR($BI33=1,$BL33=1,$BH33&gt;0),IF($BI33=1,SUM('Final Calculation Sheet'!$I$4:$I$40),IF($BL33=1,SUM('Final Calculation Sheet'!$I$4:$I$40)-SUMIFS('Final Calculation Sheet'!$I$4:$I$40,$AZ$5:$AZ$41,10),SUMIFS('Final Calculation Sheet'!$I$4:$I$40,$AZ$5:$AZ$41,$BH33))),""))</f>
        <v/>
      </c>
      <c r="K34" s="70">
        <f>IF($BJ33&gt;0,IF(INDEX('Final Calculation Sheet'!$J$4:$J$40,$BJ33-3)="","",INDEX('Final Calculation Sheet'!$J$4:$J$40,$BJ33-3)),IF(OR($BI33=1,$BL33=1,$BH33&gt;0),IF($BI33=1,SUM('Final Calculation Sheet'!$J$4:$J$40),IF($BL33=1,SUM('Final Calculation Sheet'!$J$4:$J$40)-SUMIFS('Final Calculation Sheet'!$J$4:$J$40,$AZ$5:$AZ$41,10),SUMIFS('Final Calculation Sheet'!$J$4:$J$40,$AZ$5:$AZ$41,$BH33))),""))</f>
        <v/>
      </c>
      <c r="L34" s="70">
        <f>IF($BJ33&gt;0,IF(INDEX('Final Calculation Sheet'!$K$4:$K$40,$BJ33-3)="","",INDEX('Final Calculation Sheet'!$K$4:$K$40,$BJ33-3)),IF(OR($BI33=1,$BL33=1,$BH33&gt;0),IF($BI33=1,SUM('Final Calculation Sheet'!$K$4:$K$40),IF($BL33=1,SUM('Final Calculation Sheet'!$K$4:$K$40)-SUMIFS('Final Calculation Sheet'!$K$4:$K$40,$AZ$5:$AZ$41,10),SUMIFS('Final Calculation Sheet'!$K$4:$K$40,$AZ$5:$AZ$41,$BH33))),""))</f>
        <v/>
      </c>
      <c r="M34" s="70">
        <f>IF($BJ33&gt;0,IF(INDEX('Final Calculation Sheet'!$L$4:$L$40,$BJ33-3)="","",INDEX('Final Calculation Sheet'!$L$4:$L$40,$BJ33-3)),IF(OR($BI33=1,$BL33=1,$BH33&gt;0),IF($BI33=1,SUM('Final Calculation Sheet'!$L$4:$L$40),IF($BL33=1,SUM('Final Calculation Sheet'!$L$4:$L$40)-SUMIFS('Final Calculation Sheet'!$L$4:$L$40,$AZ$5:$AZ$41,10),SUMIFS('Final Calculation Sheet'!$L$4:$L$40,$AZ$5:$AZ$41,$BH33))),""))</f>
        <v/>
      </c>
      <c r="N34" s="70">
        <f>IF($BJ33&gt;0,IF(INDEX('Final Calculation Sheet'!$M$4:$M$40,$BJ33-3)="","",INDEX('Final Calculation Sheet'!$M$4:$M$40,$BJ33-3)),IF(OR($BI33=1,$BL33=1,$BH33&gt;0),IF($BI33=1,SUM('Final Calculation Sheet'!$M$4:$M$40),IF($BL33=1,SUM('Final Calculation Sheet'!$M$4:$M$40)-SUMIFS('Final Calculation Sheet'!$M$4:$M$40,$AZ$5:$AZ$41,10),SUMIFS('Final Calculation Sheet'!$M$4:$M$40,$AZ$5:$AZ$41,$BH33))),""))</f>
        <v/>
      </c>
      <c r="O34" s="71">
        <f>IF($BJ33&gt;0,IF(INDEX('Final Calculation Sheet'!$N$4:$N$40,$BJ33-3)="","",INDEX('Final Calculation Sheet'!$N$4:$N$40,$BJ33-3)),IF(OR($BI33=1,$BL33=1,$BH33&gt;0),IF($BI33=1,SUM('Final Calculation Sheet'!$N$4:$N$40),IF($BL33=1,SUM('Final Calculation Sheet'!$N$4:$N$40)-SUMIFS('Final Calculation Sheet'!$N$4:$N$40,$AZ$5:$AZ$41,10),SUMIFS('Final Calculation Sheet'!$N$4:$N$40,$AZ$5:$AZ$41,$BH33))),""))</f>
        <v/>
      </c>
      <c r="P34" s="70">
        <f>IF($BJ33&gt;0,IF(INDEX('Final Calculation Sheet'!$O$4:$O$40,$BJ33-3)="","",INDEX('Final Calculation Sheet'!$O$4:$O$40,$BJ33-3)),IF(OR($BI33=1,$BL33=1,$BH33&gt;0),IF($BI33=1,SUM('Final Calculation Sheet'!$O$4:$O$40),IF($BL33=1,SUM('Final Calculation Sheet'!$O$4:$O$40)-SUMIFS('Final Calculation Sheet'!$O$4:$O$40,$AZ$5:$AZ$41,10),SUMIFS('Final Calculation Sheet'!$O$4:$O$40,$AZ$5:$AZ$41,$BH33))),""))</f>
        <v/>
      </c>
      <c r="Q34" s="70">
        <f>IF($BJ33&gt;0,IF(INDEX('Final Calculation Sheet'!$P$4:$P$40,$BJ33-3)="","",INDEX('Final Calculation Sheet'!$P$4:$P$40,$BJ33-3)),IF(OR($BI33=1,$BL33=1,$BH33&gt;0),IF($BI33=1,SUM('Final Calculation Sheet'!$P$4:$P$40),IF($BL33=1,SUM('Final Calculation Sheet'!$P$4:$P$40)-SUMIFS('Final Calculation Sheet'!$P$4:$P$40,$AZ$5:$AZ$41,10),SUMIFS('Final Calculation Sheet'!$P$4:$P$40,$AZ$5:$AZ$41,$BH33))),""))</f>
        <v/>
      </c>
      <c r="R34" s="72">
        <f>IF($BJ33&gt;0,IF(INDEX('Final Calculation Sheet'!$Q$4:$Q$40,$BJ33-3)="","",INDEX('Final Calculation Sheet'!$Q$4:$Q$40,$BJ33-3)),IF(OR($BI33=1,$BL33=1,$BH33&gt;0),"–",""))</f>
        <v/>
      </c>
      <c r="S34" s="70">
        <f>IF($BJ33&gt;0,IF(INDEX('Final Calculation Sheet'!$R$4:$R$40,$BJ33-3)="","",INDEX('Final Calculation Sheet'!$R$4:$R$40,$BJ33-3)),IF(OR($BI33=1,$BL33=1,$BH33&gt;0),IF($BI33=1,SUM('Final Calculation Sheet'!$R$4:$R$40),IF($BL33=1,SUM('Final Calculation Sheet'!$R$4:$R$40)-SUMIFS('Final Calculation Sheet'!$R$4:$R$40,$AZ$5:$AZ$41,10),SUMIFS('Final Calculation Sheet'!$R$4:$R$40,$AZ$5:$AZ$41,$BH33))),""))</f>
        <v/>
      </c>
      <c r="T34" s="70">
        <f>IF($BJ33&gt;0,IF(INDEX('Final Calculation Sheet'!$S$4:$S$40,$BJ33-3)="","",INDEX('Final Calculation Sheet'!$S$4:$S$40,$BJ33-3)),IF(OR($BI33=1,$BL33=1,$BH33&gt;0),IF($BI33=1,SUM('Final Calculation Sheet'!$S$4:$S$40),IF($BL33=1,SUM('Final Calculation Sheet'!$S$4:$S$40)-SUMIFS('Final Calculation Sheet'!$S$4:$S$40,$AZ$5:$AZ$41,10),SUMIFS('Final Calculation Sheet'!$S$4:$S$40,$AZ$5:$AZ$41,$BH33))),""))</f>
        <v/>
      </c>
      <c r="U34" s="70">
        <f>IF($BJ33&gt;0,IF(INDEX('Final Calculation Sheet'!$T$4:$T$40,$BJ33-3)="","",INDEX('Final Calculation Sheet'!$T$4:$T$40,$BJ33-3)),IF(OR($BI33=1,$BL33=1,$BH33&gt;0),IF($BI33=1,SUM('Final Calculation Sheet'!$T$4:$T$40),IF($BL33=1,SUM('Final Calculation Sheet'!$T$4:$T$40)-SUMIFS('Final Calculation Sheet'!$T$4:$T$40,$AZ$5:$AZ$41,10),SUMIFS('Final Calculation Sheet'!$T$4:$T$40,$AZ$5:$AZ$41,$BH33))),""))</f>
        <v/>
      </c>
      <c r="V34" s="73">
        <f>IF($BJ33&gt;0,IF(INDEX('Final Calculation Sheet'!$U$4:$U$40,$BJ33-3)="","",INDEX('Final Calculation Sheet'!$U$4:$U$40,$BJ33-3)),IF(OR($BI33=1,$BL33=1,$BH33&gt;0),IF($BI33=1,SUM('Final Calculation Sheet'!$U$4:$U$40),IF($BL33=1,SUM('Final Calculation Sheet'!$U$4:$U$40)-SUMIFS('Final Calculation Sheet'!$U$4:$U$40,$AZ$5:$AZ$41,10),SUMIFS('Final Calculation Sheet'!$U$4:$U$40,$AZ$5:$AZ$41,$BH33))),""))</f>
        <v/>
      </c>
      <c r="W34" s="70">
        <f>IF($BJ33&gt;0,IF(INDEX('Final Calculation Sheet'!$V$4:$V$40,$BJ33-3)="","",INDEX('Final Calculation Sheet'!$V$4:$V$40,$BJ33-3)),IF(OR($BI33=1,$BL33=1,$BH33&gt;0),"–",""))</f>
        <v/>
      </c>
      <c r="X34" s="70">
        <f>IF($BJ33&gt;0,IF(INDEX('Final Calculation Sheet'!$W$4:$W$40,$BJ33-3)="","",INDEX('Final Calculation Sheet'!$W$4:$W$40,$BJ33-3)),IF(OR($BI33=1,$BL33=1,$BH33&gt;0),IF($BI33=1,SUM('Final Calculation Sheet'!$W$4:$W$40),IF($BL33=1,SUM('Final Calculation Sheet'!$W$4:$W$40)-SUMIFS('Final Calculation Sheet'!$W$4:$W$40,$AZ$5:$AZ$41,10),SUMIFS('Final Calculation Sheet'!$W$4:$W$40,$AZ$5:$AZ$41,$BH33))),""))</f>
        <v/>
      </c>
      <c r="Y34" s="70">
        <f>IF($BJ33&gt;0,IF(INDEX('Final Calculation Sheet'!$X$4:$X$40,$BJ33-3)="","",INDEX('Final Calculation Sheet'!$X$4:$X$40,$BJ33-3)),IF(OR($BI33=1,$BL33=1,$BH33&gt;0),IF($BI33=1,SUM('Final Calculation Sheet'!$X$4:$X$40),IF($BL33=1,SUM('Final Calculation Sheet'!$X$4:$X$40)-SUMIFS('Final Calculation Sheet'!$X$4:$X$40,$AZ$5:$AZ$41,10),SUMIFS('Final Calculation Sheet'!$X$4:$X$40,$AZ$5:$AZ$41,$BH33))),""))</f>
        <v/>
      </c>
      <c r="Z34" s="70">
        <f>IF($BJ33&gt;0,IF(INDEX('Final Calculation Sheet'!$Y$4:$Y$40,$BJ33-3)="","",INDEX('Final Calculation Sheet'!$Y$4:$Y$40,$BJ33-3)),IF(OR($BI33=1,$BL33=1,$BH33&gt;0),"–",""))</f>
        <v/>
      </c>
      <c r="AA34" s="70">
        <f>IF($BJ33&gt;0,IF(INDEX('Final Calculation Sheet'!$Z$4:$Z$40,$BJ33-3)="","",INDEX('Final Calculation Sheet'!$Z$4:$Z$40,$BJ33-3)),IF(OR($BI33=1,$BL33=1,$BH33&gt;0),IF($BI33=1,SUM('Final Calculation Sheet'!$Z$4:$Z$40),IF($BL33=1,SUM('Final Calculation Sheet'!$Z$4:$Z$40)-SUMIFS('Final Calculation Sheet'!$Z$4:$Z$40,$AZ$5:$AZ$41,10),SUMIFS('Final Calculation Sheet'!$Z$4:$Z$40,$AZ$5:$AZ$41,$BH33))),""))</f>
        <v/>
      </c>
      <c r="AB34" s="70">
        <f>IF($BJ33&gt;0,IF(INDEX('Final Calculation Sheet'!$AA$4:$AA$40,$BJ33-3)="","",INDEX('Final Calculation Sheet'!$AA$4:$AA$40,$BJ33-3)),IF(OR($BI33=1,$BL33=1,$BH33&gt;0),IF($BI33=1,SUM('Final Calculation Sheet'!$AA$4:$AA$40),IF($BL33=1,SUM('Final Calculation Sheet'!$AA$4:$AA$40)-SUMIFS('Final Calculation Sheet'!$AA$4:$AA$40,$AZ$5:$AZ$41,10),SUMIFS('Final Calculation Sheet'!$AA$4:$AA$40,$AZ$5:$AZ$41,$BH33))),""))</f>
        <v/>
      </c>
      <c r="AC34" s="70">
        <f>IF($BJ33&gt;0,IF(INDEX('Final Calculation Sheet'!$AB$4:$AB$40,$BJ33-3)="","",INDEX('Final Calculation Sheet'!$AB$4:$AB$40,$BJ33-3)),IF(OR($BI33=1,$BL33=1,$BH33&gt;0),"–",""))</f>
        <v/>
      </c>
      <c r="AD34" s="70">
        <f>IF($BJ33&gt;0,IF(INDEX('Final Calculation Sheet'!$AC$4:$AC$40,$BJ33-3)="","",INDEX('Final Calculation Sheet'!$AC$4:$AC$40,$BJ33-3)),IF(OR($BI33=1,$BL33=1,$BH33&gt;0),IF($BI33=1,SUM('Final Calculation Sheet'!$AC$4:$AC$40),IF($BL33=1,SUM('Final Calculation Sheet'!$AC$4:$AC$40)-SUMIFS('Final Calculation Sheet'!$AC$4:$AC$40,$AZ$5:$AZ$41,10),SUMIFS('Final Calculation Sheet'!$AC$4:$AC$40,$AZ$5:$AZ$41,$BH33))),""))</f>
        <v/>
      </c>
      <c r="AE34" s="70">
        <f>IF($BJ33&gt;0,IF(INDEX('Final Calculation Sheet'!$AD$4:$AD$40,$BJ33-3)="","",INDEX('Final Calculation Sheet'!$AD$4:$AD$40,$BJ33-3)),IF(OR($BI33=1,$BL33=1,$BH33&gt;0),IF($BI33=1,SUM('Final Calculation Sheet'!$AD$4:$AD$40),IF($BL33=1,SUM('Final Calculation Sheet'!$AD$4:$AD$40)-SUMIFS('Final Calculation Sheet'!$AD$4:$AD$40,$AZ$5:$AZ$41,10),SUMIFS('Final Calculation Sheet'!$AD$4:$AD$40,$AZ$5:$AZ$41,$BH33))),""))</f>
        <v/>
      </c>
      <c r="AF34" s="70">
        <f>IF($BJ33&gt;0,IF(INDEX('Final Calculation Sheet'!$AE$4:$AE$40,$BJ33-3)="","",INDEX('Final Calculation Sheet'!$AE$4:$AE$40,$BJ33-3)),IF(OR($BI33=1,$BL33=1,$BH33&gt;0),"–",""))</f>
        <v/>
      </c>
      <c r="AG34" s="74">
        <f>IF($BJ33&gt;0,IF(INDEX('Final Calculation Sheet'!$AF$4:$AF$40,$BJ33-3)="","",INDEX('Final Calculation Sheet'!$AF$4:$AF$40,$BJ33-3)),IF(OR($BI33=1,$BL33=1,$BH33&gt;0),"–",""))</f>
        <v/>
      </c>
      <c r="AH34" s="70">
        <f>IF($BJ33&gt;0,IF(INDEX('Final Calculation Sheet'!$AG$4:$AG$40,$BJ33-3)="","",INDEX('Final Calculation Sheet'!$AG$4:$AG$40,$BJ33-3)),IF(OR($BI33=1,$BL33=1,$BH33&gt;0),"–",""))</f>
        <v/>
      </c>
      <c r="AI34" s="75">
        <f>IF($BJ33&gt;0,IF(INDEX('Final Calculation Sheet'!$AD$4:$AD$40,$BJ33-3)="","",IF(INDEX('Final Calculation Sheet'!$AD$4:$AD$40,$BJ33-3)&lt;=0,"SETTLED","OUTSTANDING")),IF(OR($BI33=1,$BL33=1,$BH33&gt;0),IF(IF($BI33=1,SUM('Final Calculation Sheet'!$AD$4:$AD$40),IF($BL33=1,SUM('Final Calculation Sheet'!$AD$4:$AD$40)-SUMIFS('Final Calculation Sheet'!$AD$4:$AD$40,$AZ$5:$AZ$41,10),SUMIFS('Final Calculation Sheet'!$AD$4:$AD$40,$AZ$5:$AZ$41,$BH33)))&lt;=0,"ALL SETTLED","OUTSTANDING"),""))</f>
        <v/>
      </c>
      <c r="AK34">
        <f>IF($F$3="Lot No.",'Final Calculation Sheet'!$F$33,IF($F$3="Buyer",'Final Calculation Sheet'!$G$33,IF($F$3="Lot Name",'Final Calculation Sheet'!$B$33,IF($F$3="Bid Sheet",'Final Calculation Sheet'!$D$33,IF($F$3="Unit",'Final Calculation Sheet'!$E$33,'Final Calculation Sheet'!$F$33&amp;" "&amp;'Final Calculation Sheet'!$G$33&amp;" "&amp;'Final Calculation Sheet'!$B$33)))))</f>
        <v/>
      </c>
      <c r="AM34">
        <f>IF(COUNTIF($BM34:$CU34,0)&gt;0,0,IF($B$3="",1,IF(AND(IF(COUNTIF($AR$9:$AY$9,1)=0,TRUE,SUMPRODUCT(($AR$9:$AY$9=1)*($AR$6:$AY$6&lt;&gt;"")*ISNUMBER(SEARCH($AR$6:$AY$6,$AK34)))&gt;0),IF(COUNTIF($AR$9:$AY$9,2)=0,TRUE,SUMPRODUCT(($AR$9:$AY$9=2)*($AR$6:$AY$6&lt;&gt;"")*ISNUMBER(SEARCH($AR$6:$AY$6,$AK34)))&gt;0),IF(COUNTIF($AR$9:$AY$9,3)=0,TRUE,SUMPRODUCT(($AR$9:$AY$9=3)*($AR$6:$AY$6&lt;&gt;"")*ISNUMBER(SEARCH($AR$6:$AY$6,$AK34)))&gt;0),IF(COUNTIF($AR$9:$AY$9,4)=0,TRUE,SUMPRODUCT(($AR$9:$AY$9=4)*($AR$6:$AY$6&lt;&gt;"")*ISNUMBER(SEARCH($AR$6:$AY$6,$AK34)))&gt;0),IF(COUNTIF($AR$9:$AY$9,5)=0,TRUE,SUMPRODUCT(($AR$9:$AY$9=5)*($AR$6:$AY$6&lt;&gt;"")*ISNUMBER(SEARCH($AR$6:$AY$6,$AK34)))&gt;0),IF(COUNTIF($AR$9:$AY$9,6)=0,TRUE,SUMPRODUCT(($AR$9:$AY$9=6)*($AR$6:$AY$6&lt;&gt;"")*ISNUMBER(SEARCH($AR$6:$AY$6,$AK34)))&gt;0),IF(COUNTIF($AR$9:$AY$9,7)=0,TRUE,SUMPRODUCT(($AR$9:$AY$9=7)*($AR$6:$AY$6&lt;&gt;"")*ISNUMBER(SEARCH($AR$6:$AY$6,$AK34)))&gt;0),IF(COUNTIF($AR$9:$AY$9,8)=0,TRUE,SUMPRODUCT(($AR$9:$AY$9=8)*($AR$6:$AY$6&lt;&gt;"")*ISNUMBER(SEARCH($AR$6:$AY$6,$AK34)))&gt;0)),1,0)))</f>
        <v/>
      </c>
      <c r="AZ34">
        <f>IF($B$3="",IF(COUNTIF($A$4:$AI$4,"&lt;&gt;")=0,9,IF($AM34=1,9,10)),IF($AM34=0,10,IF(AND($AR$6&lt;&gt;"",ISNUMBER(SEARCH($AR$6,$AK34))),1,IF(AND($AS$6&lt;&gt;"",ISNUMBER(SEARCH($AS$6,$AK34))),2,IF(AND($AT$6&lt;&gt;"",ISNUMBER(SEARCH($AT$6,$AK34))),3,IF(AND($AU$6&lt;&gt;"",ISNUMBER(SEARCH($AU$6,$AK34))),4,IF(AND($AV$6&lt;&gt;"",ISNUMBER(SEARCH($AV$6,$AK34))),5,IF(AND($AW$6&lt;&gt;"",ISNUMBER(SEARCH($AW$6,$AK34))),6,IF(AND($AX$6&lt;&gt;"",ISNUMBER(SEARCH($AX$6,$AK34))),7,IF(AND($AY$6&lt;&gt;"",ISNUMBER(SEARCH($AY$6,$AK34))),8,0))))))))))</f>
        <v/>
      </c>
      <c r="BA34">
        <f>SUMPRODUCT(($AZ$5:$AZ$41=$AZ34)*($BC$5:$BC$41&lt;$BC34))+1</f>
        <v/>
      </c>
      <c r="BB34">
        <f>IF(INDEX($BF$4:$BF$13,$AZ34)=0,0,INDEX($BE$4:$BE$13,$AZ34)+$BA34-1)</f>
        <v/>
      </c>
      <c r="BC34" t="n">
        <v>33</v>
      </c>
      <c r="BH34">
        <f>IFERROR(MATCH(34,$BF$4:$BF$13,0),0)</f>
        <v/>
      </c>
      <c r="BI34">
        <f>IF(34=$BG$5,1,0)</f>
        <v/>
      </c>
      <c r="BJ34">
        <f>IF(OR($BH34&gt;0,$BI34=1,$BL34=1),0,IFERROR(INDEX($BC$5:$BC$41,MATCH(34,$BB$5:$BB$41,0)),0))</f>
        <v/>
      </c>
      <c r="BK34">
        <f>IF($BJ34&gt;0,IF(INDEX($AZ$5:$AZ$41,MATCH(34,$BB$5:$BB$41,0))=10,1,0),IF($BH34=10,1,0))</f>
        <v/>
      </c>
      <c r="BL34">
        <f>IF(34=$BG$4,1,0)</f>
        <v/>
      </c>
      <c r="BM34">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4">
        <f>IF($B$4="",1,--(OR(SUMPRODUCT(--(TRIM(MID(SUBSTITUTE(SUBSTITUTE($B$4,"/",","),",",REPT(" ",99)),(ROW($1:$8)-1)*99+1,99))&lt;&gt;""),--ISNUMBER(SEARCH(TRIM(MID(SUBSTITUTE(SUBSTITUTE($B$4,"/",","),",",REPT(" ",99)),(ROW($1:$8)-1)*99+1,99)),IFERROR(('Final Calculation Sheet'!$F$33)&amp;"",""))))&gt;0,AND(ISNUMBER(SEARCH("blank",$B$4)),NOT(ISNUMBER(SEARCH("nonblank",$B$4))),IFERROR(('Final Calculation Sheet'!$F$33)&amp;"","")=""),AND(OR(ISNUMBER(SEARCH("nonblank",$B$4)),ISNUMBER(SEARCH("&lt;&gt;",$B$4))),IFERROR(('Final Calculation Sheet'!$F$33)&amp;"","")&lt;&gt;""),AND(TRIM($B$4)="",IFERROR(('Final Calculation Sheet'!$F$33)&amp;"","")=""))))</f>
        <v/>
      </c>
      <c r="BO34">
        <f>IF($C$4="",1,--(OR(SUMPRODUCT(--(TRIM(MID(SUBSTITUTE(SUBSTITUTE($C$4,"/",","),",",REPT(" ",99)),(ROW($1:$8)-1)*99+1,99))&lt;&gt;""),--ISNUMBER(SEARCH(TRIM(MID(SUBSTITUTE(SUBSTITUTE($C$4,"/",","),",",REPT(" ",99)),(ROW($1:$8)-1)*99+1,99)),IFERROR(('Final Calculation Sheet'!$G$33)&amp;"",""))))&gt;0,AND(ISNUMBER(SEARCH("blank",$C$4)),NOT(ISNUMBER(SEARCH("nonblank",$C$4))),IFERROR(('Final Calculation Sheet'!$G$33)&amp;"","")=""),AND(OR(ISNUMBER(SEARCH("nonblank",$C$4)),ISNUMBER(SEARCH("&lt;&gt;",$C$4))),IFERROR(('Final Calculation Sheet'!$G$33)&amp;"","")&lt;&gt;""),AND(TRIM($C$4)="",IFERROR(('Final Calculation Sheet'!$G$33)&amp;"","")=""))))</f>
        <v/>
      </c>
      <c r="BP34">
        <f>IF($D$4="",1,--(OR(SUMPRODUCT(--(TRIM(MID(SUBSTITUTE(SUBSTITUTE($D$4,"/",","),",",REPT(" ",99)),(ROW($1:$8)-1)*99+1,99))&lt;&gt;""),--ISNUMBER(SEARCH(TRIM(MID(SUBSTITUTE(SUBSTITUTE($D$4,"/",","),",",REPT(" ",99)),(ROW($1:$8)-1)*99+1,99)),IFERROR(('Final Calculation Sheet'!$B$33)&amp;"",""))))&gt;0,AND(ISNUMBER(SEARCH("blank",$D$4)),NOT(ISNUMBER(SEARCH("nonblank",$D$4))),IFERROR(('Final Calculation Sheet'!$B$33)&amp;"","")=""),AND(OR(ISNUMBER(SEARCH("nonblank",$D$4)),ISNUMBER(SEARCH("&lt;&gt;",$D$4))),IFERROR(('Final Calculation Sheet'!$B$33)&amp;"","")&lt;&gt;""),AND(TRIM($D$4)="",IFERROR(('Final Calculation Sheet'!$B$33)&amp;"","")=""))))</f>
        <v/>
      </c>
      <c r="BQ34">
        <f>IF($E$4="",1,--(OR(SUMPRODUCT(--(TRIM(MID(SUBSTITUTE(SUBSTITUTE($E$4,"/",","),",",REPT(" ",99)),(ROW($1:$8)-1)*99+1,99))&lt;&gt;""),--ISNUMBER(SEARCH(TRIM(MID(SUBSTITUTE(SUBSTITUTE($E$4,"/",","),",",REPT(" ",99)),(ROW($1:$8)-1)*99+1,99)),IFERROR(('Final Calculation Sheet'!$D$33)&amp;"",""))))&gt;0,AND(ISNUMBER(SEARCH("blank",$E$4)),NOT(ISNUMBER(SEARCH("nonblank",$E$4))),IFERROR(('Final Calculation Sheet'!$D$33)&amp;"","")=""),AND(OR(ISNUMBER(SEARCH("nonblank",$E$4)),ISNUMBER(SEARCH("&lt;&gt;",$E$4))),IFERROR(('Final Calculation Sheet'!$D$33)&amp;"","")&lt;&gt;""),AND(TRIM($E$4)="",IFERROR(('Final Calculation Sheet'!$D$33)&amp;"","")=""))))</f>
        <v/>
      </c>
      <c r="BR34">
        <f>IF($F$4="",1,--(OR(SUMPRODUCT(--(TRIM(MID(SUBSTITUTE(SUBSTITUTE($F$4,"/",","),",",REPT(" ",99)),(ROW($1:$8)-1)*99+1,99))&lt;&gt;""),--ISNUMBER(SEARCH(TRIM(MID(SUBSTITUTE(SUBSTITUTE($F$4,"/",","),",",REPT(" ",99)),(ROW($1:$8)-1)*99+1,99)),IFERROR(('Final Calculation Sheet'!$A$33)&amp;"",""))))&gt;0,AND(ISNUMBER(SEARCH("blank",$F$4)),NOT(ISNUMBER(SEARCH("nonblank",$F$4))),IFERROR(('Final Calculation Sheet'!$A$33)&amp;"","")=""),AND(OR(ISNUMBER(SEARCH("nonblank",$F$4)),ISNUMBER(SEARCH("&lt;&gt;",$F$4))),IFERROR(('Final Calculation Sheet'!$A$33)&amp;"","")&lt;&gt;""),AND(TRIM($F$4)="",IFERROR(('Final Calculation Sheet'!$A$33)&amp;"","")=""))))</f>
        <v/>
      </c>
      <c r="BS34">
        <f>IF($G$4="",1,--(OR(SUMPRODUCT(--(TRIM(MID(SUBSTITUTE(SUBSTITUTE($G$4,"/",","),",",REPT(" ",99)),(ROW($1:$8)-1)*99+1,99))&lt;&gt;""),--ISNUMBER(SEARCH(TRIM(MID(SUBSTITUTE(SUBSTITUTE($G$4,"/",","),",",REPT(" ",99)),(ROW($1:$8)-1)*99+1,99)),IFERROR(('Final Calculation Sheet'!$E$33)&amp;"",""))))&gt;0,AND(ISNUMBER(SEARCH("blank",$G$4)),NOT(ISNUMBER(SEARCH("nonblank",$G$4))),IFERROR(('Final Calculation Sheet'!$E$33)&amp;"","")=""),AND(OR(ISNUMBER(SEARCH("nonblank",$G$4)),ISNUMBER(SEARCH("&lt;&gt;",$G$4))),IFERROR(('Final Calculation Sheet'!$E$33)&amp;"","")&lt;&gt;""),AND(TRIM($G$4)="",IFERROR(('Final Calculation Sheet'!$E$33)&amp;"","")=""))))</f>
        <v/>
      </c>
      <c r="BT34">
        <f>IF($H$4="",1,--(OR(SUMPRODUCT(--(TRIM(MID(SUBSTITUTE(SUBSTITUTE($H$4,"/",","),",",REPT(" ",99)),(ROW($1:$8)-1)*99+1,99))&lt;&gt;""),--ISNUMBER(SEARCH(TRIM(MID(SUBSTITUTE(SUBSTITUTE($H$4,"/",","),",",REPT(" ",99)),(ROW($1:$8)-1)*99+1,99)),IFERROR(('Final Calculation Sheet'!$C$33)&amp;"",""))))&gt;0,AND(ISNUMBER(SEARCH("blank",$H$4)),NOT(ISNUMBER(SEARCH("nonblank",$H$4))),IFERROR(('Final Calculation Sheet'!$C$33)&amp;"","")=""),AND(OR(ISNUMBER(SEARCH("nonblank",$H$4)),ISNUMBER(SEARCH("&lt;&gt;",$H$4))),IFERROR(('Final Calculation Sheet'!$C$33)&amp;"","")&lt;&gt;""),AND(TRIM($H$4)="",IFERROR(('Final Calculation Sheet'!$C$33)&amp;"","")=""))))</f>
        <v/>
      </c>
      <c r="BU34">
        <f>IF($I$4="",1,--(OR(SUMPRODUCT(--(TRIM(MID(SUBSTITUTE(SUBSTITUTE($I$4,"/",","),",",REPT(" ",99)),(ROW($1:$8)-1)*99+1,99))&lt;&gt;""),--ISNUMBER(SEARCH(TRIM(MID(SUBSTITUTE(SUBSTITUTE($I$4,"/",","),",",REPT(" ",99)),(ROW($1:$8)-1)*99+1,99)),IFERROR(('Final Calculation Sheet'!$H$33)&amp;"",""))))&gt;0,AND(ISNUMBER(SEARCH("blank",$I$4)),NOT(ISNUMBER(SEARCH("nonblank",$I$4))),IFERROR(('Final Calculation Sheet'!$H$33)&amp;"","")=""),AND(OR(ISNUMBER(SEARCH("nonblank",$I$4)),ISNUMBER(SEARCH("&lt;&gt;",$I$4))),IFERROR(('Final Calculation Sheet'!$H$33)&amp;"","")&lt;&gt;""),AND(TRIM($I$4)="",IFERROR(('Final Calculation Sheet'!$H$33)&amp;"","")=""))))</f>
        <v/>
      </c>
      <c r="BV34">
        <f>IF($J$4="",1,--(OR(SUMPRODUCT(--(TRIM(MID(SUBSTITUTE(SUBSTITUTE($J$4,"/",","),",",REPT(" ",99)),(ROW($1:$8)-1)*99+1,99))&lt;&gt;""),--ISNUMBER(SEARCH(TRIM(MID(SUBSTITUTE(SUBSTITUTE($J$4,"/",","),",",REPT(" ",99)),(ROW($1:$8)-1)*99+1,99)),IFERROR(('Final Calculation Sheet'!$I$33)&amp;"",""))))&gt;0,AND(ISNUMBER(SEARCH("blank",$J$4)),NOT(ISNUMBER(SEARCH("nonblank",$J$4))),IFERROR(('Final Calculation Sheet'!$I$33)&amp;"","")=""),AND(OR(ISNUMBER(SEARCH("nonblank",$J$4)),ISNUMBER(SEARCH("&lt;&gt;",$J$4))),IFERROR(('Final Calculation Sheet'!$I$33)&amp;"","")&lt;&gt;""),AND(TRIM($J$4)="",IFERROR(('Final Calculation Sheet'!$I$33)&amp;"","")=""))))</f>
        <v/>
      </c>
      <c r="BW34">
        <f>IF($K$4="",1,--(OR(SUMPRODUCT(--(TRIM(MID(SUBSTITUTE(SUBSTITUTE($K$4,"/",","),",",REPT(" ",99)),(ROW($1:$8)-1)*99+1,99))&lt;&gt;""),--ISNUMBER(SEARCH(TRIM(MID(SUBSTITUTE(SUBSTITUTE($K$4,"/",","),",",REPT(" ",99)),(ROW($1:$8)-1)*99+1,99)),IFERROR(('Final Calculation Sheet'!$J$33)&amp;"",""))))&gt;0,AND(ISNUMBER(SEARCH("blank",$K$4)),NOT(ISNUMBER(SEARCH("nonblank",$K$4))),IFERROR(('Final Calculation Sheet'!$J$33)&amp;"","")=""),AND(OR(ISNUMBER(SEARCH("nonblank",$K$4)),ISNUMBER(SEARCH("&lt;&gt;",$K$4))),IFERROR(('Final Calculation Sheet'!$J$33)&amp;"","")&lt;&gt;""),AND(TRIM($K$4)="",IFERROR(('Final Calculation Sheet'!$J$33)&amp;"","")=""))))</f>
        <v/>
      </c>
      <c r="BX34">
        <f>IF($L$4="",1,--(OR(SUMPRODUCT(--(TRIM(MID(SUBSTITUTE(SUBSTITUTE($L$4,"/",","),",",REPT(" ",99)),(ROW($1:$8)-1)*99+1,99))&lt;&gt;""),--ISNUMBER(SEARCH(TRIM(MID(SUBSTITUTE(SUBSTITUTE($L$4,"/",","),",",REPT(" ",99)),(ROW($1:$8)-1)*99+1,99)),IFERROR(('Final Calculation Sheet'!$K$33)&amp;"",""))))&gt;0,AND(ISNUMBER(SEARCH("blank",$L$4)),NOT(ISNUMBER(SEARCH("nonblank",$L$4))),IFERROR(('Final Calculation Sheet'!$K$33)&amp;"","")=""),AND(OR(ISNUMBER(SEARCH("nonblank",$L$4)),ISNUMBER(SEARCH("&lt;&gt;",$L$4))),IFERROR(('Final Calculation Sheet'!$K$33)&amp;"","")&lt;&gt;""),AND(TRIM($L$4)="",IFERROR(('Final Calculation Sheet'!$K$33)&amp;"","")=""))))</f>
        <v/>
      </c>
      <c r="BY34">
        <f>IF($M$4="",1,--(OR(SUMPRODUCT(--(TRIM(MID(SUBSTITUTE(SUBSTITUTE($M$4,"/",","),",",REPT(" ",99)),(ROW($1:$8)-1)*99+1,99))&lt;&gt;""),--ISNUMBER(SEARCH(TRIM(MID(SUBSTITUTE(SUBSTITUTE($M$4,"/",","),",",REPT(" ",99)),(ROW($1:$8)-1)*99+1,99)),IFERROR(('Final Calculation Sheet'!$L$33)&amp;"",""))))&gt;0,AND(ISNUMBER(SEARCH("blank",$M$4)),NOT(ISNUMBER(SEARCH("nonblank",$M$4))),IFERROR(('Final Calculation Sheet'!$L$33)&amp;"","")=""),AND(OR(ISNUMBER(SEARCH("nonblank",$M$4)),ISNUMBER(SEARCH("&lt;&gt;",$M$4))),IFERROR(('Final Calculation Sheet'!$L$33)&amp;"","")&lt;&gt;""),AND(TRIM($M$4)="",IFERROR(('Final Calculation Sheet'!$L$33)&amp;"","")=""))))</f>
        <v/>
      </c>
      <c r="BZ34">
        <f>IF($N$4="",1,--(OR(SUMPRODUCT(--(TRIM(MID(SUBSTITUTE(SUBSTITUTE($N$4,"/",","),",",REPT(" ",99)),(ROW($1:$8)-1)*99+1,99))&lt;&gt;""),--ISNUMBER(SEARCH(TRIM(MID(SUBSTITUTE(SUBSTITUTE($N$4,"/",","),",",REPT(" ",99)),(ROW($1:$8)-1)*99+1,99)),IFERROR(('Final Calculation Sheet'!$M$33)&amp;"",""))))&gt;0,AND(ISNUMBER(SEARCH("blank",$N$4)),NOT(ISNUMBER(SEARCH("nonblank",$N$4))),IFERROR(('Final Calculation Sheet'!$M$33)&amp;"","")=""),AND(OR(ISNUMBER(SEARCH("nonblank",$N$4)),ISNUMBER(SEARCH("&lt;&gt;",$N$4))),IFERROR(('Final Calculation Sheet'!$M$33)&amp;"","")&lt;&gt;""),AND(TRIM($N$4)="",IFERROR(('Final Calculation Sheet'!$M$33)&amp;"","")=""))))</f>
        <v/>
      </c>
      <c r="CA34">
        <f>IF($O$4="",1,--(OR(SUMPRODUCT(--(TRIM(MID(SUBSTITUTE(SUBSTITUTE($O$4,"/",","),",",REPT(" ",99)),(ROW($1:$8)-1)*99+1,99))&lt;&gt;""),--ISNUMBER(SEARCH(TRIM(MID(SUBSTITUTE(SUBSTITUTE($O$4,"/",","),",",REPT(" ",99)),(ROW($1:$8)-1)*99+1,99)),IFERROR(('Final Calculation Sheet'!$N$33)&amp;"",""))))&gt;0,AND(ISNUMBER(SEARCH("blank",$O$4)),NOT(ISNUMBER(SEARCH("nonblank",$O$4))),IFERROR(('Final Calculation Sheet'!$N$33)&amp;"","")=""),AND(OR(ISNUMBER(SEARCH("nonblank",$O$4)),ISNUMBER(SEARCH("&lt;&gt;",$O$4))),IFERROR(('Final Calculation Sheet'!$N$33)&amp;"","")&lt;&gt;""),AND(TRIM($O$4)="",IFERROR(('Final Calculation Sheet'!$N$33)&amp;"","")=""))))</f>
        <v/>
      </c>
      <c r="CB34">
        <f>IF($P$4="",1,--(OR(SUMPRODUCT(--(TRIM(MID(SUBSTITUTE(SUBSTITUTE($P$4,"/",","),",",REPT(" ",99)),(ROW($1:$8)-1)*99+1,99))&lt;&gt;""),--ISNUMBER(SEARCH(TRIM(MID(SUBSTITUTE(SUBSTITUTE($P$4,"/",","),",",REPT(" ",99)),(ROW($1:$8)-1)*99+1,99)),IFERROR(('Final Calculation Sheet'!$O$33)&amp;"",""))))&gt;0,AND(ISNUMBER(SEARCH("blank",$P$4)),NOT(ISNUMBER(SEARCH("nonblank",$P$4))),IFERROR(('Final Calculation Sheet'!$O$33)&amp;"","")=""),AND(OR(ISNUMBER(SEARCH("nonblank",$P$4)),ISNUMBER(SEARCH("&lt;&gt;",$P$4))),IFERROR(('Final Calculation Sheet'!$O$33)&amp;"","")&lt;&gt;""),AND(TRIM($P$4)="",IFERROR(('Final Calculation Sheet'!$O$33)&amp;"","")=""))))</f>
        <v/>
      </c>
      <c r="CC34">
        <f>IF($Q$4="",1,--(OR(SUMPRODUCT(--(TRIM(MID(SUBSTITUTE(SUBSTITUTE($Q$4,"/",","),",",REPT(" ",99)),(ROW($1:$8)-1)*99+1,99))&lt;&gt;""),--ISNUMBER(SEARCH(TRIM(MID(SUBSTITUTE(SUBSTITUTE($Q$4,"/",","),",",REPT(" ",99)),(ROW($1:$8)-1)*99+1,99)),IFERROR(('Final Calculation Sheet'!$P$33)&amp;"",""))))&gt;0,AND(ISNUMBER(SEARCH("blank",$Q$4)),NOT(ISNUMBER(SEARCH("nonblank",$Q$4))),IFERROR(('Final Calculation Sheet'!$P$33)&amp;"","")=""),AND(OR(ISNUMBER(SEARCH("nonblank",$Q$4)),ISNUMBER(SEARCH("&lt;&gt;",$Q$4))),IFERROR(('Final Calculation Sheet'!$P$33)&amp;"","")&lt;&gt;""),AND(TRIM($Q$4)="",IFERROR(('Final Calculation Sheet'!$P$33)&amp;"","")=""))))</f>
        <v/>
      </c>
      <c r="CD34">
        <f>IF($R$4="",1,--(OR(SUMPRODUCT(--(TRIM(MID(SUBSTITUTE(SUBSTITUTE($R$4,"/",","),",",REPT(" ",99)),(ROW($1:$8)-1)*99+1,99))&lt;&gt;""),--ISNUMBER(SEARCH(TRIM(MID(SUBSTITUTE(SUBSTITUTE($R$4,"/",","),",",REPT(" ",99)),(ROW($1:$8)-1)*99+1,99)),IFERROR(('Final Calculation Sheet'!$Q$33)&amp;"",""))))&gt;0,AND(ISNUMBER(SEARCH("blank",$R$4)),NOT(ISNUMBER(SEARCH("nonblank",$R$4))),IFERROR(('Final Calculation Sheet'!$Q$33)&amp;"","")=""),AND(OR(ISNUMBER(SEARCH("nonblank",$R$4)),ISNUMBER(SEARCH("&lt;&gt;",$R$4))),IFERROR(('Final Calculation Sheet'!$Q$33)&amp;"","")&lt;&gt;""),AND(TRIM($R$4)="",IFERROR(('Final Calculation Sheet'!$Q$33)&amp;"","")=""))))</f>
        <v/>
      </c>
      <c r="CE34">
        <f>IF($S$4="",1,--(OR(SUMPRODUCT(--(TRIM(MID(SUBSTITUTE(SUBSTITUTE($S$4,"/",","),",",REPT(" ",99)),(ROW($1:$8)-1)*99+1,99))&lt;&gt;""),--ISNUMBER(SEARCH(TRIM(MID(SUBSTITUTE(SUBSTITUTE($S$4,"/",","),",",REPT(" ",99)),(ROW($1:$8)-1)*99+1,99)),IFERROR(('Final Calculation Sheet'!$R$33)&amp;"",""))))&gt;0,AND(ISNUMBER(SEARCH("blank",$S$4)),NOT(ISNUMBER(SEARCH("nonblank",$S$4))),IFERROR(('Final Calculation Sheet'!$R$33)&amp;"","")=""),AND(OR(ISNUMBER(SEARCH("nonblank",$S$4)),ISNUMBER(SEARCH("&lt;&gt;",$S$4))),IFERROR(('Final Calculation Sheet'!$R$33)&amp;"","")&lt;&gt;""),AND(TRIM($S$4)="",IFERROR(('Final Calculation Sheet'!$R$33)&amp;"","")=""))))</f>
        <v/>
      </c>
      <c r="CF34">
        <f>IF($T$4="",1,--(OR(SUMPRODUCT(--(TRIM(MID(SUBSTITUTE(SUBSTITUTE($T$4,"/",","),",",REPT(" ",99)),(ROW($1:$8)-1)*99+1,99))&lt;&gt;""),--ISNUMBER(SEARCH(TRIM(MID(SUBSTITUTE(SUBSTITUTE($T$4,"/",","),",",REPT(" ",99)),(ROW($1:$8)-1)*99+1,99)),IFERROR(('Final Calculation Sheet'!$S$33)&amp;"",""))))&gt;0,AND(ISNUMBER(SEARCH("blank",$T$4)),NOT(ISNUMBER(SEARCH("nonblank",$T$4))),IFERROR(('Final Calculation Sheet'!$S$33)&amp;"","")=""),AND(OR(ISNUMBER(SEARCH("nonblank",$T$4)),ISNUMBER(SEARCH("&lt;&gt;",$T$4))),IFERROR(('Final Calculation Sheet'!$S$33)&amp;"","")&lt;&gt;""),AND(TRIM($T$4)="",IFERROR(('Final Calculation Sheet'!$S$33)&amp;"","")=""))))</f>
        <v/>
      </c>
      <c r="CG34">
        <f>IF($U$4="",1,--(OR(SUMPRODUCT(--(TRIM(MID(SUBSTITUTE(SUBSTITUTE($U$4,"/",","),",",REPT(" ",99)),(ROW($1:$8)-1)*99+1,99))&lt;&gt;""),--ISNUMBER(SEARCH(TRIM(MID(SUBSTITUTE(SUBSTITUTE($U$4,"/",","),",",REPT(" ",99)),(ROW($1:$8)-1)*99+1,99)),IFERROR(('Final Calculation Sheet'!$T$33)&amp;"",""))))&gt;0,AND(ISNUMBER(SEARCH("blank",$U$4)),NOT(ISNUMBER(SEARCH("nonblank",$U$4))),IFERROR(('Final Calculation Sheet'!$T$33)&amp;"","")=""),AND(OR(ISNUMBER(SEARCH("nonblank",$U$4)),ISNUMBER(SEARCH("&lt;&gt;",$U$4))),IFERROR(('Final Calculation Sheet'!$T$33)&amp;"","")&lt;&gt;""),AND(TRIM($U$4)="",IFERROR(('Final Calculation Sheet'!$T$33)&amp;"","")=""))))</f>
        <v/>
      </c>
      <c r="CH34">
        <f>IF($V$4="",1,--(OR(SUMPRODUCT(--(TRIM(MID(SUBSTITUTE(SUBSTITUTE($V$4,"/",","),",",REPT(" ",99)),(ROW($1:$8)-1)*99+1,99))&lt;&gt;""),--ISNUMBER(SEARCH(TRIM(MID(SUBSTITUTE(SUBSTITUTE($V$4,"/",","),",",REPT(" ",99)),(ROW($1:$8)-1)*99+1,99)),IFERROR(('Final Calculation Sheet'!$U$33)&amp;"",""))))&gt;0,AND(ISNUMBER(SEARCH("blank",$V$4)),NOT(ISNUMBER(SEARCH("nonblank",$V$4))),IFERROR(('Final Calculation Sheet'!$U$33)&amp;"","")=""),AND(OR(ISNUMBER(SEARCH("nonblank",$V$4)),ISNUMBER(SEARCH("&lt;&gt;",$V$4))),IFERROR(('Final Calculation Sheet'!$U$33)&amp;"","")&lt;&gt;""),AND(TRIM($V$4)="",IFERROR(('Final Calculation Sheet'!$U$33)&amp;"","")=""))))</f>
        <v/>
      </c>
      <c r="CI34">
        <f>IF($W$4="",1,--(OR(SUMPRODUCT(--(TRIM(MID(SUBSTITUTE(SUBSTITUTE($W$4,"/",","),",",REPT(" ",99)),(ROW($1:$8)-1)*99+1,99))&lt;&gt;""),--ISNUMBER(SEARCH(TRIM(MID(SUBSTITUTE(SUBSTITUTE($W$4,"/",","),",",REPT(" ",99)),(ROW($1:$8)-1)*99+1,99)),IFERROR(('Final Calculation Sheet'!$V$33)&amp;"",""))))&gt;0,AND(ISNUMBER(SEARCH("blank",$W$4)),NOT(ISNUMBER(SEARCH("nonblank",$W$4))),IFERROR(('Final Calculation Sheet'!$V$33)&amp;"","")=""),AND(OR(ISNUMBER(SEARCH("nonblank",$W$4)),ISNUMBER(SEARCH("&lt;&gt;",$W$4))),IFERROR(('Final Calculation Sheet'!$V$33)&amp;"","")&lt;&gt;""),AND(TRIM($W$4)="",IFERROR(('Final Calculation Sheet'!$V$33)&amp;"","")=""))))</f>
        <v/>
      </c>
      <c r="CJ34">
        <f>IF($X$4="",1,--(OR(SUMPRODUCT(--(TRIM(MID(SUBSTITUTE(SUBSTITUTE($X$4,"/",","),",",REPT(" ",99)),(ROW($1:$8)-1)*99+1,99))&lt;&gt;""),--ISNUMBER(SEARCH(TRIM(MID(SUBSTITUTE(SUBSTITUTE($X$4,"/",","),",",REPT(" ",99)),(ROW($1:$8)-1)*99+1,99)),IFERROR(('Final Calculation Sheet'!$W$33)&amp;"",""))))&gt;0,AND(ISNUMBER(SEARCH("blank",$X$4)),NOT(ISNUMBER(SEARCH("nonblank",$X$4))),IFERROR(('Final Calculation Sheet'!$W$33)&amp;"","")=""),AND(OR(ISNUMBER(SEARCH("nonblank",$X$4)),ISNUMBER(SEARCH("&lt;&gt;",$X$4))),IFERROR(('Final Calculation Sheet'!$W$33)&amp;"","")&lt;&gt;""),AND(TRIM($X$4)="",IFERROR(('Final Calculation Sheet'!$W$33)&amp;"","")=""))))</f>
        <v/>
      </c>
      <c r="CK34">
        <f>IF($Y$4="",1,--(OR(SUMPRODUCT(--(TRIM(MID(SUBSTITUTE(SUBSTITUTE($Y$4,"/",","),",",REPT(" ",99)),(ROW($1:$8)-1)*99+1,99))&lt;&gt;""),--ISNUMBER(SEARCH(TRIM(MID(SUBSTITUTE(SUBSTITUTE($Y$4,"/",","),",",REPT(" ",99)),(ROW($1:$8)-1)*99+1,99)),IFERROR(('Final Calculation Sheet'!$X$33)&amp;"",""))))&gt;0,AND(ISNUMBER(SEARCH("blank",$Y$4)),NOT(ISNUMBER(SEARCH("nonblank",$Y$4))),IFERROR(('Final Calculation Sheet'!$X$33)&amp;"","")=""),AND(OR(ISNUMBER(SEARCH("nonblank",$Y$4)),ISNUMBER(SEARCH("&lt;&gt;",$Y$4))),IFERROR(('Final Calculation Sheet'!$X$33)&amp;"","")&lt;&gt;""),AND(TRIM($Y$4)="",IFERROR(('Final Calculation Sheet'!$X$33)&amp;"","")=""))))</f>
        <v/>
      </c>
      <c r="CL34">
        <f>IF($Z$4="",1,--(OR(SUMPRODUCT(--(TRIM(MID(SUBSTITUTE(SUBSTITUTE($Z$4,"/",","),",",REPT(" ",99)),(ROW($1:$8)-1)*99+1,99))&lt;&gt;""),--ISNUMBER(SEARCH(TRIM(MID(SUBSTITUTE(SUBSTITUTE($Z$4,"/",","),",",REPT(" ",99)),(ROW($1:$8)-1)*99+1,99)),IFERROR(('Final Calculation Sheet'!$Y$33)&amp;"",""))))&gt;0,AND(ISNUMBER(SEARCH("blank",$Z$4)),NOT(ISNUMBER(SEARCH("nonblank",$Z$4))),IFERROR(('Final Calculation Sheet'!$Y$33)&amp;"","")=""),AND(OR(ISNUMBER(SEARCH("nonblank",$Z$4)),ISNUMBER(SEARCH("&lt;&gt;",$Z$4))),IFERROR(('Final Calculation Sheet'!$Y$33)&amp;"","")&lt;&gt;""),AND(TRIM($Z$4)="",IFERROR(('Final Calculation Sheet'!$Y$33)&amp;"","")=""))))</f>
        <v/>
      </c>
      <c r="CM34">
        <f>IF($AA$4="",1,--(OR(SUMPRODUCT(--(TRIM(MID(SUBSTITUTE(SUBSTITUTE($AA$4,"/",","),",",REPT(" ",99)),(ROW($1:$8)-1)*99+1,99))&lt;&gt;""),--ISNUMBER(SEARCH(TRIM(MID(SUBSTITUTE(SUBSTITUTE($AA$4,"/",","),",",REPT(" ",99)),(ROW($1:$8)-1)*99+1,99)),IFERROR(('Final Calculation Sheet'!$Z$33)&amp;"",""))))&gt;0,AND(ISNUMBER(SEARCH("blank",$AA$4)),NOT(ISNUMBER(SEARCH("nonblank",$AA$4))),IFERROR(('Final Calculation Sheet'!$Z$33)&amp;"","")=""),AND(OR(ISNUMBER(SEARCH("nonblank",$AA$4)),ISNUMBER(SEARCH("&lt;&gt;",$AA$4))),IFERROR(('Final Calculation Sheet'!$Z$33)&amp;"","")&lt;&gt;""),AND(TRIM($AA$4)="",IFERROR(('Final Calculation Sheet'!$Z$33)&amp;"","")=""))))</f>
        <v/>
      </c>
      <c r="CN34">
        <f>IF($AB$4="",1,--(OR(SUMPRODUCT(--(TRIM(MID(SUBSTITUTE(SUBSTITUTE($AB$4,"/",","),",",REPT(" ",99)),(ROW($1:$8)-1)*99+1,99))&lt;&gt;""),--ISNUMBER(SEARCH(TRIM(MID(SUBSTITUTE(SUBSTITUTE($AB$4,"/",","),",",REPT(" ",99)),(ROW($1:$8)-1)*99+1,99)),IFERROR(('Final Calculation Sheet'!$AA$33)&amp;"",""))))&gt;0,AND(ISNUMBER(SEARCH("blank",$AB$4)),NOT(ISNUMBER(SEARCH("nonblank",$AB$4))),IFERROR(('Final Calculation Sheet'!$AA$33)&amp;"","")=""),AND(OR(ISNUMBER(SEARCH("nonblank",$AB$4)),ISNUMBER(SEARCH("&lt;&gt;",$AB$4))),IFERROR(('Final Calculation Sheet'!$AA$33)&amp;"","")&lt;&gt;""),AND(TRIM($AB$4)="",IFERROR(('Final Calculation Sheet'!$AA$33)&amp;"","")=""))))</f>
        <v/>
      </c>
      <c r="CO34">
        <f>IF($AC$4="",1,--(OR(SUMPRODUCT(--(TRIM(MID(SUBSTITUTE(SUBSTITUTE($AC$4,"/",","),",",REPT(" ",99)),(ROW($1:$8)-1)*99+1,99))&lt;&gt;""),--ISNUMBER(SEARCH(TRIM(MID(SUBSTITUTE(SUBSTITUTE($AC$4,"/",","),",",REPT(" ",99)),(ROW($1:$8)-1)*99+1,99)),IFERROR(('Final Calculation Sheet'!$AB$33)&amp;"",""))))&gt;0,AND(ISNUMBER(SEARCH("blank",$AC$4)),NOT(ISNUMBER(SEARCH("nonblank",$AC$4))),IFERROR(('Final Calculation Sheet'!$AB$33)&amp;"","")=""),AND(OR(ISNUMBER(SEARCH("nonblank",$AC$4)),ISNUMBER(SEARCH("&lt;&gt;",$AC$4))),IFERROR(('Final Calculation Sheet'!$AB$33)&amp;"","")&lt;&gt;""),AND(TRIM($AC$4)="",IFERROR(('Final Calculation Sheet'!$AB$33)&amp;"","")=""))))</f>
        <v/>
      </c>
      <c r="CP34">
        <f>IF($AD$4="",1,--(OR(SUMPRODUCT(--(TRIM(MID(SUBSTITUTE(SUBSTITUTE($AD$4,"/",","),",",REPT(" ",99)),(ROW($1:$8)-1)*99+1,99))&lt;&gt;""),--ISNUMBER(SEARCH(TRIM(MID(SUBSTITUTE(SUBSTITUTE($AD$4,"/",","),",",REPT(" ",99)),(ROW($1:$8)-1)*99+1,99)),IFERROR(('Final Calculation Sheet'!$AC$33)&amp;"",""))))&gt;0,AND(ISNUMBER(SEARCH("blank",$AD$4)),NOT(ISNUMBER(SEARCH("nonblank",$AD$4))),IFERROR(('Final Calculation Sheet'!$AC$33)&amp;"","")=""),AND(OR(ISNUMBER(SEARCH("nonblank",$AD$4)),ISNUMBER(SEARCH("&lt;&gt;",$AD$4))),IFERROR(('Final Calculation Sheet'!$AC$33)&amp;"","")&lt;&gt;""),AND(TRIM($AD$4)="",IFERROR(('Final Calculation Sheet'!$AC$33)&amp;"","")=""))))</f>
        <v/>
      </c>
      <c r="CQ34">
        <f>IF($AE$4="",1,--(OR(SUMPRODUCT(--(TRIM(MID(SUBSTITUTE(SUBSTITUTE($AE$4,"/",","),",",REPT(" ",99)),(ROW($1:$8)-1)*99+1,99))&lt;&gt;""),--ISNUMBER(SEARCH(TRIM(MID(SUBSTITUTE(SUBSTITUTE($AE$4,"/",","),",",REPT(" ",99)),(ROW($1:$8)-1)*99+1,99)),IFERROR(('Final Calculation Sheet'!$AD$33)&amp;"",""))))&gt;0,AND(ISNUMBER(SEARCH("blank",$AE$4)),NOT(ISNUMBER(SEARCH("nonblank",$AE$4))),IFERROR(('Final Calculation Sheet'!$AD$33)&amp;"","")=""),AND(OR(ISNUMBER(SEARCH("nonblank",$AE$4)),ISNUMBER(SEARCH("&lt;&gt;",$AE$4))),IFERROR(('Final Calculation Sheet'!$AD$33)&amp;"","")&lt;&gt;""),AND(TRIM($AE$4)="",IFERROR(('Final Calculation Sheet'!$AD$33)&amp;"","")=""))))</f>
        <v/>
      </c>
      <c r="CR34">
        <f>IF($AF$4="",1,--(OR(SUMPRODUCT(--(TRIM(MID(SUBSTITUTE(SUBSTITUTE($AF$4,"/",","),",",REPT(" ",99)),(ROW($1:$8)-1)*99+1,99))&lt;&gt;""),--ISNUMBER(SEARCH(TRIM(MID(SUBSTITUTE(SUBSTITUTE($AF$4,"/",","),",",REPT(" ",99)),(ROW($1:$8)-1)*99+1,99)),IFERROR(('Final Calculation Sheet'!$AE$33)&amp;"",""))))&gt;0,AND(ISNUMBER(SEARCH("blank",$AF$4)),NOT(ISNUMBER(SEARCH("nonblank",$AF$4))),IFERROR(('Final Calculation Sheet'!$AE$33)&amp;"","")=""),AND(OR(ISNUMBER(SEARCH("nonblank",$AF$4)),ISNUMBER(SEARCH("&lt;&gt;",$AF$4))),IFERROR(('Final Calculation Sheet'!$AE$33)&amp;"","")&lt;&gt;""),AND(TRIM($AF$4)="",IFERROR(('Final Calculation Sheet'!$AE$33)&amp;"","")=""))))</f>
        <v/>
      </c>
      <c r="CS34">
        <f>IF($AG$4="",1,--(OR(SUMPRODUCT(--(TRIM(MID(SUBSTITUTE(SUBSTITUTE($AG$4,"/",","),",",REPT(" ",99)),(ROW($1:$8)-1)*99+1,99))&lt;&gt;""),--ISNUMBER(SEARCH(TRIM(MID(SUBSTITUTE(SUBSTITUTE($AG$4,"/",","),",",REPT(" ",99)),(ROW($1:$8)-1)*99+1,99)),IFERROR(('Final Calculation Sheet'!$AF$33)&amp;"",""))))&gt;0,AND(ISNUMBER(SEARCH("blank",$AG$4)),NOT(ISNUMBER(SEARCH("nonblank",$AG$4))),IFERROR(('Final Calculation Sheet'!$AF$33)&amp;"","")=""),AND(OR(ISNUMBER(SEARCH("nonblank",$AG$4)),ISNUMBER(SEARCH("&lt;&gt;",$AG$4))),IFERROR(('Final Calculation Sheet'!$AF$33)&amp;"","")&lt;&gt;""),AND(TRIM($AG$4)="",IFERROR(('Final Calculation Sheet'!$AF$33)&amp;"","")=""))))</f>
        <v/>
      </c>
      <c r="CT34">
        <f>IF($AH$4="",1,--(OR(SUMPRODUCT(--(TRIM(MID(SUBSTITUTE(SUBSTITUTE($AH$4,"/",","),",",REPT(" ",99)),(ROW($1:$8)-1)*99+1,99))&lt;&gt;""),--ISNUMBER(SEARCH(TRIM(MID(SUBSTITUTE(SUBSTITUTE($AH$4,"/",","),",",REPT(" ",99)),(ROW($1:$8)-1)*99+1,99)),IFERROR(('Final Calculation Sheet'!$AG$33)&amp;"",""))))&gt;0,AND(ISNUMBER(SEARCH("blank",$AH$4)),NOT(ISNUMBER(SEARCH("nonblank",$AH$4))),IFERROR(('Final Calculation Sheet'!$AG$33)&amp;"","")=""),AND(OR(ISNUMBER(SEARCH("nonblank",$AH$4)),ISNUMBER(SEARCH("&lt;&gt;",$AH$4))),IFERROR(('Final Calculation Sheet'!$AG$33)&amp;"","")&lt;&gt;""),AND(TRIM($AH$4)="",IFERROR(('Final Calculation Sheet'!$AG$33)&amp;"","")=""))))</f>
        <v/>
      </c>
      <c r="CU34">
        <f>IF($AI$4="",1,--(OR(SUMPRODUCT(--(TRIM(MID(SUBSTITUTE(SUBSTITUTE($AI$4,"/",","),",",REPT(" ",99)),(ROW($1:$8)-1)*99+1,99))&lt;&gt;""),--ISNUMBER(SEARCH(TRIM(MID(SUBSTITUTE(SUBSTITUTE($AI$4,"/",","),",",REPT(" ",99)),(ROW($1:$8)-1)*99+1,99)),IFERROR((IF('Final Calculation Sheet'!$AD$33&lt;=0,"SETTLED","OUTSTANDING"))&amp;"",""))))&gt;0,AND(ISNUMBER(SEARCH("blank",$AI$4)),NOT(ISNUMBER(SEARCH("nonblank",$AI$4))),IFERROR((IF('Final Calculation Sheet'!$AD$33&lt;=0,"SETTLED","OUTSTANDING"))&amp;"","")=""),AND(OR(ISNUMBER(SEARCH("nonblank",$AI$4)),ISNUMBER(SEARCH("&lt;&gt;",$AI$4))),IFERROR((IF('Final Calculation Sheet'!$AD$33&lt;=0,"SETTLED","OUTSTANDING"))&amp;"","")&lt;&gt;""),AND(TRIM($AI$4)="",IFERROR((IF('Final Calculation Sheet'!$AD$33&lt;=0,"SETTLED","OUTSTANDING"))&amp;"","")=""))))</f>
        <v/>
      </c>
    </row>
    <row r="35" ht="15" customHeight="1" s="77">
      <c r="A35" s="67">
        <f>IF($BJ34&gt;0,INDEX($BA$5:$BA$41,MATCH(34,$BB$5:$BB$41,0)),IF(OR($BI34=1,$BL34=1,$BH34&gt;0),"∑",""))</f>
        <v/>
      </c>
      <c r="B35" s="68">
        <f>IF($BJ34&gt;0,IF(INDEX('Final Calculation Sheet'!$F$4:$F$40,$BJ34-3)="","",INDEX('Final Calculation Sheet'!$F$4:$F$40,$BJ34-3)),"")</f>
        <v/>
      </c>
      <c r="C35" s="68">
        <f>IF($BJ34&gt;0,IF(INDEX('Final Calculation Sheet'!$G$4:$G$40,$BJ34-3)="","",INDEX('Final Calculation Sheet'!$G$4:$G$40,$BJ34-3)),IF(OR($BI34=1,$BL34=1,$BH34&gt;0),IF($BI34=1,37,IF($BL34=1,37-INDEX($BD$4:$BD$13,10),INDEX($BD$4:$BD$13,$BH34)))&amp;" lot(s)",""))</f>
        <v/>
      </c>
      <c r="D35" s="69">
        <f>IF($BJ34&gt;0,IF(INDEX('Final Calculation Sheet'!$B$4:$B$40,$BJ34-3)="","",INDEX('Final Calculation Sheet'!$B$4:$B$40,$BJ34-3)),IF(OR($BI34=1,$BL34=1,$BH34&gt;0),IF($BI34=1,"GRAND TOTAL  —  matching + remaining",IF($BL34=1,"TOTAL MATCHED  —  every group together",IF($BH34=10,"REMAINING  —  did not match the search",IF($BH34=9,IF(COUNTIF($A$4:$AI$4,"&lt;&gt;")&gt;0,"FILTERED LOTS  —  column fields","ALL LOTS  —  nothing typed in the box"),"GROUP "&amp;$BH34&amp;" TOTAL  —  lots matching  "&amp;INDEX($AR$6:$AY$6,$BH34))))),""))</f>
        <v/>
      </c>
      <c r="E35" s="69">
        <f>IF($BJ34&gt;0,IF(INDEX('Final Calculation Sheet'!$D$4:$D$40,$BJ34-3)="","",INDEX('Final Calculation Sheet'!$D$4:$D$40,$BJ34-3)),IF(OR($BI34=1,$BL34=1,$BH34&gt;0),"–",""))</f>
        <v/>
      </c>
      <c r="F35" s="69">
        <f>IF($BJ34&gt;0,IF(INDEX('Final Calculation Sheet'!$A$4:$A$40,$BJ34-3)="","",INDEX('Final Calculation Sheet'!$A$4:$A$40,$BJ34-3)),IF(OR($BI34=1,$BL34=1,$BH34&gt;0),IF($BI34=1,SUM('Final Calculation Sheet'!$A$4:$A$40),IF($BL34=1,SUM('Final Calculation Sheet'!$A$4:$A$40)-SUMIFS('Final Calculation Sheet'!$A$4:$A$40,$AZ$5:$AZ$41,10),SUMIFS('Final Calculation Sheet'!$A$4:$A$40,$AZ$5:$AZ$41,$BH34))),""))</f>
        <v/>
      </c>
      <c r="G35" s="69">
        <f>IF($BJ34&gt;0,IF(INDEX('Final Calculation Sheet'!$E$4:$E$40,$BJ34-3)="","",INDEX('Final Calculation Sheet'!$E$4:$E$40,$BJ34-3)),IF(OR($BI34=1,$BL34=1,$BH34&gt;0),"–",""))</f>
        <v/>
      </c>
      <c r="H35" s="70">
        <f>IF($BJ34&gt;0,IF(INDEX('Final Calculation Sheet'!$C$4:$C$40,$BJ34-3)="","",INDEX('Final Calculation Sheet'!$C$4:$C$40,$BJ34-3)),IF(OR($BI34=1,$BL34=1,$BH34&gt;0),"–",""))</f>
        <v/>
      </c>
      <c r="I35" s="70">
        <f>IF($BJ34&gt;0,IF(INDEX('Final Calculation Sheet'!$H$4:$H$40,$BJ34-3)="","",INDEX('Final Calculation Sheet'!$H$4:$H$40,$BJ34-3)),IF(OR($BI34=1,$BL34=1,$BH34&gt;0),IF($BI34=1,SUM('Final Calculation Sheet'!$H$4:$H$40),IF($BL34=1,SUM('Final Calculation Sheet'!$H$4:$H$40)-SUMIFS('Final Calculation Sheet'!$H$4:$H$40,$AZ$5:$AZ$41,10),SUMIFS('Final Calculation Sheet'!$H$4:$H$40,$AZ$5:$AZ$41,$BH34))),""))</f>
        <v/>
      </c>
      <c r="J35" s="70">
        <f>IF($BJ34&gt;0,IF(INDEX('Final Calculation Sheet'!$I$4:$I$40,$BJ34-3)="","",INDEX('Final Calculation Sheet'!$I$4:$I$40,$BJ34-3)),IF(OR($BI34=1,$BL34=1,$BH34&gt;0),IF($BI34=1,SUM('Final Calculation Sheet'!$I$4:$I$40),IF($BL34=1,SUM('Final Calculation Sheet'!$I$4:$I$40)-SUMIFS('Final Calculation Sheet'!$I$4:$I$40,$AZ$5:$AZ$41,10),SUMIFS('Final Calculation Sheet'!$I$4:$I$40,$AZ$5:$AZ$41,$BH34))),""))</f>
        <v/>
      </c>
      <c r="K35" s="70">
        <f>IF($BJ34&gt;0,IF(INDEX('Final Calculation Sheet'!$J$4:$J$40,$BJ34-3)="","",INDEX('Final Calculation Sheet'!$J$4:$J$40,$BJ34-3)),IF(OR($BI34=1,$BL34=1,$BH34&gt;0),IF($BI34=1,SUM('Final Calculation Sheet'!$J$4:$J$40),IF($BL34=1,SUM('Final Calculation Sheet'!$J$4:$J$40)-SUMIFS('Final Calculation Sheet'!$J$4:$J$40,$AZ$5:$AZ$41,10),SUMIFS('Final Calculation Sheet'!$J$4:$J$40,$AZ$5:$AZ$41,$BH34))),""))</f>
        <v/>
      </c>
      <c r="L35" s="70">
        <f>IF($BJ34&gt;0,IF(INDEX('Final Calculation Sheet'!$K$4:$K$40,$BJ34-3)="","",INDEX('Final Calculation Sheet'!$K$4:$K$40,$BJ34-3)),IF(OR($BI34=1,$BL34=1,$BH34&gt;0),IF($BI34=1,SUM('Final Calculation Sheet'!$K$4:$K$40),IF($BL34=1,SUM('Final Calculation Sheet'!$K$4:$K$40)-SUMIFS('Final Calculation Sheet'!$K$4:$K$40,$AZ$5:$AZ$41,10),SUMIFS('Final Calculation Sheet'!$K$4:$K$40,$AZ$5:$AZ$41,$BH34))),""))</f>
        <v/>
      </c>
      <c r="M35" s="70">
        <f>IF($BJ34&gt;0,IF(INDEX('Final Calculation Sheet'!$L$4:$L$40,$BJ34-3)="","",INDEX('Final Calculation Sheet'!$L$4:$L$40,$BJ34-3)),IF(OR($BI34=1,$BL34=1,$BH34&gt;0),IF($BI34=1,SUM('Final Calculation Sheet'!$L$4:$L$40),IF($BL34=1,SUM('Final Calculation Sheet'!$L$4:$L$40)-SUMIFS('Final Calculation Sheet'!$L$4:$L$40,$AZ$5:$AZ$41,10),SUMIFS('Final Calculation Sheet'!$L$4:$L$40,$AZ$5:$AZ$41,$BH34))),""))</f>
        <v/>
      </c>
      <c r="N35" s="70">
        <f>IF($BJ34&gt;0,IF(INDEX('Final Calculation Sheet'!$M$4:$M$40,$BJ34-3)="","",INDEX('Final Calculation Sheet'!$M$4:$M$40,$BJ34-3)),IF(OR($BI34=1,$BL34=1,$BH34&gt;0),IF($BI34=1,SUM('Final Calculation Sheet'!$M$4:$M$40),IF($BL34=1,SUM('Final Calculation Sheet'!$M$4:$M$40)-SUMIFS('Final Calculation Sheet'!$M$4:$M$40,$AZ$5:$AZ$41,10),SUMIFS('Final Calculation Sheet'!$M$4:$M$40,$AZ$5:$AZ$41,$BH34))),""))</f>
        <v/>
      </c>
      <c r="O35" s="71">
        <f>IF($BJ34&gt;0,IF(INDEX('Final Calculation Sheet'!$N$4:$N$40,$BJ34-3)="","",INDEX('Final Calculation Sheet'!$N$4:$N$40,$BJ34-3)),IF(OR($BI34=1,$BL34=1,$BH34&gt;0),IF($BI34=1,SUM('Final Calculation Sheet'!$N$4:$N$40),IF($BL34=1,SUM('Final Calculation Sheet'!$N$4:$N$40)-SUMIFS('Final Calculation Sheet'!$N$4:$N$40,$AZ$5:$AZ$41,10),SUMIFS('Final Calculation Sheet'!$N$4:$N$40,$AZ$5:$AZ$41,$BH34))),""))</f>
        <v/>
      </c>
      <c r="P35" s="70">
        <f>IF($BJ34&gt;0,IF(INDEX('Final Calculation Sheet'!$O$4:$O$40,$BJ34-3)="","",INDEX('Final Calculation Sheet'!$O$4:$O$40,$BJ34-3)),IF(OR($BI34=1,$BL34=1,$BH34&gt;0),IF($BI34=1,SUM('Final Calculation Sheet'!$O$4:$O$40),IF($BL34=1,SUM('Final Calculation Sheet'!$O$4:$O$40)-SUMIFS('Final Calculation Sheet'!$O$4:$O$40,$AZ$5:$AZ$41,10),SUMIFS('Final Calculation Sheet'!$O$4:$O$40,$AZ$5:$AZ$41,$BH34))),""))</f>
        <v/>
      </c>
      <c r="Q35" s="70">
        <f>IF($BJ34&gt;0,IF(INDEX('Final Calculation Sheet'!$P$4:$P$40,$BJ34-3)="","",INDEX('Final Calculation Sheet'!$P$4:$P$40,$BJ34-3)),IF(OR($BI34=1,$BL34=1,$BH34&gt;0),IF($BI34=1,SUM('Final Calculation Sheet'!$P$4:$P$40),IF($BL34=1,SUM('Final Calculation Sheet'!$P$4:$P$40)-SUMIFS('Final Calculation Sheet'!$P$4:$P$40,$AZ$5:$AZ$41,10),SUMIFS('Final Calculation Sheet'!$P$4:$P$40,$AZ$5:$AZ$41,$BH34))),""))</f>
        <v/>
      </c>
      <c r="R35" s="72">
        <f>IF($BJ34&gt;0,IF(INDEX('Final Calculation Sheet'!$Q$4:$Q$40,$BJ34-3)="","",INDEX('Final Calculation Sheet'!$Q$4:$Q$40,$BJ34-3)),IF(OR($BI34=1,$BL34=1,$BH34&gt;0),"–",""))</f>
        <v/>
      </c>
      <c r="S35" s="70">
        <f>IF($BJ34&gt;0,IF(INDEX('Final Calculation Sheet'!$R$4:$R$40,$BJ34-3)="","",INDEX('Final Calculation Sheet'!$R$4:$R$40,$BJ34-3)),IF(OR($BI34=1,$BL34=1,$BH34&gt;0),IF($BI34=1,SUM('Final Calculation Sheet'!$R$4:$R$40),IF($BL34=1,SUM('Final Calculation Sheet'!$R$4:$R$40)-SUMIFS('Final Calculation Sheet'!$R$4:$R$40,$AZ$5:$AZ$41,10),SUMIFS('Final Calculation Sheet'!$R$4:$R$40,$AZ$5:$AZ$41,$BH34))),""))</f>
        <v/>
      </c>
      <c r="T35" s="70">
        <f>IF($BJ34&gt;0,IF(INDEX('Final Calculation Sheet'!$S$4:$S$40,$BJ34-3)="","",INDEX('Final Calculation Sheet'!$S$4:$S$40,$BJ34-3)),IF(OR($BI34=1,$BL34=1,$BH34&gt;0),IF($BI34=1,SUM('Final Calculation Sheet'!$S$4:$S$40),IF($BL34=1,SUM('Final Calculation Sheet'!$S$4:$S$40)-SUMIFS('Final Calculation Sheet'!$S$4:$S$40,$AZ$5:$AZ$41,10),SUMIFS('Final Calculation Sheet'!$S$4:$S$40,$AZ$5:$AZ$41,$BH34))),""))</f>
        <v/>
      </c>
      <c r="U35" s="70">
        <f>IF($BJ34&gt;0,IF(INDEX('Final Calculation Sheet'!$T$4:$T$40,$BJ34-3)="","",INDEX('Final Calculation Sheet'!$T$4:$T$40,$BJ34-3)),IF(OR($BI34=1,$BL34=1,$BH34&gt;0),IF($BI34=1,SUM('Final Calculation Sheet'!$T$4:$T$40),IF($BL34=1,SUM('Final Calculation Sheet'!$T$4:$T$40)-SUMIFS('Final Calculation Sheet'!$T$4:$T$40,$AZ$5:$AZ$41,10),SUMIFS('Final Calculation Sheet'!$T$4:$T$40,$AZ$5:$AZ$41,$BH34))),""))</f>
        <v/>
      </c>
      <c r="V35" s="73">
        <f>IF($BJ34&gt;0,IF(INDEX('Final Calculation Sheet'!$U$4:$U$40,$BJ34-3)="","",INDEX('Final Calculation Sheet'!$U$4:$U$40,$BJ34-3)),IF(OR($BI34=1,$BL34=1,$BH34&gt;0),IF($BI34=1,SUM('Final Calculation Sheet'!$U$4:$U$40),IF($BL34=1,SUM('Final Calculation Sheet'!$U$4:$U$40)-SUMIFS('Final Calculation Sheet'!$U$4:$U$40,$AZ$5:$AZ$41,10),SUMIFS('Final Calculation Sheet'!$U$4:$U$40,$AZ$5:$AZ$41,$BH34))),""))</f>
        <v/>
      </c>
      <c r="W35" s="70">
        <f>IF($BJ34&gt;0,IF(INDEX('Final Calculation Sheet'!$V$4:$V$40,$BJ34-3)="","",INDEX('Final Calculation Sheet'!$V$4:$V$40,$BJ34-3)),IF(OR($BI34=1,$BL34=1,$BH34&gt;0),"–",""))</f>
        <v/>
      </c>
      <c r="X35" s="70">
        <f>IF($BJ34&gt;0,IF(INDEX('Final Calculation Sheet'!$W$4:$W$40,$BJ34-3)="","",INDEX('Final Calculation Sheet'!$W$4:$W$40,$BJ34-3)),IF(OR($BI34=1,$BL34=1,$BH34&gt;0),IF($BI34=1,SUM('Final Calculation Sheet'!$W$4:$W$40),IF($BL34=1,SUM('Final Calculation Sheet'!$W$4:$W$40)-SUMIFS('Final Calculation Sheet'!$W$4:$W$40,$AZ$5:$AZ$41,10),SUMIFS('Final Calculation Sheet'!$W$4:$W$40,$AZ$5:$AZ$41,$BH34))),""))</f>
        <v/>
      </c>
      <c r="Y35" s="70">
        <f>IF($BJ34&gt;0,IF(INDEX('Final Calculation Sheet'!$X$4:$X$40,$BJ34-3)="","",INDEX('Final Calculation Sheet'!$X$4:$X$40,$BJ34-3)),IF(OR($BI34=1,$BL34=1,$BH34&gt;0),IF($BI34=1,SUM('Final Calculation Sheet'!$X$4:$X$40),IF($BL34=1,SUM('Final Calculation Sheet'!$X$4:$X$40)-SUMIFS('Final Calculation Sheet'!$X$4:$X$40,$AZ$5:$AZ$41,10),SUMIFS('Final Calculation Sheet'!$X$4:$X$40,$AZ$5:$AZ$41,$BH34))),""))</f>
        <v/>
      </c>
      <c r="Z35" s="70">
        <f>IF($BJ34&gt;0,IF(INDEX('Final Calculation Sheet'!$Y$4:$Y$40,$BJ34-3)="","",INDEX('Final Calculation Sheet'!$Y$4:$Y$40,$BJ34-3)),IF(OR($BI34=1,$BL34=1,$BH34&gt;0),"–",""))</f>
        <v/>
      </c>
      <c r="AA35" s="70">
        <f>IF($BJ34&gt;0,IF(INDEX('Final Calculation Sheet'!$Z$4:$Z$40,$BJ34-3)="","",INDEX('Final Calculation Sheet'!$Z$4:$Z$40,$BJ34-3)),IF(OR($BI34=1,$BL34=1,$BH34&gt;0),IF($BI34=1,SUM('Final Calculation Sheet'!$Z$4:$Z$40),IF($BL34=1,SUM('Final Calculation Sheet'!$Z$4:$Z$40)-SUMIFS('Final Calculation Sheet'!$Z$4:$Z$40,$AZ$5:$AZ$41,10),SUMIFS('Final Calculation Sheet'!$Z$4:$Z$40,$AZ$5:$AZ$41,$BH34))),""))</f>
        <v/>
      </c>
      <c r="AB35" s="70">
        <f>IF($BJ34&gt;0,IF(INDEX('Final Calculation Sheet'!$AA$4:$AA$40,$BJ34-3)="","",INDEX('Final Calculation Sheet'!$AA$4:$AA$40,$BJ34-3)),IF(OR($BI34=1,$BL34=1,$BH34&gt;0),IF($BI34=1,SUM('Final Calculation Sheet'!$AA$4:$AA$40),IF($BL34=1,SUM('Final Calculation Sheet'!$AA$4:$AA$40)-SUMIFS('Final Calculation Sheet'!$AA$4:$AA$40,$AZ$5:$AZ$41,10),SUMIFS('Final Calculation Sheet'!$AA$4:$AA$40,$AZ$5:$AZ$41,$BH34))),""))</f>
        <v/>
      </c>
      <c r="AC35" s="70">
        <f>IF($BJ34&gt;0,IF(INDEX('Final Calculation Sheet'!$AB$4:$AB$40,$BJ34-3)="","",INDEX('Final Calculation Sheet'!$AB$4:$AB$40,$BJ34-3)),IF(OR($BI34=1,$BL34=1,$BH34&gt;0),"–",""))</f>
        <v/>
      </c>
      <c r="AD35" s="70">
        <f>IF($BJ34&gt;0,IF(INDEX('Final Calculation Sheet'!$AC$4:$AC$40,$BJ34-3)="","",INDEX('Final Calculation Sheet'!$AC$4:$AC$40,$BJ34-3)),IF(OR($BI34=1,$BL34=1,$BH34&gt;0),IF($BI34=1,SUM('Final Calculation Sheet'!$AC$4:$AC$40),IF($BL34=1,SUM('Final Calculation Sheet'!$AC$4:$AC$40)-SUMIFS('Final Calculation Sheet'!$AC$4:$AC$40,$AZ$5:$AZ$41,10),SUMIFS('Final Calculation Sheet'!$AC$4:$AC$40,$AZ$5:$AZ$41,$BH34))),""))</f>
        <v/>
      </c>
      <c r="AE35" s="70">
        <f>IF($BJ34&gt;0,IF(INDEX('Final Calculation Sheet'!$AD$4:$AD$40,$BJ34-3)="","",INDEX('Final Calculation Sheet'!$AD$4:$AD$40,$BJ34-3)),IF(OR($BI34=1,$BL34=1,$BH34&gt;0),IF($BI34=1,SUM('Final Calculation Sheet'!$AD$4:$AD$40),IF($BL34=1,SUM('Final Calculation Sheet'!$AD$4:$AD$40)-SUMIFS('Final Calculation Sheet'!$AD$4:$AD$40,$AZ$5:$AZ$41,10),SUMIFS('Final Calculation Sheet'!$AD$4:$AD$40,$AZ$5:$AZ$41,$BH34))),""))</f>
        <v/>
      </c>
      <c r="AF35" s="70">
        <f>IF($BJ34&gt;0,IF(INDEX('Final Calculation Sheet'!$AE$4:$AE$40,$BJ34-3)="","",INDEX('Final Calculation Sheet'!$AE$4:$AE$40,$BJ34-3)),IF(OR($BI34=1,$BL34=1,$BH34&gt;0),"–",""))</f>
        <v/>
      </c>
      <c r="AG35" s="74">
        <f>IF($BJ34&gt;0,IF(INDEX('Final Calculation Sheet'!$AF$4:$AF$40,$BJ34-3)="","",INDEX('Final Calculation Sheet'!$AF$4:$AF$40,$BJ34-3)),IF(OR($BI34=1,$BL34=1,$BH34&gt;0),"–",""))</f>
        <v/>
      </c>
      <c r="AH35" s="70">
        <f>IF($BJ34&gt;0,IF(INDEX('Final Calculation Sheet'!$AG$4:$AG$40,$BJ34-3)="","",INDEX('Final Calculation Sheet'!$AG$4:$AG$40,$BJ34-3)),IF(OR($BI34=1,$BL34=1,$BH34&gt;0),"–",""))</f>
        <v/>
      </c>
      <c r="AI35" s="75">
        <f>IF($BJ34&gt;0,IF(INDEX('Final Calculation Sheet'!$AD$4:$AD$40,$BJ34-3)="","",IF(INDEX('Final Calculation Sheet'!$AD$4:$AD$40,$BJ34-3)&lt;=0,"SETTLED","OUTSTANDING")),IF(OR($BI34=1,$BL34=1,$BH34&gt;0),IF(IF($BI34=1,SUM('Final Calculation Sheet'!$AD$4:$AD$40),IF($BL34=1,SUM('Final Calculation Sheet'!$AD$4:$AD$40)-SUMIFS('Final Calculation Sheet'!$AD$4:$AD$40,$AZ$5:$AZ$41,10),SUMIFS('Final Calculation Sheet'!$AD$4:$AD$40,$AZ$5:$AZ$41,$BH34)))&lt;=0,"ALL SETTLED","OUTSTANDING"),""))</f>
        <v/>
      </c>
      <c r="AK35">
        <f>IF($F$3="Lot No.",'Final Calculation Sheet'!$F$34,IF($F$3="Buyer",'Final Calculation Sheet'!$G$34,IF($F$3="Lot Name",'Final Calculation Sheet'!$B$34,IF($F$3="Bid Sheet",'Final Calculation Sheet'!$D$34,IF($F$3="Unit",'Final Calculation Sheet'!$E$34,'Final Calculation Sheet'!$F$34&amp;" "&amp;'Final Calculation Sheet'!$G$34&amp;" "&amp;'Final Calculation Sheet'!$B$34)))))</f>
        <v/>
      </c>
      <c r="AM35">
        <f>IF(COUNTIF($BM35:$CU35,0)&gt;0,0,IF($B$3="",1,IF(AND(IF(COUNTIF($AR$9:$AY$9,1)=0,TRUE,SUMPRODUCT(($AR$9:$AY$9=1)*($AR$6:$AY$6&lt;&gt;"")*ISNUMBER(SEARCH($AR$6:$AY$6,$AK35)))&gt;0),IF(COUNTIF($AR$9:$AY$9,2)=0,TRUE,SUMPRODUCT(($AR$9:$AY$9=2)*($AR$6:$AY$6&lt;&gt;"")*ISNUMBER(SEARCH($AR$6:$AY$6,$AK35)))&gt;0),IF(COUNTIF($AR$9:$AY$9,3)=0,TRUE,SUMPRODUCT(($AR$9:$AY$9=3)*($AR$6:$AY$6&lt;&gt;"")*ISNUMBER(SEARCH($AR$6:$AY$6,$AK35)))&gt;0),IF(COUNTIF($AR$9:$AY$9,4)=0,TRUE,SUMPRODUCT(($AR$9:$AY$9=4)*($AR$6:$AY$6&lt;&gt;"")*ISNUMBER(SEARCH($AR$6:$AY$6,$AK35)))&gt;0),IF(COUNTIF($AR$9:$AY$9,5)=0,TRUE,SUMPRODUCT(($AR$9:$AY$9=5)*($AR$6:$AY$6&lt;&gt;"")*ISNUMBER(SEARCH($AR$6:$AY$6,$AK35)))&gt;0),IF(COUNTIF($AR$9:$AY$9,6)=0,TRUE,SUMPRODUCT(($AR$9:$AY$9=6)*($AR$6:$AY$6&lt;&gt;"")*ISNUMBER(SEARCH($AR$6:$AY$6,$AK35)))&gt;0),IF(COUNTIF($AR$9:$AY$9,7)=0,TRUE,SUMPRODUCT(($AR$9:$AY$9=7)*($AR$6:$AY$6&lt;&gt;"")*ISNUMBER(SEARCH($AR$6:$AY$6,$AK35)))&gt;0),IF(COUNTIF($AR$9:$AY$9,8)=0,TRUE,SUMPRODUCT(($AR$9:$AY$9=8)*($AR$6:$AY$6&lt;&gt;"")*ISNUMBER(SEARCH($AR$6:$AY$6,$AK35)))&gt;0)),1,0)))</f>
        <v/>
      </c>
      <c r="AZ35">
        <f>IF($B$3="",IF(COUNTIF($A$4:$AI$4,"&lt;&gt;")=0,9,IF($AM35=1,9,10)),IF($AM35=0,10,IF(AND($AR$6&lt;&gt;"",ISNUMBER(SEARCH($AR$6,$AK35))),1,IF(AND($AS$6&lt;&gt;"",ISNUMBER(SEARCH($AS$6,$AK35))),2,IF(AND($AT$6&lt;&gt;"",ISNUMBER(SEARCH($AT$6,$AK35))),3,IF(AND($AU$6&lt;&gt;"",ISNUMBER(SEARCH($AU$6,$AK35))),4,IF(AND($AV$6&lt;&gt;"",ISNUMBER(SEARCH($AV$6,$AK35))),5,IF(AND($AW$6&lt;&gt;"",ISNUMBER(SEARCH($AW$6,$AK35))),6,IF(AND($AX$6&lt;&gt;"",ISNUMBER(SEARCH($AX$6,$AK35))),7,IF(AND($AY$6&lt;&gt;"",ISNUMBER(SEARCH($AY$6,$AK35))),8,0))))))))))</f>
        <v/>
      </c>
      <c r="BA35">
        <f>SUMPRODUCT(($AZ$5:$AZ$41=$AZ35)*($BC$5:$BC$41&lt;$BC35))+1</f>
        <v/>
      </c>
      <c r="BB35">
        <f>IF(INDEX($BF$4:$BF$13,$AZ35)=0,0,INDEX($BE$4:$BE$13,$AZ35)+$BA35-1)</f>
        <v/>
      </c>
      <c r="BC35" t="n">
        <v>34</v>
      </c>
      <c r="BH35">
        <f>IFERROR(MATCH(35,$BF$4:$BF$13,0),0)</f>
        <v/>
      </c>
      <c r="BI35">
        <f>IF(35=$BG$5,1,0)</f>
        <v/>
      </c>
      <c r="BJ35">
        <f>IF(OR($BH35&gt;0,$BI35=1,$BL35=1),0,IFERROR(INDEX($BC$5:$BC$41,MATCH(35,$BB$5:$BB$41,0)),0))</f>
        <v/>
      </c>
      <c r="BK35">
        <f>IF($BJ35&gt;0,IF(INDEX($AZ$5:$AZ$41,MATCH(35,$BB$5:$BB$41,0))=10,1,0),IF($BH35=10,1,0))</f>
        <v/>
      </c>
      <c r="BL35">
        <f>IF(35=$BG$4,1,0)</f>
        <v/>
      </c>
      <c r="BM35">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5">
        <f>IF($B$4="",1,--(OR(SUMPRODUCT(--(TRIM(MID(SUBSTITUTE(SUBSTITUTE($B$4,"/",","),",",REPT(" ",99)),(ROW($1:$8)-1)*99+1,99))&lt;&gt;""),--ISNUMBER(SEARCH(TRIM(MID(SUBSTITUTE(SUBSTITUTE($B$4,"/",","),",",REPT(" ",99)),(ROW($1:$8)-1)*99+1,99)),IFERROR(('Final Calculation Sheet'!$F$34)&amp;"",""))))&gt;0,AND(ISNUMBER(SEARCH("blank",$B$4)),NOT(ISNUMBER(SEARCH("nonblank",$B$4))),IFERROR(('Final Calculation Sheet'!$F$34)&amp;"","")=""),AND(OR(ISNUMBER(SEARCH("nonblank",$B$4)),ISNUMBER(SEARCH("&lt;&gt;",$B$4))),IFERROR(('Final Calculation Sheet'!$F$34)&amp;"","")&lt;&gt;""),AND(TRIM($B$4)="",IFERROR(('Final Calculation Sheet'!$F$34)&amp;"","")=""))))</f>
        <v/>
      </c>
      <c r="BO35">
        <f>IF($C$4="",1,--(OR(SUMPRODUCT(--(TRIM(MID(SUBSTITUTE(SUBSTITUTE($C$4,"/",","),",",REPT(" ",99)),(ROW($1:$8)-1)*99+1,99))&lt;&gt;""),--ISNUMBER(SEARCH(TRIM(MID(SUBSTITUTE(SUBSTITUTE($C$4,"/",","),",",REPT(" ",99)),(ROW($1:$8)-1)*99+1,99)),IFERROR(('Final Calculation Sheet'!$G$34)&amp;"",""))))&gt;0,AND(ISNUMBER(SEARCH("blank",$C$4)),NOT(ISNUMBER(SEARCH("nonblank",$C$4))),IFERROR(('Final Calculation Sheet'!$G$34)&amp;"","")=""),AND(OR(ISNUMBER(SEARCH("nonblank",$C$4)),ISNUMBER(SEARCH("&lt;&gt;",$C$4))),IFERROR(('Final Calculation Sheet'!$G$34)&amp;"","")&lt;&gt;""),AND(TRIM($C$4)="",IFERROR(('Final Calculation Sheet'!$G$34)&amp;"","")=""))))</f>
        <v/>
      </c>
      <c r="BP35">
        <f>IF($D$4="",1,--(OR(SUMPRODUCT(--(TRIM(MID(SUBSTITUTE(SUBSTITUTE($D$4,"/",","),",",REPT(" ",99)),(ROW($1:$8)-1)*99+1,99))&lt;&gt;""),--ISNUMBER(SEARCH(TRIM(MID(SUBSTITUTE(SUBSTITUTE($D$4,"/",","),",",REPT(" ",99)),(ROW($1:$8)-1)*99+1,99)),IFERROR(('Final Calculation Sheet'!$B$34)&amp;"",""))))&gt;0,AND(ISNUMBER(SEARCH("blank",$D$4)),NOT(ISNUMBER(SEARCH("nonblank",$D$4))),IFERROR(('Final Calculation Sheet'!$B$34)&amp;"","")=""),AND(OR(ISNUMBER(SEARCH("nonblank",$D$4)),ISNUMBER(SEARCH("&lt;&gt;",$D$4))),IFERROR(('Final Calculation Sheet'!$B$34)&amp;"","")&lt;&gt;""),AND(TRIM($D$4)="",IFERROR(('Final Calculation Sheet'!$B$34)&amp;"","")=""))))</f>
        <v/>
      </c>
      <c r="BQ35">
        <f>IF($E$4="",1,--(OR(SUMPRODUCT(--(TRIM(MID(SUBSTITUTE(SUBSTITUTE($E$4,"/",","),",",REPT(" ",99)),(ROW($1:$8)-1)*99+1,99))&lt;&gt;""),--ISNUMBER(SEARCH(TRIM(MID(SUBSTITUTE(SUBSTITUTE($E$4,"/",","),",",REPT(" ",99)),(ROW($1:$8)-1)*99+1,99)),IFERROR(('Final Calculation Sheet'!$D$34)&amp;"",""))))&gt;0,AND(ISNUMBER(SEARCH("blank",$E$4)),NOT(ISNUMBER(SEARCH("nonblank",$E$4))),IFERROR(('Final Calculation Sheet'!$D$34)&amp;"","")=""),AND(OR(ISNUMBER(SEARCH("nonblank",$E$4)),ISNUMBER(SEARCH("&lt;&gt;",$E$4))),IFERROR(('Final Calculation Sheet'!$D$34)&amp;"","")&lt;&gt;""),AND(TRIM($E$4)="",IFERROR(('Final Calculation Sheet'!$D$34)&amp;"","")=""))))</f>
        <v/>
      </c>
      <c r="BR35">
        <f>IF($F$4="",1,--(OR(SUMPRODUCT(--(TRIM(MID(SUBSTITUTE(SUBSTITUTE($F$4,"/",","),",",REPT(" ",99)),(ROW($1:$8)-1)*99+1,99))&lt;&gt;""),--ISNUMBER(SEARCH(TRIM(MID(SUBSTITUTE(SUBSTITUTE($F$4,"/",","),",",REPT(" ",99)),(ROW($1:$8)-1)*99+1,99)),IFERROR(('Final Calculation Sheet'!$A$34)&amp;"",""))))&gt;0,AND(ISNUMBER(SEARCH("blank",$F$4)),NOT(ISNUMBER(SEARCH("nonblank",$F$4))),IFERROR(('Final Calculation Sheet'!$A$34)&amp;"","")=""),AND(OR(ISNUMBER(SEARCH("nonblank",$F$4)),ISNUMBER(SEARCH("&lt;&gt;",$F$4))),IFERROR(('Final Calculation Sheet'!$A$34)&amp;"","")&lt;&gt;""),AND(TRIM($F$4)="",IFERROR(('Final Calculation Sheet'!$A$34)&amp;"","")=""))))</f>
        <v/>
      </c>
      <c r="BS35">
        <f>IF($G$4="",1,--(OR(SUMPRODUCT(--(TRIM(MID(SUBSTITUTE(SUBSTITUTE($G$4,"/",","),",",REPT(" ",99)),(ROW($1:$8)-1)*99+1,99))&lt;&gt;""),--ISNUMBER(SEARCH(TRIM(MID(SUBSTITUTE(SUBSTITUTE($G$4,"/",","),",",REPT(" ",99)),(ROW($1:$8)-1)*99+1,99)),IFERROR(('Final Calculation Sheet'!$E$34)&amp;"",""))))&gt;0,AND(ISNUMBER(SEARCH("blank",$G$4)),NOT(ISNUMBER(SEARCH("nonblank",$G$4))),IFERROR(('Final Calculation Sheet'!$E$34)&amp;"","")=""),AND(OR(ISNUMBER(SEARCH("nonblank",$G$4)),ISNUMBER(SEARCH("&lt;&gt;",$G$4))),IFERROR(('Final Calculation Sheet'!$E$34)&amp;"","")&lt;&gt;""),AND(TRIM($G$4)="",IFERROR(('Final Calculation Sheet'!$E$34)&amp;"","")=""))))</f>
        <v/>
      </c>
      <c r="BT35">
        <f>IF($H$4="",1,--(OR(SUMPRODUCT(--(TRIM(MID(SUBSTITUTE(SUBSTITUTE($H$4,"/",","),",",REPT(" ",99)),(ROW($1:$8)-1)*99+1,99))&lt;&gt;""),--ISNUMBER(SEARCH(TRIM(MID(SUBSTITUTE(SUBSTITUTE($H$4,"/",","),",",REPT(" ",99)),(ROW($1:$8)-1)*99+1,99)),IFERROR(('Final Calculation Sheet'!$C$34)&amp;"",""))))&gt;0,AND(ISNUMBER(SEARCH("blank",$H$4)),NOT(ISNUMBER(SEARCH("nonblank",$H$4))),IFERROR(('Final Calculation Sheet'!$C$34)&amp;"","")=""),AND(OR(ISNUMBER(SEARCH("nonblank",$H$4)),ISNUMBER(SEARCH("&lt;&gt;",$H$4))),IFERROR(('Final Calculation Sheet'!$C$34)&amp;"","")&lt;&gt;""),AND(TRIM($H$4)="",IFERROR(('Final Calculation Sheet'!$C$34)&amp;"","")=""))))</f>
        <v/>
      </c>
      <c r="BU35">
        <f>IF($I$4="",1,--(OR(SUMPRODUCT(--(TRIM(MID(SUBSTITUTE(SUBSTITUTE($I$4,"/",","),",",REPT(" ",99)),(ROW($1:$8)-1)*99+1,99))&lt;&gt;""),--ISNUMBER(SEARCH(TRIM(MID(SUBSTITUTE(SUBSTITUTE($I$4,"/",","),",",REPT(" ",99)),(ROW($1:$8)-1)*99+1,99)),IFERROR(('Final Calculation Sheet'!$H$34)&amp;"",""))))&gt;0,AND(ISNUMBER(SEARCH("blank",$I$4)),NOT(ISNUMBER(SEARCH("nonblank",$I$4))),IFERROR(('Final Calculation Sheet'!$H$34)&amp;"","")=""),AND(OR(ISNUMBER(SEARCH("nonblank",$I$4)),ISNUMBER(SEARCH("&lt;&gt;",$I$4))),IFERROR(('Final Calculation Sheet'!$H$34)&amp;"","")&lt;&gt;""),AND(TRIM($I$4)="",IFERROR(('Final Calculation Sheet'!$H$34)&amp;"","")=""))))</f>
        <v/>
      </c>
      <c r="BV35">
        <f>IF($J$4="",1,--(OR(SUMPRODUCT(--(TRIM(MID(SUBSTITUTE(SUBSTITUTE($J$4,"/",","),",",REPT(" ",99)),(ROW($1:$8)-1)*99+1,99))&lt;&gt;""),--ISNUMBER(SEARCH(TRIM(MID(SUBSTITUTE(SUBSTITUTE($J$4,"/",","),",",REPT(" ",99)),(ROW($1:$8)-1)*99+1,99)),IFERROR(('Final Calculation Sheet'!$I$34)&amp;"",""))))&gt;0,AND(ISNUMBER(SEARCH("blank",$J$4)),NOT(ISNUMBER(SEARCH("nonblank",$J$4))),IFERROR(('Final Calculation Sheet'!$I$34)&amp;"","")=""),AND(OR(ISNUMBER(SEARCH("nonblank",$J$4)),ISNUMBER(SEARCH("&lt;&gt;",$J$4))),IFERROR(('Final Calculation Sheet'!$I$34)&amp;"","")&lt;&gt;""),AND(TRIM($J$4)="",IFERROR(('Final Calculation Sheet'!$I$34)&amp;"","")=""))))</f>
        <v/>
      </c>
      <c r="BW35">
        <f>IF($K$4="",1,--(OR(SUMPRODUCT(--(TRIM(MID(SUBSTITUTE(SUBSTITUTE($K$4,"/",","),",",REPT(" ",99)),(ROW($1:$8)-1)*99+1,99))&lt;&gt;""),--ISNUMBER(SEARCH(TRIM(MID(SUBSTITUTE(SUBSTITUTE($K$4,"/",","),",",REPT(" ",99)),(ROW($1:$8)-1)*99+1,99)),IFERROR(('Final Calculation Sheet'!$J$34)&amp;"",""))))&gt;0,AND(ISNUMBER(SEARCH("blank",$K$4)),NOT(ISNUMBER(SEARCH("nonblank",$K$4))),IFERROR(('Final Calculation Sheet'!$J$34)&amp;"","")=""),AND(OR(ISNUMBER(SEARCH("nonblank",$K$4)),ISNUMBER(SEARCH("&lt;&gt;",$K$4))),IFERROR(('Final Calculation Sheet'!$J$34)&amp;"","")&lt;&gt;""),AND(TRIM($K$4)="",IFERROR(('Final Calculation Sheet'!$J$34)&amp;"","")=""))))</f>
        <v/>
      </c>
      <c r="BX35">
        <f>IF($L$4="",1,--(OR(SUMPRODUCT(--(TRIM(MID(SUBSTITUTE(SUBSTITUTE($L$4,"/",","),",",REPT(" ",99)),(ROW($1:$8)-1)*99+1,99))&lt;&gt;""),--ISNUMBER(SEARCH(TRIM(MID(SUBSTITUTE(SUBSTITUTE($L$4,"/",","),",",REPT(" ",99)),(ROW($1:$8)-1)*99+1,99)),IFERROR(('Final Calculation Sheet'!$K$34)&amp;"",""))))&gt;0,AND(ISNUMBER(SEARCH("blank",$L$4)),NOT(ISNUMBER(SEARCH("nonblank",$L$4))),IFERROR(('Final Calculation Sheet'!$K$34)&amp;"","")=""),AND(OR(ISNUMBER(SEARCH("nonblank",$L$4)),ISNUMBER(SEARCH("&lt;&gt;",$L$4))),IFERROR(('Final Calculation Sheet'!$K$34)&amp;"","")&lt;&gt;""),AND(TRIM($L$4)="",IFERROR(('Final Calculation Sheet'!$K$34)&amp;"","")=""))))</f>
        <v/>
      </c>
      <c r="BY35">
        <f>IF($M$4="",1,--(OR(SUMPRODUCT(--(TRIM(MID(SUBSTITUTE(SUBSTITUTE($M$4,"/",","),",",REPT(" ",99)),(ROW($1:$8)-1)*99+1,99))&lt;&gt;""),--ISNUMBER(SEARCH(TRIM(MID(SUBSTITUTE(SUBSTITUTE($M$4,"/",","),",",REPT(" ",99)),(ROW($1:$8)-1)*99+1,99)),IFERROR(('Final Calculation Sheet'!$L$34)&amp;"",""))))&gt;0,AND(ISNUMBER(SEARCH("blank",$M$4)),NOT(ISNUMBER(SEARCH("nonblank",$M$4))),IFERROR(('Final Calculation Sheet'!$L$34)&amp;"","")=""),AND(OR(ISNUMBER(SEARCH("nonblank",$M$4)),ISNUMBER(SEARCH("&lt;&gt;",$M$4))),IFERROR(('Final Calculation Sheet'!$L$34)&amp;"","")&lt;&gt;""),AND(TRIM($M$4)="",IFERROR(('Final Calculation Sheet'!$L$34)&amp;"","")=""))))</f>
        <v/>
      </c>
      <c r="BZ35">
        <f>IF($N$4="",1,--(OR(SUMPRODUCT(--(TRIM(MID(SUBSTITUTE(SUBSTITUTE($N$4,"/",","),",",REPT(" ",99)),(ROW($1:$8)-1)*99+1,99))&lt;&gt;""),--ISNUMBER(SEARCH(TRIM(MID(SUBSTITUTE(SUBSTITUTE($N$4,"/",","),",",REPT(" ",99)),(ROW($1:$8)-1)*99+1,99)),IFERROR(('Final Calculation Sheet'!$M$34)&amp;"",""))))&gt;0,AND(ISNUMBER(SEARCH("blank",$N$4)),NOT(ISNUMBER(SEARCH("nonblank",$N$4))),IFERROR(('Final Calculation Sheet'!$M$34)&amp;"","")=""),AND(OR(ISNUMBER(SEARCH("nonblank",$N$4)),ISNUMBER(SEARCH("&lt;&gt;",$N$4))),IFERROR(('Final Calculation Sheet'!$M$34)&amp;"","")&lt;&gt;""),AND(TRIM($N$4)="",IFERROR(('Final Calculation Sheet'!$M$34)&amp;"","")=""))))</f>
        <v/>
      </c>
      <c r="CA35">
        <f>IF($O$4="",1,--(OR(SUMPRODUCT(--(TRIM(MID(SUBSTITUTE(SUBSTITUTE($O$4,"/",","),",",REPT(" ",99)),(ROW($1:$8)-1)*99+1,99))&lt;&gt;""),--ISNUMBER(SEARCH(TRIM(MID(SUBSTITUTE(SUBSTITUTE($O$4,"/",","),",",REPT(" ",99)),(ROW($1:$8)-1)*99+1,99)),IFERROR(('Final Calculation Sheet'!$N$34)&amp;"",""))))&gt;0,AND(ISNUMBER(SEARCH("blank",$O$4)),NOT(ISNUMBER(SEARCH("nonblank",$O$4))),IFERROR(('Final Calculation Sheet'!$N$34)&amp;"","")=""),AND(OR(ISNUMBER(SEARCH("nonblank",$O$4)),ISNUMBER(SEARCH("&lt;&gt;",$O$4))),IFERROR(('Final Calculation Sheet'!$N$34)&amp;"","")&lt;&gt;""),AND(TRIM($O$4)="",IFERROR(('Final Calculation Sheet'!$N$34)&amp;"","")=""))))</f>
        <v/>
      </c>
      <c r="CB35">
        <f>IF($P$4="",1,--(OR(SUMPRODUCT(--(TRIM(MID(SUBSTITUTE(SUBSTITUTE($P$4,"/",","),",",REPT(" ",99)),(ROW($1:$8)-1)*99+1,99))&lt;&gt;""),--ISNUMBER(SEARCH(TRIM(MID(SUBSTITUTE(SUBSTITUTE($P$4,"/",","),",",REPT(" ",99)),(ROW($1:$8)-1)*99+1,99)),IFERROR(('Final Calculation Sheet'!$O$34)&amp;"",""))))&gt;0,AND(ISNUMBER(SEARCH("blank",$P$4)),NOT(ISNUMBER(SEARCH("nonblank",$P$4))),IFERROR(('Final Calculation Sheet'!$O$34)&amp;"","")=""),AND(OR(ISNUMBER(SEARCH("nonblank",$P$4)),ISNUMBER(SEARCH("&lt;&gt;",$P$4))),IFERROR(('Final Calculation Sheet'!$O$34)&amp;"","")&lt;&gt;""),AND(TRIM($P$4)="",IFERROR(('Final Calculation Sheet'!$O$34)&amp;"","")=""))))</f>
        <v/>
      </c>
      <c r="CC35">
        <f>IF($Q$4="",1,--(OR(SUMPRODUCT(--(TRIM(MID(SUBSTITUTE(SUBSTITUTE($Q$4,"/",","),",",REPT(" ",99)),(ROW($1:$8)-1)*99+1,99))&lt;&gt;""),--ISNUMBER(SEARCH(TRIM(MID(SUBSTITUTE(SUBSTITUTE($Q$4,"/",","),",",REPT(" ",99)),(ROW($1:$8)-1)*99+1,99)),IFERROR(('Final Calculation Sheet'!$P$34)&amp;"",""))))&gt;0,AND(ISNUMBER(SEARCH("blank",$Q$4)),NOT(ISNUMBER(SEARCH("nonblank",$Q$4))),IFERROR(('Final Calculation Sheet'!$P$34)&amp;"","")=""),AND(OR(ISNUMBER(SEARCH("nonblank",$Q$4)),ISNUMBER(SEARCH("&lt;&gt;",$Q$4))),IFERROR(('Final Calculation Sheet'!$P$34)&amp;"","")&lt;&gt;""),AND(TRIM($Q$4)="",IFERROR(('Final Calculation Sheet'!$P$34)&amp;"","")=""))))</f>
        <v/>
      </c>
      <c r="CD35">
        <f>IF($R$4="",1,--(OR(SUMPRODUCT(--(TRIM(MID(SUBSTITUTE(SUBSTITUTE($R$4,"/",","),",",REPT(" ",99)),(ROW($1:$8)-1)*99+1,99))&lt;&gt;""),--ISNUMBER(SEARCH(TRIM(MID(SUBSTITUTE(SUBSTITUTE($R$4,"/",","),",",REPT(" ",99)),(ROW($1:$8)-1)*99+1,99)),IFERROR(('Final Calculation Sheet'!$Q$34)&amp;"",""))))&gt;0,AND(ISNUMBER(SEARCH("blank",$R$4)),NOT(ISNUMBER(SEARCH("nonblank",$R$4))),IFERROR(('Final Calculation Sheet'!$Q$34)&amp;"","")=""),AND(OR(ISNUMBER(SEARCH("nonblank",$R$4)),ISNUMBER(SEARCH("&lt;&gt;",$R$4))),IFERROR(('Final Calculation Sheet'!$Q$34)&amp;"","")&lt;&gt;""),AND(TRIM($R$4)="",IFERROR(('Final Calculation Sheet'!$Q$34)&amp;"","")=""))))</f>
        <v/>
      </c>
      <c r="CE35">
        <f>IF($S$4="",1,--(OR(SUMPRODUCT(--(TRIM(MID(SUBSTITUTE(SUBSTITUTE($S$4,"/",","),",",REPT(" ",99)),(ROW($1:$8)-1)*99+1,99))&lt;&gt;""),--ISNUMBER(SEARCH(TRIM(MID(SUBSTITUTE(SUBSTITUTE($S$4,"/",","),",",REPT(" ",99)),(ROW($1:$8)-1)*99+1,99)),IFERROR(('Final Calculation Sheet'!$R$34)&amp;"",""))))&gt;0,AND(ISNUMBER(SEARCH("blank",$S$4)),NOT(ISNUMBER(SEARCH("nonblank",$S$4))),IFERROR(('Final Calculation Sheet'!$R$34)&amp;"","")=""),AND(OR(ISNUMBER(SEARCH("nonblank",$S$4)),ISNUMBER(SEARCH("&lt;&gt;",$S$4))),IFERROR(('Final Calculation Sheet'!$R$34)&amp;"","")&lt;&gt;""),AND(TRIM($S$4)="",IFERROR(('Final Calculation Sheet'!$R$34)&amp;"","")=""))))</f>
        <v/>
      </c>
      <c r="CF35">
        <f>IF($T$4="",1,--(OR(SUMPRODUCT(--(TRIM(MID(SUBSTITUTE(SUBSTITUTE($T$4,"/",","),",",REPT(" ",99)),(ROW($1:$8)-1)*99+1,99))&lt;&gt;""),--ISNUMBER(SEARCH(TRIM(MID(SUBSTITUTE(SUBSTITUTE($T$4,"/",","),",",REPT(" ",99)),(ROW($1:$8)-1)*99+1,99)),IFERROR(('Final Calculation Sheet'!$S$34)&amp;"",""))))&gt;0,AND(ISNUMBER(SEARCH("blank",$T$4)),NOT(ISNUMBER(SEARCH("nonblank",$T$4))),IFERROR(('Final Calculation Sheet'!$S$34)&amp;"","")=""),AND(OR(ISNUMBER(SEARCH("nonblank",$T$4)),ISNUMBER(SEARCH("&lt;&gt;",$T$4))),IFERROR(('Final Calculation Sheet'!$S$34)&amp;"","")&lt;&gt;""),AND(TRIM($T$4)="",IFERROR(('Final Calculation Sheet'!$S$34)&amp;"","")=""))))</f>
        <v/>
      </c>
      <c r="CG35">
        <f>IF($U$4="",1,--(OR(SUMPRODUCT(--(TRIM(MID(SUBSTITUTE(SUBSTITUTE($U$4,"/",","),",",REPT(" ",99)),(ROW($1:$8)-1)*99+1,99))&lt;&gt;""),--ISNUMBER(SEARCH(TRIM(MID(SUBSTITUTE(SUBSTITUTE($U$4,"/",","),",",REPT(" ",99)),(ROW($1:$8)-1)*99+1,99)),IFERROR(('Final Calculation Sheet'!$T$34)&amp;"",""))))&gt;0,AND(ISNUMBER(SEARCH("blank",$U$4)),NOT(ISNUMBER(SEARCH("nonblank",$U$4))),IFERROR(('Final Calculation Sheet'!$T$34)&amp;"","")=""),AND(OR(ISNUMBER(SEARCH("nonblank",$U$4)),ISNUMBER(SEARCH("&lt;&gt;",$U$4))),IFERROR(('Final Calculation Sheet'!$T$34)&amp;"","")&lt;&gt;""),AND(TRIM($U$4)="",IFERROR(('Final Calculation Sheet'!$T$34)&amp;"","")=""))))</f>
        <v/>
      </c>
      <c r="CH35">
        <f>IF($V$4="",1,--(OR(SUMPRODUCT(--(TRIM(MID(SUBSTITUTE(SUBSTITUTE($V$4,"/",","),",",REPT(" ",99)),(ROW($1:$8)-1)*99+1,99))&lt;&gt;""),--ISNUMBER(SEARCH(TRIM(MID(SUBSTITUTE(SUBSTITUTE($V$4,"/",","),",",REPT(" ",99)),(ROW($1:$8)-1)*99+1,99)),IFERROR(('Final Calculation Sheet'!$U$34)&amp;"",""))))&gt;0,AND(ISNUMBER(SEARCH("blank",$V$4)),NOT(ISNUMBER(SEARCH("nonblank",$V$4))),IFERROR(('Final Calculation Sheet'!$U$34)&amp;"","")=""),AND(OR(ISNUMBER(SEARCH("nonblank",$V$4)),ISNUMBER(SEARCH("&lt;&gt;",$V$4))),IFERROR(('Final Calculation Sheet'!$U$34)&amp;"","")&lt;&gt;""),AND(TRIM($V$4)="",IFERROR(('Final Calculation Sheet'!$U$34)&amp;"","")=""))))</f>
        <v/>
      </c>
      <c r="CI35">
        <f>IF($W$4="",1,--(OR(SUMPRODUCT(--(TRIM(MID(SUBSTITUTE(SUBSTITUTE($W$4,"/",","),",",REPT(" ",99)),(ROW($1:$8)-1)*99+1,99))&lt;&gt;""),--ISNUMBER(SEARCH(TRIM(MID(SUBSTITUTE(SUBSTITUTE($W$4,"/",","),",",REPT(" ",99)),(ROW($1:$8)-1)*99+1,99)),IFERROR(('Final Calculation Sheet'!$V$34)&amp;"",""))))&gt;0,AND(ISNUMBER(SEARCH("blank",$W$4)),NOT(ISNUMBER(SEARCH("nonblank",$W$4))),IFERROR(('Final Calculation Sheet'!$V$34)&amp;"","")=""),AND(OR(ISNUMBER(SEARCH("nonblank",$W$4)),ISNUMBER(SEARCH("&lt;&gt;",$W$4))),IFERROR(('Final Calculation Sheet'!$V$34)&amp;"","")&lt;&gt;""),AND(TRIM($W$4)="",IFERROR(('Final Calculation Sheet'!$V$34)&amp;"","")=""))))</f>
        <v/>
      </c>
      <c r="CJ35">
        <f>IF($X$4="",1,--(OR(SUMPRODUCT(--(TRIM(MID(SUBSTITUTE(SUBSTITUTE($X$4,"/",","),",",REPT(" ",99)),(ROW($1:$8)-1)*99+1,99))&lt;&gt;""),--ISNUMBER(SEARCH(TRIM(MID(SUBSTITUTE(SUBSTITUTE($X$4,"/",","),",",REPT(" ",99)),(ROW($1:$8)-1)*99+1,99)),IFERROR(('Final Calculation Sheet'!$W$34)&amp;"",""))))&gt;0,AND(ISNUMBER(SEARCH("blank",$X$4)),NOT(ISNUMBER(SEARCH("nonblank",$X$4))),IFERROR(('Final Calculation Sheet'!$W$34)&amp;"","")=""),AND(OR(ISNUMBER(SEARCH("nonblank",$X$4)),ISNUMBER(SEARCH("&lt;&gt;",$X$4))),IFERROR(('Final Calculation Sheet'!$W$34)&amp;"","")&lt;&gt;""),AND(TRIM($X$4)="",IFERROR(('Final Calculation Sheet'!$W$34)&amp;"","")=""))))</f>
        <v/>
      </c>
      <c r="CK35">
        <f>IF($Y$4="",1,--(OR(SUMPRODUCT(--(TRIM(MID(SUBSTITUTE(SUBSTITUTE($Y$4,"/",","),",",REPT(" ",99)),(ROW($1:$8)-1)*99+1,99))&lt;&gt;""),--ISNUMBER(SEARCH(TRIM(MID(SUBSTITUTE(SUBSTITUTE($Y$4,"/",","),",",REPT(" ",99)),(ROW($1:$8)-1)*99+1,99)),IFERROR(('Final Calculation Sheet'!$X$34)&amp;"",""))))&gt;0,AND(ISNUMBER(SEARCH("blank",$Y$4)),NOT(ISNUMBER(SEARCH("nonblank",$Y$4))),IFERROR(('Final Calculation Sheet'!$X$34)&amp;"","")=""),AND(OR(ISNUMBER(SEARCH("nonblank",$Y$4)),ISNUMBER(SEARCH("&lt;&gt;",$Y$4))),IFERROR(('Final Calculation Sheet'!$X$34)&amp;"","")&lt;&gt;""),AND(TRIM($Y$4)="",IFERROR(('Final Calculation Sheet'!$X$34)&amp;"","")=""))))</f>
        <v/>
      </c>
      <c r="CL35">
        <f>IF($Z$4="",1,--(OR(SUMPRODUCT(--(TRIM(MID(SUBSTITUTE(SUBSTITUTE($Z$4,"/",","),",",REPT(" ",99)),(ROW($1:$8)-1)*99+1,99))&lt;&gt;""),--ISNUMBER(SEARCH(TRIM(MID(SUBSTITUTE(SUBSTITUTE($Z$4,"/",","),",",REPT(" ",99)),(ROW($1:$8)-1)*99+1,99)),IFERROR(('Final Calculation Sheet'!$Y$34)&amp;"",""))))&gt;0,AND(ISNUMBER(SEARCH("blank",$Z$4)),NOT(ISNUMBER(SEARCH("nonblank",$Z$4))),IFERROR(('Final Calculation Sheet'!$Y$34)&amp;"","")=""),AND(OR(ISNUMBER(SEARCH("nonblank",$Z$4)),ISNUMBER(SEARCH("&lt;&gt;",$Z$4))),IFERROR(('Final Calculation Sheet'!$Y$34)&amp;"","")&lt;&gt;""),AND(TRIM($Z$4)="",IFERROR(('Final Calculation Sheet'!$Y$34)&amp;"","")=""))))</f>
        <v/>
      </c>
      <c r="CM35">
        <f>IF($AA$4="",1,--(OR(SUMPRODUCT(--(TRIM(MID(SUBSTITUTE(SUBSTITUTE($AA$4,"/",","),",",REPT(" ",99)),(ROW($1:$8)-1)*99+1,99))&lt;&gt;""),--ISNUMBER(SEARCH(TRIM(MID(SUBSTITUTE(SUBSTITUTE($AA$4,"/",","),",",REPT(" ",99)),(ROW($1:$8)-1)*99+1,99)),IFERROR(('Final Calculation Sheet'!$Z$34)&amp;"",""))))&gt;0,AND(ISNUMBER(SEARCH("blank",$AA$4)),NOT(ISNUMBER(SEARCH("nonblank",$AA$4))),IFERROR(('Final Calculation Sheet'!$Z$34)&amp;"","")=""),AND(OR(ISNUMBER(SEARCH("nonblank",$AA$4)),ISNUMBER(SEARCH("&lt;&gt;",$AA$4))),IFERROR(('Final Calculation Sheet'!$Z$34)&amp;"","")&lt;&gt;""),AND(TRIM($AA$4)="",IFERROR(('Final Calculation Sheet'!$Z$34)&amp;"","")=""))))</f>
        <v/>
      </c>
      <c r="CN35">
        <f>IF($AB$4="",1,--(OR(SUMPRODUCT(--(TRIM(MID(SUBSTITUTE(SUBSTITUTE($AB$4,"/",","),",",REPT(" ",99)),(ROW($1:$8)-1)*99+1,99))&lt;&gt;""),--ISNUMBER(SEARCH(TRIM(MID(SUBSTITUTE(SUBSTITUTE($AB$4,"/",","),",",REPT(" ",99)),(ROW($1:$8)-1)*99+1,99)),IFERROR(('Final Calculation Sheet'!$AA$34)&amp;"",""))))&gt;0,AND(ISNUMBER(SEARCH("blank",$AB$4)),NOT(ISNUMBER(SEARCH("nonblank",$AB$4))),IFERROR(('Final Calculation Sheet'!$AA$34)&amp;"","")=""),AND(OR(ISNUMBER(SEARCH("nonblank",$AB$4)),ISNUMBER(SEARCH("&lt;&gt;",$AB$4))),IFERROR(('Final Calculation Sheet'!$AA$34)&amp;"","")&lt;&gt;""),AND(TRIM($AB$4)="",IFERROR(('Final Calculation Sheet'!$AA$34)&amp;"","")=""))))</f>
        <v/>
      </c>
      <c r="CO35">
        <f>IF($AC$4="",1,--(OR(SUMPRODUCT(--(TRIM(MID(SUBSTITUTE(SUBSTITUTE($AC$4,"/",","),",",REPT(" ",99)),(ROW($1:$8)-1)*99+1,99))&lt;&gt;""),--ISNUMBER(SEARCH(TRIM(MID(SUBSTITUTE(SUBSTITUTE($AC$4,"/",","),",",REPT(" ",99)),(ROW($1:$8)-1)*99+1,99)),IFERROR(('Final Calculation Sheet'!$AB$34)&amp;"",""))))&gt;0,AND(ISNUMBER(SEARCH("blank",$AC$4)),NOT(ISNUMBER(SEARCH("nonblank",$AC$4))),IFERROR(('Final Calculation Sheet'!$AB$34)&amp;"","")=""),AND(OR(ISNUMBER(SEARCH("nonblank",$AC$4)),ISNUMBER(SEARCH("&lt;&gt;",$AC$4))),IFERROR(('Final Calculation Sheet'!$AB$34)&amp;"","")&lt;&gt;""),AND(TRIM($AC$4)="",IFERROR(('Final Calculation Sheet'!$AB$34)&amp;"","")=""))))</f>
        <v/>
      </c>
      <c r="CP35">
        <f>IF($AD$4="",1,--(OR(SUMPRODUCT(--(TRIM(MID(SUBSTITUTE(SUBSTITUTE($AD$4,"/",","),",",REPT(" ",99)),(ROW($1:$8)-1)*99+1,99))&lt;&gt;""),--ISNUMBER(SEARCH(TRIM(MID(SUBSTITUTE(SUBSTITUTE($AD$4,"/",","),",",REPT(" ",99)),(ROW($1:$8)-1)*99+1,99)),IFERROR(('Final Calculation Sheet'!$AC$34)&amp;"",""))))&gt;0,AND(ISNUMBER(SEARCH("blank",$AD$4)),NOT(ISNUMBER(SEARCH("nonblank",$AD$4))),IFERROR(('Final Calculation Sheet'!$AC$34)&amp;"","")=""),AND(OR(ISNUMBER(SEARCH("nonblank",$AD$4)),ISNUMBER(SEARCH("&lt;&gt;",$AD$4))),IFERROR(('Final Calculation Sheet'!$AC$34)&amp;"","")&lt;&gt;""),AND(TRIM($AD$4)="",IFERROR(('Final Calculation Sheet'!$AC$34)&amp;"","")=""))))</f>
        <v/>
      </c>
      <c r="CQ35">
        <f>IF($AE$4="",1,--(OR(SUMPRODUCT(--(TRIM(MID(SUBSTITUTE(SUBSTITUTE($AE$4,"/",","),",",REPT(" ",99)),(ROW($1:$8)-1)*99+1,99))&lt;&gt;""),--ISNUMBER(SEARCH(TRIM(MID(SUBSTITUTE(SUBSTITUTE($AE$4,"/",","),",",REPT(" ",99)),(ROW($1:$8)-1)*99+1,99)),IFERROR(('Final Calculation Sheet'!$AD$34)&amp;"",""))))&gt;0,AND(ISNUMBER(SEARCH("blank",$AE$4)),NOT(ISNUMBER(SEARCH("nonblank",$AE$4))),IFERROR(('Final Calculation Sheet'!$AD$34)&amp;"","")=""),AND(OR(ISNUMBER(SEARCH("nonblank",$AE$4)),ISNUMBER(SEARCH("&lt;&gt;",$AE$4))),IFERROR(('Final Calculation Sheet'!$AD$34)&amp;"","")&lt;&gt;""),AND(TRIM($AE$4)="",IFERROR(('Final Calculation Sheet'!$AD$34)&amp;"","")=""))))</f>
        <v/>
      </c>
      <c r="CR35">
        <f>IF($AF$4="",1,--(OR(SUMPRODUCT(--(TRIM(MID(SUBSTITUTE(SUBSTITUTE($AF$4,"/",","),",",REPT(" ",99)),(ROW($1:$8)-1)*99+1,99))&lt;&gt;""),--ISNUMBER(SEARCH(TRIM(MID(SUBSTITUTE(SUBSTITUTE($AF$4,"/",","),",",REPT(" ",99)),(ROW($1:$8)-1)*99+1,99)),IFERROR(('Final Calculation Sheet'!$AE$34)&amp;"",""))))&gt;0,AND(ISNUMBER(SEARCH("blank",$AF$4)),NOT(ISNUMBER(SEARCH("nonblank",$AF$4))),IFERROR(('Final Calculation Sheet'!$AE$34)&amp;"","")=""),AND(OR(ISNUMBER(SEARCH("nonblank",$AF$4)),ISNUMBER(SEARCH("&lt;&gt;",$AF$4))),IFERROR(('Final Calculation Sheet'!$AE$34)&amp;"","")&lt;&gt;""),AND(TRIM($AF$4)="",IFERROR(('Final Calculation Sheet'!$AE$34)&amp;"","")=""))))</f>
        <v/>
      </c>
      <c r="CS35">
        <f>IF($AG$4="",1,--(OR(SUMPRODUCT(--(TRIM(MID(SUBSTITUTE(SUBSTITUTE($AG$4,"/",","),",",REPT(" ",99)),(ROW($1:$8)-1)*99+1,99))&lt;&gt;""),--ISNUMBER(SEARCH(TRIM(MID(SUBSTITUTE(SUBSTITUTE($AG$4,"/",","),",",REPT(" ",99)),(ROW($1:$8)-1)*99+1,99)),IFERROR(('Final Calculation Sheet'!$AF$34)&amp;"",""))))&gt;0,AND(ISNUMBER(SEARCH("blank",$AG$4)),NOT(ISNUMBER(SEARCH("nonblank",$AG$4))),IFERROR(('Final Calculation Sheet'!$AF$34)&amp;"","")=""),AND(OR(ISNUMBER(SEARCH("nonblank",$AG$4)),ISNUMBER(SEARCH("&lt;&gt;",$AG$4))),IFERROR(('Final Calculation Sheet'!$AF$34)&amp;"","")&lt;&gt;""),AND(TRIM($AG$4)="",IFERROR(('Final Calculation Sheet'!$AF$34)&amp;"","")=""))))</f>
        <v/>
      </c>
      <c r="CT35">
        <f>IF($AH$4="",1,--(OR(SUMPRODUCT(--(TRIM(MID(SUBSTITUTE(SUBSTITUTE($AH$4,"/",","),",",REPT(" ",99)),(ROW($1:$8)-1)*99+1,99))&lt;&gt;""),--ISNUMBER(SEARCH(TRIM(MID(SUBSTITUTE(SUBSTITUTE($AH$4,"/",","),",",REPT(" ",99)),(ROW($1:$8)-1)*99+1,99)),IFERROR(('Final Calculation Sheet'!$AG$34)&amp;"",""))))&gt;0,AND(ISNUMBER(SEARCH("blank",$AH$4)),NOT(ISNUMBER(SEARCH("nonblank",$AH$4))),IFERROR(('Final Calculation Sheet'!$AG$34)&amp;"","")=""),AND(OR(ISNUMBER(SEARCH("nonblank",$AH$4)),ISNUMBER(SEARCH("&lt;&gt;",$AH$4))),IFERROR(('Final Calculation Sheet'!$AG$34)&amp;"","")&lt;&gt;""),AND(TRIM($AH$4)="",IFERROR(('Final Calculation Sheet'!$AG$34)&amp;"","")=""))))</f>
        <v/>
      </c>
      <c r="CU35">
        <f>IF($AI$4="",1,--(OR(SUMPRODUCT(--(TRIM(MID(SUBSTITUTE(SUBSTITUTE($AI$4,"/",","),",",REPT(" ",99)),(ROW($1:$8)-1)*99+1,99))&lt;&gt;""),--ISNUMBER(SEARCH(TRIM(MID(SUBSTITUTE(SUBSTITUTE($AI$4,"/",","),",",REPT(" ",99)),(ROW($1:$8)-1)*99+1,99)),IFERROR((IF('Final Calculation Sheet'!$AD$34&lt;=0,"SETTLED","OUTSTANDING"))&amp;"",""))))&gt;0,AND(ISNUMBER(SEARCH("blank",$AI$4)),NOT(ISNUMBER(SEARCH("nonblank",$AI$4))),IFERROR((IF('Final Calculation Sheet'!$AD$34&lt;=0,"SETTLED","OUTSTANDING"))&amp;"","")=""),AND(OR(ISNUMBER(SEARCH("nonblank",$AI$4)),ISNUMBER(SEARCH("&lt;&gt;",$AI$4))),IFERROR((IF('Final Calculation Sheet'!$AD$34&lt;=0,"SETTLED","OUTSTANDING"))&amp;"","")&lt;&gt;""),AND(TRIM($AI$4)="",IFERROR((IF('Final Calculation Sheet'!$AD$34&lt;=0,"SETTLED","OUTSTANDING"))&amp;"","")=""))))</f>
        <v/>
      </c>
    </row>
    <row r="36" ht="15" customHeight="1" s="77">
      <c r="A36" s="67">
        <f>IF($BJ35&gt;0,INDEX($BA$5:$BA$41,MATCH(35,$BB$5:$BB$41,0)),IF(OR($BI35=1,$BL35=1,$BH35&gt;0),"∑",""))</f>
        <v/>
      </c>
      <c r="B36" s="68">
        <f>IF($BJ35&gt;0,IF(INDEX('Final Calculation Sheet'!$F$4:$F$40,$BJ35-3)="","",INDEX('Final Calculation Sheet'!$F$4:$F$40,$BJ35-3)),"")</f>
        <v/>
      </c>
      <c r="C36" s="68">
        <f>IF($BJ35&gt;0,IF(INDEX('Final Calculation Sheet'!$G$4:$G$40,$BJ35-3)="","",INDEX('Final Calculation Sheet'!$G$4:$G$40,$BJ35-3)),IF(OR($BI35=1,$BL35=1,$BH35&gt;0),IF($BI35=1,37,IF($BL35=1,37-INDEX($BD$4:$BD$13,10),INDEX($BD$4:$BD$13,$BH35)))&amp;" lot(s)",""))</f>
        <v/>
      </c>
      <c r="D36" s="69">
        <f>IF($BJ35&gt;0,IF(INDEX('Final Calculation Sheet'!$B$4:$B$40,$BJ35-3)="","",INDEX('Final Calculation Sheet'!$B$4:$B$40,$BJ35-3)),IF(OR($BI35=1,$BL35=1,$BH35&gt;0),IF($BI35=1,"GRAND TOTAL  —  matching + remaining",IF($BL35=1,"TOTAL MATCHED  —  every group together",IF($BH35=10,"REMAINING  —  did not match the search",IF($BH35=9,IF(COUNTIF($A$4:$AI$4,"&lt;&gt;")&gt;0,"FILTERED LOTS  —  column fields","ALL LOTS  —  nothing typed in the box"),"GROUP "&amp;$BH35&amp;" TOTAL  —  lots matching  "&amp;INDEX($AR$6:$AY$6,$BH35))))),""))</f>
        <v/>
      </c>
      <c r="E36" s="69">
        <f>IF($BJ35&gt;0,IF(INDEX('Final Calculation Sheet'!$D$4:$D$40,$BJ35-3)="","",INDEX('Final Calculation Sheet'!$D$4:$D$40,$BJ35-3)),IF(OR($BI35=1,$BL35=1,$BH35&gt;0),"–",""))</f>
        <v/>
      </c>
      <c r="F36" s="69">
        <f>IF($BJ35&gt;0,IF(INDEX('Final Calculation Sheet'!$A$4:$A$40,$BJ35-3)="","",INDEX('Final Calculation Sheet'!$A$4:$A$40,$BJ35-3)),IF(OR($BI35=1,$BL35=1,$BH35&gt;0),IF($BI35=1,SUM('Final Calculation Sheet'!$A$4:$A$40),IF($BL35=1,SUM('Final Calculation Sheet'!$A$4:$A$40)-SUMIFS('Final Calculation Sheet'!$A$4:$A$40,$AZ$5:$AZ$41,10),SUMIFS('Final Calculation Sheet'!$A$4:$A$40,$AZ$5:$AZ$41,$BH35))),""))</f>
        <v/>
      </c>
      <c r="G36" s="69">
        <f>IF($BJ35&gt;0,IF(INDEX('Final Calculation Sheet'!$E$4:$E$40,$BJ35-3)="","",INDEX('Final Calculation Sheet'!$E$4:$E$40,$BJ35-3)),IF(OR($BI35=1,$BL35=1,$BH35&gt;0),"–",""))</f>
        <v/>
      </c>
      <c r="H36" s="70">
        <f>IF($BJ35&gt;0,IF(INDEX('Final Calculation Sheet'!$C$4:$C$40,$BJ35-3)="","",INDEX('Final Calculation Sheet'!$C$4:$C$40,$BJ35-3)),IF(OR($BI35=1,$BL35=1,$BH35&gt;0),"–",""))</f>
        <v/>
      </c>
      <c r="I36" s="70">
        <f>IF($BJ35&gt;0,IF(INDEX('Final Calculation Sheet'!$H$4:$H$40,$BJ35-3)="","",INDEX('Final Calculation Sheet'!$H$4:$H$40,$BJ35-3)),IF(OR($BI35=1,$BL35=1,$BH35&gt;0),IF($BI35=1,SUM('Final Calculation Sheet'!$H$4:$H$40),IF($BL35=1,SUM('Final Calculation Sheet'!$H$4:$H$40)-SUMIFS('Final Calculation Sheet'!$H$4:$H$40,$AZ$5:$AZ$41,10),SUMIFS('Final Calculation Sheet'!$H$4:$H$40,$AZ$5:$AZ$41,$BH35))),""))</f>
        <v/>
      </c>
      <c r="J36" s="70">
        <f>IF($BJ35&gt;0,IF(INDEX('Final Calculation Sheet'!$I$4:$I$40,$BJ35-3)="","",INDEX('Final Calculation Sheet'!$I$4:$I$40,$BJ35-3)),IF(OR($BI35=1,$BL35=1,$BH35&gt;0),IF($BI35=1,SUM('Final Calculation Sheet'!$I$4:$I$40),IF($BL35=1,SUM('Final Calculation Sheet'!$I$4:$I$40)-SUMIFS('Final Calculation Sheet'!$I$4:$I$40,$AZ$5:$AZ$41,10),SUMIFS('Final Calculation Sheet'!$I$4:$I$40,$AZ$5:$AZ$41,$BH35))),""))</f>
        <v/>
      </c>
      <c r="K36" s="70">
        <f>IF($BJ35&gt;0,IF(INDEX('Final Calculation Sheet'!$J$4:$J$40,$BJ35-3)="","",INDEX('Final Calculation Sheet'!$J$4:$J$40,$BJ35-3)),IF(OR($BI35=1,$BL35=1,$BH35&gt;0),IF($BI35=1,SUM('Final Calculation Sheet'!$J$4:$J$40),IF($BL35=1,SUM('Final Calculation Sheet'!$J$4:$J$40)-SUMIFS('Final Calculation Sheet'!$J$4:$J$40,$AZ$5:$AZ$41,10),SUMIFS('Final Calculation Sheet'!$J$4:$J$40,$AZ$5:$AZ$41,$BH35))),""))</f>
        <v/>
      </c>
      <c r="L36" s="70">
        <f>IF($BJ35&gt;0,IF(INDEX('Final Calculation Sheet'!$K$4:$K$40,$BJ35-3)="","",INDEX('Final Calculation Sheet'!$K$4:$K$40,$BJ35-3)),IF(OR($BI35=1,$BL35=1,$BH35&gt;0),IF($BI35=1,SUM('Final Calculation Sheet'!$K$4:$K$40),IF($BL35=1,SUM('Final Calculation Sheet'!$K$4:$K$40)-SUMIFS('Final Calculation Sheet'!$K$4:$K$40,$AZ$5:$AZ$41,10),SUMIFS('Final Calculation Sheet'!$K$4:$K$40,$AZ$5:$AZ$41,$BH35))),""))</f>
        <v/>
      </c>
      <c r="M36" s="70">
        <f>IF($BJ35&gt;0,IF(INDEX('Final Calculation Sheet'!$L$4:$L$40,$BJ35-3)="","",INDEX('Final Calculation Sheet'!$L$4:$L$40,$BJ35-3)),IF(OR($BI35=1,$BL35=1,$BH35&gt;0),IF($BI35=1,SUM('Final Calculation Sheet'!$L$4:$L$40),IF($BL35=1,SUM('Final Calculation Sheet'!$L$4:$L$40)-SUMIFS('Final Calculation Sheet'!$L$4:$L$40,$AZ$5:$AZ$41,10),SUMIFS('Final Calculation Sheet'!$L$4:$L$40,$AZ$5:$AZ$41,$BH35))),""))</f>
        <v/>
      </c>
      <c r="N36" s="70">
        <f>IF($BJ35&gt;0,IF(INDEX('Final Calculation Sheet'!$M$4:$M$40,$BJ35-3)="","",INDEX('Final Calculation Sheet'!$M$4:$M$40,$BJ35-3)),IF(OR($BI35=1,$BL35=1,$BH35&gt;0),IF($BI35=1,SUM('Final Calculation Sheet'!$M$4:$M$40),IF($BL35=1,SUM('Final Calculation Sheet'!$M$4:$M$40)-SUMIFS('Final Calculation Sheet'!$M$4:$M$40,$AZ$5:$AZ$41,10),SUMIFS('Final Calculation Sheet'!$M$4:$M$40,$AZ$5:$AZ$41,$BH35))),""))</f>
        <v/>
      </c>
      <c r="O36" s="71">
        <f>IF($BJ35&gt;0,IF(INDEX('Final Calculation Sheet'!$N$4:$N$40,$BJ35-3)="","",INDEX('Final Calculation Sheet'!$N$4:$N$40,$BJ35-3)),IF(OR($BI35=1,$BL35=1,$BH35&gt;0),IF($BI35=1,SUM('Final Calculation Sheet'!$N$4:$N$40),IF($BL35=1,SUM('Final Calculation Sheet'!$N$4:$N$40)-SUMIFS('Final Calculation Sheet'!$N$4:$N$40,$AZ$5:$AZ$41,10),SUMIFS('Final Calculation Sheet'!$N$4:$N$40,$AZ$5:$AZ$41,$BH35))),""))</f>
        <v/>
      </c>
      <c r="P36" s="70">
        <f>IF($BJ35&gt;0,IF(INDEX('Final Calculation Sheet'!$O$4:$O$40,$BJ35-3)="","",INDEX('Final Calculation Sheet'!$O$4:$O$40,$BJ35-3)),IF(OR($BI35=1,$BL35=1,$BH35&gt;0),IF($BI35=1,SUM('Final Calculation Sheet'!$O$4:$O$40),IF($BL35=1,SUM('Final Calculation Sheet'!$O$4:$O$40)-SUMIFS('Final Calculation Sheet'!$O$4:$O$40,$AZ$5:$AZ$41,10),SUMIFS('Final Calculation Sheet'!$O$4:$O$40,$AZ$5:$AZ$41,$BH35))),""))</f>
        <v/>
      </c>
      <c r="Q36" s="70">
        <f>IF($BJ35&gt;0,IF(INDEX('Final Calculation Sheet'!$P$4:$P$40,$BJ35-3)="","",INDEX('Final Calculation Sheet'!$P$4:$P$40,$BJ35-3)),IF(OR($BI35=1,$BL35=1,$BH35&gt;0),IF($BI35=1,SUM('Final Calculation Sheet'!$P$4:$P$40),IF($BL35=1,SUM('Final Calculation Sheet'!$P$4:$P$40)-SUMIFS('Final Calculation Sheet'!$P$4:$P$40,$AZ$5:$AZ$41,10),SUMIFS('Final Calculation Sheet'!$P$4:$P$40,$AZ$5:$AZ$41,$BH35))),""))</f>
        <v/>
      </c>
      <c r="R36" s="72">
        <f>IF($BJ35&gt;0,IF(INDEX('Final Calculation Sheet'!$Q$4:$Q$40,$BJ35-3)="","",INDEX('Final Calculation Sheet'!$Q$4:$Q$40,$BJ35-3)),IF(OR($BI35=1,$BL35=1,$BH35&gt;0),"–",""))</f>
        <v/>
      </c>
      <c r="S36" s="70">
        <f>IF($BJ35&gt;0,IF(INDEX('Final Calculation Sheet'!$R$4:$R$40,$BJ35-3)="","",INDEX('Final Calculation Sheet'!$R$4:$R$40,$BJ35-3)),IF(OR($BI35=1,$BL35=1,$BH35&gt;0),IF($BI35=1,SUM('Final Calculation Sheet'!$R$4:$R$40),IF($BL35=1,SUM('Final Calculation Sheet'!$R$4:$R$40)-SUMIFS('Final Calculation Sheet'!$R$4:$R$40,$AZ$5:$AZ$41,10),SUMIFS('Final Calculation Sheet'!$R$4:$R$40,$AZ$5:$AZ$41,$BH35))),""))</f>
        <v/>
      </c>
      <c r="T36" s="70">
        <f>IF($BJ35&gt;0,IF(INDEX('Final Calculation Sheet'!$S$4:$S$40,$BJ35-3)="","",INDEX('Final Calculation Sheet'!$S$4:$S$40,$BJ35-3)),IF(OR($BI35=1,$BL35=1,$BH35&gt;0),IF($BI35=1,SUM('Final Calculation Sheet'!$S$4:$S$40),IF($BL35=1,SUM('Final Calculation Sheet'!$S$4:$S$40)-SUMIFS('Final Calculation Sheet'!$S$4:$S$40,$AZ$5:$AZ$41,10),SUMIFS('Final Calculation Sheet'!$S$4:$S$40,$AZ$5:$AZ$41,$BH35))),""))</f>
        <v/>
      </c>
      <c r="U36" s="70">
        <f>IF($BJ35&gt;0,IF(INDEX('Final Calculation Sheet'!$T$4:$T$40,$BJ35-3)="","",INDEX('Final Calculation Sheet'!$T$4:$T$40,$BJ35-3)),IF(OR($BI35=1,$BL35=1,$BH35&gt;0),IF($BI35=1,SUM('Final Calculation Sheet'!$T$4:$T$40),IF($BL35=1,SUM('Final Calculation Sheet'!$T$4:$T$40)-SUMIFS('Final Calculation Sheet'!$T$4:$T$40,$AZ$5:$AZ$41,10),SUMIFS('Final Calculation Sheet'!$T$4:$T$40,$AZ$5:$AZ$41,$BH35))),""))</f>
        <v/>
      </c>
      <c r="V36" s="73">
        <f>IF($BJ35&gt;0,IF(INDEX('Final Calculation Sheet'!$U$4:$U$40,$BJ35-3)="","",INDEX('Final Calculation Sheet'!$U$4:$U$40,$BJ35-3)),IF(OR($BI35=1,$BL35=1,$BH35&gt;0),IF($BI35=1,SUM('Final Calculation Sheet'!$U$4:$U$40),IF($BL35=1,SUM('Final Calculation Sheet'!$U$4:$U$40)-SUMIFS('Final Calculation Sheet'!$U$4:$U$40,$AZ$5:$AZ$41,10),SUMIFS('Final Calculation Sheet'!$U$4:$U$40,$AZ$5:$AZ$41,$BH35))),""))</f>
        <v/>
      </c>
      <c r="W36" s="70">
        <f>IF($BJ35&gt;0,IF(INDEX('Final Calculation Sheet'!$V$4:$V$40,$BJ35-3)="","",INDEX('Final Calculation Sheet'!$V$4:$V$40,$BJ35-3)),IF(OR($BI35=1,$BL35=1,$BH35&gt;0),"–",""))</f>
        <v/>
      </c>
      <c r="X36" s="70">
        <f>IF($BJ35&gt;0,IF(INDEX('Final Calculation Sheet'!$W$4:$W$40,$BJ35-3)="","",INDEX('Final Calculation Sheet'!$W$4:$W$40,$BJ35-3)),IF(OR($BI35=1,$BL35=1,$BH35&gt;0),IF($BI35=1,SUM('Final Calculation Sheet'!$W$4:$W$40),IF($BL35=1,SUM('Final Calculation Sheet'!$W$4:$W$40)-SUMIFS('Final Calculation Sheet'!$W$4:$W$40,$AZ$5:$AZ$41,10),SUMIFS('Final Calculation Sheet'!$W$4:$W$40,$AZ$5:$AZ$41,$BH35))),""))</f>
        <v/>
      </c>
      <c r="Y36" s="70">
        <f>IF($BJ35&gt;0,IF(INDEX('Final Calculation Sheet'!$X$4:$X$40,$BJ35-3)="","",INDEX('Final Calculation Sheet'!$X$4:$X$40,$BJ35-3)),IF(OR($BI35=1,$BL35=1,$BH35&gt;0),IF($BI35=1,SUM('Final Calculation Sheet'!$X$4:$X$40),IF($BL35=1,SUM('Final Calculation Sheet'!$X$4:$X$40)-SUMIFS('Final Calculation Sheet'!$X$4:$X$40,$AZ$5:$AZ$41,10),SUMIFS('Final Calculation Sheet'!$X$4:$X$40,$AZ$5:$AZ$41,$BH35))),""))</f>
        <v/>
      </c>
      <c r="Z36" s="70">
        <f>IF($BJ35&gt;0,IF(INDEX('Final Calculation Sheet'!$Y$4:$Y$40,$BJ35-3)="","",INDEX('Final Calculation Sheet'!$Y$4:$Y$40,$BJ35-3)),IF(OR($BI35=1,$BL35=1,$BH35&gt;0),"–",""))</f>
        <v/>
      </c>
      <c r="AA36" s="70">
        <f>IF($BJ35&gt;0,IF(INDEX('Final Calculation Sheet'!$Z$4:$Z$40,$BJ35-3)="","",INDEX('Final Calculation Sheet'!$Z$4:$Z$40,$BJ35-3)),IF(OR($BI35=1,$BL35=1,$BH35&gt;0),IF($BI35=1,SUM('Final Calculation Sheet'!$Z$4:$Z$40),IF($BL35=1,SUM('Final Calculation Sheet'!$Z$4:$Z$40)-SUMIFS('Final Calculation Sheet'!$Z$4:$Z$40,$AZ$5:$AZ$41,10),SUMIFS('Final Calculation Sheet'!$Z$4:$Z$40,$AZ$5:$AZ$41,$BH35))),""))</f>
        <v/>
      </c>
      <c r="AB36" s="70">
        <f>IF($BJ35&gt;0,IF(INDEX('Final Calculation Sheet'!$AA$4:$AA$40,$BJ35-3)="","",INDEX('Final Calculation Sheet'!$AA$4:$AA$40,$BJ35-3)),IF(OR($BI35=1,$BL35=1,$BH35&gt;0),IF($BI35=1,SUM('Final Calculation Sheet'!$AA$4:$AA$40),IF($BL35=1,SUM('Final Calculation Sheet'!$AA$4:$AA$40)-SUMIFS('Final Calculation Sheet'!$AA$4:$AA$40,$AZ$5:$AZ$41,10),SUMIFS('Final Calculation Sheet'!$AA$4:$AA$40,$AZ$5:$AZ$41,$BH35))),""))</f>
        <v/>
      </c>
      <c r="AC36" s="70">
        <f>IF($BJ35&gt;0,IF(INDEX('Final Calculation Sheet'!$AB$4:$AB$40,$BJ35-3)="","",INDEX('Final Calculation Sheet'!$AB$4:$AB$40,$BJ35-3)),IF(OR($BI35=1,$BL35=1,$BH35&gt;0),"–",""))</f>
        <v/>
      </c>
      <c r="AD36" s="70">
        <f>IF($BJ35&gt;0,IF(INDEX('Final Calculation Sheet'!$AC$4:$AC$40,$BJ35-3)="","",INDEX('Final Calculation Sheet'!$AC$4:$AC$40,$BJ35-3)),IF(OR($BI35=1,$BL35=1,$BH35&gt;0),IF($BI35=1,SUM('Final Calculation Sheet'!$AC$4:$AC$40),IF($BL35=1,SUM('Final Calculation Sheet'!$AC$4:$AC$40)-SUMIFS('Final Calculation Sheet'!$AC$4:$AC$40,$AZ$5:$AZ$41,10),SUMIFS('Final Calculation Sheet'!$AC$4:$AC$40,$AZ$5:$AZ$41,$BH35))),""))</f>
        <v/>
      </c>
      <c r="AE36" s="70">
        <f>IF($BJ35&gt;0,IF(INDEX('Final Calculation Sheet'!$AD$4:$AD$40,$BJ35-3)="","",INDEX('Final Calculation Sheet'!$AD$4:$AD$40,$BJ35-3)),IF(OR($BI35=1,$BL35=1,$BH35&gt;0),IF($BI35=1,SUM('Final Calculation Sheet'!$AD$4:$AD$40),IF($BL35=1,SUM('Final Calculation Sheet'!$AD$4:$AD$40)-SUMIFS('Final Calculation Sheet'!$AD$4:$AD$40,$AZ$5:$AZ$41,10),SUMIFS('Final Calculation Sheet'!$AD$4:$AD$40,$AZ$5:$AZ$41,$BH35))),""))</f>
        <v/>
      </c>
      <c r="AF36" s="70">
        <f>IF($BJ35&gt;0,IF(INDEX('Final Calculation Sheet'!$AE$4:$AE$40,$BJ35-3)="","",INDEX('Final Calculation Sheet'!$AE$4:$AE$40,$BJ35-3)),IF(OR($BI35=1,$BL35=1,$BH35&gt;0),"–",""))</f>
        <v/>
      </c>
      <c r="AG36" s="74">
        <f>IF($BJ35&gt;0,IF(INDEX('Final Calculation Sheet'!$AF$4:$AF$40,$BJ35-3)="","",INDEX('Final Calculation Sheet'!$AF$4:$AF$40,$BJ35-3)),IF(OR($BI35=1,$BL35=1,$BH35&gt;0),"–",""))</f>
        <v/>
      </c>
      <c r="AH36" s="70">
        <f>IF($BJ35&gt;0,IF(INDEX('Final Calculation Sheet'!$AG$4:$AG$40,$BJ35-3)="","",INDEX('Final Calculation Sheet'!$AG$4:$AG$40,$BJ35-3)),IF(OR($BI35=1,$BL35=1,$BH35&gt;0),"–",""))</f>
        <v/>
      </c>
      <c r="AI36" s="75">
        <f>IF($BJ35&gt;0,IF(INDEX('Final Calculation Sheet'!$AD$4:$AD$40,$BJ35-3)="","",IF(INDEX('Final Calculation Sheet'!$AD$4:$AD$40,$BJ35-3)&lt;=0,"SETTLED","OUTSTANDING")),IF(OR($BI35=1,$BL35=1,$BH35&gt;0),IF(IF($BI35=1,SUM('Final Calculation Sheet'!$AD$4:$AD$40),IF($BL35=1,SUM('Final Calculation Sheet'!$AD$4:$AD$40)-SUMIFS('Final Calculation Sheet'!$AD$4:$AD$40,$AZ$5:$AZ$41,10),SUMIFS('Final Calculation Sheet'!$AD$4:$AD$40,$AZ$5:$AZ$41,$BH35)))&lt;=0,"ALL SETTLED","OUTSTANDING"),""))</f>
        <v/>
      </c>
      <c r="AK36">
        <f>IF($F$3="Lot No.",'Final Calculation Sheet'!$F$35,IF($F$3="Buyer",'Final Calculation Sheet'!$G$35,IF($F$3="Lot Name",'Final Calculation Sheet'!$B$35,IF($F$3="Bid Sheet",'Final Calculation Sheet'!$D$35,IF($F$3="Unit",'Final Calculation Sheet'!$E$35,'Final Calculation Sheet'!$F$35&amp;" "&amp;'Final Calculation Sheet'!$G$35&amp;" "&amp;'Final Calculation Sheet'!$B$35)))))</f>
        <v/>
      </c>
      <c r="AM36">
        <f>IF(COUNTIF($BM36:$CU36,0)&gt;0,0,IF($B$3="",1,IF(AND(IF(COUNTIF($AR$9:$AY$9,1)=0,TRUE,SUMPRODUCT(($AR$9:$AY$9=1)*($AR$6:$AY$6&lt;&gt;"")*ISNUMBER(SEARCH($AR$6:$AY$6,$AK36)))&gt;0),IF(COUNTIF($AR$9:$AY$9,2)=0,TRUE,SUMPRODUCT(($AR$9:$AY$9=2)*($AR$6:$AY$6&lt;&gt;"")*ISNUMBER(SEARCH($AR$6:$AY$6,$AK36)))&gt;0),IF(COUNTIF($AR$9:$AY$9,3)=0,TRUE,SUMPRODUCT(($AR$9:$AY$9=3)*($AR$6:$AY$6&lt;&gt;"")*ISNUMBER(SEARCH($AR$6:$AY$6,$AK36)))&gt;0),IF(COUNTIF($AR$9:$AY$9,4)=0,TRUE,SUMPRODUCT(($AR$9:$AY$9=4)*($AR$6:$AY$6&lt;&gt;"")*ISNUMBER(SEARCH($AR$6:$AY$6,$AK36)))&gt;0),IF(COUNTIF($AR$9:$AY$9,5)=0,TRUE,SUMPRODUCT(($AR$9:$AY$9=5)*($AR$6:$AY$6&lt;&gt;"")*ISNUMBER(SEARCH($AR$6:$AY$6,$AK36)))&gt;0),IF(COUNTIF($AR$9:$AY$9,6)=0,TRUE,SUMPRODUCT(($AR$9:$AY$9=6)*($AR$6:$AY$6&lt;&gt;"")*ISNUMBER(SEARCH($AR$6:$AY$6,$AK36)))&gt;0),IF(COUNTIF($AR$9:$AY$9,7)=0,TRUE,SUMPRODUCT(($AR$9:$AY$9=7)*($AR$6:$AY$6&lt;&gt;"")*ISNUMBER(SEARCH($AR$6:$AY$6,$AK36)))&gt;0),IF(COUNTIF($AR$9:$AY$9,8)=0,TRUE,SUMPRODUCT(($AR$9:$AY$9=8)*($AR$6:$AY$6&lt;&gt;"")*ISNUMBER(SEARCH($AR$6:$AY$6,$AK36)))&gt;0)),1,0)))</f>
        <v/>
      </c>
      <c r="AZ36">
        <f>IF($B$3="",IF(COUNTIF($A$4:$AI$4,"&lt;&gt;")=0,9,IF($AM36=1,9,10)),IF($AM36=0,10,IF(AND($AR$6&lt;&gt;"",ISNUMBER(SEARCH($AR$6,$AK36))),1,IF(AND($AS$6&lt;&gt;"",ISNUMBER(SEARCH($AS$6,$AK36))),2,IF(AND($AT$6&lt;&gt;"",ISNUMBER(SEARCH($AT$6,$AK36))),3,IF(AND($AU$6&lt;&gt;"",ISNUMBER(SEARCH($AU$6,$AK36))),4,IF(AND($AV$6&lt;&gt;"",ISNUMBER(SEARCH($AV$6,$AK36))),5,IF(AND($AW$6&lt;&gt;"",ISNUMBER(SEARCH($AW$6,$AK36))),6,IF(AND($AX$6&lt;&gt;"",ISNUMBER(SEARCH($AX$6,$AK36))),7,IF(AND($AY$6&lt;&gt;"",ISNUMBER(SEARCH($AY$6,$AK36))),8,0))))))))))</f>
        <v/>
      </c>
      <c r="BA36">
        <f>SUMPRODUCT(($AZ$5:$AZ$41=$AZ36)*($BC$5:$BC$41&lt;$BC36))+1</f>
        <v/>
      </c>
      <c r="BB36">
        <f>IF(INDEX($BF$4:$BF$13,$AZ36)=0,0,INDEX($BE$4:$BE$13,$AZ36)+$BA36-1)</f>
        <v/>
      </c>
      <c r="BC36" t="n">
        <v>35</v>
      </c>
      <c r="BH36">
        <f>IFERROR(MATCH(36,$BF$4:$BF$13,0),0)</f>
        <v/>
      </c>
      <c r="BI36">
        <f>IF(36=$BG$5,1,0)</f>
        <v/>
      </c>
      <c r="BJ36">
        <f>IF(OR($BH36&gt;0,$BI36=1,$BL36=1),0,IFERROR(INDEX($BC$5:$BC$41,MATCH(36,$BB$5:$BB$41,0)),0))</f>
        <v/>
      </c>
      <c r="BK36">
        <f>IF($BJ36&gt;0,IF(INDEX($AZ$5:$AZ$41,MATCH(36,$BB$5:$BB$41,0))=10,1,0),IF($BH36=10,1,0))</f>
        <v/>
      </c>
      <c r="BL36">
        <f>IF(36=$BG$4,1,0)</f>
        <v/>
      </c>
      <c r="BM36">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6">
        <f>IF($B$4="",1,--(OR(SUMPRODUCT(--(TRIM(MID(SUBSTITUTE(SUBSTITUTE($B$4,"/",","),",",REPT(" ",99)),(ROW($1:$8)-1)*99+1,99))&lt;&gt;""),--ISNUMBER(SEARCH(TRIM(MID(SUBSTITUTE(SUBSTITUTE($B$4,"/",","),",",REPT(" ",99)),(ROW($1:$8)-1)*99+1,99)),IFERROR(('Final Calculation Sheet'!$F$35)&amp;"",""))))&gt;0,AND(ISNUMBER(SEARCH("blank",$B$4)),NOT(ISNUMBER(SEARCH("nonblank",$B$4))),IFERROR(('Final Calculation Sheet'!$F$35)&amp;"","")=""),AND(OR(ISNUMBER(SEARCH("nonblank",$B$4)),ISNUMBER(SEARCH("&lt;&gt;",$B$4))),IFERROR(('Final Calculation Sheet'!$F$35)&amp;"","")&lt;&gt;""),AND(TRIM($B$4)="",IFERROR(('Final Calculation Sheet'!$F$35)&amp;"","")=""))))</f>
        <v/>
      </c>
      <c r="BO36">
        <f>IF($C$4="",1,--(OR(SUMPRODUCT(--(TRIM(MID(SUBSTITUTE(SUBSTITUTE($C$4,"/",","),",",REPT(" ",99)),(ROW($1:$8)-1)*99+1,99))&lt;&gt;""),--ISNUMBER(SEARCH(TRIM(MID(SUBSTITUTE(SUBSTITUTE($C$4,"/",","),",",REPT(" ",99)),(ROW($1:$8)-1)*99+1,99)),IFERROR(('Final Calculation Sheet'!$G$35)&amp;"",""))))&gt;0,AND(ISNUMBER(SEARCH("blank",$C$4)),NOT(ISNUMBER(SEARCH("nonblank",$C$4))),IFERROR(('Final Calculation Sheet'!$G$35)&amp;"","")=""),AND(OR(ISNUMBER(SEARCH("nonblank",$C$4)),ISNUMBER(SEARCH("&lt;&gt;",$C$4))),IFERROR(('Final Calculation Sheet'!$G$35)&amp;"","")&lt;&gt;""),AND(TRIM($C$4)="",IFERROR(('Final Calculation Sheet'!$G$35)&amp;"","")=""))))</f>
        <v/>
      </c>
      <c r="BP36">
        <f>IF($D$4="",1,--(OR(SUMPRODUCT(--(TRIM(MID(SUBSTITUTE(SUBSTITUTE($D$4,"/",","),",",REPT(" ",99)),(ROW($1:$8)-1)*99+1,99))&lt;&gt;""),--ISNUMBER(SEARCH(TRIM(MID(SUBSTITUTE(SUBSTITUTE($D$4,"/",","),",",REPT(" ",99)),(ROW($1:$8)-1)*99+1,99)),IFERROR(('Final Calculation Sheet'!$B$35)&amp;"",""))))&gt;0,AND(ISNUMBER(SEARCH("blank",$D$4)),NOT(ISNUMBER(SEARCH("nonblank",$D$4))),IFERROR(('Final Calculation Sheet'!$B$35)&amp;"","")=""),AND(OR(ISNUMBER(SEARCH("nonblank",$D$4)),ISNUMBER(SEARCH("&lt;&gt;",$D$4))),IFERROR(('Final Calculation Sheet'!$B$35)&amp;"","")&lt;&gt;""),AND(TRIM($D$4)="",IFERROR(('Final Calculation Sheet'!$B$35)&amp;"","")=""))))</f>
        <v/>
      </c>
      <c r="BQ36">
        <f>IF($E$4="",1,--(OR(SUMPRODUCT(--(TRIM(MID(SUBSTITUTE(SUBSTITUTE($E$4,"/",","),",",REPT(" ",99)),(ROW($1:$8)-1)*99+1,99))&lt;&gt;""),--ISNUMBER(SEARCH(TRIM(MID(SUBSTITUTE(SUBSTITUTE($E$4,"/",","),",",REPT(" ",99)),(ROW($1:$8)-1)*99+1,99)),IFERROR(('Final Calculation Sheet'!$D$35)&amp;"",""))))&gt;0,AND(ISNUMBER(SEARCH("blank",$E$4)),NOT(ISNUMBER(SEARCH("nonblank",$E$4))),IFERROR(('Final Calculation Sheet'!$D$35)&amp;"","")=""),AND(OR(ISNUMBER(SEARCH("nonblank",$E$4)),ISNUMBER(SEARCH("&lt;&gt;",$E$4))),IFERROR(('Final Calculation Sheet'!$D$35)&amp;"","")&lt;&gt;""),AND(TRIM($E$4)="",IFERROR(('Final Calculation Sheet'!$D$35)&amp;"","")=""))))</f>
        <v/>
      </c>
      <c r="BR36">
        <f>IF($F$4="",1,--(OR(SUMPRODUCT(--(TRIM(MID(SUBSTITUTE(SUBSTITUTE($F$4,"/",","),",",REPT(" ",99)),(ROW($1:$8)-1)*99+1,99))&lt;&gt;""),--ISNUMBER(SEARCH(TRIM(MID(SUBSTITUTE(SUBSTITUTE($F$4,"/",","),",",REPT(" ",99)),(ROW($1:$8)-1)*99+1,99)),IFERROR(('Final Calculation Sheet'!$A$35)&amp;"",""))))&gt;0,AND(ISNUMBER(SEARCH("blank",$F$4)),NOT(ISNUMBER(SEARCH("nonblank",$F$4))),IFERROR(('Final Calculation Sheet'!$A$35)&amp;"","")=""),AND(OR(ISNUMBER(SEARCH("nonblank",$F$4)),ISNUMBER(SEARCH("&lt;&gt;",$F$4))),IFERROR(('Final Calculation Sheet'!$A$35)&amp;"","")&lt;&gt;""),AND(TRIM($F$4)="",IFERROR(('Final Calculation Sheet'!$A$35)&amp;"","")=""))))</f>
        <v/>
      </c>
      <c r="BS36">
        <f>IF($G$4="",1,--(OR(SUMPRODUCT(--(TRIM(MID(SUBSTITUTE(SUBSTITUTE($G$4,"/",","),",",REPT(" ",99)),(ROW($1:$8)-1)*99+1,99))&lt;&gt;""),--ISNUMBER(SEARCH(TRIM(MID(SUBSTITUTE(SUBSTITUTE($G$4,"/",","),",",REPT(" ",99)),(ROW($1:$8)-1)*99+1,99)),IFERROR(('Final Calculation Sheet'!$E$35)&amp;"",""))))&gt;0,AND(ISNUMBER(SEARCH("blank",$G$4)),NOT(ISNUMBER(SEARCH("nonblank",$G$4))),IFERROR(('Final Calculation Sheet'!$E$35)&amp;"","")=""),AND(OR(ISNUMBER(SEARCH("nonblank",$G$4)),ISNUMBER(SEARCH("&lt;&gt;",$G$4))),IFERROR(('Final Calculation Sheet'!$E$35)&amp;"","")&lt;&gt;""),AND(TRIM($G$4)="",IFERROR(('Final Calculation Sheet'!$E$35)&amp;"","")=""))))</f>
        <v/>
      </c>
      <c r="BT36">
        <f>IF($H$4="",1,--(OR(SUMPRODUCT(--(TRIM(MID(SUBSTITUTE(SUBSTITUTE($H$4,"/",","),",",REPT(" ",99)),(ROW($1:$8)-1)*99+1,99))&lt;&gt;""),--ISNUMBER(SEARCH(TRIM(MID(SUBSTITUTE(SUBSTITUTE($H$4,"/",","),",",REPT(" ",99)),(ROW($1:$8)-1)*99+1,99)),IFERROR(('Final Calculation Sheet'!$C$35)&amp;"",""))))&gt;0,AND(ISNUMBER(SEARCH("blank",$H$4)),NOT(ISNUMBER(SEARCH("nonblank",$H$4))),IFERROR(('Final Calculation Sheet'!$C$35)&amp;"","")=""),AND(OR(ISNUMBER(SEARCH("nonblank",$H$4)),ISNUMBER(SEARCH("&lt;&gt;",$H$4))),IFERROR(('Final Calculation Sheet'!$C$35)&amp;"","")&lt;&gt;""),AND(TRIM($H$4)="",IFERROR(('Final Calculation Sheet'!$C$35)&amp;"","")=""))))</f>
        <v/>
      </c>
      <c r="BU36">
        <f>IF($I$4="",1,--(OR(SUMPRODUCT(--(TRIM(MID(SUBSTITUTE(SUBSTITUTE($I$4,"/",","),",",REPT(" ",99)),(ROW($1:$8)-1)*99+1,99))&lt;&gt;""),--ISNUMBER(SEARCH(TRIM(MID(SUBSTITUTE(SUBSTITUTE($I$4,"/",","),",",REPT(" ",99)),(ROW($1:$8)-1)*99+1,99)),IFERROR(('Final Calculation Sheet'!$H$35)&amp;"",""))))&gt;0,AND(ISNUMBER(SEARCH("blank",$I$4)),NOT(ISNUMBER(SEARCH("nonblank",$I$4))),IFERROR(('Final Calculation Sheet'!$H$35)&amp;"","")=""),AND(OR(ISNUMBER(SEARCH("nonblank",$I$4)),ISNUMBER(SEARCH("&lt;&gt;",$I$4))),IFERROR(('Final Calculation Sheet'!$H$35)&amp;"","")&lt;&gt;""),AND(TRIM($I$4)="",IFERROR(('Final Calculation Sheet'!$H$35)&amp;"","")=""))))</f>
        <v/>
      </c>
      <c r="BV36">
        <f>IF($J$4="",1,--(OR(SUMPRODUCT(--(TRIM(MID(SUBSTITUTE(SUBSTITUTE($J$4,"/",","),",",REPT(" ",99)),(ROW($1:$8)-1)*99+1,99))&lt;&gt;""),--ISNUMBER(SEARCH(TRIM(MID(SUBSTITUTE(SUBSTITUTE($J$4,"/",","),",",REPT(" ",99)),(ROW($1:$8)-1)*99+1,99)),IFERROR(('Final Calculation Sheet'!$I$35)&amp;"",""))))&gt;0,AND(ISNUMBER(SEARCH("blank",$J$4)),NOT(ISNUMBER(SEARCH("nonblank",$J$4))),IFERROR(('Final Calculation Sheet'!$I$35)&amp;"","")=""),AND(OR(ISNUMBER(SEARCH("nonblank",$J$4)),ISNUMBER(SEARCH("&lt;&gt;",$J$4))),IFERROR(('Final Calculation Sheet'!$I$35)&amp;"","")&lt;&gt;""),AND(TRIM($J$4)="",IFERROR(('Final Calculation Sheet'!$I$35)&amp;"","")=""))))</f>
        <v/>
      </c>
      <c r="BW36">
        <f>IF($K$4="",1,--(OR(SUMPRODUCT(--(TRIM(MID(SUBSTITUTE(SUBSTITUTE($K$4,"/",","),",",REPT(" ",99)),(ROW($1:$8)-1)*99+1,99))&lt;&gt;""),--ISNUMBER(SEARCH(TRIM(MID(SUBSTITUTE(SUBSTITUTE($K$4,"/",","),",",REPT(" ",99)),(ROW($1:$8)-1)*99+1,99)),IFERROR(('Final Calculation Sheet'!$J$35)&amp;"",""))))&gt;0,AND(ISNUMBER(SEARCH("blank",$K$4)),NOT(ISNUMBER(SEARCH("nonblank",$K$4))),IFERROR(('Final Calculation Sheet'!$J$35)&amp;"","")=""),AND(OR(ISNUMBER(SEARCH("nonblank",$K$4)),ISNUMBER(SEARCH("&lt;&gt;",$K$4))),IFERROR(('Final Calculation Sheet'!$J$35)&amp;"","")&lt;&gt;""),AND(TRIM($K$4)="",IFERROR(('Final Calculation Sheet'!$J$35)&amp;"","")=""))))</f>
        <v/>
      </c>
      <c r="BX36">
        <f>IF($L$4="",1,--(OR(SUMPRODUCT(--(TRIM(MID(SUBSTITUTE(SUBSTITUTE($L$4,"/",","),",",REPT(" ",99)),(ROW($1:$8)-1)*99+1,99))&lt;&gt;""),--ISNUMBER(SEARCH(TRIM(MID(SUBSTITUTE(SUBSTITUTE($L$4,"/",","),",",REPT(" ",99)),(ROW($1:$8)-1)*99+1,99)),IFERROR(('Final Calculation Sheet'!$K$35)&amp;"",""))))&gt;0,AND(ISNUMBER(SEARCH("blank",$L$4)),NOT(ISNUMBER(SEARCH("nonblank",$L$4))),IFERROR(('Final Calculation Sheet'!$K$35)&amp;"","")=""),AND(OR(ISNUMBER(SEARCH("nonblank",$L$4)),ISNUMBER(SEARCH("&lt;&gt;",$L$4))),IFERROR(('Final Calculation Sheet'!$K$35)&amp;"","")&lt;&gt;""),AND(TRIM($L$4)="",IFERROR(('Final Calculation Sheet'!$K$35)&amp;"","")=""))))</f>
        <v/>
      </c>
      <c r="BY36">
        <f>IF($M$4="",1,--(OR(SUMPRODUCT(--(TRIM(MID(SUBSTITUTE(SUBSTITUTE($M$4,"/",","),",",REPT(" ",99)),(ROW($1:$8)-1)*99+1,99))&lt;&gt;""),--ISNUMBER(SEARCH(TRIM(MID(SUBSTITUTE(SUBSTITUTE($M$4,"/",","),",",REPT(" ",99)),(ROW($1:$8)-1)*99+1,99)),IFERROR(('Final Calculation Sheet'!$L$35)&amp;"",""))))&gt;0,AND(ISNUMBER(SEARCH("blank",$M$4)),NOT(ISNUMBER(SEARCH("nonblank",$M$4))),IFERROR(('Final Calculation Sheet'!$L$35)&amp;"","")=""),AND(OR(ISNUMBER(SEARCH("nonblank",$M$4)),ISNUMBER(SEARCH("&lt;&gt;",$M$4))),IFERROR(('Final Calculation Sheet'!$L$35)&amp;"","")&lt;&gt;""),AND(TRIM($M$4)="",IFERROR(('Final Calculation Sheet'!$L$35)&amp;"","")=""))))</f>
        <v/>
      </c>
      <c r="BZ36">
        <f>IF($N$4="",1,--(OR(SUMPRODUCT(--(TRIM(MID(SUBSTITUTE(SUBSTITUTE($N$4,"/",","),",",REPT(" ",99)),(ROW($1:$8)-1)*99+1,99))&lt;&gt;""),--ISNUMBER(SEARCH(TRIM(MID(SUBSTITUTE(SUBSTITUTE($N$4,"/",","),",",REPT(" ",99)),(ROW($1:$8)-1)*99+1,99)),IFERROR(('Final Calculation Sheet'!$M$35)&amp;"",""))))&gt;0,AND(ISNUMBER(SEARCH("blank",$N$4)),NOT(ISNUMBER(SEARCH("nonblank",$N$4))),IFERROR(('Final Calculation Sheet'!$M$35)&amp;"","")=""),AND(OR(ISNUMBER(SEARCH("nonblank",$N$4)),ISNUMBER(SEARCH("&lt;&gt;",$N$4))),IFERROR(('Final Calculation Sheet'!$M$35)&amp;"","")&lt;&gt;""),AND(TRIM($N$4)="",IFERROR(('Final Calculation Sheet'!$M$35)&amp;"","")=""))))</f>
        <v/>
      </c>
      <c r="CA36">
        <f>IF($O$4="",1,--(OR(SUMPRODUCT(--(TRIM(MID(SUBSTITUTE(SUBSTITUTE($O$4,"/",","),",",REPT(" ",99)),(ROW($1:$8)-1)*99+1,99))&lt;&gt;""),--ISNUMBER(SEARCH(TRIM(MID(SUBSTITUTE(SUBSTITUTE($O$4,"/",","),",",REPT(" ",99)),(ROW($1:$8)-1)*99+1,99)),IFERROR(('Final Calculation Sheet'!$N$35)&amp;"",""))))&gt;0,AND(ISNUMBER(SEARCH("blank",$O$4)),NOT(ISNUMBER(SEARCH("nonblank",$O$4))),IFERROR(('Final Calculation Sheet'!$N$35)&amp;"","")=""),AND(OR(ISNUMBER(SEARCH("nonblank",$O$4)),ISNUMBER(SEARCH("&lt;&gt;",$O$4))),IFERROR(('Final Calculation Sheet'!$N$35)&amp;"","")&lt;&gt;""),AND(TRIM($O$4)="",IFERROR(('Final Calculation Sheet'!$N$35)&amp;"","")=""))))</f>
        <v/>
      </c>
      <c r="CB36">
        <f>IF($P$4="",1,--(OR(SUMPRODUCT(--(TRIM(MID(SUBSTITUTE(SUBSTITUTE($P$4,"/",","),",",REPT(" ",99)),(ROW($1:$8)-1)*99+1,99))&lt;&gt;""),--ISNUMBER(SEARCH(TRIM(MID(SUBSTITUTE(SUBSTITUTE($P$4,"/",","),",",REPT(" ",99)),(ROW($1:$8)-1)*99+1,99)),IFERROR(('Final Calculation Sheet'!$O$35)&amp;"",""))))&gt;0,AND(ISNUMBER(SEARCH("blank",$P$4)),NOT(ISNUMBER(SEARCH("nonblank",$P$4))),IFERROR(('Final Calculation Sheet'!$O$35)&amp;"","")=""),AND(OR(ISNUMBER(SEARCH("nonblank",$P$4)),ISNUMBER(SEARCH("&lt;&gt;",$P$4))),IFERROR(('Final Calculation Sheet'!$O$35)&amp;"","")&lt;&gt;""),AND(TRIM($P$4)="",IFERROR(('Final Calculation Sheet'!$O$35)&amp;"","")=""))))</f>
        <v/>
      </c>
      <c r="CC36">
        <f>IF($Q$4="",1,--(OR(SUMPRODUCT(--(TRIM(MID(SUBSTITUTE(SUBSTITUTE($Q$4,"/",","),",",REPT(" ",99)),(ROW($1:$8)-1)*99+1,99))&lt;&gt;""),--ISNUMBER(SEARCH(TRIM(MID(SUBSTITUTE(SUBSTITUTE($Q$4,"/",","),",",REPT(" ",99)),(ROW($1:$8)-1)*99+1,99)),IFERROR(('Final Calculation Sheet'!$P$35)&amp;"",""))))&gt;0,AND(ISNUMBER(SEARCH("blank",$Q$4)),NOT(ISNUMBER(SEARCH("nonblank",$Q$4))),IFERROR(('Final Calculation Sheet'!$P$35)&amp;"","")=""),AND(OR(ISNUMBER(SEARCH("nonblank",$Q$4)),ISNUMBER(SEARCH("&lt;&gt;",$Q$4))),IFERROR(('Final Calculation Sheet'!$P$35)&amp;"","")&lt;&gt;""),AND(TRIM($Q$4)="",IFERROR(('Final Calculation Sheet'!$P$35)&amp;"","")=""))))</f>
        <v/>
      </c>
      <c r="CD36">
        <f>IF($R$4="",1,--(OR(SUMPRODUCT(--(TRIM(MID(SUBSTITUTE(SUBSTITUTE($R$4,"/",","),",",REPT(" ",99)),(ROW($1:$8)-1)*99+1,99))&lt;&gt;""),--ISNUMBER(SEARCH(TRIM(MID(SUBSTITUTE(SUBSTITUTE($R$4,"/",","),",",REPT(" ",99)),(ROW($1:$8)-1)*99+1,99)),IFERROR(('Final Calculation Sheet'!$Q$35)&amp;"",""))))&gt;0,AND(ISNUMBER(SEARCH("blank",$R$4)),NOT(ISNUMBER(SEARCH("nonblank",$R$4))),IFERROR(('Final Calculation Sheet'!$Q$35)&amp;"","")=""),AND(OR(ISNUMBER(SEARCH("nonblank",$R$4)),ISNUMBER(SEARCH("&lt;&gt;",$R$4))),IFERROR(('Final Calculation Sheet'!$Q$35)&amp;"","")&lt;&gt;""),AND(TRIM($R$4)="",IFERROR(('Final Calculation Sheet'!$Q$35)&amp;"","")=""))))</f>
        <v/>
      </c>
      <c r="CE36">
        <f>IF($S$4="",1,--(OR(SUMPRODUCT(--(TRIM(MID(SUBSTITUTE(SUBSTITUTE($S$4,"/",","),",",REPT(" ",99)),(ROW($1:$8)-1)*99+1,99))&lt;&gt;""),--ISNUMBER(SEARCH(TRIM(MID(SUBSTITUTE(SUBSTITUTE($S$4,"/",","),",",REPT(" ",99)),(ROW($1:$8)-1)*99+1,99)),IFERROR(('Final Calculation Sheet'!$R$35)&amp;"",""))))&gt;0,AND(ISNUMBER(SEARCH("blank",$S$4)),NOT(ISNUMBER(SEARCH("nonblank",$S$4))),IFERROR(('Final Calculation Sheet'!$R$35)&amp;"","")=""),AND(OR(ISNUMBER(SEARCH("nonblank",$S$4)),ISNUMBER(SEARCH("&lt;&gt;",$S$4))),IFERROR(('Final Calculation Sheet'!$R$35)&amp;"","")&lt;&gt;""),AND(TRIM($S$4)="",IFERROR(('Final Calculation Sheet'!$R$35)&amp;"","")=""))))</f>
        <v/>
      </c>
      <c r="CF36">
        <f>IF($T$4="",1,--(OR(SUMPRODUCT(--(TRIM(MID(SUBSTITUTE(SUBSTITUTE($T$4,"/",","),",",REPT(" ",99)),(ROW($1:$8)-1)*99+1,99))&lt;&gt;""),--ISNUMBER(SEARCH(TRIM(MID(SUBSTITUTE(SUBSTITUTE($T$4,"/",","),",",REPT(" ",99)),(ROW($1:$8)-1)*99+1,99)),IFERROR(('Final Calculation Sheet'!$S$35)&amp;"",""))))&gt;0,AND(ISNUMBER(SEARCH("blank",$T$4)),NOT(ISNUMBER(SEARCH("nonblank",$T$4))),IFERROR(('Final Calculation Sheet'!$S$35)&amp;"","")=""),AND(OR(ISNUMBER(SEARCH("nonblank",$T$4)),ISNUMBER(SEARCH("&lt;&gt;",$T$4))),IFERROR(('Final Calculation Sheet'!$S$35)&amp;"","")&lt;&gt;""),AND(TRIM($T$4)="",IFERROR(('Final Calculation Sheet'!$S$35)&amp;"","")=""))))</f>
        <v/>
      </c>
      <c r="CG36">
        <f>IF($U$4="",1,--(OR(SUMPRODUCT(--(TRIM(MID(SUBSTITUTE(SUBSTITUTE($U$4,"/",","),",",REPT(" ",99)),(ROW($1:$8)-1)*99+1,99))&lt;&gt;""),--ISNUMBER(SEARCH(TRIM(MID(SUBSTITUTE(SUBSTITUTE($U$4,"/",","),",",REPT(" ",99)),(ROW($1:$8)-1)*99+1,99)),IFERROR(('Final Calculation Sheet'!$T$35)&amp;"",""))))&gt;0,AND(ISNUMBER(SEARCH("blank",$U$4)),NOT(ISNUMBER(SEARCH("nonblank",$U$4))),IFERROR(('Final Calculation Sheet'!$T$35)&amp;"","")=""),AND(OR(ISNUMBER(SEARCH("nonblank",$U$4)),ISNUMBER(SEARCH("&lt;&gt;",$U$4))),IFERROR(('Final Calculation Sheet'!$T$35)&amp;"","")&lt;&gt;""),AND(TRIM($U$4)="",IFERROR(('Final Calculation Sheet'!$T$35)&amp;"","")=""))))</f>
        <v/>
      </c>
      <c r="CH36">
        <f>IF($V$4="",1,--(OR(SUMPRODUCT(--(TRIM(MID(SUBSTITUTE(SUBSTITUTE($V$4,"/",","),",",REPT(" ",99)),(ROW($1:$8)-1)*99+1,99))&lt;&gt;""),--ISNUMBER(SEARCH(TRIM(MID(SUBSTITUTE(SUBSTITUTE($V$4,"/",","),",",REPT(" ",99)),(ROW($1:$8)-1)*99+1,99)),IFERROR(('Final Calculation Sheet'!$U$35)&amp;"",""))))&gt;0,AND(ISNUMBER(SEARCH("blank",$V$4)),NOT(ISNUMBER(SEARCH("nonblank",$V$4))),IFERROR(('Final Calculation Sheet'!$U$35)&amp;"","")=""),AND(OR(ISNUMBER(SEARCH("nonblank",$V$4)),ISNUMBER(SEARCH("&lt;&gt;",$V$4))),IFERROR(('Final Calculation Sheet'!$U$35)&amp;"","")&lt;&gt;""),AND(TRIM($V$4)="",IFERROR(('Final Calculation Sheet'!$U$35)&amp;"","")=""))))</f>
        <v/>
      </c>
      <c r="CI36">
        <f>IF($W$4="",1,--(OR(SUMPRODUCT(--(TRIM(MID(SUBSTITUTE(SUBSTITUTE($W$4,"/",","),",",REPT(" ",99)),(ROW($1:$8)-1)*99+1,99))&lt;&gt;""),--ISNUMBER(SEARCH(TRIM(MID(SUBSTITUTE(SUBSTITUTE($W$4,"/",","),",",REPT(" ",99)),(ROW($1:$8)-1)*99+1,99)),IFERROR(('Final Calculation Sheet'!$V$35)&amp;"",""))))&gt;0,AND(ISNUMBER(SEARCH("blank",$W$4)),NOT(ISNUMBER(SEARCH("nonblank",$W$4))),IFERROR(('Final Calculation Sheet'!$V$35)&amp;"","")=""),AND(OR(ISNUMBER(SEARCH("nonblank",$W$4)),ISNUMBER(SEARCH("&lt;&gt;",$W$4))),IFERROR(('Final Calculation Sheet'!$V$35)&amp;"","")&lt;&gt;""),AND(TRIM($W$4)="",IFERROR(('Final Calculation Sheet'!$V$35)&amp;"","")=""))))</f>
        <v/>
      </c>
      <c r="CJ36">
        <f>IF($X$4="",1,--(OR(SUMPRODUCT(--(TRIM(MID(SUBSTITUTE(SUBSTITUTE($X$4,"/",","),",",REPT(" ",99)),(ROW($1:$8)-1)*99+1,99))&lt;&gt;""),--ISNUMBER(SEARCH(TRIM(MID(SUBSTITUTE(SUBSTITUTE($X$4,"/",","),",",REPT(" ",99)),(ROW($1:$8)-1)*99+1,99)),IFERROR(('Final Calculation Sheet'!$W$35)&amp;"",""))))&gt;0,AND(ISNUMBER(SEARCH("blank",$X$4)),NOT(ISNUMBER(SEARCH("nonblank",$X$4))),IFERROR(('Final Calculation Sheet'!$W$35)&amp;"","")=""),AND(OR(ISNUMBER(SEARCH("nonblank",$X$4)),ISNUMBER(SEARCH("&lt;&gt;",$X$4))),IFERROR(('Final Calculation Sheet'!$W$35)&amp;"","")&lt;&gt;""),AND(TRIM($X$4)="",IFERROR(('Final Calculation Sheet'!$W$35)&amp;"","")=""))))</f>
        <v/>
      </c>
      <c r="CK36">
        <f>IF($Y$4="",1,--(OR(SUMPRODUCT(--(TRIM(MID(SUBSTITUTE(SUBSTITUTE($Y$4,"/",","),",",REPT(" ",99)),(ROW($1:$8)-1)*99+1,99))&lt;&gt;""),--ISNUMBER(SEARCH(TRIM(MID(SUBSTITUTE(SUBSTITUTE($Y$4,"/",","),",",REPT(" ",99)),(ROW($1:$8)-1)*99+1,99)),IFERROR(('Final Calculation Sheet'!$X$35)&amp;"",""))))&gt;0,AND(ISNUMBER(SEARCH("blank",$Y$4)),NOT(ISNUMBER(SEARCH("nonblank",$Y$4))),IFERROR(('Final Calculation Sheet'!$X$35)&amp;"","")=""),AND(OR(ISNUMBER(SEARCH("nonblank",$Y$4)),ISNUMBER(SEARCH("&lt;&gt;",$Y$4))),IFERROR(('Final Calculation Sheet'!$X$35)&amp;"","")&lt;&gt;""),AND(TRIM($Y$4)="",IFERROR(('Final Calculation Sheet'!$X$35)&amp;"","")=""))))</f>
        <v/>
      </c>
      <c r="CL36">
        <f>IF($Z$4="",1,--(OR(SUMPRODUCT(--(TRIM(MID(SUBSTITUTE(SUBSTITUTE($Z$4,"/",","),",",REPT(" ",99)),(ROW($1:$8)-1)*99+1,99))&lt;&gt;""),--ISNUMBER(SEARCH(TRIM(MID(SUBSTITUTE(SUBSTITUTE($Z$4,"/",","),",",REPT(" ",99)),(ROW($1:$8)-1)*99+1,99)),IFERROR(('Final Calculation Sheet'!$Y$35)&amp;"",""))))&gt;0,AND(ISNUMBER(SEARCH("blank",$Z$4)),NOT(ISNUMBER(SEARCH("nonblank",$Z$4))),IFERROR(('Final Calculation Sheet'!$Y$35)&amp;"","")=""),AND(OR(ISNUMBER(SEARCH("nonblank",$Z$4)),ISNUMBER(SEARCH("&lt;&gt;",$Z$4))),IFERROR(('Final Calculation Sheet'!$Y$35)&amp;"","")&lt;&gt;""),AND(TRIM($Z$4)="",IFERROR(('Final Calculation Sheet'!$Y$35)&amp;"","")=""))))</f>
        <v/>
      </c>
      <c r="CM36">
        <f>IF($AA$4="",1,--(OR(SUMPRODUCT(--(TRIM(MID(SUBSTITUTE(SUBSTITUTE($AA$4,"/",","),",",REPT(" ",99)),(ROW($1:$8)-1)*99+1,99))&lt;&gt;""),--ISNUMBER(SEARCH(TRIM(MID(SUBSTITUTE(SUBSTITUTE($AA$4,"/",","),",",REPT(" ",99)),(ROW($1:$8)-1)*99+1,99)),IFERROR(('Final Calculation Sheet'!$Z$35)&amp;"",""))))&gt;0,AND(ISNUMBER(SEARCH("blank",$AA$4)),NOT(ISNUMBER(SEARCH("nonblank",$AA$4))),IFERROR(('Final Calculation Sheet'!$Z$35)&amp;"","")=""),AND(OR(ISNUMBER(SEARCH("nonblank",$AA$4)),ISNUMBER(SEARCH("&lt;&gt;",$AA$4))),IFERROR(('Final Calculation Sheet'!$Z$35)&amp;"","")&lt;&gt;""),AND(TRIM($AA$4)="",IFERROR(('Final Calculation Sheet'!$Z$35)&amp;"","")=""))))</f>
        <v/>
      </c>
      <c r="CN36">
        <f>IF($AB$4="",1,--(OR(SUMPRODUCT(--(TRIM(MID(SUBSTITUTE(SUBSTITUTE($AB$4,"/",","),",",REPT(" ",99)),(ROW($1:$8)-1)*99+1,99))&lt;&gt;""),--ISNUMBER(SEARCH(TRIM(MID(SUBSTITUTE(SUBSTITUTE($AB$4,"/",","),",",REPT(" ",99)),(ROW($1:$8)-1)*99+1,99)),IFERROR(('Final Calculation Sheet'!$AA$35)&amp;"",""))))&gt;0,AND(ISNUMBER(SEARCH("blank",$AB$4)),NOT(ISNUMBER(SEARCH("nonblank",$AB$4))),IFERROR(('Final Calculation Sheet'!$AA$35)&amp;"","")=""),AND(OR(ISNUMBER(SEARCH("nonblank",$AB$4)),ISNUMBER(SEARCH("&lt;&gt;",$AB$4))),IFERROR(('Final Calculation Sheet'!$AA$35)&amp;"","")&lt;&gt;""),AND(TRIM($AB$4)="",IFERROR(('Final Calculation Sheet'!$AA$35)&amp;"","")=""))))</f>
        <v/>
      </c>
      <c r="CO36">
        <f>IF($AC$4="",1,--(OR(SUMPRODUCT(--(TRIM(MID(SUBSTITUTE(SUBSTITUTE($AC$4,"/",","),",",REPT(" ",99)),(ROW($1:$8)-1)*99+1,99))&lt;&gt;""),--ISNUMBER(SEARCH(TRIM(MID(SUBSTITUTE(SUBSTITUTE($AC$4,"/",","),",",REPT(" ",99)),(ROW($1:$8)-1)*99+1,99)),IFERROR(('Final Calculation Sheet'!$AB$35)&amp;"",""))))&gt;0,AND(ISNUMBER(SEARCH("blank",$AC$4)),NOT(ISNUMBER(SEARCH("nonblank",$AC$4))),IFERROR(('Final Calculation Sheet'!$AB$35)&amp;"","")=""),AND(OR(ISNUMBER(SEARCH("nonblank",$AC$4)),ISNUMBER(SEARCH("&lt;&gt;",$AC$4))),IFERROR(('Final Calculation Sheet'!$AB$35)&amp;"","")&lt;&gt;""),AND(TRIM($AC$4)="",IFERROR(('Final Calculation Sheet'!$AB$35)&amp;"","")=""))))</f>
        <v/>
      </c>
      <c r="CP36">
        <f>IF($AD$4="",1,--(OR(SUMPRODUCT(--(TRIM(MID(SUBSTITUTE(SUBSTITUTE($AD$4,"/",","),",",REPT(" ",99)),(ROW($1:$8)-1)*99+1,99))&lt;&gt;""),--ISNUMBER(SEARCH(TRIM(MID(SUBSTITUTE(SUBSTITUTE($AD$4,"/",","),",",REPT(" ",99)),(ROW($1:$8)-1)*99+1,99)),IFERROR(('Final Calculation Sheet'!$AC$35)&amp;"",""))))&gt;0,AND(ISNUMBER(SEARCH("blank",$AD$4)),NOT(ISNUMBER(SEARCH("nonblank",$AD$4))),IFERROR(('Final Calculation Sheet'!$AC$35)&amp;"","")=""),AND(OR(ISNUMBER(SEARCH("nonblank",$AD$4)),ISNUMBER(SEARCH("&lt;&gt;",$AD$4))),IFERROR(('Final Calculation Sheet'!$AC$35)&amp;"","")&lt;&gt;""),AND(TRIM($AD$4)="",IFERROR(('Final Calculation Sheet'!$AC$35)&amp;"","")=""))))</f>
        <v/>
      </c>
      <c r="CQ36">
        <f>IF($AE$4="",1,--(OR(SUMPRODUCT(--(TRIM(MID(SUBSTITUTE(SUBSTITUTE($AE$4,"/",","),",",REPT(" ",99)),(ROW($1:$8)-1)*99+1,99))&lt;&gt;""),--ISNUMBER(SEARCH(TRIM(MID(SUBSTITUTE(SUBSTITUTE($AE$4,"/",","),",",REPT(" ",99)),(ROW($1:$8)-1)*99+1,99)),IFERROR(('Final Calculation Sheet'!$AD$35)&amp;"",""))))&gt;0,AND(ISNUMBER(SEARCH("blank",$AE$4)),NOT(ISNUMBER(SEARCH("nonblank",$AE$4))),IFERROR(('Final Calculation Sheet'!$AD$35)&amp;"","")=""),AND(OR(ISNUMBER(SEARCH("nonblank",$AE$4)),ISNUMBER(SEARCH("&lt;&gt;",$AE$4))),IFERROR(('Final Calculation Sheet'!$AD$35)&amp;"","")&lt;&gt;""),AND(TRIM($AE$4)="",IFERROR(('Final Calculation Sheet'!$AD$35)&amp;"","")=""))))</f>
        <v/>
      </c>
      <c r="CR36">
        <f>IF($AF$4="",1,--(OR(SUMPRODUCT(--(TRIM(MID(SUBSTITUTE(SUBSTITUTE($AF$4,"/",","),",",REPT(" ",99)),(ROW($1:$8)-1)*99+1,99))&lt;&gt;""),--ISNUMBER(SEARCH(TRIM(MID(SUBSTITUTE(SUBSTITUTE($AF$4,"/",","),",",REPT(" ",99)),(ROW($1:$8)-1)*99+1,99)),IFERROR(('Final Calculation Sheet'!$AE$35)&amp;"",""))))&gt;0,AND(ISNUMBER(SEARCH("blank",$AF$4)),NOT(ISNUMBER(SEARCH("nonblank",$AF$4))),IFERROR(('Final Calculation Sheet'!$AE$35)&amp;"","")=""),AND(OR(ISNUMBER(SEARCH("nonblank",$AF$4)),ISNUMBER(SEARCH("&lt;&gt;",$AF$4))),IFERROR(('Final Calculation Sheet'!$AE$35)&amp;"","")&lt;&gt;""),AND(TRIM($AF$4)="",IFERROR(('Final Calculation Sheet'!$AE$35)&amp;"","")=""))))</f>
        <v/>
      </c>
      <c r="CS36">
        <f>IF($AG$4="",1,--(OR(SUMPRODUCT(--(TRIM(MID(SUBSTITUTE(SUBSTITUTE($AG$4,"/",","),",",REPT(" ",99)),(ROW($1:$8)-1)*99+1,99))&lt;&gt;""),--ISNUMBER(SEARCH(TRIM(MID(SUBSTITUTE(SUBSTITUTE($AG$4,"/",","),",",REPT(" ",99)),(ROW($1:$8)-1)*99+1,99)),IFERROR(('Final Calculation Sheet'!$AF$35)&amp;"",""))))&gt;0,AND(ISNUMBER(SEARCH("blank",$AG$4)),NOT(ISNUMBER(SEARCH("nonblank",$AG$4))),IFERROR(('Final Calculation Sheet'!$AF$35)&amp;"","")=""),AND(OR(ISNUMBER(SEARCH("nonblank",$AG$4)),ISNUMBER(SEARCH("&lt;&gt;",$AG$4))),IFERROR(('Final Calculation Sheet'!$AF$35)&amp;"","")&lt;&gt;""),AND(TRIM($AG$4)="",IFERROR(('Final Calculation Sheet'!$AF$35)&amp;"","")=""))))</f>
        <v/>
      </c>
      <c r="CT36">
        <f>IF($AH$4="",1,--(OR(SUMPRODUCT(--(TRIM(MID(SUBSTITUTE(SUBSTITUTE($AH$4,"/",","),",",REPT(" ",99)),(ROW($1:$8)-1)*99+1,99))&lt;&gt;""),--ISNUMBER(SEARCH(TRIM(MID(SUBSTITUTE(SUBSTITUTE($AH$4,"/",","),",",REPT(" ",99)),(ROW($1:$8)-1)*99+1,99)),IFERROR(('Final Calculation Sheet'!$AG$35)&amp;"",""))))&gt;0,AND(ISNUMBER(SEARCH("blank",$AH$4)),NOT(ISNUMBER(SEARCH("nonblank",$AH$4))),IFERROR(('Final Calculation Sheet'!$AG$35)&amp;"","")=""),AND(OR(ISNUMBER(SEARCH("nonblank",$AH$4)),ISNUMBER(SEARCH("&lt;&gt;",$AH$4))),IFERROR(('Final Calculation Sheet'!$AG$35)&amp;"","")&lt;&gt;""),AND(TRIM($AH$4)="",IFERROR(('Final Calculation Sheet'!$AG$35)&amp;"","")=""))))</f>
        <v/>
      </c>
      <c r="CU36">
        <f>IF($AI$4="",1,--(OR(SUMPRODUCT(--(TRIM(MID(SUBSTITUTE(SUBSTITUTE($AI$4,"/",","),",",REPT(" ",99)),(ROW($1:$8)-1)*99+1,99))&lt;&gt;""),--ISNUMBER(SEARCH(TRIM(MID(SUBSTITUTE(SUBSTITUTE($AI$4,"/",","),",",REPT(" ",99)),(ROW($1:$8)-1)*99+1,99)),IFERROR((IF('Final Calculation Sheet'!$AD$35&lt;=0,"SETTLED","OUTSTANDING"))&amp;"",""))))&gt;0,AND(ISNUMBER(SEARCH("blank",$AI$4)),NOT(ISNUMBER(SEARCH("nonblank",$AI$4))),IFERROR((IF('Final Calculation Sheet'!$AD$35&lt;=0,"SETTLED","OUTSTANDING"))&amp;"","")=""),AND(OR(ISNUMBER(SEARCH("nonblank",$AI$4)),ISNUMBER(SEARCH("&lt;&gt;",$AI$4))),IFERROR((IF('Final Calculation Sheet'!$AD$35&lt;=0,"SETTLED","OUTSTANDING"))&amp;"","")&lt;&gt;""),AND(TRIM($AI$4)="",IFERROR((IF('Final Calculation Sheet'!$AD$35&lt;=0,"SETTLED","OUTSTANDING"))&amp;"","")=""))))</f>
        <v/>
      </c>
    </row>
    <row r="37" ht="15" customHeight="1" s="77">
      <c r="A37" s="67">
        <f>IF($BJ36&gt;0,INDEX($BA$5:$BA$41,MATCH(36,$BB$5:$BB$41,0)),IF(OR($BI36=1,$BL36=1,$BH36&gt;0),"∑",""))</f>
        <v/>
      </c>
      <c r="B37" s="68">
        <f>IF($BJ36&gt;0,IF(INDEX('Final Calculation Sheet'!$F$4:$F$40,$BJ36-3)="","",INDEX('Final Calculation Sheet'!$F$4:$F$40,$BJ36-3)),"")</f>
        <v/>
      </c>
      <c r="C37" s="68">
        <f>IF($BJ36&gt;0,IF(INDEX('Final Calculation Sheet'!$G$4:$G$40,$BJ36-3)="","",INDEX('Final Calculation Sheet'!$G$4:$G$40,$BJ36-3)),IF(OR($BI36=1,$BL36=1,$BH36&gt;0),IF($BI36=1,37,IF($BL36=1,37-INDEX($BD$4:$BD$13,10),INDEX($BD$4:$BD$13,$BH36)))&amp;" lot(s)",""))</f>
        <v/>
      </c>
      <c r="D37" s="69">
        <f>IF($BJ36&gt;0,IF(INDEX('Final Calculation Sheet'!$B$4:$B$40,$BJ36-3)="","",INDEX('Final Calculation Sheet'!$B$4:$B$40,$BJ36-3)),IF(OR($BI36=1,$BL36=1,$BH36&gt;0),IF($BI36=1,"GRAND TOTAL  —  matching + remaining",IF($BL36=1,"TOTAL MATCHED  —  every group together",IF($BH36=10,"REMAINING  —  did not match the search",IF($BH36=9,IF(COUNTIF($A$4:$AI$4,"&lt;&gt;")&gt;0,"FILTERED LOTS  —  column fields","ALL LOTS  —  nothing typed in the box"),"GROUP "&amp;$BH36&amp;" TOTAL  —  lots matching  "&amp;INDEX($AR$6:$AY$6,$BH36))))),""))</f>
        <v/>
      </c>
      <c r="E37" s="69">
        <f>IF($BJ36&gt;0,IF(INDEX('Final Calculation Sheet'!$D$4:$D$40,$BJ36-3)="","",INDEX('Final Calculation Sheet'!$D$4:$D$40,$BJ36-3)),IF(OR($BI36=1,$BL36=1,$BH36&gt;0),"–",""))</f>
        <v/>
      </c>
      <c r="F37" s="69">
        <f>IF($BJ36&gt;0,IF(INDEX('Final Calculation Sheet'!$A$4:$A$40,$BJ36-3)="","",INDEX('Final Calculation Sheet'!$A$4:$A$40,$BJ36-3)),IF(OR($BI36=1,$BL36=1,$BH36&gt;0),IF($BI36=1,SUM('Final Calculation Sheet'!$A$4:$A$40),IF($BL36=1,SUM('Final Calculation Sheet'!$A$4:$A$40)-SUMIFS('Final Calculation Sheet'!$A$4:$A$40,$AZ$5:$AZ$41,10),SUMIFS('Final Calculation Sheet'!$A$4:$A$40,$AZ$5:$AZ$41,$BH36))),""))</f>
        <v/>
      </c>
      <c r="G37" s="69">
        <f>IF($BJ36&gt;0,IF(INDEX('Final Calculation Sheet'!$E$4:$E$40,$BJ36-3)="","",INDEX('Final Calculation Sheet'!$E$4:$E$40,$BJ36-3)),IF(OR($BI36=1,$BL36=1,$BH36&gt;0),"–",""))</f>
        <v/>
      </c>
      <c r="H37" s="70">
        <f>IF($BJ36&gt;0,IF(INDEX('Final Calculation Sheet'!$C$4:$C$40,$BJ36-3)="","",INDEX('Final Calculation Sheet'!$C$4:$C$40,$BJ36-3)),IF(OR($BI36=1,$BL36=1,$BH36&gt;0),"–",""))</f>
        <v/>
      </c>
      <c r="I37" s="70">
        <f>IF($BJ36&gt;0,IF(INDEX('Final Calculation Sheet'!$H$4:$H$40,$BJ36-3)="","",INDEX('Final Calculation Sheet'!$H$4:$H$40,$BJ36-3)),IF(OR($BI36=1,$BL36=1,$BH36&gt;0),IF($BI36=1,SUM('Final Calculation Sheet'!$H$4:$H$40),IF($BL36=1,SUM('Final Calculation Sheet'!$H$4:$H$40)-SUMIFS('Final Calculation Sheet'!$H$4:$H$40,$AZ$5:$AZ$41,10),SUMIFS('Final Calculation Sheet'!$H$4:$H$40,$AZ$5:$AZ$41,$BH36))),""))</f>
        <v/>
      </c>
      <c r="J37" s="70">
        <f>IF($BJ36&gt;0,IF(INDEX('Final Calculation Sheet'!$I$4:$I$40,$BJ36-3)="","",INDEX('Final Calculation Sheet'!$I$4:$I$40,$BJ36-3)),IF(OR($BI36=1,$BL36=1,$BH36&gt;0),IF($BI36=1,SUM('Final Calculation Sheet'!$I$4:$I$40),IF($BL36=1,SUM('Final Calculation Sheet'!$I$4:$I$40)-SUMIFS('Final Calculation Sheet'!$I$4:$I$40,$AZ$5:$AZ$41,10),SUMIFS('Final Calculation Sheet'!$I$4:$I$40,$AZ$5:$AZ$41,$BH36))),""))</f>
        <v/>
      </c>
      <c r="K37" s="70">
        <f>IF($BJ36&gt;0,IF(INDEX('Final Calculation Sheet'!$J$4:$J$40,$BJ36-3)="","",INDEX('Final Calculation Sheet'!$J$4:$J$40,$BJ36-3)),IF(OR($BI36=1,$BL36=1,$BH36&gt;0),IF($BI36=1,SUM('Final Calculation Sheet'!$J$4:$J$40),IF($BL36=1,SUM('Final Calculation Sheet'!$J$4:$J$40)-SUMIFS('Final Calculation Sheet'!$J$4:$J$40,$AZ$5:$AZ$41,10),SUMIFS('Final Calculation Sheet'!$J$4:$J$40,$AZ$5:$AZ$41,$BH36))),""))</f>
        <v/>
      </c>
      <c r="L37" s="70">
        <f>IF($BJ36&gt;0,IF(INDEX('Final Calculation Sheet'!$K$4:$K$40,$BJ36-3)="","",INDEX('Final Calculation Sheet'!$K$4:$K$40,$BJ36-3)),IF(OR($BI36=1,$BL36=1,$BH36&gt;0),IF($BI36=1,SUM('Final Calculation Sheet'!$K$4:$K$40),IF($BL36=1,SUM('Final Calculation Sheet'!$K$4:$K$40)-SUMIFS('Final Calculation Sheet'!$K$4:$K$40,$AZ$5:$AZ$41,10),SUMIFS('Final Calculation Sheet'!$K$4:$K$40,$AZ$5:$AZ$41,$BH36))),""))</f>
        <v/>
      </c>
      <c r="M37" s="70">
        <f>IF($BJ36&gt;0,IF(INDEX('Final Calculation Sheet'!$L$4:$L$40,$BJ36-3)="","",INDEX('Final Calculation Sheet'!$L$4:$L$40,$BJ36-3)),IF(OR($BI36=1,$BL36=1,$BH36&gt;0),IF($BI36=1,SUM('Final Calculation Sheet'!$L$4:$L$40),IF($BL36=1,SUM('Final Calculation Sheet'!$L$4:$L$40)-SUMIFS('Final Calculation Sheet'!$L$4:$L$40,$AZ$5:$AZ$41,10),SUMIFS('Final Calculation Sheet'!$L$4:$L$40,$AZ$5:$AZ$41,$BH36))),""))</f>
        <v/>
      </c>
      <c r="N37" s="70">
        <f>IF($BJ36&gt;0,IF(INDEX('Final Calculation Sheet'!$M$4:$M$40,$BJ36-3)="","",INDEX('Final Calculation Sheet'!$M$4:$M$40,$BJ36-3)),IF(OR($BI36=1,$BL36=1,$BH36&gt;0),IF($BI36=1,SUM('Final Calculation Sheet'!$M$4:$M$40),IF($BL36=1,SUM('Final Calculation Sheet'!$M$4:$M$40)-SUMIFS('Final Calculation Sheet'!$M$4:$M$40,$AZ$5:$AZ$41,10),SUMIFS('Final Calculation Sheet'!$M$4:$M$40,$AZ$5:$AZ$41,$BH36))),""))</f>
        <v/>
      </c>
      <c r="O37" s="71">
        <f>IF($BJ36&gt;0,IF(INDEX('Final Calculation Sheet'!$N$4:$N$40,$BJ36-3)="","",INDEX('Final Calculation Sheet'!$N$4:$N$40,$BJ36-3)),IF(OR($BI36=1,$BL36=1,$BH36&gt;0),IF($BI36=1,SUM('Final Calculation Sheet'!$N$4:$N$40),IF($BL36=1,SUM('Final Calculation Sheet'!$N$4:$N$40)-SUMIFS('Final Calculation Sheet'!$N$4:$N$40,$AZ$5:$AZ$41,10),SUMIFS('Final Calculation Sheet'!$N$4:$N$40,$AZ$5:$AZ$41,$BH36))),""))</f>
        <v/>
      </c>
      <c r="P37" s="70">
        <f>IF($BJ36&gt;0,IF(INDEX('Final Calculation Sheet'!$O$4:$O$40,$BJ36-3)="","",INDEX('Final Calculation Sheet'!$O$4:$O$40,$BJ36-3)),IF(OR($BI36=1,$BL36=1,$BH36&gt;0),IF($BI36=1,SUM('Final Calculation Sheet'!$O$4:$O$40),IF($BL36=1,SUM('Final Calculation Sheet'!$O$4:$O$40)-SUMIFS('Final Calculation Sheet'!$O$4:$O$40,$AZ$5:$AZ$41,10),SUMIFS('Final Calculation Sheet'!$O$4:$O$40,$AZ$5:$AZ$41,$BH36))),""))</f>
        <v/>
      </c>
      <c r="Q37" s="70">
        <f>IF($BJ36&gt;0,IF(INDEX('Final Calculation Sheet'!$P$4:$P$40,$BJ36-3)="","",INDEX('Final Calculation Sheet'!$P$4:$P$40,$BJ36-3)),IF(OR($BI36=1,$BL36=1,$BH36&gt;0),IF($BI36=1,SUM('Final Calculation Sheet'!$P$4:$P$40),IF($BL36=1,SUM('Final Calculation Sheet'!$P$4:$P$40)-SUMIFS('Final Calculation Sheet'!$P$4:$P$40,$AZ$5:$AZ$41,10),SUMIFS('Final Calculation Sheet'!$P$4:$P$40,$AZ$5:$AZ$41,$BH36))),""))</f>
        <v/>
      </c>
      <c r="R37" s="72">
        <f>IF($BJ36&gt;0,IF(INDEX('Final Calculation Sheet'!$Q$4:$Q$40,$BJ36-3)="","",INDEX('Final Calculation Sheet'!$Q$4:$Q$40,$BJ36-3)),IF(OR($BI36=1,$BL36=1,$BH36&gt;0),"–",""))</f>
        <v/>
      </c>
      <c r="S37" s="70">
        <f>IF($BJ36&gt;0,IF(INDEX('Final Calculation Sheet'!$R$4:$R$40,$BJ36-3)="","",INDEX('Final Calculation Sheet'!$R$4:$R$40,$BJ36-3)),IF(OR($BI36=1,$BL36=1,$BH36&gt;0),IF($BI36=1,SUM('Final Calculation Sheet'!$R$4:$R$40),IF($BL36=1,SUM('Final Calculation Sheet'!$R$4:$R$40)-SUMIFS('Final Calculation Sheet'!$R$4:$R$40,$AZ$5:$AZ$41,10),SUMIFS('Final Calculation Sheet'!$R$4:$R$40,$AZ$5:$AZ$41,$BH36))),""))</f>
        <v/>
      </c>
      <c r="T37" s="70">
        <f>IF($BJ36&gt;0,IF(INDEX('Final Calculation Sheet'!$S$4:$S$40,$BJ36-3)="","",INDEX('Final Calculation Sheet'!$S$4:$S$40,$BJ36-3)),IF(OR($BI36=1,$BL36=1,$BH36&gt;0),IF($BI36=1,SUM('Final Calculation Sheet'!$S$4:$S$40),IF($BL36=1,SUM('Final Calculation Sheet'!$S$4:$S$40)-SUMIFS('Final Calculation Sheet'!$S$4:$S$40,$AZ$5:$AZ$41,10),SUMIFS('Final Calculation Sheet'!$S$4:$S$40,$AZ$5:$AZ$41,$BH36))),""))</f>
        <v/>
      </c>
      <c r="U37" s="70">
        <f>IF($BJ36&gt;0,IF(INDEX('Final Calculation Sheet'!$T$4:$T$40,$BJ36-3)="","",INDEX('Final Calculation Sheet'!$T$4:$T$40,$BJ36-3)),IF(OR($BI36=1,$BL36=1,$BH36&gt;0),IF($BI36=1,SUM('Final Calculation Sheet'!$T$4:$T$40),IF($BL36=1,SUM('Final Calculation Sheet'!$T$4:$T$40)-SUMIFS('Final Calculation Sheet'!$T$4:$T$40,$AZ$5:$AZ$41,10),SUMIFS('Final Calculation Sheet'!$T$4:$T$40,$AZ$5:$AZ$41,$BH36))),""))</f>
        <v/>
      </c>
      <c r="V37" s="73">
        <f>IF($BJ36&gt;0,IF(INDEX('Final Calculation Sheet'!$U$4:$U$40,$BJ36-3)="","",INDEX('Final Calculation Sheet'!$U$4:$U$40,$BJ36-3)),IF(OR($BI36=1,$BL36=1,$BH36&gt;0),IF($BI36=1,SUM('Final Calculation Sheet'!$U$4:$U$40),IF($BL36=1,SUM('Final Calculation Sheet'!$U$4:$U$40)-SUMIFS('Final Calculation Sheet'!$U$4:$U$40,$AZ$5:$AZ$41,10),SUMIFS('Final Calculation Sheet'!$U$4:$U$40,$AZ$5:$AZ$41,$BH36))),""))</f>
        <v/>
      </c>
      <c r="W37" s="70">
        <f>IF($BJ36&gt;0,IF(INDEX('Final Calculation Sheet'!$V$4:$V$40,$BJ36-3)="","",INDEX('Final Calculation Sheet'!$V$4:$V$40,$BJ36-3)),IF(OR($BI36=1,$BL36=1,$BH36&gt;0),"–",""))</f>
        <v/>
      </c>
      <c r="X37" s="70">
        <f>IF($BJ36&gt;0,IF(INDEX('Final Calculation Sheet'!$W$4:$W$40,$BJ36-3)="","",INDEX('Final Calculation Sheet'!$W$4:$W$40,$BJ36-3)),IF(OR($BI36=1,$BL36=1,$BH36&gt;0),IF($BI36=1,SUM('Final Calculation Sheet'!$W$4:$W$40),IF($BL36=1,SUM('Final Calculation Sheet'!$W$4:$W$40)-SUMIFS('Final Calculation Sheet'!$W$4:$W$40,$AZ$5:$AZ$41,10),SUMIFS('Final Calculation Sheet'!$W$4:$W$40,$AZ$5:$AZ$41,$BH36))),""))</f>
        <v/>
      </c>
      <c r="Y37" s="70">
        <f>IF($BJ36&gt;0,IF(INDEX('Final Calculation Sheet'!$X$4:$X$40,$BJ36-3)="","",INDEX('Final Calculation Sheet'!$X$4:$X$40,$BJ36-3)),IF(OR($BI36=1,$BL36=1,$BH36&gt;0),IF($BI36=1,SUM('Final Calculation Sheet'!$X$4:$X$40),IF($BL36=1,SUM('Final Calculation Sheet'!$X$4:$X$40)-SUMIFS('Final Calculation Sheet'!$X$4:$X$40,$AZ$5:$AZ$41,10),SUMIFS('Final Calculation Sheet'!$X$4:$X$40,$AZ$5:$AZ$41,$BH36))),""))</f>
        <v/>
      </c>
      <c r="Z37" s="70">
        <f>IF($BJ36&gt;0,IF(INDEX('Final Calculation Sheet'!$Y$4:$Y$40,$BJ36-3)="","",INDEX('Final Calculation Sheet'!$Y$4:$Y$40,$BJ36-3)),IF(OR($BI36=1,$BL36=1,$BH36&gt;0),"–",""))</f>
        <v/>
      </c>
      <c r="AA37" s="70">
        <f>IF($BJ36&gt;0,IF(INDEX('Final Calculation Sheet'!$Z$4:$Z$40,$BJ36-3)="","",INDEX('Final Calculation Sheet'!$Z$4:$Z$40,$BJ36-3)),IF(OR($BI36=1,$BL36=1,$BH36&gt;0),IF($BI36=1,SUM('Final Calculation Sheet'!$Z$4:$Z$40),IF($BL36=1,SUM('Final Calculation Sheet'!$Z$4:$Z$40)-SUMIFS('Final Calculation Sheet'!$Z$4:$Z$40,$AZ$5:$AZ$41,10),SUMIFS('Final Calculation Sheet'!$Z$4:$Z$40,$AZ$5:$AZ$41,$BH36))),""))</f>
        <v/>
      </c>
      <c r="AB37" s="70">
        <f>IF($BJ36&gt;0,IF(INDEX('Final Calculation Sheet'!$AA$4:$AA$40,$BJ36-3)="","",INDEX('Final Calculation Sheet'!$AA$4:$AA$40,$BJ36-3)),IF(OR($BI36=1,$BL36=1,$BH36&gt;0),IF($BI36=1,SUM('Final Calculation Sheet'!$AA$4:$AA$40),IF($BL36=1,SUM('Final Calculation Sheet'!$AA$4:$AA$40)-SUMIFS('Final Calculation Sheet'!$AA$4:$AA$40,$AZ$5:$AZ$41,10),SUMIFS('Final Calculation Sheet'!$AA$4:$AA$40,$AZ$5:$AZ$41,$BH36))),""))</f>
        <v/>
      </c>
      <c r="AC37" s="70">
        <f>IF($BJ36&gt;0,IF(INDEX('Final Calculation Sheet'!$AB$4:$AB$40,$BJ36-3)="","",INDEX('Final Calculation Sheet'!$AB$4:$AB$40,$BJ36-3)),IF(OR($BI36=1,$BL36=1,$BH36&gt;0),"–",""))</f>
        <v/>
      </c>
      <c r="AD37" s="70">
        <f>IF($BJ36&gt;0,IF(INDEX('Final Calculation Sheet'!$AC$4:$AC$40,$BJ36-3)="","",INDEX('Final Calculation Sheet'!$AC$4:$AC$40,$BJ36-3)),IF(OR($BI36=1,$BL36=1,$BH36&gt;0),IF($BI36=1,SUM('Final Calculation Sheet'!$AC$4:$AC$40),IF($BL36=1,SUM('Final Calculation Sheet'!$AC$4:$AC$40)-SUMIFS('Final Calculation Sheet'!$AC$4:$AC$40,$AZ$5:$AZ$41,10),SUMIFS('Final Calculation Sheet'!$AC$4:$AC$40,$AZ$5:$AZ$41,$BH36))),""))</f>
        <v/>
      </c>
      <c r="AE37" s="70">
        <f>IF($BJ36&gt;0,IF(INDEX('Final Calculation Sheet'!$AD$4:$AD$40,$BJ36-3)="","",INDEX('Final Calculation Sheet'!$AD$4:$AD$40,$BJ36-3)),IF(OR($BI36=1,$BL36=1,$BH36&gt;0),IF($BI36=1,SUM('Final Calculation Sheet'!$AD$4:$AD$40),IF($BL36=1,SUM('Final Calculation Sheet'!$AD$4:$AD$40)-SUMIFS('Final Calculation Sheet'!$AD$4:$AD$40,$AZ$5:$AZ$41,10),SUMIFS('Final Calculation Sheet'!$AD$4:$AD$40,$AZ$5:$AZ$41,$BH36))),""))</f>
        <v/>
      </c>
      <c r="AF37" s="70">
        <f>IF($BJ36&gt;0,IF(INDEX('Final Calculation Sheet'!$AE$4:$AE$40,$BJ36-3)="","",INDEX('Final Calculation Sheet'!$AE$4:$AE$40,$BJ36-3)),IF(OR($BI36=1,$BL36=1,$BH36&gt;0),"–",""))</f>
        <v/>
      </c>
      <c r="AG37" s="74">
        <f>IF($BJ36&gt;0,IF(INDEX('Final Calculation Sheet'!$AF$4:$AF$40,$BJ36-3)="","",INDEX('Final Calculation Sheet'!$AF$4:$AF$40,$BJ36-3)),IF(OR($BI36=1,$BL36=1,$BH36&gt;0),"–",""))</f>
        <v/>
      </c>
      <c r="AH37" s="70">
        <f>IF($BJ36&gt;0,IF(INDEX('Final Calculation Sheet'!$AG$4:$AG$40,$BJ36-3)="","",INDEX('Final Calculation Sheet'!$AG$4:$AG$40,$BJ36-3)),IF(OR($BI36=1,$BL36=1,$BH36&gt;0),"–",""))</f>
        <v/>
      </c>
      <c r="AI37" s="75">
        <f>IF($BJ36&gt;0,IF(INDEX('Final Calculation Sheet'!$AD$4:$AD$40,$BJ36-3)="","",IF(INDEX('Final Calculation Sheet'!$AD$4:$AD$40,$BJ36-3)&lt;=0,"SETTLED","OUTSTANDING")),IF(OR($BI36=1,$BL36=1,$BH36&gt;0),IF(IF($BI36=1,SUM('Final Calculation Sheet'!$AD$4:$AD$40),IF($BL36=1,SUM('Final Calculation Sheet'!$AD$4:$AD$40)-SUMIFS('Final Calculation Sheet'!$AD$4:$AD$40,$AZ$5:$AZ$41,10),SUMIFS('Final Calculation Sheet'!$AD$4:$AD$40,$AZ$5:$AZ$41,$BH36)))&lt;=0,"ALL SETTLED","OUTSTANDING"),""))</f>
        <v/>
      </c>
      <c r="AK37">
        <f>IF($F$3="Lot No.",'Final Calculation Sheet'!$F$36,IF($F$3="Buyer",'Final Calculation Sheet'!$G$36,IF($F$3="Lot Name",'Final Calculation Sheet'!$B$36,IF($F$3="Bid Sheet",'Final Calculation Sheet'!$D$36,IF($F$3="Unit",'Final Calculation Sheet'!$E$36,'Final Calculation Sheet'!$F$36&amp;" "&amp;'Final Calculation Sheet'!$G$36&amp;" "&amp;'Final Calculation Sheet'!$B$36)))))</f>
        <v/>
      </c>
      <c r="AM37">
        <f>IF(COUNTIF($BM37:$CU37,0)&gt;0,0,IF($B$3="",1,IF(AND(IF(COUNTIF($AR$9:$AY$9,1)=0,TRUE,SUMPRODUCT(($AR$9:$AY$9=1)*($AR$6:$AY$6&lt;&gt;"")*ISNUMBER(SEARCH($AR$6:$AY$6,$AK37)))&gt;0),IF(COUNTIF($AR$9:$AY$9,2)=0,TRUE,SUMPRODUCT(($AR$9:$AY$9=2)*($AR$6:$AY$6&lt;&gt;"")*ISNUMBER(SEARCH($AR$6:$AY$6,$AK37)))&gt;0),IF(COUNTIF($AR$9:$AY$9,3)=0,TRUE,SUMPRODUCT(($AR$9:$AY$9=3)*($AR$6:$AY$6&lt;&gt;"")*ISNUMBER(SEARCH($AR$6:$AY$6,$AK37)))&gt;0),IF(COUNTIF($AR$9:$AY$9,4)=0,TRUE,SUMPRODUCT(($AR$9:$AY$9=4)*($AR$6:$AY$6&lt;&gt;"")*ISNUMBER(SEARCH($AR$6:$AY$6,$AK37)))&gt;0),IF(COUNTIF($AR$9:$AY$9,5)=0,TRUE,SUMPRODUCT(($AR$9:$AY$9=5)*($AR$6:$AY$6&lt;&gt;"")*ISNUMBER(SEARCH($AR$6:$AY$6,$AK37)))&gt;0),IF(COUNTIF($AR$9:$AY$9,6)=0,TRUE,SUMPRODUCT(($AR$9:$AY$9=6)*($AR$6:$AY$6&lt;&gt;"")*ISNUMBER(SEARCH($AR$6:$AY$6,$AK37)))&gt;0),IF(COUNTIF($AR$9:$AY$9,7)=0,TRUE,SUMPRODUCT(($AR$9:$AY$9=7)*($AR$6:$AY$6&lt;&gt;"")*ISNUMBER(SEARCH($AR$6:$AY$6,$AK37)))&gt;0),IF(COUNTIF($AR$9:$AY$9,8)=0,TRUE,SUMPRODUCT(($AR$9:$AY$9=8)*($AR$6:$AY$6&lt;&gt;"")*ISNUMBER(SEARCH($AR$6:$AY$6,$AK37)))&gt;0)),1,0)))</f>
        <v/>
      </c>
      <c r="AZ37">
        <f>IF($B$3="",IF(COUNTIF($A$4:$AI$4,"&lt;&gt;")=0,9,IF($AM37=1,9,10)),IF($AM37=0,10,IF(AND($AR$6&lt;&gt;"",ISNUMBER(SEARCH($AR$6,$AK37))),1,IF(AND($AS$6&lt;&gt;"",ISNUMBER(SEARCH($AS$6,$AK37))),2,IF(AND($AT$6&lt;&gt;"",ISNUMBER(SEARCH($AT$6,$AK37))),3,IF(AND($AU$6&lt;&gt;"",ISNUMBER(SEARCH($AU$6,$AK37))),4,IF(AND($AV$6&lt;&gt;"",ISNUMBER(SEARCH($AV$6,$AK37))),5,IF(AND($AW$6&lt;&gt;"",ISNUMBER(SEARCH($AW$6,$AK37))),6,IF(AND($AX$6&lt;&gt;"",ISNUMBER(SEARCH($AX$6,$AK37))),7,IF(AND($AY$6&lt;&gt;"",ISNUMBER(SEARCH($AY$6,$AK37))),8,0))))))))))</f>
        <v/>
      </c>
      <c r="BA37">
        <f>SUMPRODUCT(($AZ$5:$AZ$41=$AZ37)*($BC$5:$BC$41&lt;$BC37))+1</f>
        <v/>
      </c>
      <c r="BB37">
        <f>IF(INDEX($BF$4:$BF$13,$AZ37)=0,0,INDEX($BE$4:$BE$13,$AZ37)+$BA37-1)</f>
        <v/>
      </c>
      <c r="BC37" t="n">
        <v>36</v>
      </c>
      <c r="BH37">
        <f>IFERROR(MATCH(37,$BF$4:$BF$13,0),0)</f>
        <v/>
      </c>
      <c r="BI37">
        <f>IF(37=$BG$5,1,0)</f>
        <v/>
      </c>
      <c r="BJ37">
        <f>IF(OR($BH37&gt;0,$BI37=1,$BL37=1),0,IFERROR(INDEX($BC$5:$BC$41,MATCH(37,$BB$5:$BB$41,0)),0))</f>
        <v/>
      </c>
      <c r="BK37">
        <f>IF($BJ37&gt;0,IF(INDEX($AZ$5:$AZ$41,MATCH(37,$BB$5:$BB$41,0))=10,1,0),IF($BH37=10,1,0))</f>
        <v/>
      </c>
      <c r="BL37">
        <f>IF(37=$BG$4,1,0)</f>
        <v/>
      </c>
      <c r="BM37">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7">
        <f>IF($B$4="",1,--(OR(SUMPRODUCT(--(TRIM(MID(SUBSTITUTE(SUBSTITUTE($B$4,"/",","),",",REPT(" ",99)),(ROW($1:$8)-1)*99+1,99))&lt;&gt;""),--ISNUMBER(SEARCH(TRIM(MID(SUBSTITUTE(SUBSTITUTE($B$4,"/",","),",",REPT(" ",99)),(ROW($1:$8)-1)*99+1,99)),IFERROR(('Final Calculation Sheet'!$F$36)&amp;"",""))))&gt;0,AND(ISNUMBER(SEARCH("blank",$B$4)),NOT(ISNUMBER(SEARCH("nonblank",$B$4))),IFERROR(('Final Calculation Sheet'!$F$36)&amp;"","")=""),AND(OR(ISNUMBER(SEARCH("nonblank",$B$4)),ISNUMBER(SEARCH("&lt;&gt;",$B$4))),IFERROR(('Final Calculation Sheet'!$F$36)&amp;"","")&lt;&gt;""),AND(TRIM($B$4)="",IFERROR(('Final Calculation Sheet'!$F$36)&amp;"","")=""))))</f>
        <v/>
      </c>
      <c r="BO37">
        <f>IF($C$4="",1,--(OR(SUMPRODUCT(--(TRIM(MID(SUBSTITUTE(SUBSTITUTE($C$4,"/",","),",",REPT(" ",99)),(ROW($1:$8)-1)*99+1,99))&lt;&gt;""),--ISNUMBER(SEARCH(TRIM(MID(SUBSTITUTE(SUBSTITUTE($C$4,"/",","),",",REPT(" ",99)),(ROW($1:$8)-1)*99+1,99)),IFERROR(('Final Calculation Sheet'!$G$36)&amp;"",""))))&gt;0,AND(ISNUMBER(SEARCH("blank",$C$4)),NOT(ISNUMBER(SEARCH("nonblank",$C$4))),IFERROR(('Final Calculation Sheet'!$G$36)&amp;"","")=""),AND(OR(ISNUMBER(SEARCH("nonblank",$C$4)),ISNUMBER(SEARCH("&lt;&gt;",$C$4))),IFERROR(('Final Calculation Sheet'!$G$36)&amp;"","")&lt;&gt;""),AND(TRIM($C$4)="",IFERROR(('Final Calculation Sheet'!$G$36)&amp;"","")=""))))</f>
        <v/>
      </c>
      <c r="BP37">
        <f>IF($D$4="",1,--(OR(SUMPRODUCT(--(TRIM(MID(SUBSTITUTE(SUBSTITUTE($D$4,"/",","),",",REPT(" ",99)),(ROW($1:$8)-1)*99+1,99))&lt;&gt;""),--ISNUMBER(SEARCH(TRIM(MID(SUBSTITUTE(SUBSTITUTE($D$4,"/",","),",",REPT(" ",99)),(ROW($1:$8)-1)*99+1,99)),IFERROR(('Final Calculation Sheet'!$B$36)&amp;"",""))))&gt;0,AND(ISNUMBER(SEARCH("blank",$D$4)),NOT(ISNUMBER(SEARCH("nonblank",$D$4))),IFERROR(('Final Calculation Sheet'!$B$36)&amp;"","")=""),AND(OR(ISNUMBER(SEARCH("nonblank",$D$4)),ISNUMBER(SEARCH("&lt;&gt;",$D$4))),IFERROR(('Final Calculation Sheet'!$B$36)&amp;"","")&lt;&gt;""),AND(TRIM($D$4)="",IFERROR(('Final Calculation Sheet'!$B$36)&amp;"","")=""))))</f>
        <v/>
      </c>
      <c r="BQ37">
        <f>IF($E$4="",1,--(OR(SUMPRODUCT(--(TRIM(MID(SUBSTITUTE(SUBSTITUTE($E$4,"/",","),",",REPT(" ",99)),(ROW($1:$8)-1)*99+1,99))&lt;&gt;""),--ISNUMBER(SEARCH(TRIM(MID(SUBSTITUTE(SUBSTITUTE($E$4,"/",","),",",REPT(" ",99)),(ROW($1:$8)-1)*99+1,99)),IFERROR(('Final Calculation Sheet'!$D$36)&amp;"",""))))&gt;0,AND(ISNUMBER(SEARCH("blank",$E$4)),NOT(ISNUMBER(SEARCH("nonblank",$E$4))),IFERROR(('Final Calculation Sheet'!$D$36)&amp;"","")=""),AND(OR(ISNUMBER(SEARCH("nonblank",$E$4)),ISNUMBER(SEARCH("&lt;&gt;",$E$4))),IFERROR(('Final Calculation Sheet'!$D$36)&amp;"","")&lt;&gt;""),AND(TRIM($E$4)="",IFERROR(('Final Calculation Sheet'!$D$36)&amp;"","")=""))))</f>
        <v/>
      </c>
      <c r="BR37">
        <f>IF($F$4="",1,--(OR(SUMPRODUCT(--(TRIM(MID(SUBSTITUTE(SUBSTITUTE($F$4,"/",","),",",REPT(" ",99)),(ROW($1:$8)-1)*99+1,99))&lt;&gt;""),--ISNUMBER(SEARCH(TRIM(MID(SUBSTITUTE(SUBSTITUTE($F$4,"/",","),",",REPT(" ",99)),(ROW($1:$8)-1)*99+1,99)),IFERROR(('Final Calculation Sheet'!$A$36)&amp;"",""))))&gt;0,AND(ISNUMBER(SEARCH("blank",$F$4)),NOT(ISNUMBER(SEARCH("nonblank",$F$4))),IFERROR(('Final Calculation Sheet'!$A$36)&amp;"","")=""),AND(OR(ISNUMBER(SEARCH("nonblank",$F$4)),ISNUMBER(SEARCH("&lt;&gt;",$F$4))),IFERROR(('Final Calculation Sheet'!$A$36)&amp;"","")&lt;&gt;""),AND(TRIM($F$4)="",IFERROR(('Final Calculation Sheet'!$A$36)&amp;"","")=""))))</f>
        <v/>
      </c>
      <c r="BS37">
        <f>IF($G$4="",1,--(OR(SUMPRODUCT(--(TRIM(MID(SUBSTITUTE(SUBSTITUTE($G$4,"/",","),",",REPT(" ",99)),(ROW($1:$8)-1)*99+1,99))&lt;&gt;""),--ISNUMBER(SEARCH(TRIM(MID(SUBSTITUTE(SUBSTITUTE($G$4,"/",","),",",REPT(" ",99)),(ROW($1:$8)-1)*99+1,99)),IFERROR(('Final Calculation Sheet'!$E$36)&amp;"",""))))&gt;0,AND(ISNUMBER(SEARCH("blank",$G$4)),NOT(ISNUMBER(SEARCH("nonblank",$G$4))),IFERROR(('Final Calculation Sheet'!$E$36)&amp;"","")=""),AND(OR(ISNUMBER(SEARCH("nonblank",$G$4)),ISNUMBER(SEARCH("&lt;&gt;",$G$4))),IFERROR(('Final Calculation Sheet'!$E$36)&amp;"","")&lt;&gt;""),AND(TRIM($G$4)="",IFERROR(('Final Calculation Sheet'!$E$36)&amp;"","")=""))))</f>
        <v/>
      </c>
      <c r="BT37">
        <f>IF($H$4="",1,--(OR(SUMPRODUCT(--(TRIM(MID(SUBSTITUTE(SUBSTITUTE($H$4,"/",","),",",REPT(" ",99)),(ROW($1:$8)-1)*99+1,99))&lt;&gt;""),--ISNUMBER(SEARCH(TRIM(MID(SUBSTITUTE(SUBSTITUTE($H$4,"/",","),",",REPT(" ",99)),(ROW($1:$8)-1)*99+1,99)),IFERROR(('Final Calculation Sheet'!$C$36)&amp;"",""))))&gt;0,AND(ISNUMBER(SEARCH("blank",$H$4)),NOT(ISNUMBER(SEARCH("nonblank",$H$4))),IFERROR(('Final Calculation Sheet'!$C$36)&amp;"","")=""),AND(OR(ISNUMBER(SEARCH("nonblank",$H$4)),ISNUMBER(SEARCH("&lt;&gt;",$H$4))),IFERROR(('Final Calculation Sheet'!$C$36)&amp;"","")&lt;&gt;""),AND(TRIM($H$4)="",IFERROR(('Final Calculation Sheet'!$C$36)&amp;"","")=""))))</f>
        <v/>
      </c>
      <c r="BU37">
        <f>IF($I$4="",1,--(OR(SUMPRODUCT(--(TRIM(MID(SUBSTITUTE(SUBSTITUTE($I$4,"/",","),",",REPT(" ",99)),(ROW($1:$8)-1)*99+1,99))&lt;&gt;""),--ISNUMBER(SEARCH(TRIM(MID(SUBSTITUTE(SUBSTITUTE($I$4,"/",","),",",REPT(" ",99)),(ROW($1:$8)-1)*99+1,99)),IFERROR(('Final Calculation Sheet'!$H$36)&amp;"",""))))&gt;0,AND(ISNUMBER(SEARCH("blank",$I$4)),NOT(ISNUMBER(SEARCH("nonblank",$I$4))),IFERROR(('Final Calculation Sheet'!$H$36)&amp;"","")=""),AND(OR(ISNUMBER(SEARCH("nonblank",$I$4)),ISNUMBER(SEARCH("&lt;&gt;",$I$4))),IFERROR(('Final Calculation Sheet'!$H$36)&amp;"","")&lt;&gt;""),AND(TRIM($I$4)="",IFERROR(('Final Calculation Sheet'!$H$36)&amp;"","")=""))))</f>
        <v/>
      </c>
      <c r="BV37">
        <f>IF($J$4="",1,--(OR(SUMPRODUCT(--(TRIM(MID(SUBSTITUTE(SUBSTITUTE($J$4,"/",","),",",REPT(" ",99)),(ROW($1:$8)-1)*99+1,99))&lt;&gt;""),--ISNUMBER(SEARCH(TRIM(MID(SUBSTITUTE(SUBSTITUTE($J$4,"/",","),",",REPT(" ",99)),(ROW($1:$8)-1)*99+1,99)),IFERROR(('Final Calculation Sheet'!$I$36)&amp;"",""))))&gt;0,AND(ISNUMBER(SEARCH("blank",$J$4)),NOT(ISNUMBER(SEARCH("nonblank",$J$4))),IFERROR(('Final Calculation Sheet'!$I$36)&amp;"","")=""),AND(OR(ISNUMBER(SEARCH("nonblank",$J$4)),ISNUMBER(SEARCH("&lt;&gt;",$J$4))),IFERROR(('Final Calculation Sheet'!$I$36)&amp;"","")&lt;&gt;""),AND(TRIM($J$4)="",IFERROR(('Final Calculation Sheet'!$I$36)&amp;"","")=""))))</f>
        <v/>
      </c>
      <c r="BW37">
        <f>IF($K$4="",1,--(OR(SUMPRODUCT(--(TRIM(MID(SUBSTITUTE(SUBSTITUTE($K$4,"/",","),",",REPT(" ",99)),(ROW($1:$8)-1)*99+1,99))&lt;&gt;""),--ISNUMBER(SEARCH(TRIM(MID(SUBSTITUTE(SUBSTITUTE($K$4,"/",","),",",REPT(" ",99)),(ROW($1:$8)-1)*99+1,99)),IFERROR(('Final Calculation Sheet'!$J$36)&amp;"",""))))&gt;0,AND(ISNUMBER(SEARCH("blank",$K$4)),NOT(ISNUMBER(SEARCH("nonblank",$K$4))),IFERROR(('Final Calculation Sheet'!$J$36)&amp;"","")=""),AND(OR(ISNUMBER(SEARCH("nonblank",$K$4)),ISNUMBER(SEARCH("&lt;&gt;",$K$4))),IFERROR(('Final Calculation Sheet'!$J$36)&amp;"","")&lt;&gt;""),AND(TRIM($K$4)="",IFERROR(('Final Calculation Sheet'!$J$36)&amp;"","")=""))))</f>
        <v/>
      </c>
      <c r="BX37">
        <f>IF($L$4="",1,--(OR(SUMPRODUCT(--(TRIM(MID(SUBSTITUTE(SUBSTITUTE($L$4,"/",","),",",REPT(" ",99)),(ROW($1:$8)-1)*99+1,99))&lt;&gt;""),--ISNUMBER(SEARCH(TRIM(MID(SUBSTITUTE(SUBSTITUTE($L$4,"/",","),",",REPT(" ",99)),(ROW($1:$8)-1)*99+1,99)),IFERROR(('Final Calculation Sheet'!$K$36)&amp;"",""))))&gt;0,AND(ISNUMBER(SEARCH("blank",$L$4)),NOT(ISNUMBER(SEARCH("nonblank",$L$4))),IFERROR(('Final Calculation Sheet'!$K$36)&amp;"","")=""),AND(OR(ISNUMBER(SEARCH("nonblank",$L$4)),ISNUMBER(SEARCH("&lt;&gt;",$L$4))),IFERROR(('Final Calculation Sheet'!$K$36)&amp;"","")&lt;&gt;""),AND(TRIM($L$4)="",IFERROR(('Final Calculation Sheet'!$K$36)&amp;"","")=""))))</f>
        <v/>
      </c>
      <c r="BY37">
        <f>IF($M$4="",1,--(OR(SUMPRODUCT(--(TRIM(MID(SUBSTITUTE(SUBSTITUTE($M$4,"/",","),",",REPT(" ",99)),(ROW($1:$8)-1)*99+1,99))&lt;&gt;""),--ISNUMBER(SEARCH(TRIM(MID(SUBSTITUTE(SUBSTITUTE($M$4,"/",","),",",REPT(" ",99)),(ROW($1:$8)-1)*99+1,99)),IFERROR(('Final Calculation Sheet'!$L$36)&amp;"",""))))&gt;0,AND(ISNUMBER(SEARCH("blank",$M$4)),NOT(ISNUMBER(SEARCH("nonblank",$M$4))),IFERROR(('Final Calculation Sheet'!$L$36)&amp;"","")=""),AND(OR(ISNUMBER(SEARCH("nonblank",$M$4)),ISNUMBER(SEARCH("&lt;&gt;",$M$4))),IFERROR(('Final Calculation Sheet'!$L$36)&amp;"","")&lt;&gt;""),AND(TRIM($M$4)="",IFERROR(('Final Calculation Sheet'!$L$36)&amp;"","")=""))))</f>
        <v/>
      </c>
      <c r="BZ37">
        <f>IF($N$4="",1,--(OR(SUMPRODUCT(--(TRIM(MID(SUBSTITUTE(SUBSTITUTE($N$4,"/",","),",",REPT(" ",99)),(ROW($1:$8)-1)*99+1,99))&lt;&gt;""),--ISNUMBER(SEARCH(TRIM(MID(SUBSTITUTE(SUBSTITUTE($N$4,"/",","),",",REPT(" ",99)),(ROW($1:$8)-1)*99+1,99)),IFERROR(('Final Calculation Sheet'!$M$36)&amp;"",""))))&gt;0,AND(ISNUMBER(SEARCH("blank",$N$4)),NOT(ISNUMBER(SEARCH("nonblank",$N$4))),IFERROR(('Final Calculation Sheet'!$M$36)&amp;"","")=""),AND(OR(ISNUMBER(SEARCH("nonblank",$N$4)),ISNUMBER(SEARCH("&lt;&gt;",$N$4))),IFERROR(('Final Calculation Sheet'!$M$36)&amp;"","")&lt;&gt;""),AND(TRIM($N$4)="",IFERROR(('Final Calculation Sheet'!$M$36)&amp;"","")=""))))</f>
        <v/>
      </c>
      <c r="CA37">
        <f>IF($O$4="",1,--(OR(SUMPRODUCT(--(TRIM(MID(SUBSTITUTE(SUBSTITUTE($O$4,"/",","),",",REPT(" ",99)),(ROW($1:$8)-1)*99+1,99))&lt;&gt;""),--ISNUMBER(SEARCH(TRIM(MID(SUBSTITUTE(SUBSTITUTE($O$4,"/",","),",",REPT(" ",99)),(ROW($1:$8)-1)*99+1,99)),IFERROR(('Final Calculation Sheet'!$N$36)&amp;"",""))))&gt;0,AND(ISNUMBER(SEARCH("blank",$O$4)),NOT(ISNUMBER(SEARCH("nonblank",$O$4))),IFERROR(('Final Calculation Sheet'!$N$36)&amp;"","")=""),AND(OR(ISNUMBER(SEARCH("nonblank",$O$4)),ISNUMBER(SEARCH("&lt;&gt;",$O$4))),IFERROR(('Final Calculation Sheet'!$N$36)&amp;"","")&lt;&gt;""),AND(TRIM($O$4)="",IFERROR(('Final Calculation Sheet'!$N$36)&amp;"","")=""))))</f>
        <v/>
      </c>
      <c r="CB37">
        <f>IF($P$4="",1,--(OR(SUMPRODUCT(--(TRIM(MID(SUBSTITUTE(SUBSTITUTE($P$4,"/",","),",",REPT(" ",99)),(ROW($1:$8)-1)*99+1,99))&lt;&gt;""),--ISNUMBER(SEARCH(TRIM(MID(SUBSTITUTE(SUBSTITUTE($P$4,"/",","),",",REPT(" ",99)),(ROW($1:$8)-1)*99+1,99)),IFERROR(('Final Calculation Sheet'!$O$36)&amp;"",""))))&gt;0,AND(ISNUMBER(SEARCH("blank",$P$4)),NOT(ISNUMBER(SEARCH("nonblank",$P$4))),IFERROR(('Final Calculation Sheet'!$O$36)&amp;"","")=""),AND(OR(ISNUMBER(SEARCH("nonblank",$P$4)),ISNUMBER(SEARCH("&lt;&gt;",$P$4))),IFERROR(('Final Calculation Sheet'!$O$36)&amp;"","")&lt;&gt;""),AND(TRIM($P$4)="",IFERROR(('Final Calculation Sheet'!$O$36)&amp;"","")=""))))</f>
        <v/>
      </c>
      <c r="CC37">
        <f>IF($Q$4="",1,--(OR(SUMPRODUCT(--(TRIM(MID(SUBSTITUTE(SUBSTITUTE($Q$4,"/",","),",",REPT(" ",99)),(ROW($1:$8)-1)*99+1,99))&lt;&gt;""),--ISNUMBER(SEARCH(TRIM(MID(SUBSTITUTE(SUBSTITUTE($Q$4,"/",","),",",REPT(" ",99)),(ROW($1:$8)-1)*99+1,99)),IFERROR(('Final Calculation Sheet'!$P$36)&amp;"",""))))&gt;0,AND(ISNUMBER(SEARCH("blank",$Q$4)),NOT(ISNUMBER(SEARCH("nonblank",$Q$4))),IFERROR(('Final Calculation Sheet'!$P$36)&amp;"","")=""),AND(OR(ISNUMBER(SEARCH("nonblank",$Q$4)),ISNUMBER(SEARCH("&lt;&gt;",$Q$4))),IFERROR(('Final Calculation Sheet'!$P$36)&amp;"","")&lt;&gt;""),AND(TRIM($Q$4)="",IFERROR(('Final Calculation Sheet'!$P$36)&amp;"","")=""))))</f>
        <v/>
      </c>
      <c r="CD37">
        <f>IF($R$4="",1,--(OR(SUMPRODUCT(--(TRIM(MID(SUBSTITUTE(SUBSTITUTE($R$4,"/",","),",",REPT(" ",99)),(ROW($1:$8)-1)*99+1,99))&lt;&gt;""),--ISNUMBER(SEARCH(TRIM(MID(SUBSTITUTE(SUBSTITUTE($R$4,"/",","),",",REPT(" ",99)),(ROW($1:$8)-1)*99+1,99)),IFERROR(('Final Calculation Sheet'!$Q$36)&amp;"",""))))&gt;0,AND(ISNUMBER(SEARCH("blank",$R$4)),NOT(ISNUMBER(SEARCH("nonblank",$R$4))),IFERROR(('Final Calculation Sheet'!$Q$36)&amp;"","")=""),AND(OR(ISNUMBER(SEARCH("nonblank",$R$4)),ISNUMBER(SEARCH("&lt;&gt;",$R$4))),IFERROR(('Final Calculation Sheet'!$Q$36)&amp;"","")&lt;&gt;""),AND(TRIM($R$4)="",IFERROR(('Final Calculation Sheet'!$Q$36)&amp;"","")=""))))</f>
        <v/>
      </c>
      <c r="CE37">
        <f>IF($S$4="",1,--(OR(SUMPRODUCT(--(TRIM(MID(SUBSTITUTE(SUBSTITUTE($S$4,"/",","),",",REPT(" ",99)),(ROW($1:$8)-1)*99+1,99))&lt;&gt;""),--ISNUMBER(SEARCH(TRIM(MID(SUBSTITUTE(SUBSTITUTE($S$4,"/",","),",",REPT(" ",99)),(ROW($1:$8)-1)*99+1,99)),IFERROR(('Final Calculation Sheet'!$R$36)&amp;"",""))))&gt;0,AND(ISNUMBER(SEARCH("blank",$S$4)),NOT(ISNUMBER(SEARCH("nonblank",$S$4))),IFERROR(('Final Calculation Sheet'!$R$36)&amp;"","")=""),AND(OR(ISNUMBER(SEARCH("nonblank",$S$4)),ISNUMBER(SEARCH("&lt;&gt;",$S$4))),IFERROR(('Final Calculation Sheet'!$R$36)&amp;"","")&lt;&gt;""),AND(TRIM($S$4)="",IFERROR(('Final Calculation Sheet'!$R$36)&amp;"","")=""))))</f>
        <v/>
      </c>
      <c r="CF37">
        <f>IF($T$4="",1,--(OR(SUMPRODUCT(--(TRIM(MID(SUBSTITUTE(SUBSTITUTE($T$4,"/",","),",",REPT(" ",99)),(ROW($1:$8)-1)*99+1,99))&lt;&gt;""),--ISNUMBER(SEARCH(TRIM(MID(SUBSTITUTE(SUBSTITUTE($T$4,"/",","),",",REPT(" ",99)),(ROW($1:$8)-1)*99+1,99)),IFERROR(('Final Calculation Sheet'!$S$36)&amp;"",""))))&gt;0,AND(ISNUMBER(SEARCH("blank",$T$4)),NOT(ISNUMBER(SEARCH("nonblank",$T$4))),IFERROR(('Final Calculation Sheet'!$S$36)&amp;"","")=""),AND(OR(ISNUMBER(SEARCH("nonblank",$T$4)),ISNUMBER(SEARCH("&lt;&gt;",$T$4))),IFERROR(('Final Calculation Sheet'!$S$36)&amp;"","")&lt;&gt;""),AND(TRIM($T$4)="",IFERROR(('Final Calculation Sheet'!$S$36)&amp;"","")=""))))</f>
        <v/>
      </c>
      <c r="CG37">
        <f>IF($U$4="",1,--(OR(SUMPRODUCT(--(TRIM(MID(SUBSTITUTE(SUBSTITUTE($U$4,"/",","),",",REPT(" ",99)),(ROW($1:$8)-1)*99+1,99))&lt;&gt;""),--ISNUMBER(SEARCH(TRIM(MID(SUBSTITUTE(SUBSTITUTE($U$4,"/",","),",",REPT(" ",99)),(ROW($1:$8)-1)*99+1,99)),IFERROR(('Final Calculation Sheet'!$T$36)&amp;"",""))))&gt;0,AND(ISNUMBER(SEARCH("blank",$U$4)),NOT(ISNUMBER(SEARCH("nonblank",$U$4))),IFERROR(('Final Calculation Sheet'!$T$36)&amp;"","")=""),AND(OR(ISNUMBER(SEARCH("nonblank",$U$4)),ISNUMBER(SEARCH("&lt;&gt;",$U$4))),IFERROR(('Final Calculation Sheet'!$T$36)&amp;"","")&lt;&gt;""),AND(TRIM($U$4)="",IFERROR(('Final Calculation Sheet'!$T$36)&amp;"","")=""))))</f>
        <v/>
      </c>
      <c r="CH37">
        <f>IF($V$4="",1,--(OR(SUMPRODUCT(--(TRIM(MID(SUBSTITUTE(SUBSTITUTE($V$4,"/",","),",",REPT(" ",99)),(ROW($1:$8)-1)*99+1,99))&lt;&gt;""),--ISNUMBER(SEARCH(TRIM(MID(SUBSTITUTE(SUBSTITUTE($V$4,"/",","),",",REPT(" ",99)),(ROW($1:$8)-1)*99+1,99)),IFERROR(('Final Calculation Sheet'!$U$36)&amp;"",""))))&gt;0,AND(ISNUMBER(SEARCH("blank",$V$4)),NOT(ISNUMBER(SEARCH("nonblank",$V$4))),IFERROR(('Final Calculation Sheet'!$U$36)&amp;"","")=""),AND(OR(ISNUMBER(SEARCH("nonblank",$V$4)),ISNUMBER(SEARCH("&lt;&gt;",$V$4))),IFERROR(('Final Calculation Sheet'!$U$36)&amp;"","")&lt;&gt;""),AND(TRIM($V$4)="",IFERROR(('Final Calculation Sheet'!$U$36)&amp;"","")=""))))</f>
        <v/>
      </c>
      <c r="CI37">
        <f>IF($W$4="",1,--(OR(SUMPRODUCT(--(TRIM(MID(SUBSTITUTE(SUBSTITUTE($W$4,"/",","),",",REPT(" ",99)),(ROW($1:$8)-1)*99+1,99))&lt;&gt;""),--ISNUMBER(SEARCH(TRIM(MID(SUBSTITUTE(SUBSTITUTE($W$4,"/",","),",",REPT(" ",99)),(ROW($1:$8)-1)*99+1,99)),IFERROR(('Final Calculation Sheet'!$V$36)&amp;"",""))))&gt;0,AND(ISNUMBER(SEARCH("blank",$W$4)),NOT(ISNUMBER(SEARCH("nonblank",$W$4))),IFERROR(('Final Calculation Sheet'!$V$36)&amp;"","")=""),AND(OR(ISNUMBER(SEARCH("nonblank",$W$4)),ISNUMBER(SEARCH("&lt;&gt;",$W$4))),IFERROR(('Final Calculation Sheet'!$V$36)&amp;"","")&lt;&gt;""),AND(TRIM($W$4)="",IFERROR(('Final Calculation Sheet'!$V$36)&amp;"","")=""))))</f>
        <v/>
      </c>
      <c r="CJ37">
        <f>IF($X$4="",1,--(OR(SUMPRODUCT(--(TRIM(MID(SUBSTITUTE(SUBSTITUTE($X$4,"/",","),",",REPT(" ",99)),(ROW($1:$8)-1)*99+1,99))&lt;&gt;""),--ISNUMBER(SEARCH(TRIM(MID(SUBSTITUTE(SUBSTITUTE($X$4,"/",","),",",REPT(" ",99)),(ROW($1:$8)-1)*99+1,99)),IFERROR(('Final Calculation Sheet'!$W$36)&amp;"",""))))&gt;0,AND(ISNUMBER(SEARCH("blank",$X$4)),NOT(ISNUMBER(SEARCH("nonblank",$X$4))),IFERROR(('Final Calculation Sheet'!$W$36)&amp;"","")=""),AND(OR(ISNUMBER(SEARCH("nonblank",$X$4)),ISNUMBER(SEARCH("&lt;&gt;",$X$4))),IFERROR(('Final Calculation Sheet'!$W$36)&amp;"","")&lt;&gt;""),AND(TRIM($X$4)="",IFERROR(('Final Calculation Sheet'!$W$36)&amp;"","")=""))))</f>
        <v/>
      </c>
      <c r="CK37">
        <f>IF($Y$4="",1,--(OR(SUMPRODUCT(--(TRIM(MID(SUBSTITUTE(SUBSTITUTE($Y$4,"/",","),",",REPT(" ",99)),(ROW($1:$8)-1)*99+1,99))&lt;&gt;""),--ISNUMBER(SEARCH(TRIM(MID(SUBSTITUTE(SUBSTITUTE($Y$4,"/",","),",",REPT(" ",99)),(ROW($1:$8)-1)*99+1,99)),IFERROR(('Final Calculation Sheet'!$X$36)&amp;"",""))))&gt;0,AND(ISNUMBER(SEARCH("blank",$Y$4)),NOT(ISNUMBER(SEARCH("nonblank",$Y$4))),IFERROR(('Final Calculation Sheet'!$X$36)&amp;"","")=""),AND(OR(ISNUMBER(SEARCH("nonblank",$Y$4)),ISNUMBER(SEARCH("&lt;&gt;",$Y$4))),IFERROR(('Final Calculation Sheet'!$X$36)&amp;"","")&lt;&gt;""),AND(TRIM($Y$4)="",IFERROR(('Final Calculation Sheet'!$X$36)&amp;"","")=""))))</f>
        <v/>
      </c>
      <c r="CL37">
        <f>IF($Z$4="",1,--(OR(SUMPRODUCT(--(TRIM(MID(SUBSTITUTE(SUBSTITUTE($Z$4,"/",","),",",REPT(" ",99)),(ROW($1:$8)-1)*99+1,99))&lt;&gt;""),--ISNUMBER(SEARCH(TRIM(MID(SUBSTITUTE(SUBSTITUTE($Z$4,"/",","),",",REPT(" ",99)),(ROW($1:$8)-1)*99+1,99)),IFERROR(('Final Calculation Sheet'!$Y$36)&amp;"",""))))&gt;0,AND(ISNUMBER(SEARCH("blank",$Z$4)),NOT(ISNUMBER(SEARCH("nonblank",$Z$4))),IFERROR(('Final Calculation Sheet'!$Y$36)&amp;"","")=""),AND(OR(ISNUMBER(SEARCH("nonblank",$Z$4)),ISNUMBER(SEARCH("&lt;&gt;",$Z$4))),IFERROR(('Final Calculation Sheet'!$Y$36)&amp;"","")&lt;&gt;""),AND(TRIM($Z$4)="",IFERROR(('Final Calculation Sheet'!$Y$36)&amp;"","")=""))))</f>
        <v/>
      </c>
      <c r="CM37">
        <f>IF($AA$4="",1,--(OR(SUMPRODUCT(--(TRIM(MID(SUBSTITUTE(SUBSTITUTE($AA$4,"/",","),",",REPT(" ",99)),(ROW($1:$8)-1)*99+1,99))&lt;&gt;""),--ISNUMBER(SEARCH(TRIM(MID(SUBSTITUTE(SUBSTITUTE($AA$4,"/",","),",",REPT(" ",99)),(ROW($1:$8)-1)*99+1,99)),IFERROR(('Final Calculation Sheet'!$Z$36)&amp;"",""))))&gt;0,AND(ISNUMBER(SEARCH("blank",$AA$4)),NOT(ISNUMBER(SEARCH("nonblank",$AA$4))),IFERROR(('Final Calculation Sheet'!$Z$36)&amp;"","")=""),AND(OR(ISNUMBER(SEARCH("nonblank",$AA$4)),ISNUMBER(SEARCH("&lt;&gt;",$AA$4))),IFERROR(('Final Calculation Sheet'!$Z$36)&amp;"","")&lt;&gt;""),AND(TRIM($AA$4)="",IFERROR(('Final Calculation Sheet'!$Z$36)&amp;"","")=""))))</f>
        <v/>
      </c>
      <c r="CN37">
        <f>IF($AB$4="",1,--(OR(SUMPRODUCT(--(TRIM(MID(SUBSTITUTE(SUBSTITUTE($AB$4,"/",","),",",REPT(" ",99)),(ROW($1:$8)-1)*99+1,99))&lt;&gt;""),--ISNUMBER(SEARCH(TRIM(MID(SUBSTITUTE(SUBSTITUTE($AB$4,"/",","),",",REPT(" ",99)),(ROW($1:$8)-1)*99+1,99)),IFERROR(('Final Calculation Sheet'!$AA$36)&amp;"",""))))&gt;0,AND(ISNUMBER(SEARCH("blank",$AB$4)),NOT(ISNUMBER(SEARCH("nonblank",$AB$4))),IFERROR(('Final Calculation Sheet'!$AA$36)&amp;"","")=""),AND(OR(ISNUMBER(SEARCH("nonblank",$AB$4)),ISNUMBER(SEARCH("&lt;&gt;",$AB$4))),IFERROR(('Final Calculation Sheet'!$AA$36)&amp;"","")&lt;&gt;""),AND(TRIM($AB$4)="",IFERROR(('Final Calculation Sheet'!$AA$36)&amp;"","")=""))))</f>
        <v/>
      </c>
      <c r="CO37">
        <f>IF($AC$4="",1,--(OR(SUMPRODUCT(--(TRIM(MID(SUBSTITUTE(SUBSTITUTE($AC$4,"/",","),",",REPT(" ",99)),(ROW($1:$8)-1)*99+1,99))&lt;&gt;""),--ISNUMBER(SEARCH(TRIM(MID(SUBSTITUTE(SUBSTITUTE($AC$4,"/",","),",",REPT(" ",99)),(ROW($1:$8)-1)*99+1,99)),IFERROR(('Final Calculation Sheet'!$AB$36)&amp;"",""))))&gt;0,AND(ISNUMBER(SEARCH("blank",$AC$4)),NOT(ISNUMBER(SEARCH("nonblank",$AC$4))),IFERROR(('Final Calculation Sheet'!$AB$36)&amp;"","")=""),AND(OR(ISNUMBER(SEARCH("nonblank",$AC$4)),ISNUMBER(SEARCH("&lt;&gt;",$AC$4))),IFERROR(('Final Calculation Sheet'!$AB$36)&amp;"","")&lt;&gt;""),AND(TRIM($AC$4)="",IFERROR(('Final Calculation Sheet'!$AB$36)&amp;"","")=""))))</f>
        <v/>
      </c>
      <c r="CP37">
        <f>IF($AD$4="",1,--(OR(SUMPRODUCT(--(TRIM(MID(SUBSTITUTE(SUBSTITUTE($AD$4,"/",","),",",REPT(" ",99)),(ROW($1:$8)-1)*99+1,99))&lt;&gt;""),--ISNUMBER(SEARCH(TRIM(MID(SUBSTITUTE(SUBSTITUTE($AD$4,"/",","),",",REPT(" ",99)),(ROW($1:$8)-1)*99+1,99)),IFERROR(('Final Calculation Sheet'!$AC$36)&amp;"",""))))&gt;0,AND(ISNUMBER(SEARCH("blank",$AD$4)),NOT(ISNUMBER(SEARCH("nonblank",$AD$4))),IFERROR(('Final Calculation Sheet'!$AC$36)&amp;"","")=""),AND(OR(ISNUMBER(SEARCH("nonblank",$AD$4)),ISNUMBER(SEARCH("&lt;&gt;",$AD$4))),IFERROR(('Final Calculation Sheet'!$AC$36)&amp;"","")&lt;&gt;""),AND(TRIM($AD$4)="",IFERROR(('Final Calculation Sheet'!$AC$36)&amp;"","")=""))))</f>
        <v/>
      </c>
      <c r="CQ37">
        <f>IF($AE$4="",1,--(OR(SUMPRODUCT(--(TRIM(MID(SUBSTITUTE(SUBSTITUTE($AE$4,"/",","),",",REPT(" ",99)),(ROW($1:$8)-1)*99+1,99))&lt;&gt;""),--ISNUMBER(SEARCH(TRIM(MID(SUBSTITUTE(SUBSTITUTE($AE$4,"/",","),",",REPT(" ",99)),(ROW($1:$8)-1)*99+1,99)),IFERROR(('Final Calculation Sheet'!$AD$36)&amp;"",""))))&gt;0,AND(ISNUMBER(SEARCH("blank",$AE$4)),NOT(ISNUMBER(SEARCH("nonblank",$AE$4))),IFERROR(('Final Calculation Sheet'!$AD$36)&amp;"","")=""),AND(OR(ISNUMBER(SEARCH("nonblank",$AE$4)),ISNUMBER(SEARCH("&lt;&gt;",$AE$4))),IFERROR(('Final Calculation Sheet'!$AD$36)&amp;"","")&lt;&gt;""),AND(TRIM($AE$4)="",IFERROR(('Final Calculation Sheet'!$AD$36)&amp;"","")=""))))</f>
        <v/>
      </c>
      <c r="CR37">
        <f>IF($AF$4="",1,--(OR(SUMPRODUCT(--(TRIM(MID(SUBSTITUTE(SUBSTITUTE($AF$4,"/",","),",",REPT(" ",99)),(ROW($1:$8)-1)*99+1,99))&lt;&gt;""),--ISNUMBER(SEARCH(TRIM(MID(SUBSTITUTE(SUBSTITUTE($AF$4,"/",","),",",REPT(" ",99)),(ROW($1:$8)-1)*99+1,99)),IFERROR(('Final Calculation Sheet'!$AE$36)&amp;"",""))))&gt;0,AND(ISNUMBER(SEARCH("blank",$AF$4)),NOT(ISNUMBER(SEARCH("nonblank",$AF$4))),IFERROR(('Final Calculation Sheet'!$AE$36)&amp;"","")=""),AND(OR(ISNUMBER(SEARCH("nonblank",$AF$4)),ISNUMBER(SEARCH("&lt;&gt;",$AF$4))),IFERROR(('Final Calculation Sheet'!$AE$36)&amp;"","")&lt;&gt;""),AND(TRIM($AF$4)="",IFERROR(('Final Calculation Sheet'!$AE$36)&amp;"","")=""))))</f>
        <v/>
      </c>
      <c r="CS37">
        <f>IF($AG$4="",1,--(OR(SUMPRODUCT(--(TRIM(MID(SUBSTITUTE(SUBSTITUTE($AG$4,"/",","),",",REPT(" ",99)),(ROW($1:$8)-1)*99+1,99))&lt;&gt;""),--ISNUMBER(SEARCH(TRIM(MID(SUBSTITUTE(SUBSTITUTE($AG$4,"/",","),",",REPT(" ",99)),(ROW($1:$8)-1)*99+1,99)),IFERROR(('Final Calculation Sheet'!$AF$36)&amp;"",""))))&gt;0,AND(ISNUMBER(SEARCH("blank",$AG$4)),NOT(ISNUMBER(SEARCH("nonblank",$AG$4))),IFERROR(('Final Calculation Sheet'!$AF$36)&amp;"","")=""),AND(OR(ISNUMBER(SEARCH("nonblank",$AG$4)),ISNUMBER(SEARCH("&lt;&gt;",$AG$4))),IFERROR(('Final Calculation Sheet'!$AF$36)&amp;"","")&lt;&gt;""),AND(TRIM($AG$4)="",IFERROR(('Final Calculation Sheet'!$AF$36)&amp;"","")=""))))</f>
        <v/>
      </c>
      <c r="CT37">
        <f>IF($AH$4="",1,--(OR(SUMPRODUCT(--(TRIM(MID(SUBSTITUTE(SUBSTITUTE($AH$4,"/",","),",",REPT(" ",99)),(ROW($1:$8)-1)*99+1,99))&lt;&gt;""),--ISNUMBER(SEARCH(TRIM(MID(SUBSTITUTE(SUBSTITUTE($AH$4,"/",","),",",REPT(" ",99)),(ROW($1:$8)-1)*99+1,99)),IFERROR(('Final Calculation Sheet'!$AG$36)&amp;"",""))))&gt;0,AND(ISNUMBER(SEARCH("blank",$AH$4)),NOT(ISNUMBER(SEARCH("nonblank",$AH$4))),IFERROR(('Final Calculation Sheet'!$AG$36)&amp;"","")=""),AND(OR(ISNUMBER(SEARCH("nonblank",$AH$4)),ISNUMBER(SEARCH("&lt;&gt;",$AH$4))),IFERROR(('Final Calculation Sheet'!$AG$36)&amp;"","")&lt;&gt;""),AND(TRIM($AH$4)="",IFERROR(('Final Calculation Sheet'!$AG$36)&amp;"","")=""))))</f>
        <v/>
      </c>
      <c r="CU37">
        <f>IF($AI$4="",1,--(OR(SUMPRODUCT(--(TRIM(MID(SUBSTITUTE(SUBSTITUTE($AI$4,"/",","),",",REPT(" ",99)),(ROW($1:$8)-1)*99+1,99))&lt;&gt;""),--ISNUMBER(SEARCH(TRIM(MID(SUBSTITUTE(SUBSTITUTE($AI$4,"/",","),",",REPT(" ",99)),(ROW($1:$8)-1)*99+1,99)),IFERROR((IF('Final Calculation Sheet'!$AD$36&lt;=0,"SETTLED","OUTSTANDING"))&amp;"",""))))&gt;0,AND(ISNUMBER(SEARCH("blank",$AI$4)),NOT(ISNUMBER(SEARCH("nonblank",$AI$4))),IFERROR((IF('Final Calculation Sheet'!$AD$36&lt;=0,"SETTLED","OUTSTANDING"))&amp;"","")=""),AND(OR(ISNUMBER(SEARCH("nonblank",$AI$4)),ISNUMBER(SEARCH("&lt;&gt;",$AI$4))),IFERROR((IF('Final Calculation Sheet'!$AD$36&lt;=0,"SETTLED","OUTSTANDING"))&amp;"","")&lt;&gt;""),AND(TRIM($AI$4)="",IFERROR((IF('Final Calculation Sheet'!$AD$36&lt;=0,"SETTLED","OUTSTANDING"))&amp;"","")=""))))</f>
        <v/>
      </c>
    </row>
    <row r="38" ht="15" customHeight="1" s="77">
      <c r="A38" s="67">
        <f>IF($BJ37&gt;0,INDEX($BA$5:$BA$41,MATCH(37,$BB$5:$BB$41,0)),IF(OR($BI37=1,$BL37=1,$BH37&gt;0),"∑",""))</f>
        <v/>
      </c>
      <c r="B38" s="68">
        <f>IF($BJ37&gt;0,IF(INDEX('Final Calculation Sheet'!$F$4:$F$40,$BJ37-3)="","",INDEX('Final Calculation Sheet'!$F$4:$F$40,$BJ37-3)),"")</f>
        <v/>
      </c>
      <c r="C38" s="68">
        <f>IF($BJ37&gt;0,IF(INDEX('Final Calculation Sheet'!$G$4:$G$40,$BJ37-3)="","",INDEX('Final Calculation Sheet'!$G$4:$G$40,$BJ37-3)),IF(OR($BI37=1,$BL37=1,$BH37&gt;0),IF($BI37=1,37,IF($BL37=1,37-INDEX($BD$4:$BD$13,10),INDEX($BD$4:$BD$13,$BH37)))&amp;" lot(s)",""))</f>
        <v/>
      </c>
      <c r="D38" s="69">
        <f>IF($BJ37&gt;0,IF(INDEX('Final Calculation Sheet'!$B$4:$B$40,$BJ37-3)="","",INDEX('Final Calculation Sheet'!$B$4:$B$40,$BJ37-3)),IF(OR($BI37=1,$BL37=1,$BH37&gt;0),IF($BI37=1,"GRAND TOTAL  —  matching + remaining",IF($BL37=1,"TOTAL MATCHED  —  every group together",IF($BH37=10,"REMAINING  —  did not match the search",IF($BH37=9,IF(COUNTIF($A$4:$AI$4,"&lt;&gt;")&gt;0,"FILTERED LOTS  —  column fields","ALL LOTS  —  nothing typed in the box"),"GROUP "&amp;$BH37&amp;" TOTAL  —  lots matching  "&amp;INDEX($AR$6:$AY$6,$BH37))))),""))</f>
        <v/>
      </c>
      <c r="E38" s="69">
        <f>IF($BJ37&gt;0,IF(INDEX('Final Calculation Sheet'!$D$4:$D$40,$BJ37-3)="","",INDEX('Final Calculation Sheet'!$D$4:$D$40,$BJ37-3)),IF(OR($BI37=1,$BL37=1,$BH37&gt;0),"–",""))</f>
        <v/>
      </c>
      <c r="F38" s="69">
        <f>IF($BJ37&gt;0,IF(INDEX('Final Calculation Sheet'!$A$4:$A$40,$BJ37-3)="","",INDEX('Final Calculation Sheet'!$A$4:$A$40,$BJ37-3)),IF(OR($BI37=1,$BL37=1,$BH37&gt;0),IF($BI37=1,SUM('Final Calculation Sheet'!$A$4:$A$40),IF($BL37=1,SUM('Final Calculation Sheet'!$A$4:$A$40)-SUMIFS('Final Calculation Sheet'!$A$4:$A$40,$AZ$5:$AZ$41,10),SUMIFS('Final Calculation Sheet'!$A$4:$A$40,$AZ$5:$AZ$41,$BH37))),""))</f>
        <v/>
      </c>
      <c r="G38" s="69">
        <f>IF($BJ37&gt;0,IF(INDEX('Final Calculation Sheet'!$E$4:$E$40,$BJ37-3)="","",INDEX('Final Calculation Sheet'!$E$4:$E$40,$BJ37-3)),IF(OR($BI37=1,$BL37=1,$BH37&gt;0),"–",""))</f>
        <v/>
      </c>
      <c r="H38" s="70">
        <f>IF($BJ37&gt;0,IF(INDEX('Final Calculation Sheet'!$C$4:$C$40,$BJ37-3)="","",INDEX('Final Calculation Sheet'!$C$4:$C$40,$BJ37-3)),IF(OR($BI37=1,$BL37=1,$BH37&gt;0),"–",""))</f>
        <v/>
      </c>
      <c r="I38" s="70">
        <f>IF($BJ37&gt;0,IF(INDEX('Final Calculation Sheet'!$H$4:$H$40,$BJ37-3)="","",INDEX('Final Calculation Sheet'!$H$4:$H$40,$BJ37-3)),IF(OR($BI37=1,$BL37=1,$BH37&gt;0),IF($BI37=1,SUM('Final Calculation Sheet'!$H$4:$H$40),IF($BL37=1,SUM('Final Calculation Sheet'!$H$4:$H$40)-SUMIFS('Final Calculation Sheet'!$H$4:$H$40,$AZ$5:$AZ$41,10),SUMIFS('Final Calculation Sheet'!$H$4:$H$40,$AZ$5:$AZ$41,$BH37))),""))</f>
        <v/>
      </c>
      <c r="J38" s="70">
        <f>IF($BJ37&gt;0,IF(INDEX('Final Calculation Sheet'!$I$4:$I$40,$BJ37-3)="","",INDEX('Final Calculation Sheet'!$I$4:$I$40,$BJ37-3)),IF(OR($BI37=1,$BL37=1,$BH37&gt;0),IF($BI37=1,SUM('Final Calculation Sheet'!$I$4:$I$40),IF($BL37=1,SUM('Final Calculation Sheet'!$I$4:$I$40)-SUMIFS('Final Calculation Sheet'!$I$4:$I$40,$AZ$5:$AZ$41,10),SUMIFS('Final Calculation Sheet'!$I$4:$I$40,$AZ$5:$AZ$41,$BH37))),""))</f>
        <v/>
      </c>
      <c r="K38" s="70">
        <f>IF($BJ37&gt;0,IF(INDEX('Final Calculation Sheet'!$J$4:$J$40,$BJ37-3)="","",INDEX('Final Calculation Sheet'!$J$4:$J$40,$BJ37-3)),IF(OR($BI37=1,$BL37=1,$BH37&gt;0),IF($BI37=1,SUM('Final Calculation Sheet'!$J$4:$J$40),IF($BL37=1,SUM('Final Calculation Sheet'!$J$4:$J$40)-SUMIFS('Final Calculation Sheet'!$J$4:$J$40,$AZ$5:$AZ$41,10),SUMIFS('Final Calculation Sheet'!$J$4:$J$40,$AZ$5:$AZ$41,$BH37))),""))</f>
        <v/>
      </c>
      <c r="L38" s="70">
        <f>IF($BJ37&gt;0,IF(INDEX('Final Calculation Sheet'!$K$4:$K$40,$BJ37-3)="","",INDEX('Final Calculation Sheet'!$K$4:$K$40,$BJ37-3)),IF(OR($BI37=1,$BL37=1,$BH37&gt;0),IF($BI37=1,SUM('Final Calculation Sheet'!$K$4:$K$40),IF($BL37=1,SUM('Final Calculation Sheet'!$K$4:$K$40)-SUMIFS('Final Calculation Sheet'!$K$4:$K$40,$AZ$5:$AZ$41,10),SUMIFS('Final Calculation Sheet'!$K$4:$K$40,$AZ$5:$AZ$41,$BH37))),""))</f>
        <v/>
      </c>
      <c r="M38" s="70">
        <f>IF($BJ37&gt;0,IF(INDEX('Final Calculation Sheet'!$L$4:$L$40,$BJ37-3)="","",INDEX('Final Calculation Sheet'!$L$4:$L$40,$BJ37-3)),IF(OR($BI37=1,$BL37=1,$BH37&gt;0),IF($BI37=1,SUM('Final Calculation Sheet'!$L$4:$L$40),IF($BL37=1,SUM('Final Calculation Sheet'!$L$4:$L$40)-SUMIFS('Final Calculation Sheet'!$L$4:$L$40,$AZ$5:$AZ$41,10),SUMIFS('Final Calculation Sheet'!$L$4:$L$40,$AZ$5:$AZ$41,$BH37))),""))</f>
        <v/>
      </c>
      <c r="N38" s="70">
        <f>IF($BJ37&gt;0,IF(INDEX('Final Calculation Sheet'!$M$4:$M$40,$BJ37-3)="","",INDEX('Final Calculation Sheet'!$M$4:$M$40,$BJ37-3)),IF(OR($BI37=1,$BL37=1,$BH37&gt;0),IF($BI37=1,SUM('Final Calculation Sheet'!$M$4:$M$40),IF($BL37=1,SUM('Final Calculation Sheet'!$M$4:$M$40)-SUMIFS('Final Calculation Sheet'!$M$4:$M$40,$AZ$5:$AZ$41,10),SUMIFS('Final Calculation Sheet'!$M$4:$M$40,$AZ$5:$AZ$41,$BH37))),""))</f>
        <v/>
      </c>
      <c r="O38" s="71">
        <f>IF($BJ37&gt;0,IF(INDEX('Final Calculation Sheet'!$N$4:$N$40,$BJ37-3)="","",INDEX('Final Calculation Sheet'!$N$4:$N$40,$BJ37-3)),IF(OR($BI37=1,$BL37=1,$BH37&gt;0),IF($BI37=1,SUM('Final Calculation Sheet'!$N$4:$N$40),IF($BL37=1,SUM('Final Calculation Sheet'!$N$4:$N$40)-SUMIFS('Final Calculation Sheet'!$N$4:$N$40,$AZ$5:$AZ$41,10),SUMIFS('Final Calculation Sheet'!$N$4:$N$40,$AZ$5:$AZ$41,$BH37))),""))</f>
        <v/>
      </c>
      <c r="P38" s="70">
        <f>IF($BJ37&gt;0,IF(INDEX('Final Calculation Sheet'!$O$4:$O$40,$BJ37-3)="","",INDEX('Final Calculation Sheet'!$O$4:$O$40,$BJ37-3)),IF(OR($BI37=1,$BL37=1,$BH37&gt;0),IF($BI37=1,SUM('Final Calculation Sheet'!$O$4:$O$40),IF($BL37=1,SUM('Final Calculation Sheet'!$O$4:$O$40)-SUMIFS('Final Calculation Sheet'!$O$4:$O$40,$AZ$5:$AZ$41,10),SUMIFS('Final Calculation Sheet'!$O$4:$O$40,$AZ$5:$AZ$41,$BH37))),""))</f>
        <v/>
      </c>
      <c r="Q38" s="70">
        <f>IF($BJ37&gt;0,IF(INDEX('Final Calculation Sheet'!$P$4:$P$40,$BJ37-3)="","",INDEX('Final Calculation Sheet'!$P$4:$P$40,$BJ37-3)),IF(OR($BI37=1,$BL37=1,$BH37&gt;0),IF($BI37=1,SUM('Final Calculation Sheet'!$P$4:$P$40),IF($BL37=1,SUM('Final Calculation Sheet'!$P$4:$P$40)-SUMIFS('Final Calculation Sheet'!$P$4:$P$40,$AZ$5:$AZ$41,10),SUMIFS('Final Calculation Sheet'!$P$4:$P$40,$AZ$5:$AZ$41,$BH37))),""))</f>
        <v/>
      </c>
      <c r="R38" s="72">
        <f>IF($BJ37&gt;0,IF(INDEX('Final Calculation Sheet'!$Q$4:$Q$40,$BJ37-3)="","",INDEX('Final Calculation Sheet'!$Q$4:$Q$40,$BJ37-3)),IF(OR($BI37=1,$BL37=1,$BH37&gt;0),"–",""))</f>
        <v/>
      </c>
      <c r="S38" s="70">
        <f>IF($BJ37&gt;0,IF(INDEX('Final Calculation Sheet'!$R$4:$R$40,$BJ37-3)="","",INDEX('Final Calculation Sheet'!$R$4:$R$40,$BJ37-3)),IF(OR($BI37=1,$BL37=1,$BH37&gt;0),IF($BI37=1,SUM('Final Calculation Sheet'!$R$4:$R$40),IF($BL37=1,SUM('Final Calculation Sheet'!$R$4:$R$40)-SUMIFS('Final Calculation Sheet'!$R$4:$R$40,$AZ$5:$AZ$41,10),SUMIFS('Final Calculation Sheet'!$R$4:$R$40,$AZ$5:$AZ$41,$BH37))),""))</f>
        <v/>
      </c>
      <c r="T38" s="70">
        <f>IF($BJ37&gt;0,IF(INDEX('Final Calculation Sheet'!$S$4:$S$40,$BJ37-3)="","",INDEX('Final Calculation Sheet'!$S$4:$S$40,$BJ37-3)),IF(OR($BI37=1,$BL37=1,$BH37&gt;0),IF($BI37=1,SUM('Final Calculation Sheet'!$S$4:$S$40),IF($BL37=1,SUM('Final Calculation Sheet'!$S$4:$S$40)-SUMIFS('Final Calculation Sheet'!$S$4:$S$40,$AZ$5:$AZ$41,10),SUMIFS('Final Calculation Sheet'!$S$4:$S$40,$AZ$5:$AZ$41,$BH37))),""))</f>
        <v/>
      </c>
      <c r="U38" s="70">
        <f>IF($BJ37&gt;0,IF(INDEX('Final Calculation Sheet'!$T$4:$T$40,$BJ37-3)="","",INDEX('Final Calculation Sheet'!$T$4:$T$40,$BJ37-3)),IF(OR($BI37=1,$BL37=1,$BH37&gt;0),IF($BI37=1,SUM('Final Calculation Sheet'!$T$4:$T$40),IF($BL37=1,SUM('Final Calculation Sheet'!$T$4:$T$40)-SUMIFS('Final Calculation Sheet'!$T$4:$T$40,$AZ$5:$AZ$41,10),SUMIFS('Final Calculation Sheet'!$T$4:$T$40,$AZ$5:$AZ$41,$BH37))),""))</f>
        <v/>
      </c>
      <c r="V38" s="73">
        <f>IF($BJ37&gt;0,IF(INDEX('Final Calculation Sheet'!$U$4:$U$40,$BJ37-3)="","",INDEX('Final Calculation Sheet'!$U$4:$U$40,$BJ37-3)),IF(OR($BI37=1,$BL37=1,$BH37&gt;0),IF($BI37=1,SUM('Final Calculation Sheet'!$U$4:$U$40),IF($BL37=1,SUM('Final Calculation Sheet'!$U$4:$U$40)-SUMIFS('Final Calculation Sheet'!$U$4:$U$40,$AZ$5:$AZ$41,10),SUMIFS('Final Calculation Sheet'!$U$4:$U$40,$AZ$5:$AZ$41,$BH37))),""))</f>
        <v/>
      </c>
      <c r="W38" s="70">
        <f>IF($BJ37&gt;0,IF(INDEX('Final Calculation Sheet'!$V$4:$V$40,$BJ37-3)="","",INDEX('Final Calculation Sheet'!$V$4:$V$40,$BJ37-3)),IF(OR($BI37=1,$BL37=1,$BH37&gt;0),"–",""))</f>
        <v/>
      </c>
      <c r="X38" s="70">
        <f>IF($BJ37&gt;0,IF(INDEX('Final Calculation Sheet'!$W$4:$W$40,$BJ37-3)="","",INDEX('Final Calculation Sheet'!$W$4:$W$40,$BJ37-3)),IF(OR($BI37=1,$BL37=1,$BH37&gt;0),IF($BI37=1,SUM('Final Calculation Sheet'!$W$4:$W$40),IF($BL37=1,SUM('Final Calculation Sheet'!$W$4:$W$40)-SUMIFS('Final Calculation Sheet'!$W$4:$W$40,$AZ$5:$AZ$41,10),SUMIFS('Final Calculation Sheet'!$W$4:$W$40,$AZ$5:$AZ$41,$BH37))),""))</f>
        <v/>
      </c>
      <c r="Y38" s="70">
        <f>IF($BJ37&gt;0,IF(INDEX('Final Calculation Sheet'!$X$4:$X$40,$BJ37-3)="","",INDEX('Final Calculation Sheet'!$X$4:$X$40,$BJ37-3)),IF(OR($BI37=1,$BL37=1,$BH37&gt;0),IF($BI37=1,SUM('Final Calculation Sheet'!$X$4:$X$40),IF($BL37=1,SUM('Final Calculation Sheet'!$X$4:$X$40)-SUMIFS('Final Calculation Sheet'!$X$4:$X$40,$AZ$5:$AZ$41,10),SUMIFS('Final Calculation Sheet'!$X$4:$X$40,$AZ$5:$AZ$41,$BH37))),""))</f>
        <v/>
      </c>
      <c r="Z38" s="70">
        <f>IF($BJ37&gt;0,IF(INDEX('Final Calculation Sheet'!$Y$4:$Y$40,$BJ37-3)="","",INDEX('Final Calculation Sheet'!$Y$4:$Y$40,$BJ37-3)),IF(OR($BI37=1,$BL37=1,$BH37&gt;0),"–",""))</f>
        <v/>
      </c>
      <c r="AA38" s="70">
        <f>IF($BJ37&gt;0,IF(INDEX('Final Calculation Sheet'!$Z$4:$Z$40,$BJ37-3)="","",INDEX('Final Calculation Sheet'!$Z$4:$Z$40,$BJ37-3)),IF(OR($BI37=1,$BL37=1,$BH37&gt;0),IF($BI37=1,SUM('Final Calculation Sheet'!$Z$4:$Z$40),IF($BL37=1,SUM('Final Calculation Sheet'!$Z$4:$Z$40)-SUMIFS('Final Calculation Sheet'!$Z$4:$Z$40,$AZ$5:$AZ$41,10),SUMIFS('Final Calculation Sheet'!$Z$4:$Z$40,$AZ$5:$AZ$41,$BH37))),""))</f>
        <v/>
      </c>
      <c r="AB38" s="70">
        <f>IF($BJ37&gt;0,IF(INDEX('Final Calculation Sheet'!$AA$4:$AA$40,$BJ37-3)="","",INDEX('Final Calculation Sheet'!$AA$4:$AA$40,$BJ37-3)),IF(OR($BI37=1,$BL37=1,$BH37&gt;0),IF($BI37=1,SUM('Final Calculation Sheet'!$AA$4:$AA$40),IF($BL37=1,SUM('Final Calculation Sheet'!$AA$4:$AA$40)-SUMIFS('Final Calculation Sheet'!$AA$4:$AA$40,$AZ$5:$AZ$41,10),SUMIFS('Final Calculation Sheet'!$AA$4:$AA$40,$AZ$5:$AZ$41,$BH37))),""))</f>
        <v/>
      </c>
      <c r="AC38" s="70">
        <f>IF($BJ37&gt;0,IF(INDEX('Final Calculation Sheet'!$AB$4:$AB$40,$BJ37-3)="","",INDEX('Final Calculation Sheet'!$AB$4:$AB$40,$BJ37-3)),IF(OR($BI37=1,$BL37=1,$BH37&gt;0),"–",""))</f>
        <v/>
      </c>
      <c r="AD38" s="70">
        <f>IF($BJ37&gt;0,IF(INDEX('Final Calculation Sheet'!$AC$4:$AC$40,$BJ37-3)="","",INDEX('Final Calculation Sheet'!$AC$4:$AC$40,$BJ37-3)),IF(OR($BI37=1,$BL37=1,$BH37&gt;0),IF($BI37=1,SUM('Final Calculation Sheet'!$AC$4:$AC$40),IF($BL37=1,SUM('Final Calculation Sheet'!$AC$4:$AC$40)-SUMIFS('Final Calculation Sheet'!$AC$4:$AC$40,$AZ$5:$AZ$41,10),SUMIFS('Final Calculation Sheet'!$AC$4:$AC$40,$AZ$5:$AZ$41,$BH37))),""))</f>
        <v/>
      </c>
      <c r="AE38" s="70">
        <f>IF($BJ37&gt;0,IF(INDEX('Final Calculation Sheet'!$AD$4:$AD$40,$BJ37-3)="","",INDEX('Final Calculation Sheet'!$AD$4:$AD$40,$BJ37-3)),IF(OR($BI37=1,$BL37=1,$BH37&gt;0),IF($BI37=1,SUM('Final Calculation Sheet'!$AD$4:$AD$40),IF($BL37=1,SUM('Final Calculation Sheet'!$AD$4:$AD$40)-SUMIFS('Final Calculation Sheet'!$AD$4:$AD$40,$AZ$5:$AZ$41,10),SUMIFS('Final Calculation Sheet'!$AD$4:$AD$40,$AZ$5:$AZ$41,$BH37))),""))</f>
        <v/>
      </c>
      <c r="AF38" s="70">
        <f>IF($BJ37&gt;0,IF(INDEX('Final Calculation Sheet'!$AE$4:$AE$40,$BJ37-3)="","",INDEX('Final Calculation Sheet'!$AE$4:$AE$40,$BJ37-3)),IF(OR($BI37=1,$BL37=1,$BH37&gt;0),"–",""))</f>
        <v/>
      </c>
      <c r="AG38" s="74">
        <f>IF($BJ37&gt;0,IF(INDEX('Final Calculation Sheet'!$AF$4:$AF$40,$BJ37-3)="","",INDEX('Final Calculation Sheet'!$AF$4:$AF$40,$BJ37-3)),IF(OR($BI37=1,$BL37=1,$BH37&gt;0),"–",""))</f>
        <v/>
      </c>
      <c r="AH38" s="70">
        <f>IF($BJ37&gt;0,IF(INDEX('Final Calculation Sheet'!$AG$4:$AG$40,$BJ37-3)="","",INDEX('Final Calculation Sheet'!$AG$4:$AG$40,$BJ37-3)),IF(OR($BI37=1,$BL37=1,$BH37&gt;0),"–",""))</f>
        <v/>
      </c>
      <c r="AI38" s="75">
        <f>IF($BJ37&gt;0,IF(INDEX('Final Calculation Sheet'!$AD$4:$AD$40,$BJ37-3)="","",IF(INDEX('Final Calculation Sheet'!$AD$4:$AD$40,$BJ37-3)&lt;=0,"SETTLED","OUTSTANDING")),IF(OR($BI37=1,$BL37=1,$BH37&gt;0),IF(IF($BI37=1,SUM('Final Calculation Sheet'!$AD$4:$AD$40),IF($BL37=1,SUM('Final Calculation Sheet'!$AD$4:$AD$40)-SUMIFS('Final Calculation Sheet'!$AD$4:$AD$40,$AZ$5:$AZ$41,10),SUMIFS('Final Calculation Sheet'!$AD$4:$AD$40,$AZ$5:$AZ$41,$BH37)))&lt;=0,"ALL SETTLED","OUTSTANDING"),""))</f>
        <v/>
      </c>
      <c r="AK38">
        <f>IF($F$3="Lot No.",'Final Calculation Sheet'!$F$37,IF($F$3="Buyer",'Final Calculation Sheet'!$G$37,IF($F$3="Lot Name",'Final Calculation Sheet'!$B$37,IF($F$3="Bid Sheet",'Final Calculation Sheet'!$D$37,IF($F$3="Unit",'Final Calculation Sheet'!$E$37,'Final Calculation Sheet'!$F$37&amp;" "&amp;'Final Calculation Sheet'!$G$37&amp;" "&amp;'Final Calculation Sheet'!$B$37)))))</f>
        <v/>
      </c>
      <c r="AM38">
        <f>IF(COUNTIF($BM38:$CU38,0)&gt;0,0,IF($B$3="",1,IF(AND(IF(COUNTIF($AR$9:$AY$9,1)=0,TRUE,SUMPRODUCT(($AR$9:$AY$9=1)*($AR$6:$AY$6&lt;&gt;"")*ISNUMBER(SEARCH($AR$6:$AY$6,$AK38)))&gt;0),IF(COUNTIF($AR$9:$AY$9,2)=0,TRUE,SUMPRODUCT(($AR$9:$AY$9=2)*($AR$6:$AY$6&lt;&gt;"")*ISNUMBER(SEARCH($AR$6:$AY$6,$AK38)))&gt;0),IF(COUNTIF($AR$9:$AY$9,3)=0,TRUE,SUMPRODUCT(($AR$9:$AY$9=3)*($AR$6:$AY$6&lt;&gt;"")*ISNUMBER(SEARCH($AR$6:$AY$6,$AK38)))&gt;0),IF(COUNTIF($AR$9:$AY$9,4)=0,TRUE,SUMPRODUCT(($AR$9:$AY$9=4)*($AR$6:$AY$6&lt;&gt;"")*ISNUMBER(SEARCH($AR$6:$AY$6,$AK38)))&gt;0),IF(COUNTIF($AR$9:$AY$9,5)=0,TRUE,SUMPRODUCT(($AR$9:$AY$9=5)*($AR$6:$AY$6&lt;&gt;"")*ISNUMBER(SEARCH($AR$6:$AY$6,$AK38)))&gt;0),IF(COUNTIF($AR$9:$AY$9,6)=0,TRUE,SUMPRODUCT(($AR$9:$AY$9=6)*($AR$6:$AY$6&lt;&gt;"")*ISNUMBER(SEARCH($AR$6:$AY$6,$AK38)))&gt;0),IF(COUNTIF($AR$9:$AY$9,7)=0,TRUE,SUMPRODUCT(($AR$9:$AY$9=7)*($AR$6:$AY$6&lt;&gt;"")*ISNUMBER(SEARCH($AR$6:$AY$6,$AK38)))&gt;0),IF(COUNTIF($AR$9:$AY$9,8)=0,TRUE,SUMPRODUCT(($AR$9:$AY$9=8)*($AR$6:$AY$6&lt;&gt;"")*ISNUMBER(SEARCH($AR$6:$AY$6,$AK38)))&gt;0)),1,0)))</f>
        <v/>
      </c>
      <c r="AZ38">
        <f>IF($B$3="",IF(COUNTIF($A$4:$AI$4,"&lt;&gt;")=0,9,IF($AM38=1,9,10)),IF($AM38=0,10,IF(AND($AR$6&lt;&gt;"",ISNUMBER(SEARCH($AR$6,$AK38))),1,IF(AND($AS$6&lt;&gt;"",ISNUMBER(SEARCH($AS$6,$AK38))),2,IF(AND($AT$6&lt;&gt;"",ISNUMBER(SEARCH($AT$6,$AK38))),3,IF(AND($AU$6&lt;&gt;"",ISNUMBER(SEARCH($AU$6,$AK38))),4,IF(AND($AV$6&lt;&gt;"",ISNUMBER(SEARCH($AV$6,$AK38))),5,IF(AND($AW$6&lt;&gt;"",ISNUMBER(SEARCH($AW$6,$AK38))),6,IF(AND($AX$6&lt;&gt;"",ISNUMBER(SEARCH($AX$6,$AK38))),7,IF(AND($AY$6&lt;&gt;"",ISNUMBER(SEARCH($AY$6,$AK38))),8,0))))))))))</f>
        <v/>
      </c>
      <c r="BA38">
        <f>SUMPRODUCT(($AZ$5:$AZ$41=$AZ38)*($BC$5:$BC$41&lt;$BC38))+1</f>
        <v/>
      </c>
      <c r="BB38">
        <f>IF(INDEX($BF$4:$BF$13,$AZ38)=0,0,INDEX($BE$4:$BE$13,$AZ38)+$BA38-1)</f>
        <v/>
      </c>
      <c r="BC38" t="n">
        <v>37</v>
      </c>
      <c r="BH38">
        <f>IFERROR(MATCH(38,$BF$4:$BF$13,0),0)</f>
        <v/>
      </c>
      <c r="BI38">
        <f>IF(38=$BG$5,1,0)</f>
        <v/>
      </c>
      <c r="BJ38">
        <f>IF(OR($BH38&gt;0,$BI38=1,$BL38=1),0,IFERROR(INDEX($BC$5:$BC$41,MATCH(38,$BB$5:$BB$41,0)),0))</f>
        <v/>
      </c>
      <c r="BK38">
        <f>IF($BJ38&gt;0,IF(INDEX($AZ$5:$AZ$41,MATCH(38,$BB$5:$BB$41,0))=10,1,0),IF($BH38=10,1,0))</f>
        <v/>
      </c>
      <c r="BL38">
        <f>IF(38=$BG$4,1,0)</f>
        <v/>
      </c>
      <c r="BM38">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8">
        <f>IF($B$4="",1,--(OR(SUMPRODUCT(--(TRIM(MID(SUBSTITUTE(SUBSTITUTE($B$4,"/",","),",",REPT(" ",99)),(ROW($1:$8)-1)*99+1,99))&lt;&gt;""),--ISNUMBER(SEARCH(TRIM(MID(SUBSTITUTE(SUBSTITUTE($B$4,"/",","),",",REPT(" ",99)),(ROW($1:$8)-1)*99+1,99)),IFERROR(('Final Calculation Sheet'!$F$37)&amp;"",""))))&gt;0,AND(ISNUMBER(SEARCH("blank",$B$4)),NOT(ISNUMBER(SEARCH("nonblank",$B$4))),IFERROR(('Final Calculation Sheet'!$F$37)&amp;"","")=""),AND(OR(ISNUMBER(SEARCH("nonblank",$B$4)),ISNUMBER(SEARCH("&lt;&gt;",$B$4))),IFERROR(('Final Calculation Sheet'!$F$37)&amp;"","")&lt;&gt;""),AND(TRIM($B$4)="",IFERROR(('Final Calculation Sheet'!$F$37)&amp;"","")=""))))</f>
        <v/>
      </c>
      <c r="BO38">
        <f>IF($C$4="",1,--(OR(SUMPRODUCT(--(TRIM(MID(SUBSTITUTE(SUBSTITUTE($C$4,"/",","),",",REPT(" ",99)),(ROW($1:$8)-1)*99+1,99))&lt;&gt;""),--ISNUMBER(SEARCH(TRIM(MID(SUBSTITUTE(SUBSTITUTE($C$4,"/",","),",",REPT(" ",99)),(ROW($1:$8)-1)*99+1,99)),IFERROR(('Final Calculation Sheet'!$G$37)&amp;"",""))))&gt;0,AND(ISNUMBER(SEARCH("blank",$C$4)),NOT(ISNUMBER(SEARCH("nonblank",$C$4))),IFERROR(('Final Calculation Sheet'!$G$37)&amp;"","")=""),AND(OR(ISNUMBER(SEARCH("nonblank",$C$4)),ISNUMBER(SEARCH("&lt;&gt;",$C$4))),IFERROR(('Final Calculation Sheet'!$G$37)&amp;"","")&lt;&gt;""),AND(TRIM($C$4)="",IFERROR(('Final Calculation Sheet'!$G$37)&amp;"","")=""))))</f>
        <v/>
      </c>
      <c r="BP38">
        <f>IF($D$4="",1,--(OR(SUMPRODUCT(--(TRIM(MID(SUBSTITUTE(SUBSTITUTE($D$4,"/",","),",",REPT(" ",99)),(ROW($1:$8)-1)*99+1,99))&lt;&gt;""),--ISNUMBER(SEARCH(TRIM(MID(SUBSTITUTE(SUBSTITUTE($D$4,"/",","),",",REPT(" ",99)),(ROW($1:$8)-1)*99+1,99)),IFERROR(('Final Calculation Sheet'!$B$37)&amp;"",""))))&gt;0,AND(ISNUMBER(SEARCH("blank",$D$4)),NOT(ISNUMBER(SEARCH("nonblank",$D$4))),IFERROR(('Final Calculation Sheet'!$B$37)&amp;"","")=""),AND(OR(ISNUMBER(SEARCH("nonblank",$D$4)),ISNUMBER(SEARCH("&lt;&gt;",$D$4))),IFERROR(('Final Calculation Sheet'!$B$37)&amp;"","")&lt;&gt;""),AND(TRIM($D$4)="",IFERROR(('Final Calculation Sheet'!$B$37)&amp;"","")=""))))</f>
        <v/>
      </c>
      <c r="BQ38">
        <f>IF($E$4="",1,--(OR(SUMPRODUCT(--(TRIM(MID(SUBSTITUTE(SUBSTITUTE($E$4,"/",","),",",REPT(" ",99)),(ROW($1:$8)-1)*99+1,99))&lt;&gt;""),--ISNUMBER(SEARCH(TRIM(MID(SUBSTITUTE(SUBSTITUTE($E$4,"/",","),",",REPT(" ",99)),(ROW($1:$8)-1)*99+1,99)),IFERROR(('Final Calculation Sheet'!$D$37)&amp;"",""))))&gt;0,AND(ISNUMBER(SEARCH("blank",$E$4)),NOT(ISNUMBER(SEARCH("nonblank",$E$4))),IFERROR(('Final Calculation Sheet'!$D$37)&amp;"","")=""),AND(OR(ISNUMBER(SEARCH("nonblank",$E$4)),ISNUMBER(SEARCH("&lt;&gt;",$E$4))),IFERROR(('Final Calculation Sheet'!$D$37)&amp;"","")&lt;&gt;""),AND(TRIM($E$4)="",IFERROR(('Final Calculation Sheet'!$D$37)&amp;"","")=""))))</f>
        <v/>
      </c>
      <c r="BR38">
        <f>IF($F$4="",1,--(OR(SUMPRODUCT(--(TRIM(MID(SUBSTITUTE(SUBSTITUTE($F$4,"/",","),",",REPT(" ",99)),(ROW($1:$8)-1)*99+1,99))&lt;&gt;""),--ISNUMBER(SEARCH(TRIM(MID(SUBSTITUTE(SUBSTITUTE($F$4,"/",","),",",REPT(" ",99)),(ROW($1:$8)-1)*99+1,99)),IFERROR(('Final Calculation Sheet'!$A$37)&amp;"",""))))&gt;0,AND(ISNUMBER(SEARCH("blank",$F$4)),NOT(ISNUMBER(SEARCH("nonblank",$F$4))),IFERROR(('Final Calculation Sheet'!$A$37)&amp;"","")=""),AND(OR(ISNUMBER(SEARCH("nonblank",$F$4)),ISNUMBER(SEARCH("&lt;&gt;",$F$4))),IFERROR(('Final Calculation Sheet'!$A$37)&amp;"","")&lt;&gt;""),AND(TRIM($F$4)="",IFERROR(('Final Calculation Sheet'!$A$37)&amp;"","")=""))))</f>
        <v/>
      </c>
      <c r="BS38">
        <f>IF($G$4="",1,--(OR(SUMPRODUCT(--(TRIM(MID(SUBSTITUTE(SUBSTITUTE($G$4,"/",","),",",REPT(" ",99)),(ROW($1:$8)-1)*99+1,99))&lt;&gt;""),--ISNUMBER(SEARCH(TRIM(MID(SUBSTITUTE(SUBSTITUTE($G$4,"/",","),",",REPT(" ",99)),(ROW($1:$8)-1)*99+1,99)),IFERROR(('Final Calculation Sheet'!$E$37)&amp;"",""))))&gt;0,AND(ISNUMBER(SEARCH("blank",$G$4)),NOT(ISNUMBER(SEARCH("nonblank",$G$4))),IFERROR(('Final Calculation Sheet'!$E$37)&amp;"","")=""),AND(OR(ISNUMBER(SEARCH("nonblank",$G$4)),ISNUMBER(SEARCH("&lt;&gt;",$G$4))),IFERROR(('Final Calculation Sheet'!$E$37)&amp;"","")&lt;&gt;""),AND(TRIM($G$4)="",IFERROR(('Final Calculation Sheet'!$E$37)&amp;"","")=""))))</f>
        <v/>
      </c>
      <c r="BT38">
        <f>IF($H$4="",1,--(OR(SUMPRODUCT(--(TRIM(MID(SUBSTITUTE(SUBSTITUTE($H$4,"/",","),",",REPT(" ",99)),(ROW($1:$8)-1)*99+1,99))&lt;&gt;""),--ISNUMBER(SEARCH(TRIM(MID(SUBSTITUTE(SUBSTITUTE($H$4,"/",","),",",REPT(" ",99)),(ROW($1:$8)-1)*99+1,99)),IFERROR(('Final Calculation Sheet'!$C$37)&amp;"",""))))&gt;0,AND(ISNUMBER(SEARCH("blank",$H$4)),NOT(ISNUMBER(SEARCH("nonblank",$H$4))),IFERROR(('Final Calculation Sheet'!$C$37)&amp;"","")=""),AND(OR(ISNUMBER(SEARCH("nonblank",$H$4)),ISNUMBER(SEARCH("&lt;&gt;",$H$4))),IFERROR(('Final Calculation Sheet'!$C$37)&amp;"","")&lt;&gt;""),AND(TRIM($H$4)="",IFERROR(('Final Calculation Sheet'!$C$37)&amp;"","")=""))))</f>
        <v/>
      </c>
      <c r="BU38">
        <f>IF($I$4="",1,--(OR(SUMPRODUCT(--(TRIM(MID(SUBSTITUTE(SUBSTITUTE($I$4,"/",","),",",REPT(" ",99)),(ROW($1:$8)-1)*99+1,99))&lt;&gt;""),--ISNUMBER(SEARCH(TRIM(MID(SUBSTITUTE(SUBSTITUTE($I$4,"/",","),",",REPT(" ",99)),(ROW($1:$8)-1)*99+1,99)),IFERROR(('Final Calculation Sheet'!$H$37)&amp;"",""))))&gt;0,AND(ISNUMBER(SEARCH("blank",$I$4)),NOT(ISNUMBER(SEARCH("nonblank",$I$4))),IFERROR(('Final Calculation Sheet'!$H$37)&amp;"","")=""),AND(OR(ISNUMBER(SEARCH("nonblank",$I$4)),ISNUMBER(SEARCH("&lt;&gt;",$I$4))),IFERROR(('Final Calculation Sheet'!$H$37)&amp;"","")&lt;&gt;""),AND(TRIM($I$4)="",IFERROR(('Final Calculation Sheet'!$H$37)&amp;"","")=""))))</f>
        <v/>
      </c>
      <c r="BV38">
        <f>IF($J$4="",1,--(OR(SUMPRODUCT(--(TRIM(MID(SUBSTITUTE(SUBSTITUTE($J$4,"/",","),",",REPT(" ",99)),(ROW($1:$8)-1)*99+1,99))&lt;&gt;""),--ISNUMBER(SEARCH(TRIM(MID(SUBSTITUTE(SUBSTITUTE($J$4,"/",","),",",REPT(" ",99)),(ROW($1:$8)-1)*99+1,99)),IFERROR(('Final Calculation Sheet'!$I$37)&amp;"",""))))&gt;0,AND(ISNUMBER(SEARCH("blank",$J$4)),NOT(ISNUMBER(SEARCH("nonblank",$J$4))),IFERROR(('Final Calculation Sheet'!$I$37)&amp;"","")=""),AND(OR(ISNUMBER(SEARCH("nonblank",$J$4)),ISNUMBER(SEARCH("&lt;&gt;",$J$4))),IFERROR(('Final Calculation Sheet'!$I$37)&amp;"","")&lt;&gt;""),AND(TRIM($J$4)="",IFERROR(('Final Calculation Sheet'!$I$37)&amp;"","")=""))))</f>
        <v/>
      </c>
      <c r="BW38">
        <f>IF($K$4="",1,--(OR(SUMPRODUCT(--(TRIM(MID(SUBSTITUTE(SUBSTITUTE($K$4,"/",","),",",REPT(" ",99)),(ROW($1:$8)-1)*99+1,99))&lt;&gt;""),--ISNUMBER(SEARCH(TRIM(MID(SUBSTITUTE(SUBSTITUTE($K$4,"/",","),",",REPT(" ",99)),(ROW($1:$8)-1)*99+1,99)),IFERROR(('Final Calculation Sheet'!$J$37)&amp;"",""))))&gt;0,AND(ISNUMBER(SEARCH("blank",$K$4)),NOT(ISNUMBER(SEARCH("nonblank",$K$4))),IFERROR(('Final Calculation Sheet'!$J$37)&amp;"","")=""),AND(OR(ISNUMBER(SEARCH("nonblank",$K$4)),ISNUMBER(SEARCH("&lt;&gt;",$K$4))),IFERROR(('Final Calculation Sheet'!$J$37)&amp;"","")&lt;&gt;""),AND(TRIM($K$4)="",IFERROR(('Final Calculation Sheet'!$J$37)&amp;"","")=""))))</f>
        <v/>
      </c>
      <c r="BX38">
        <f>IF($L$4="",1,--(OR(SUMPRODUCT(--(TRIM(MID(SUBSTITUTE(SUBSTITUTE($L$4,"/",","),",",REPT(" ",99)),(ROW($1:$8)-1)*99+1,99))&lt;&gt;""),--ISNUMBER(SEARCH(TRIM(MID(SUBSTITUTE(SUBSTITUTE($L$4,"/",","),",",REPT(" ",99)),(ROW($1:$8)-1)*99+1,99)),IFERROR(('Final Calculation Sheet'!$K$37)&amp;"",""))))&gt;0,AND(ISNUMBER(SEARCH("blank",$L$4)),NOT(ISNUMBER(SEARCH("nonblank",$L$4))),IFERROR(('Final Calculation Sheet'!$K$37)&amp;"","")=""),AND(OR(ISNUMBER(SEARCH("nonblank",$L$4)),ISNUMBER(SEARCH("&lt;&gt;",$L$4))),IFERROR(('Final Calculation Sheet'!$K$37)&amp;"","")&lt;&gt;""),AND(TRIM($L$4)="",IFERROR(('Final Calculation Sheet'!$K$37)&amp;"","")=""))))</f>
        <v/>
      </c>
      <c r="BY38">
        <f>IF($M$4="",1,--(OR(SUMPRODUCT(--(TRIM(MID(SUBSTITUTE(SUBSTITUTE($M$4,"/",","),",",REPT(" ",99)),(ROW($1:$8)-1)*99+1,99))&lt;&gt;""),--ISNUMBER(SEARCH(TRIM(MID(SUBSTITUTE(SUBSTITUTE($M$4,"/",","),",",REPT(" ",99)),(ROW($1:$8)-1)*99+1,99)),IFERROR(('Final Calculation Sheet'!$L$37)&amp;"",""))))&gt;0,AND(ISNUMBER(SEARCH("blank",$M$4)),NOT(ISNUMBER(SEARCH("nonblank",$M$4))),IFERROR(('Final Calculation Sheet'!$L$37)&amp;"","")=""),AND(OR(ISNUMBER(SEARCH("nonblank",$M$4)),ISNUMBER(SEARCH("&lt;&gt;",$M$4))),IFERROR(('Final Calculation Sheet'!$L$37)&amp;"","")&lt;&gt;""),AND(TRIM($M$4)="",IFERROR(('Final Calculation Sheet'!$L$37)&amp;"","")=""))))</f>
        <v/>
      </c>
      <c r="BZ38">
        <f>IF($N$4="",1,--(OR(SUMPRODUCT(--(TRIM(MID(SUBSTITUTE(SUBSTITUTE($N$4,"/",","),",",REPT(" ",99)),(ROW($1:$8)-1)*99+1,99))&lt;&gt;""),--ISNUMBER(SEARCH(TRIM(MID(SUBSTITUTE(SUBSTITUTE($N$4,"/",","),",",REPT(" ",99)),(ROW($1:$8)-1)*99+1,99)),IFERROR(('Final Calculation Sheet'!$M$37)&amp;"",""))))&gt;0,AND(ISNUMBER(SEARCH("blank",$N$4)),NOT(ISNUMBER(SEARCH("nonblank",$N$4))),IFERROR(('Final Calculation Sheet'!$M$37)&amp;"","")=""),AND(OR(ISNUMBER(SEARCH("nonblank",$N$4)),ISNUMBER(SEARCH("&lt;&gt;",$N$4))),IFERROR(('Final Calculation Sheet'!$M$37)&amp;"","")&lt;&gt;""),AND(TRIM($N$4)="",IFERROR(('Final Calculation Sheet'!$M$37)&amp;"","")=""))))</f>
        <v/>
      </c>
      <c r="CA38">
        <f>IF($O$4="",1,--(OR(SUMPRODUCT(--(TRIM(MID(SUBSTITUTE(SUBSTITUTE($O$4,"/",","),",",REPT(" ",99)),(ROW($1:$8)-1)*99+1,99))&lt;&gt;""),--ISNUMBER(SEARCH(TRIM(MID(SUBSTITUTE(SUBSTITUTE($O$4,"/",","),",",REPT(" ",99)),(ROW($1:$8)-1)*99+1,99)),IFERROR(('Final Calculation Sheet'!$N$37)&amp;"",""))))&gt;0,AND(ISNUMBER(SEARCH("blank",$O$4)),NOT(ISNUMBER(SEARCH("nonblank",$O$4))),IFERROR(('Final Calculation Sheet'!$N$37)&amp;"","")=""),AND(OR(ISNUMBER(SEARCH("nonblank",$O$4)),ISNUMBER(SEARCH("&lt;&gt;",$O$4))),IFERROR(('Final Calculation Sheet'!$N$37)&amp;"","")&lt;&gt;""),AND(TRIM($O$4)="",IFERROR(('Final Calculation Sheet'!$N$37)&amp;"","")=""))))</f>
        <v/>
      </c>
      <c r="CB38">
        <f>IF($P$4="",1,--(OR(SUMPRODUCT(--(TRIM(MID(SUBSTITUTE(SUBSTITUTE($P$4,"/",","),",",REPT(" ",99)),(ROW($1:$8)-1)*99+1,99))&lt;&gt;""),--ISNUMBER(SEARCH(TRIM(MID(SUBSTITUTE(SUBSTITUTE($P$4,"/",","),",",REPT(" ",99)),(ROW($1:$8)-1)*99+1,99)),IFERROR(('Final Calculation Sheet'!$O$37)&amp;"",""))))&gt;0,AND(ISNUMBER(SEARCH("blank",$P$4)),NOT(ISNUMBER(SEARCH("nonblank",$P$4))),IFERROR(('Final Calculation Sheet'!$O$37)&amp;"","")=""),AND(OR(ISNUMBER(SEARCH("nonblank",$P$4)),ISNUMBER(SEARCH("&lt;&gt;",$P$4))),IFERROR(('Final Calculation Sheet'!$O$37)&amp;"","")&lt;&gt;""),AND(TRIM($P$4)="",IFERROR(('Final Calculation Sheet'!$O$37)&amp;"","")=""))))</f>
        <v/>
      </c>
      <c r="CC38">
        <f>IF($Q$4="",1,--(OR(SUMPRODUCT(--(TRIM(MID(SUBSTITUTE(SUBSTITUTE($Q$4,"/",","),",",REPT(" ",99)),(ROW($1:$8)-1)*99+1,99))&lt;&gt;""),--ISNUMBER(SEARCH(TRIM(MID(SUBSTITUTE(SUBSTITUTE($Q$4,"/",","),",",REPT(" ",99)),(ROW($1:$8)-1)*99+1,99)),IFERROR(('Final Calculation Sheet'!$P$37)&amp;"",""))))&gt;0,AND(ISNUMBER(SEARCH("blank",$Q$4)),NOT(ISNUMBER(SEARCH("nonblank",$Q$4))),IFERROR(('Final Calculation Sheet'!$P$37)&amp;"","")=""),AND(OR(ISNUMBER(SEARCH("nonblank",$Q$4)),ISNUMBER(SEARCH("&lt;&gt;",$Q$4))),IFERROR(('Final Calculation Sheet'!$P$37)&amp;"","")&lt;&gt;""),AND(TRIM($Q$4)="",IFERROR(('Final Calculation Sheet'!$P$37)&amp;"","")=""))))</f>
        <v/>
      </c>
      <c r="CD38">
        <f>IF($R$4="",1,--(OR(SUMPRODUCT(--(TRIM(MID(SUBSTITUTE(SUBSTITUTE($R$4,"/",","),",",REPT(" ",99)),(ROW($1:$8)-1)*99+1,99))&lt;&gt;""),--ISNUMBER(SEARCH(TRIM(MID(SUBSTITUTE(SUBSTITUTE($R$4,"/",","),",",REPT(" ",99)),(ROW($1:$8)-1)*99+1,99)),IFERROR(('Final Calculation Sheet'!$Q$37)&amp;"",""))))&gt;0,AND(ISNUMBER(SEARCH("blank",$R$4)),NOT(ISNUMBER(SEARCH("nonblank",$R$4))),IFERROR(('Final Calculation Sheet'!$Q$37)&amp;"","")=""),AND(OR(ISNUMBER(SEARCH("nonblank",$R$4)),ISNUMBER(SEARCH("&lt;&gt;",$R$4))),IFERROR(('Final Calculation Sheet'!$Q$37)&amp;"","")&lt;&gt;""),AND(TRIM($R$4)="",IFERROR(('Final Calculation Sheet'!$Q$37)&amp;"","")=""))))</f>
        <v/>
      </c>
      <c r="CE38">
        <f>IF($S$4="",1,--(OR(SUMPRODUCT(--(TRIM(MID(SUBSTITUTE(SUBSTITUTE($S$4,"/",","),",",REPT(" ",99)),(ROW($1:$8)-1)*99+1,99))&lt;&gt;""),--ISNUMBER(SEARCH(TRIM(MID(SUBSTITUTE(SUBSTITUTE($S$4,"/",","),",",REPT(" ",99)),(ROW($1:$8)-1)*99+1,99)),IFERROR(('Final Calculation Sheet'!$R$37)&amp;"",""))))&gt;0,AND(ISNUMBER(SEARCH("blank",$S$4)),NOT(ISNUMBER(SEARCH("nonblank",$S$4))),IFERROR(('Final Calculation Sheet'!$R$37)&amp;"","")=""),AND(OR(ISNUMBER(SEARCH("nonblank",$S$4)),ISNUMBER(SEARCH("&lt;&gt;",$S$4))),IFERROR(('Final Calculation Sheet'!$R$37)&amp;"","")&lt;&gt;""),AND(TRIM($S$4)="",IFERROR(('Final Calculation Sheet'!$R$37)&amp;"","")=""))))</f>
        <v/>
      </c>
      <c r="CF38">
        <f>IF($T$4="",1,--(OR(SUMPRODUCT(--(TRIM(MID(SUBSTITUTE(SUBSTITUTE($T$4,"/",","),",",REPT(" ",99)),(ROW($1:$8)-1)*99+1,99))&lt;&gt;""),--ISNUMBER(SEARCH(TRIM(MID(SUBSTITUTE(SUBSTITUTE($T$4,"/",","),",",REPT(" ",99)),(ROW($1:$8)-1)*99+1,99)),IFERROR(('Final Calculation Sheet'!$S$37)&amp;"",""))))&gt;0,AND(ISNUMBER(SEARCH("blank",$T$4)),NOT(ISNUMBER(SEARCH("nonblank",$T$4))),IFERROR(('Final Calculation Sheet'!$S$37)&amp;"","")=""),AND(OR(ISNUMBER(SEARCH("nonblank",$T$4)),ISNUMBER(SEARCH("&lt;&gt;",$T$4))),IFERROR(('Final Calculation Sheet'!$S$37)&amp;"","")&lt;&gt;""),AND(TRIM($T$4)="",IFERROR(('Final Calculation Sheet'!$S$37)&amp;"","")=""))))</f>
        <v/>
      </c>
      <c r="CG38">
        <f>IF($U$4="",1,--(OR(SUMPRODUCT(--(TRIM(MID(SUBSTITUTE(SUBSTITUTE($U$4,"/",","),",",REPT(" ",99)),(ROW($1:$8)-1)*99+1,99))&lt;&gt;""),--ISNUMBER(SEARCH(TRIM(MID(SUBSTITUTE(SUBSTITUTE($U$4,"/",","),",",REPT(" ",99)),(ROW($1:$8)-1)*99+1,99)),IFERROR(('Final Calculation Sheet'!$T$37)&amp;"",""))))&gt;0,AND(ISNUMBER(SEARCH("blank",$U$4)),NOT(ISNUMBER(SEARCH("nonblank",$U$4))),IFERROR(('Final Calculation Sheet'!$T$37)&amp;"","")=""),AND(OR(ISNUMBER(SEARCH("nonblank",$U$4)),ISNUMBER(SEARCH("&lt;&gt;",$U$4))),IFERROR(('Final Calculation Sheet'!$T$37)&amp;"","")&lt;&gt;""),AND(TRIM($U$4)="",IFERROR(('Final Calculation Sheet'!$T$37)&amp;"","")=""))))</f>
        <v/>
      </c>
      <c r="CH38">
        <f>IF($V$4="",1,--(OR(SUMPRODUCT(--(TRIM(MID(SUBSTITUTE(SUBSTITUTE($V$4,"/",","),",",REPT(" ",99)),(ROW($1:$8)-1)*99+1,99))&lt;&gt;""),--ISNUMBER(SEARCH(TRIM(MID(SUBSTITUTE(SUBSTITUTE($V$4,"/",","),",",REPT(" ",99)),(ROW($1:$8)-1)*99+1,99)),IFERROR(('Final Calculation Sheet'!$U$37)&amp;"",""))))&gt;0,AND(ISNUMBER(SEARCH("blank",$V$4)),NOT(ISNUMBER(SEARCH("nonblank",$V$4))),IFERROR(('Final Calculation Sheet'!$U$37)&amp;"","")=""),AND(OR(ISNUMBER(SEARCH("nonblank",$V$4)),ISNUMBER(SEARCH("&lt;&gt;",$V$4))),IFERROR(('Final Calculation Sheet'!$U$37)&amp;"","")&lt;&gt;""),AND(TRIM($V$4)="",IFERROR(('Final Calculation Sheet'!$U$37)&amp;"","")=""))))</f>
        <v/>
      </c>
      <c r="CI38">
        <f>IF($W$4="",1,--(OR(SUMPRODUCT(--(TRIM(MID(SUBSTITUTE(SUBSTITUTE($W$4,"/",","),",",REPT(" ",99)),(ROW($1:$8)-1)*99+1,99))&lt;&gt;""),--ISNUMBER(SEARCH(TRIM(MID(SUBSTITUTE(SUBSTITUTE($W$4,"/",","),",",REPT(" ",99)),(ROW($1:$8)-1)*99+1,99)),IFERROR(('Final Calculation Sheet'!$V$37)&amp;"",""))))&gt;0,AND(ISNUMBER(SEARCH("blank",$W$4)),NOT(ISNUMBER(SEARCH("nonblank",$W$4))),IFERROR(('Final Calculation Sheet'!$V$37)&amp;"","")=""),AND(OR(ISNUMBER(SEARCH("nonblank",$W$4)),ISNUMBER(SEARCH("&lt;&gt;",$W$4))),IFERROR(('Final Calculation Sheet'!$V$37)&amp;"","")&lt;&gt;""),AND(TRIM($W$4)="",IFERROR(('Final Calculation Sheet'!$V$37)&amp;"","")=""))))</f>
        <v/>
      </c>
      <c r="CJ38">
        <f>IF($X$4="",1,--(OR(SUMPRODUCT(--(TRIM(MID(SUBSTITUTE(SUBSTITUTE($X$4,"/",","),",",REPT(" ",99)),(ROW($1:$8)-1)*99+1,99))&lt;&gt;""),--ISNUMBER(SEARCH(TRIM(MID(SUBSTITUTE(SUBSTITUTE($X$4,"/",","),",",REPT(" ",99)),(ROW($1:$8)-1)*99+1,99)),IFERROR(('Final Calculation Sheet'!$W$37)&amp;"",""))))&gt;0,AND(ISNUMBER(SEARCH("blank",$X$4)),NOT(ISNUMBER(SEARCH("nonblank",$X$4))),IFERROR(('Final Calculation Sheet'!$W$37)&amp;"","")=""),AND(OR(ISNUMBER(SEARCH("nonblank",$X$4)),ISNUMBER(SEARCH("&lt;&gt;",$X$4))),IFERROR(('Final Calculation Sheet'!$W$37)&amp;"","")&lt;&gt;""),AND(TRIM($X$4)="",IFERROR(('Final Calculation Sheet'!$W$37)&amp;"","")=""))))</f>
        <v/>
      </c>
      <c r="CK38">
        <f>IF($Y$4="",1,--(OR(SUMPRODUCT(--(TRIM(MID(SUBSTITUTE(SUBSTITUTE($Y$4,"/",","),",",REPT(" ",99)),(ROW($1:$8)-1)*99+1,99))&lt;&gt;""),--ISNUMBER(SEARCH(TRIM(MID(SUBSTITUTE(SUBSTITUTE($Y$4,"/",","),",",REPT(" ",99)),(ROW($1:$8)-1)*99+1,99)),IFERROR(('Final Calculation Sheet'!$X$37)&amp;"",""))))&gt;0,AND(ISNUMBER(SEARCH("blank",$Y$4)),NOT(ISNUMBER(SEARCH("nonblank",$Y$4))),IFERROR(('Final Calculation Sheet'!$X$37)&amp;"","")=""),AND(OR(ISNUMBER(SEARCH("nonblank",$Y$4)),ISNUMBER(SEARCH("&lt;&gt;",$Y$4))),IFERROR(('Final Calculation Sheet'!$X$37)&amp;"","")&lt;&gt;""),AND(TRIM($Y$4)="",IFERROR(('Final Calculation Sheet'!$X$37)&amp;"","")=""))))</f>
        <v/>
      </c>
      <c r="CL38">
        <f>IF($Z$4="",1,--(OR(SUMPRODUCT(--(TRIM(MID(SUBSTITUTE(SUBSTITUTE($Z$4,"/",","),",",REPT(" ",99)),(ROW($1:$8)-1)*99+1,99))&lt;&gt;""),--ISNUMBER(SEARCH(TRIM(MID(SUBSTITUTE(SUBSTITUTE($Z$4,"/",","),",",REPT(" ",99)),(ROW($1:$8)-1)*99+1,99)),IFERROR(('Final Calculation Sheet'!$Y$37)&amp;"",""))))&gt;0,AND(ISNUMBER(SEARCH("blank",$Z$4)),NOT(ISNUMBER(SEARCH("nonblank",$Z$4))),IFERROR(('Final Calculation Sheet'!$Y$37)&amp;"","")=""),AND(OR(ISNUMBER(SEARCH("nonblank",$Z$4)),ISNUMBER(SEARCH("&lt;&gt;",$Z$4))),IFERROR(('Final Calculation Sheet'!$Y$37)&amp;"","")&lt;&gt;""),AND(TRIM($Z$4)="",IFERROR(('Final Calculation Sheet'!$Y$37)&amp;"","")=""))))</f>
        <v/>
      </c>
      <c r="CM38">
        <f>IF($AA$4="",1,--(OR(SUMPRODUCT(--(TRIM(MID(SUBSTITUTE(SUBSTITUTE($AA$4,"/",","),",",REPT(" ",99)),(ROW($1:$8)-1)*99+1,99))&lt;&gt;""),--ISNUMBER(SEARCH(TRIM(MID(SUBSTITUTE(SUBSTITUTE($AA$4,"/",","),",",REPT(" ",99)),(ROW($1:$8)-1)*99+1,99)),IFERROR(('Final Calculation Sheet'!$Z$37)&amp;"",""))))&gt;0,AND(ISNUMBER(SEARCH("blank",$AA$4)),NOT(ISNUMBER(SEARCH("nonblank",$AA$4))),IFERROR(('Final Calculation Sheet'!$Z$37)&amp;"","")=""),AND(OR(ISNUMBER(SEARCH("nonblank",$AA$4)),ISNUMBER(SEARCH("&lt;&gt;",$AA$4))),IFERROR(('Final Calculation Sheet'!$Z$37)&amp;"","")&lt;&gt;""),AND(TRIM($AA$4)="",IFERROR(('Final Calculation Sheet'!$Z$37)&amp;"","")=""))))</f>
        <v/>
      </c>
      <c r="CN38">
        <f>IF($AB$4="",1,--(OR(SUMPRODUCT(--(TRIM(MID(SUBSTITUTE(SUBSTITUTE($AB$4,"/",","),",",REPT(" ",99)),(ROW($1:$8)-1)*99+1,99))&lt;&gt;""),--ISNUMBER(SEARCH(TRIM(MID(SUBSTITUTE(SUBSTITUTE($AB$4,"/",","),",",REPT(" ",99)),(ROW($1:$8)-1)*99+1,99)),IFERROR(('Final Calculation Sheet'!$AA$37)&amp;"",""))))&gt;0,AND(ISNUMBER(SEARCH("blank",$AB$4)),NOT(ISNUMBER(SEARCH("nonblank",$AB$4))),IFERROR(('Final Calculation Sheet'!$AA$37)&amp;"","")=""),AND(OR(ISNUMBER(SEARCH("nonblank",$AB$4)),ISNUMBER(SEARCH("&lt;&gt;",$AB$4))),IFERROR(('Final Calculation Sheet'!$AA$37)&amp;"","")&lt;&gt;""),AND(TRIM($AB$4)="",IFERROR(('Final Calculation Sheet'!$AA$37)&amp;"","")=""))))</f>
        <v/>
      </c>
      <c r="CO38">
        <f>IF($AC$4="",1,--(OR(SUMPRODUCT(--(TRIM(MID(SUBSTITUTE(SUBSTITUTE($AC$4,"/",","),",",REPT(" ",99)),(ROW($1:$8)-1)*99+1,99))&lt;&gt;""),--ISNUMBER(SEARCH(TRIM(MID(SUBSTITUTE(SUBSTITUTE($AC$4,"/",","),",",REPT(" ",99)),(ROW($1:$8)-1)*99+1,99)),IFERROR(('Final Calculation Sheet'!$AB$37)&amp;"",""))))&gt;0,AND(ISNUMBER(SEARCH("blank",$AC$4)),NOT(ISNUMBER(SEARCH("nonblank",$AC$4))),IFERROR(('Final Calculation Sheet'!$AB$37)&amp;"","")=""),AND(OR(ISNUMBER(SEARCH("nonblank",$AC$4)),ISNUMBER(SEARCH("&lt;&gt;",$AC$4))),IFERROR(('Final Calculation Sheet'!$AB$37)&amp;"","")&lt;&gt;""),AND(TRIM($AC$4)="",IFERROR(('Final Calculation Sheet'!$AB$37)&amp;"","")=""))))</f>
        <v/>
      </c>
      <c r="CP38">
        <f>IF($AD$4="",1,--(OR(SUMPRODUCT(--(TRIM(MID(SUBSTITUTE(SUBSTITUTE($AD$4,"/",","),",",REPT(" ",99)),(ROW($1:$8)-1)*99+1,99))&lt;&gt;""),--ISNUMBER(SEARCH(TRIM(MID(SUBSTITUTE(SUBSTITUTE($AD$4,"/",","),",",REPT(" ",99)),(ROW($1:$8)-1)*99+1,99)),IFERROR(('Final Calculation Sheet'!$AC$37)&amp;"",""))))&gt;0,AND(ISNUMBER(SEARCH("blank",$AD$4)),NOT(ISNUMBER(SEARCH("nonblank",$AD$4))),IFERROR(('Final Calculation Sheet'!$AC$37)&amp;"","")=""),AND(OR(ISNUMBER(SEARCH("nonblank",$AD$4)),ISNUMBER(SEARCH("&lt;&gt;",$AD$4))),IFERROR(('Final Calculation Sheet'!$AC$37)&amp;"","")&lt;&gt;""),AND(TRIM($AD$4)="",IFERROR(('Final Calculation Sheet'!$AC$37)&amp;"","")=""))))</f>
        <v/>
      </c>
      <c r="CQ38">
        <f>IF($AE$4="",1,--(OR(SUMPRODUCT(--(TRIM(MID(SUBSTITUTE(SUBSTITUTE($AE$4,"/",","),",",REPT(" ",99)),(ROW($1:$8)-1)*99+1,99))&lt;&gt;""),--ISNUMBER(SEARCH(TRIM(MID(SUBSTITUTE(SUBSTITUTE($AE$4,"/",","),",",REPT(" ",99)),(ROW($1:$8)-1)*99+1,99)),IFERROR(('Final Calculation Sheet'!$AD$37)&amp;"",""))))&gt;0,AND(ISNUMBER(SEARCH("blank",$AE$4)),NOT(ISNUMBER(SEARCH("nonblank",$AE$4))),IFERROR(('Final Calculation Sheet'!$AD$37)&amp;"","")=""),AND(OR(ISNUMBER(SEARCH("nonblank",$AE$4)),ISNUMBER(SEARCH("&lt;&gt;",$AE$4))),IFERROR(('Final Calculation Sheet'!$AD$37)&amp;"","")&lt;&gt;""),AND(TRIM($AE$4)="",IFERROR(('Final Calculation Sheet'!$AD$37)&amp;"","")=""))))</f>
        <v/>
      </c>
      <c r="CR38">
        <f>IF($AF$4="",1,--(OR(SUMPRODUCT(--(TRIM(MID(SUBSTITUTE(SUBSTITUTE($AF$4,"/",","),",",REPT(" ",99)),(ROW($1:$8)-1)*99+1,99))&lt;&gt;""),--ISNUMBER(SEARCH(TRIM(MID(SUBSTITUTE(SUBSTITUTE($AF$4,"/",","),",",REPT(" ",99)),(ROW($1:$8)-1)*99+1,99)),IFERROR(('Final Calculation Sheet'!$AE$37)&amp;"",""))))&gt;0,AND(ISNUMBER(SEARCH("blank",$AF$4)),NOT(ISNUMBER(SEARCH("nonblank",$AF$4))),IFERROR(('Final Calculation Sheet'!$AE$37)&amp;"","")=""),AND(OR(ISNUMBER(SEARCH("nonblank",$AF$4)),ISNUMBER(SEARCH("&lt;&gt;",$AF$4))),IFERROR(('Final Calculation Sheet'!$AE$37)&amp;"","")&lt;&gt;""),AND(TRIM($AF$4)="",IFERROR(('Final Calculation Sheet'!$AE$37)&amp;"","")=""))))</f>
        <v/>
      </c>
      <c r="CS38">
        <f>IF($AG$4="",1,--(OR(SUMPRODUCT(--(TRIM(MID(SUBSTITUTE(SUBSTITUTE($AG$4,"/",","),",",REPT(" ",99)),(ROW($1:$8)-1)*99+1,99))&lt;&gt;""),--ISNUMBER(SEARCH(TRIM(MID(SUBSTITUTE(SUBSTITUTE($AG$4,"/",","),",",REPT(" ",99)),(ROW($1:$8)-1)*99+1,99)),IFERROR(('Final Calculation Sheet'!$AF$37)&amp;"",""))))&gt;0,AND(ISNUMBER(SEARCH("blank",$AG$4)),NOT(ISNUMBER(SEARCH("nonblank",$AG$4))),IFERROR(('Final Calculation Sheet'!$AF$37)&amp;"","")=""),AND(OR(ISNUMBER(SEARCH("nonblank",$AG$4)),ISNUMBER(SEARCH("&lt;&gt;",$AG$4))),IFERROR(('Final Calculation Sheet'!$AF$37)&amp;"","")&lt;&gt;""),AND(TRIM($AG$4)="",IFERROR(('Final Calculation Sheet'!$AF$37)&amp;"","")=""))))</f>
        <v/>
      </c>
      <c r="CT38">
        <f>IF($AH$4="",1,--(OR(SUMPRODUCT(--(TRIM(MID(SUBSTITUTE(SUBSTITUTE($AH$4,"/",","),",",REPT(" ",99)),(ROW($1:$8)-1)*99+1,99))&lt;&gt;""),--ISNUMBER(SEARCH(TRIM(MID(SUBSTITUTE(SUBSTITUTE($AH$4,"/",","),",",REPT(" ",99)),(ROW($1:$8)-1)*99+1,99)),IFERROR(('Final Calculation Sheet'!$AG$37)&amp;"",""))))&gt;0,AND(ISNUMBER(SEARCH("blank",$AH$4)),NOT(ISNUMBER(SEARCH("nonblank",$AH$4))),IFERROR(('Final Calculation Sheet'!$AG$37)&amp;"","")=""),AND(OR(ISNUMBER(SEARCH("nonblank",$AH$4)),ISNUMBER(SEARCH("&lt;&gt;",$AH$4))),IFERROR(('Final Calculation Sheet'!$AG$37)&amp;"","")&lt;&gt;""),AND(TRIM($AH$4)="",IFERROR(('Final Calculation Sheet'!$AG$37)&amp;"","")=""))))</f>
        <v/>
      </c>
      <c r="CU38">
        <f>IF($AI$4="",1,--(OR(SUMPRODUCT(--(TRIM(MID(SUBSTITUTE(SUBSTITUTE($AI$4,"/",","),",",REPT(" ",99)),(ROW($1:$8)-1)*99+1,99))&lt;&gt;""),--ISNUMBER(SEARCH(TRIM(MID(SUBSTITUTE(SUBSTITUTE($AI$4,"/",","),",",REPT(" ",99)),(ROW($1:$8)-1)*99+1,99)),IFERROR((IF('Final Calculation Sheet'!$AD$37&lt;=0,"SETTLED","OUTSTANDING"))&amp;"",""))))&gt;0,AND(ISNUMBER(SEARCH("blank",$AI$4)),NOT(ISNUMBER(SEARCH("nonblank",$AI$4))),IFERROR((IF('Final Calculation Sheet'!$AD$37&lt;=0,"SETTLED","OUTSTANDING"))&amp;"","")=""),AND(OR(ISNUMBER(SEARCH("nonblank",$AI$4)),ISNUMBER(SEARCH("&lt;&gt;",$AI$4))),IFERROR((IF('Final Calculation Sheet'!$AD$37&lt;=0,"SETTLED","OUTSTANDING"))&amp;"","")&lt;&gt;""),AND(TRIM($AI$4)="",IFERROR((IF('Final Calculation Sheet'!$AD$37&lt;=0,"SETTLED","OUTSTANDING"))&amp;"","")=""))))</f>
        <v/>
      </c>
    </row>
    <row r="39" ht="15" customHeight="1" s="77">
      <c r="A39" s="67">
        <f>IF($BJ38&gt;0,INDEX($BA$5:$BA$41,MATCH(38,$BB$5:$BB$41,0)),IF(OR($BI38=1,$BL38=1,$BH38&gt;0),"∑",""))</f>
        <v/>
      </c>
      <c r="B39" s="68">
        <f>IF($BJ38&gt;0,IF(INDEX('Final Calculation Sheet'!$F$4:$F$40,$BJ38-3)="","",INDEX('Final Calculation Sheet'!$F$4:$F$40,$BJ38-3)),"")</f>
        <v/>
      </c>
      <c r="C39" s="68">
        <f>IF($BJ38&gt;0,IF(INDEX('Final Calculation Sheet'!$G$4:$G$40,$BJ38-3)="","",INDEX('Final Calculation Sheet'!$G$4:$G$40,$BJ38-3)),IF(OR($BI38=1,$BL38=1,$BH38&gt;0),IF($BI38=1,37,IF($BL38=1,37-INDEX($BD$4:$BD$13,10),INDEX($BD$4:$BD$13,$BH38)))&amp;" lot(s)",""))</f>
        <v/>
      </c>
      <c r="D39" s="69">
        <f>IF($BJ38&gt;0,IF(INDEX('Final Calculation Sheet'!$B$4:$B$40,$BJ38-3)="","",INDEX('Final Calculation Sheet'!$B$4:$B$40,$BJ38-3)),IF(OR($BI38=1,$BL38=1,$BH38&gt;0),IF($BI38=1,"GRAND TOTAL  —  matching + remaining",IF($BL38=1,"TOTAL MATCHED  —  every group together",IF($BH38=10,"REMAINING  —  did not match the search",IF($BH38=9,IF(COUNTIF($A$4:$AI$4,"&lt;&gt;")&gt;0,"FILTERED LOTS  —  column fields","ALL LOTS  —  nothing typed in the box"),"GROUP "&amp;$BH38&amp;" TOTAL  —  lots matching  "&amp;INDEX($AR$6:$AY$6,$BH38))))),""))</f>
        <v/>
      </c>
      <c r="E39" s="69">
        <f>IF($BJ38&gt;0,IF(INDEX('Final Calculation Sheet'!$D$4:$D$40,$BJ38-3)="","",INDEX('Final Calculation Sheet'!$D$4:$D$40,$BJ38-3)),IF(OR($BI38=1,$BL38=1,$BH38&gt;0),"–",""))</f>
        <v/>
      </c>
      <c r="F39" s="69">
        <f>IF($BJ38&gt;0,IF(INDEX('Final Calculation Sheet'!$A$4:$A$40,$BJ38-3)="","",INDEX('Final Calculation Sheet'!$A$4:$A$40,$BJ38-3)),IF(OR($BI38=1,$BL38=1,$BH38&gt;0),IF($BI38=1,SUM('Final Calculation Sheet'!$A$4:$A$40),IF($BL38=1,SUM('Final Calculation Sheet'!$A$4:$A$40)-SUMIFS('Final Calculation Sheet'!$A$4:$A$40,$AZ$5:$AZ$41,10),SUMIFS('Final Calculation Sheet'!$A$4:$A$40,$AZ$5:$AZ$41,$BH38))),""))</f>
        <v/>
      </c>
      <c r="G39" s="69">
        <f>IF($BJ38&gt;0,IF(INDEX('Final Calculation Sheet'!$E$4:$E$40,$BJ38-3)="","",INDEX('Final Calculation Sheet'!$E$4:$E$40,$BJ38-3)),IF(OR($BI38=1,$BL38=1,$BH38&gt;0),"–",""))</f>
        <v/>
      </c>
      <c r="H39" s="70">
        <f>IF($BJ38&gt;0,IF(INDEX('Final Calculation Sheet'!$C$4:$C$40,$BJ38-3)="","",INDEX('Final Calculation Sheet'!$C$4:$C$40,$BJ38-3)),IF(OR($BI38=1,$BL38=1,$BH38&gt;0),"–",""))</f>
        <v/>
      </c>
      <c r="I39" s="70">
        <f>IF($BJ38&gt;0,IF(INDEX('Final Calculation Sheet'!$H$4:$H$40,$BJ38-3)="","",INDEX('Final Calculation Sheet'!$H$4:$H$40,$BJ38-3)),IF(OR($BI38=1,$BL38=1,$BH38&gt;0),IF($BI38=1,SUM('Final Calculation Sheet'!$H$4:$H$40),IF($BL38=1,SUM('Final Calculation Sheet'!$H$4:$H$40)-SUMIFS('Final Calculation Sheet'!$H$4:$H$40,$AZ$5:$AZ$41,10),SUMIFS('Final Calculation Sheet'!$H$4:$H$40,$AZ$5:$AZ$41,$BH38))),""))</f>
        <v/>
      </c>
      <c r="J39" s="70">
        <f>IF($BJ38&gt;0,IF(INDEX('Final Calculation Sheet'!$I$4:$I$40,$BJ38-3)="","",INDEX('Final Calculation Sheet'!$I$4:$I$40,$BJ38-3)),IF(OR($BI38=1,$BL38=1,$BH38&gt;0),IF($BI38=1,SUM('Final Calculation Sheet'!$I$4:$I$40),IF($BL38=1,SUM('Final Calculation Sheet'!$I$4:$I$40)-SUMIFS('Final Calculation Sheet'!$I$4:$I$40,$AZ$5:$AZ$41,10),SUMIFS('Final Calculation Sheet'!$I$4:$I$40,$AZ$5:$AZ$41,$BH38))),""))</f>
        <v/>
      </c>
      <c r="K39" s="70">
        <f>IF($BJ38&gt;0,IF(INDEX('Final Calculation Sheet'!$J$4:$J$40,$BJ38-3)="","",INDEX('Final Calculation Sheet'!$J$4:$J$40,$BJ38-3)),IF(OR($BI38=1,$BL38=1,$BH38&gt;0),IF($BI38=1,SUM('Final Calculation Sheet'!$J$4:$J$40),IF($BL38=1,SUM('Final Calculation Sheet'!$J$4:$J$40)-SUMIFS('Final Calculation Sheet'!$J$4:$J$40,$AZ$5:$AZ$41,10),SUMIFS('Final Calculation Sheet'!$J$4:$J$40,$AZ$5:$AZ$41,$BH38))),""))</f>
        <v/>
      </c>
      <c r="L39" s="70">
        <f>IF($BJ38&gt;0,IF(INDEX('Final Calculation Sheet'!$K$4:$K$40,$BJ38-3)="","",INDEX('Final Calculation Sheet'!$K$4:$K$40,$BJ38-3)),IF(OR($BI38=1,$BL38=1,$BH38&gt;0),IF($BI38=1,SUM('Final Calculation Sheet'!$K$4:$K$40),IF($BL38=1,SUM('Final Calculation Sheet'!$K$4:$K$40)-SUMIFS('Final Calculation Sheet'!$K$4:$K$40,$AZ$5:$AZ$41,10),SUMIFS('Final Calculation Sheet'!$K$4:$K$40,$AZ$5:$AZ$41,$BH38))),""))</f>
        <v/>
      </c>
      <c r="M39" s="70">
        <f>IF($BJ38&gt;0,IF(INDEX('Final Calculation Sheet'!$L$4:$L$40,$BJ38-3)="","",INDEX('Final Calculation Sheet'!$L$4:$L$40,$BJ38-3)),IF(OR($BI38=1,$BL38=1,$BH38&gt;0),IF($BI38=1,SUM('Final Calculation Sheet'!$L$4:$L$40),IF($BL38=1,SUM('Final Calculation Sheet'!$L$4:$L$40)-SUMIFS('Final Calculation Sheet'!$L$4:$L$40,$AZ$5:$AZ$41,10),SUMIFS('Final Calculation Sheet'!$L$4:$L$40,$AZ$5:$AZ$41,$BH38))),""))</f>
        <v/>
      </c>
      <c r="N39" s="70">
        <f>IF($BJ38&gt;0,IF(INDEX('Final Calculation Sheet'!$M$4:$M$40,$BJ38-3)="","",INDEX('Final Calculation Sheet'!$M$4:$M$40,$BJ38-3)),IF(OR($BI38=1,$BL38=1,$BH38&gt;0),IF($BI38=1,SUM('Final Calculation Sheet'!$M$4:$M$40),IF($BL38=1,SUM('Final Calculation Sheet'!$M$4:$M$40)-SUMIFS('Final Calculation Sheet'!$M$4:$M$40,$AZ$5:$AZ$41,10),SUMIFS('Final Calculation Sheet'!$M$4:$M$40,$AZ$5:$AZ$41,$BH38))),""))</f>
        <v/>
      </c>
      <c r="O39" s="71">
        <f>IF($BJ38&gt;0,IF(INDEX('Final Calculation Sheet'!$N$4:$N$40,$BJ38-3)="","",INDEX('Final Calculation Sheet'!$N$4:$N$40,$BJ38-3)),IF(OR($BI38=1,$BL38=1,$BH38&gt;0),IF($BI38=1,SUM('Final Calculation Sheet'!$N$4:$N$40),IF($BL38=1,SUM('Final Calculation Sheet'!$N$4:$N$40)-SUMIFS('Final Calculation Sheet'!$N$4:$N$40,$AZ$5:$AZ$41,10),SUMIFS('Final Calculation Sheet'!$N$4:$N$40,$AZ$5:$AZ$41,$BH38))),""))</f>
        <v/>
      </c>
      <c r="P39" s="70">
        <f>IF($BJ38&gt;0,IF(INDEX('Final Calculation Sheet'!$O$4:$O$40,$BJ38-3)="","",INDEX('Final Calculation Sheet'!$O$4:$O$40,$BJ38-3)),IF(OR($BI38=1,$BL38=1,$BH38&gt;0),IF($BI38=1,SUM('Final Calculation Sheet'!$O$4:$O$40),IF($BL38=1,SUM('Final Calculation Sheet'!$O$4:$O$40)-SUMIFS('Final Calculation Sheet'!$O$4:$O$40,$AZ$5:$AZ$41,10),SUMIFS('Final Calculation Sheet'!$O$4:$O$40,$AZ$5:$AZ$41,$BH38))),""))</f>
        <v/>
      </c>
      <c r="Q39" s="70">
        <f>IF($BJ38&gt;0,IF(INDEX('Final Calculation Sheet'!$P$4:$P$40,$BJ38-3)="","",INDEX('Final Calculation Sheet'!$P$4:$P$40,$BJ38-3)),IF(OR($BI38=1,$BL38=1,$BH38&gt;0),IF($BI38=1,SUM('Final Calculation Sheet'!$P$4:$P$40),IF($BL38=1,SUM('Final Calculation Sheet'!$P$4:$P$40)-SUMIFS('Final Calculation Sheet'!$P$4:$P$40,$AZ$5:$AZ$41,10),SUMIFS('Final Calculation Sheet'!$P$4:$P$40,$AZ$5:$AZ$41,$BH38))),""))</f>
        <v/>
      </c>
      <c r="R39" s="72">
        <f>IF($BJ38&gt;0,IF(INDEX('Final Calculation Sheet'!$Q$4:$Q$40,$BJ38-3)="","",INDEX('Final Calculation Sheet'!$Q$4:$Q$40,$BJ38-3)),IF(OR($BI38=1,$BL38=1,$BH38&gt;0),"–",""))</f>
        <v/>
      </c>
      <c r="S39" s="70">
        <f>IF($BJ38&gt;0,IF(INDEX('Final Calculation Sheet'!$R$4:$R$40,$BJ38-3)="","",INDEX('Final Calculation Sheet'!$R$4:$R$40,$BJ38-3)),IF(OR($BI38=1,$BL38=1,$BH38&gt;0),IF($BI38=1,SUM('Final Calculation Sheet'!$R$4:$R$40),IF($BL38=1,SUM('Final Calculation Sheet'!$R$4:$R$40)-SUMIFS('Final Calculation Sheet'!$R$4:$R$40,$AZ$5:$AZ$41,10),SUMIFS('Final Calculation Sheet'!$R$4:$R$40,$AZ$5:$AZ$41,$BH38))),""))</f>
        <v/>
      </c>
      <c r="T39" s="70">
        <f>IF($BJ38&gt;0,IF(INDEX('Final Calculation Sheet'!$S$4:$S$40,$BJ38-3)="","",INDEX('Final Calculation Sheet'!$S$4:$S$40,$BJ38-3)),IF(OR($BI38=1,$BL38=1,$BH38&gt;0),IF($BI38=1,SUM('Final Calculation Sheet'!$S$4:$S$40),IF($BL38=1,SUM('Final Calculation Sheet'!$S$4:$S$40)-SUMIFS('Final Calculation Sheet'!$S$4:$S$40,$AZ$5:$AZ$41,10),SUMIFS('Final Calculation Sheet'!$S$4:$S$40,$AZ$5:$AZ$41,$BH38))),""))</f>
        <v/>
      </c>
      <c r="U39" s="70">
        <f>IF($BJ38&gt;0,IF(INDEX('Final Calculation Sheet'!$T$4:$T$40,$BJ38-3)="","",INDEX('Final Calculation Sheet'!$T$4:$T$40,$BJ38-3)),IF(OR($BI38=1,$BL38=1,$BH38&gt;0),IF($BI38=1,SUM('Final Calculation Sheet'!$T$4:$T$40),IF($BL38=1,SUM('Final Calculation Sheet'!$T$4:$T$40)-SUMIFS('Final Calculation Sheet'!$T$4:$T$40,$AZ$5:$AZ$41,10),SUMIFS('Final Calculation Sheet'!$T$4:$T$40,$AZ$5:$AZ$41,$BH38))),""))</f>
        <v/>
      </c>
      <c r="V39" s="73">
        <f>IF($BJ38&gt;0,IF(INDEX('Final Calculation Sheet'!$U$4:$U$40,$BJ38-3)="","",INDEX('Final Calculation Sheet'!$U$4:$U$40,$BJ38-3)),IF(OR($BI38=1,$BL38=1,$BH38&gt;0),IF($BI38=1,SUM('Final Calculation Sheet'!$U$4:$U$40),IF($BL38=1,SUM('Final Calculation Sheet'!$U$4:$U$40)-SUMIFS('Final Calculation Sheet'!$U$4:$U$40,$AZ$5:$AZ$41,10),SUMIFS('Final Calculation Sheet'!$U$4:$U$40,$AZ$5:$AZ$41,$BH38))),""))</f>
        <v/>
      </c>
      <c r="W39" s="70">
        <f>IF($BJ38&gt;0,IF(INDEX('Final Calculation Sheet'!$V$4:$V$40,$BJ38-3)="","",INDEX('Final Calculation Sheet'!$V$4:$V$40,$BJ38-3)),IF(OR($BI38=1,$BL38=1,$BH38&gt;0),"–",""))</f>
        <v/>
      </c>
      <c r="X39" s="70">
        <f>IF($BJ38&gt;0,IF(INDEX('Final Calculation Sheet'!$W$4:$W$40,$BJ38-3)="","",INDEX('Final Calculation Sheet'!$W$4:$W$40,$BJ38-3)),IF(OR($BI38=1,$BL38=1,$BH38&gt;0),IF($BI38=1,SUM('Final Calculation Sheet'!$W$4:$W$40),IF($BL38=1,SUM('Final Calculation Sheet'!$W$4:$W$40)-SUMIFS('Final Calculation Sheet'!$W$4:$W$40,$AZ$5:$AZ$41,10),SUMIFS('Final Calculation Sheet'!$W$4:$W$40,$AZ$5:$AZ$41,$BH38))),""))</f>
        <v/>
      </c>
      <c r="Y39" s="70">
        <f>IF($BJ38&gt;0,IF(INDEX('Final Calculation Sheet'!$X$4:$X$40,$BJ38-3)="","",INDEX('Final Calculation Sheet'!$X$4:$X$40,$BJ38-3)),IF(OR($BI38=1,$BL38=1,$BH38&gt;0),IF($BI38=1,SUM('Final Calculation Sheet'!$X$4:$X$40),IF($BL38=1,SUM('Final Calculation Sheet'!$X$4:$X$40)-SUMIFS('Final Calculation Sheet'!$X$4:$X$40,$AZ$5:$AZ$41,10),SUMIFS('Final Calculation Sheet'!$X$4:$X$40,$AZ$5:$AZ$41,$BH38))),""))</f>
        <v/>
      </c>
      <c r="Z39" s="70">
        <f>IF($BJ38&gt;0,IF(INDEX('Final Calculation Sheet'!$Y$4:$Y$40,$BJ38-3)="","",INDEX('Final Calculation Sheet'!$Y$4:$Y$40,$BJ38-3)),IF(OR($BI38=1,$BL38=1,$BH38&gt;0),"–",""))</f>
        <v/>
      </c>
      <c r="AA39" s="70">
        <f>IF($BJ38&gt;0,IF(INDEX('Final Calculation Sheet'!$Z$4:$Z$40,$BJ38-3)="","",INDEX('Final Calculation Sheet'!$Z$4:$Z$40,$BJ38-3)),IF(OR($BI38=1,$BL38=1,$BH38&gt;0),IF($BI38=1,SUM('Final Calculation Sheet'!$Z$4:$Z$40),IF($BL38=1,SUM('Final Calculation Sheet'!$Z$4:$Z$40)-SUMIFS('Final Calculation Sheet'!$Z$4:$Z$40,$AZ$5:$AZ$41,10),SUMIFS('Final Calculation Sheet'!$Z$4:$Z$40,$AZ$5:$AZ$41,$BH38))),""))</f>
        <v/>
      </c>
      <c r="AB39" s="70">
        <f>IF($BJ38&gt;0,IF(INDEX('Final Calculation Sheet'!$AA$4:$AA$40,$BJ38-3)="","",INDEX('Final Calculation Sheet'!$AA$4:$AA$40,$BJ38-3)),IF(OR($BI38=1,$BL38=1,$BH38&gt;0),IF($BI38=1,SUM('Final Calculation Sheet'!$AA$4:$AA$40),IF($BL38=1,SUM('Final Calculation Sheet'!$AA$4:$AA$40)-SUMIFS('Final Calculation Sheet'!$AA$4:$AA$40,$AZ$5:$AZ$41,10),SUMIFS('Final Calculation Sheet'!$AA$4:$AA$40,$AZ$5:$AZ$41,$BH38))),""))</f>
        <v/>
      </c>
      <c r="AC39" s="70">
        <f>IF($BJ38&gt;0,IF(INDEX('Final Calculation Sheet'!$AB$4:$AB$40,$BJ38-3)="","",INDEX('Final Calculation Sheet'!$AB$4:$AB$40,$BJ38-3)),IF(OR($BI38=1,$BL38=1,$BH38&gt;0),"–",""))</f>
        <v/>
      </c>
      <c r="AD39" s="70">
        <f>IF($BJ38&gt;0,IF(INDEX('Final Calculation Sheet'!$AC$4:$AC$40,$BJ38-3)="","",INDEX('Final Calculation Sheet'!$AC$4:$AC$40,$BJ38-3)),IF(OR($BI38=1,$BL38=1,$BH38&gt;0),IF($BI38=1,SUM('Final Calculation Sheet'!$AC$4:$AC$40),IF($BL38=1,SUM('Final Calculation Sheet'!$AC$4:$AC$40)-SUMIFS('Final Calculation Sheet'!$AC$4:$AC$40,$AZ$5:$AZ$41,10),SUMIFS('Final Calculation Sheet'!$AC$4:$AC$40,$AZ$5:$AZ$41,$BH38))),""))</f>
        <v/>
      </c>
      <c r="AE39" s="70">
        <f>IF($BJ38&gt;0,IF(INDEX('Final Calculation Sheet'!$AD$4:$AD$40,$BJ38-3)="","",INDEX('Final Calculation Sheet'!$AD$4:$AD$40,$BJ38-3)),IF(OR($BI38=1,$BL38=1,$BH38&gt;0),IF($BI38=1,SUM('Final Calculation Sheet'!$AD$4:$AD$40),IF($BL38=1,SUM('Final Calculation Sheet'!$AD$4:$AD$40)-SUMIFS('Final Calculation Sheet'!$AD$4:$AD$40,$AZ$5:$AZ$41,10),SUMIFS('Final Calculation Sheet'!$AD$4:$AD$40,$AZ$5:$AZ$41,$BH38))),""))</f>
        <v/>
      </c>
      <c r="AF39" s="70">
        <f>IF($BJ38&gt;0,IF(INDEX('Final Calculation Sheet'!$AE$4:$AE$40,$BJ38-3)="","",INDEX('Final Calculation Sheet'!$AE$4:$AE$40,$BJ38-3)),IF(OR($BI38=1,$BL38=1,$BH38&gt;0),"–",""))</f>
        <v/>
      </c>
      <c r="AG39" s="74">
        <f>IF($BJ38&gt;0,IF(INDEX('Final Calculation Sheet'!$AF$4:$AF$40,$BJ38-3)="","",INDEX('Final Calculation Sheet'!$AF$4:$AF$40,$BJ38-3)),IF(OR($BI38=1,$BL38=1,$BH38&gt;0),"–",""))</f>
        <v/>
      </c>
      <c r="AH39" s="70">
        <f>IF($BJ38&gt;0,IF(INDEX('Final Calculation Sheet'!$AG$4:$AG$40,$BJ38-3)="","",INDEX('Final Calculation Sheet'!$AG$4:$AG$40,$BJ38-3)),IF(OR($BI38=1,$BL38=1,$BH38&gt;0),"–",""))</f>
        <v/>
      </c>
      <c r="AI39" s="75">
        <f>IF($BJ38&gt;0,IF(INDEX('Final Calculation Sheet'!$AD$4:$AD$40,$BJ38-3)="","",IF(INDEX('Final Calculation Sheet'!$AD$4:$AD$40,$BJ38-3)&lt;=0,"SETTLED","OUTSTANDING")),IF(OR($BI38=1,$BL38=1,$BH38&gt;0),IF(IF($BI38=1,SUM('Final Calculation Sheet'!$AD$4:$AD$40),IF($BL38=1,SUM('Final Calculation Sheet'!$AD$4:$AD$40)-SUMIFS('Final Calculation Sheet'!$AD$4:$AD$40,$AZ$5:$AZ$41,10),SUMIFS('Final Calculation Sheet'!$AD$4:$AD$40,$AZ$5:$AZ$41,$BH38)))&lt;=0,"ALL SETTLED","OUTSTANDING"),""))</f>
        <v/>
      </c>
      <c r="AK39">
        <f>IF($F$3="Lot No.",'Final Calculation Sheet'!$F$38,IF($F$3="Buyer",'Final Calculation Sheet'!$G$38,IF($F$3="Lot Name",'Final Calculation Sheet'!$B$38,IF($F$3="Bid Sheet",'Final Calculation Sheet'!$D$38,IF($F$3="Unit",'Final Calculation Sheet'!$E$38,'Final Calculation Sheet'!$F$38&amp;" "&amp;'Final Calculation Sheet'!$G$38&amp;" "&amp;'Final Calculation Sheet'!$B$38)))))</f>
        <v/>
      </c>
      <c r="AM39">
        <f>IF(COUNTIF($BM39:$CU39,0)&gt;0,0,IF($B$3="",1,IF(AND(IF(COUNTIF($AR$9:$AY$9,1)=0,TRUE,SUMPRODUCT(($AR$9:$AY$9=1)*($AR$6:$AY$6&lt;&gt;"")*ISNUMBER(SEARCH($AR$6:$AY$6,$AK39)))&gt;0),IF(COUNTIF($AR$9:$AY$9,2)=0,TRUE,SUMPRODUCT(($AR$9:$AY$9=2)*($AR$6:$AY$6&lt;&gt;"")*ISNUMBER(SEARCH($AR$6:$AY$6,$AK39)))&gt;0),IF(COUNTIF($AR$9:$AY$9,3)=0,TRUE,SUMPRODUCT(($AR$9:$AY$9=3)*($AR$6:$AY$6&lt;&gt;"")*ISNUMBER(SEARCH($AR$6:$AY$6,$AK39)))&gt;0),IF(COUNTIF($AR$9:$AY$9,4)=0,TRUE,SUMPRODUCT(($AR$9:$AY$9=4)*($AR$6:$AY$6&lt;&gt;"")*ISNUMBER(SEARCH($AR$6:$AY$6,$AK39)))&gt;0),IF(COUNTIF($AR$9:$AY$9,5)=0,TRUE,SUMPRODUCT(($AR$9:$AY$9=5)*($AR$6:$AY$6&lt;&gt;"")*ISNUMBER(SEARCH($AR$6:$AY$6,$AK39)))&gt;0),IF(COUNTIF($AR$9:$AY$9,6)=0,TRUE,SUMPRODUCT(($AR$9:$AY$9=6)*($AR$6:$AY$6&lt;&gt;"")*ISNUMBER(SEARCH($AR$6:$AY$6,$AK39)))&gt;0),IF(COUNTIF($AR$9:$AY$9,7)=0,TRUE,SUMPRODUCT(($AR$9:$AY$9=7)*($AR$6:$AY$6&lt;&gt;"")*ISNUMBER(SEARCH($AR$6:$AY$6,$AK39)))&gt;0),IF(COUNTIF($AR$9:$AY$9,8)=0,TRUE,SUMPRODUCT(($AR$9:$AY$9=8)*($AR$6:$AY$6&lt;&gt;"")*ISNUMBER(SEARCH($AR$6:$AY$6,$AK39)))&gt;0)),1,0)))</f>
        <v/>
      </c>
      <c r="AZ39">
        <f>IF($B$3="",IF(COUNTIF($A$4:$AI$4,"&lt;&gt;")=0,9,IF($AM39=1,9,10)),IF($AM39=0,10,IF(AND($AR$6&lt;&gt;"",ISNUMBER(SEARCH($AR$6,$AK39))),1,IF(AND($AS$6&lt;&gt;"",ISNUMBER(SEARCH($AS$6,$AK39))),2,IF(AND($AT$6&lt;&gt;"",ISNUMBER(SEARCH($AT$6,$AK39))),3,IF(AND($AU$6&lt;&gt;"",ISNUMBER(SEARCH($AU$6,$AK39))),4,IF(AND($AV$6&lt;&gt;"",ISNUMBER(SEARCH($AV$6,$AK39))),5,IF(AND($AW$6&lt;&gt;"",ISNUMBER(SEARCH($AW$6,$AK39))),6,IF(AND($AX$6&lt;&gt;"",ISNUMBER(SEARCH($AX$6,$AK39))),7,IF(AND($AY$6&lt;&gt;"",ISNUMBER(SEARCH($AY$6,$AK39))),8,0))))))))))</f>
        <v/>
      </c>
      <c r="BA39">
        <f>SUMPRODUCT(($AZ$5:$AZ$41=$AZ39)*($BC$5:$BC$41&lt;$BC39))+1</f>
        <v/>
      </c>
      <c r="BB39">
        <f>IF(INDEX($BF$4:$BF$13,$AZ39)=0,0,INDEX($BE$4:$BE$13,$AZ39)+$BA39-1)</f>
        <v/>
      </c>
      <c r="BC39" t="n">
        <v>38</v>
      </c>
      <c r="BH39">
        <f>IFERROR(MATCH(39,$BF$4:$BF$13,0),0)</f>
        <v/>
      </c>
      <c r="BI39">
        <f>IF(39=$BG$5,1,0)</f>
        <v/>
      </c>
      <c r="BJ39">
        <f>IF(OR($BH39&gt;0,$BI39=1,$BL39=1),0,IFERROR(INDEX($BC$5:$BC$41,MATCH(39,$BB$5:$BB$41,0)),0))</f>
        <v/>
      </c>
      <c r="BK39">
        <f>IF($BJ39&gt;0,IF(INDEX($AZ$5:$AZ$41,MATCH(39,$BB$5:$BB$41,0))=10,1,0),IF($BH39=10,1,0))</f>
        <v/>
      </c>
      <c r="BL39">
        <f>IF(39=$BG$4,1,0)</f>
        <v/>
      </c>
      <c r="BM39">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39">
        <f>IF($B$4="",1,--(OR(SUMPRODUCT(--(TRIM(MID(SUBSTITUTE(SUBSTITUTE($B$4,"/",","),",",REPT(" ",99)),(ROW($1:$8)-1)*99+1,99))&lt;&gt;""),--ISNUMBER(SEARCH(TRIM(MID(SUBSTITUTE(SUBSTITUTE($B$4,"/",","),",",REPT(" ",99)),(ROW($1:$8)-1)*99+1,99)),IFERROR(('Final Calculation Sheet'!$F$38)&amp;"",""))))&gt;0,AND(ISNUMBER(SEARCH("blank",$B$4)),NOT(ISNUMBER(SEARCH("nonblank",$B$4))),IFERROR(('Final Calculation Sheet'!$F$38)&amp;"","")=""),AND(OR(ISNUMBER(SEARCH("nonblank",$B$4)),ISNUMBER(SEARCH("&lt;&gt;",$B$4))),IFERROR(('Final Calculation Sheet'!$F$38)&amp;"","")&lt;&gt;""),AND(TRIM($B$4)="",IFERROR(('Final Calculation Sheet'!$F$38)&amp;"","")=""))))</f>
        <v/>
      </c>
      <c r="BO39">
        <f>IF($C$4="",1,--(OR(SUMPRODUCT(--(TRIM(MID(SUBSTITUTE(SUBSTITUTE($C$4,"/",","),",",REPT(" ",99)),(ROW($1:$8)-1)*99+1,99))&lt;&gt;""),--ISNUMBER(SEARCH(TRIM(MID(SUBSTITUTE(SUBSTITUTE($C$4,"/",","),",",REPT(" ",99)),(ROW($1:$8)-1)*99+1,99)),IFERROR(('Final Calculation Sheet'!$G$38)&amp;"",""))))&gt;0,AND(ISNUMBER(SEARCH("blank",$C$4)),NOT(ISNUMBER(SEARCH("nonblank",$C$4))),IFERROR(('Final Calculation Sheet'!$G$38)&amp;"","")=""),AND(OR(ISNUMBER(SEARCH("nonblank",$C$4)),ISNUMBER(SEARCH("&lt;&gt;",$C$4))),IFERROR(('Final Calculation Sheet'!$G$38)&amp;"","")&lt;&gt;""),AND(TRIM($C$4)="",IFERROR(('Final Calculation Sheet'!$G$38)&amp;"","")=""))))</f>
        <v/>
      </c>
      <c r="BP39">
        <f>IF($D$4="",1,--(OR(SUMPRODUCT(--(TRIM(MID(SUBSTITUTE(SUBSTITUTE($D$4,"/",","),",",REPT(" ",99)),(ROW($1:$8)-1)*99+1,99))&lt;&gt;""),--ISNUMBER(SEARCH(TRIM(MID(SUBSTITUTE(SUBSTITUTE($D$4,"/",","),",",REPT(" ",99)),(ROW($1:$8)-1)*99+1,99)),IFERROR(('Final Calculation Sheet'!$B$38)&amp;"",""))))&gt;0,AND(ISNUMBER(SEARCH("blank",$D$4)),NOT(ISNUMBER(SEARCH("nonblank",$D$4))),IFERROR(('Final Calculation Sheet'!$B$38)&amp;"","")=""),AND(OR(ISNUMBER(SEARCH("nonblank",$D$4)),ISNUMBER(SEARCH("&lt;&gt;",$D$4))),IFERROR(('Final Calculation Sheet'!$B$38)&amp;"","")&lt;&gt;""),AND(TRIM($D$4)="",IFERROR(('Final Calculation Sheet'!$B$38)&amp;"","")=""))))</f>
        <v/>
      </c>
      <c r="BQ39">
        <f>IF($E$4="",1,--(OR(SUMPRODUCT(--(TRIM(MID(SUBSTITUTE(SUBSTITUTE($E$4,"/",","),",",REPT(" ",99)),(ROW($1:$8)-1)*99+1,99))&lt;&gt;""),--ISNUMBER(SEARCH(TRIM(MID(SUBSTITUTE(SUBSTITUTE($E$4,"/",","),",",REPT(" ",99)),(ROW($1:$8)-1)*99+1,99)),IFERROR(('Final Calculation Sheet'!$D$38)&amp;"",""))))&gt;0,AND(ISNUMBER(SEARCH("blank",$E$4)),NOT(ISNUMBER(SEARCH("nonblank",$E$4))),IFERROR(('Final Calculation Sheet'!$D$38)&amp;"","")=""),AND(OR(ISNUMBER(SEARCH("nonblank",$E$4)),ISNUMBER(SEARCH("&lt;&gt;",$E$4))),IFERROR(('Final Calculation Sheet'!$D$38)&amp;"","")&lt;&gt;""),AND(TRIM($E$4)="",IFERROR(('Final Calculation Sheet'!$D$38)&amp;"","")=""))))</f>
        <v/>
      </c>
      <c r="BR39">
        <f>IF($F$4="",1,--(OR(SUMPRODUCT(--(TRIM(MID(SUBSTITUTE(SUBSTITUTE($F$4,"/",","),",",REPT(" ",99)),(ROW($1:$8)-1)*99+1,99))&lt;&gt;""),--ISNUMBER(SEARCH(TRIM(MID(SUBSTITUTE(SUBSTITUTE($F$4,"/",","),",",REPT(" ",99)),(ROW($1:$8)-1)*99+1,99)),IFERROR(('Final Calculation Sheet'!$A$38)&amp;"",""))))&gt;0,AND(ISNUMBER(SEARCH("blank",$F$4)),NOT(ISNUMBER(SEARCH("nonblank",$F$4))),IFERROR(('Final Calculation Sheet'!$A$38)&amp;"","")=""),AND(OR(ISNUMBER(SEARCH("nonblank",$F$4)),ISNUMBER(SEARCH("&lt;&gt;",$F$4))),IFERROR(('Final Calculation Sheet'!$A$38)&amp;"","")&lt;&gt;""),AND(TRIM($F$4)="",IFERROR(('Final Calculation Sheet'!$A$38)&amp;"","")=""))))</f>
        <v/>
      </c>
      <c r="BS39">
        <f>IF($G$4="",1,--(OR(SUMPRODUCT(--(TRIM(MID(SUBSTITUTE(SUBSTITUTE($G$4,"/",","),",",REPT(" ",99)),(ROW($1:$8)-1)*99+1,99))&lt;&gt;""),--ISNUMBER(SEARCH(TRIM(MID(SUBSTITUTE(SUBSTITUTE($G$4,"/",","),",",REPT(" ",99)),(ROW($1:$8)-1)*99+1,99)),IFERROR(('Final Calculation Sheet'!$E$38)&amp;"",""))))&gt;0,AND(ISNUMBER(SEARCH("blank",$G$4)),NOT(ISNUMBER(SEARCH("nonblank",$G$4))),IFERROR(('Final Calculation Sheet'!$E$38)&amp;"","")=""),AND(OR(ISNUMBER(SEARCH("nonblank",$G$4)),ISNUMBER(SEARCH("&lt;&gt;",$G$4))),IFERROR(('Final Calculation Sheet'!$E$38)&amp;"","")&lt;&gt;""),AND(TRIM($G$4)="",IFERROR(('Final Calculation Sheet'!$E$38)&amp;"","")=""))))</f>
        <v/>
      </c>
      <c r="BT39">
        <f>IF($H$4="",1,--(OR(SUMPRODUCT(--(TRIM(MID(SUBSTITUTE(SUBSTITUTE($H$4,"/",","),",",REPT(" ",99)),(ROW($1:$8)-1)*99+1,99))&lt;&gt;""),--ISNUMBER(SEARCH(TRIM(MID(SUBSTITUTE(SUBSTITUTE($H$4,"/",","),",",REPT(" ",99)),(ROW($1:$8)-1)*99+1,99)),IFERROR(('Final Calculation Sheet'!$C$38)&amp;"",""))))&gt;0,AND(ISNUMBER(SEARCH("blank",$H$4)),NOT(ISNUMBER(SEARCH("nonblank",$H$4))),IFERROR(('Final Calculation Sheet'!$C$38)&amp;"","")=""),AND(OR(ISNUMBER(SEARCH("nonblank",$H$4)),ISNUMBER(SEARCH("&lt;&gt;",$H$4))),IFERROR(('Final Calculation Sheet'!$C$38)&amp;"","")&lt;&gt;""),AND(TRIM($H$4)="",IFERROR(('Final Calculation Sheet'!$C$38)&amp;"","")=""))))</f>
        <v/>
      </c>
      <c r="BU39">
        <f>IF($I$4="",1,--(OR(SUMPRODUCT(--(TRIM(MID(SUBSTITUTE(SUBSTITUTE($I$4,"/",","),",",REPT(" ",99)),(ROW($1:$8)-1)*99+1,99))&lt;&gt;""),--ISNUMBER(SEARCH(TRIM(MID(SUBSTITUTE(SUBSTITUTE($I$4,"/",","),",",REPT(" ",99)),(ROW($1:$8)-1)*99+1,99)),IFERROR(('Final Calculation Sheet'!$H$38)&amp;"",""))))&gt;0,AND(ISNUMBER(SEARCH("blank",$I$4)),NOT(ISNUMBER(SEARCH("nonblank",$I$4))),IFERROR(('Final Calculation Sheet'!$H$38)&amp;"","")=""),AND(OR(ISNUMBER(SEARCH("nonblank",$I$4)),ISNUMBER(SEARCH("&lt;&gt;",$I$4))),IFERROR(('Final Calculation Sheet'!$H$38)&amp;"","")&lt;&gt;""),AND(TRIM($I$4)="",IFERROR(('Final Calculation Sheet'!$H$38)&amp;"","")=""))))</f>
        <v/>
      </c>
      <c r="BV39">
        <f>IF($J$4="",1,--(OR(SUMPRODUCT(--(TRIM(MID(SUBSTITUTE(SUBSTITUTE($J$4,"/",","),",",REPT(" ",99)),(ROW($1:$8)-1)*99+1,99))&lt;&gt;""),--ISNUMBER(SEARCH(TRIM(MID(SUBSTITUTE(SUBSTITUTE($J$4,"/",","),",",REPT(" ",99)),(ROW($1:$8)-1)*99+1,99)),IFERROR(('Final Calculation Sheet'!$I$38)&amp;"",""))))&gt;0,AND(ISNUMBER(SEARCH("blank",$J$4)),NOT(ISNUMBER(SEARCH("nonblank",$J$4))),IFERROR(('Final Calculation Sheet'!$I$38)&amp;"","")=""),AND(OR(ISNUMBER(SEARCH("nonblank",$J$4)),ISNUMBER(SEARCH("&lt;&gt;",$J$4))),IFERROR(('Final Calculation Sheet'!$I$38)&amp;"","")&lt;&gt;""),AND(TRIM($J$4)="",IFERROR(('Final Calculation Sheet'!$I$38)&amp;"","")=""))))</f>
        <v/>
      </c>
      <c r="BW39">
        <f>IF($K$4="",1,--(OR(SUMPRODUCT(--(TRIM(MID(SUBSTITUTE(SUBSTITUTE($K$4,"/",","),",",REPT(" ",99)),(ROW($1:$8)-1)*99+1,99))&lt;&gt;""),--ISNUMBER(SEARCH(TRIM(MID(SUBSTITUTE(SUBSTITUTE($K$4,"/",","),",",REPT(" ",99)),(ROW($1:$8)-1)*99+1,99)),IFERROR(('Final Calculation Sheet'!$J$38)&amp;"",""))))&gt;0,AND(ISNUMBER(SEARCH("blank",$K$4)),NOT(ISNUMBER(SEARCH("nonblank",$K$4))),IFERROR(('Final Calculation Sheet'!$J$38)&amp;"","")=""),AND(OR(ISNUMBER(SEARCH("nonblank",$K$4)),ISNUMBER(SEARCH("&lt;&gt;",$K$4))),IFERROR(('Final Calculation Sheet'!$J$38)&amp;"","")&lt;&gt;""),AND(TRIM($K$4)="",IFERROR(('Final Calculation Sheet'!$J$38)&amp;"","")=""))))</f>
        <v/>
      </c>
      <c r="BX39">
        <f>IF($L$4="",1,--(OR(SUMPRODUCT(--(TRIM(MID(SUBSTITUTE(SUBSTITUTE($L$4,"/",","),",",REPT(" ",99)),(ROW($1:$8)-1)*99+1,99))&lt;&gt;""),--ISNUMBER(SEARCH(TRIM(MID(SUBSTITUTE(SUBSTITUTE($L$4,"/",","),",",REPT(" ",99)),(ROW($1:$8)-1)*99+1,99)),IFERROR(('Final Calculation Sheet'!$K$38)&amp;"",""))))&gt;0,AND(ISNUMBER(SEARCH("blank",$L$4)),NOT(ISNUMBER(SEARCH("nonblank",$L$4))),IFERROR(('Final Calculation Sheet'!$K$38)&amp;"","")=""),AND(OR(ISNUMBER(SEARCH("nonblank",$L$4)),ISNUMBER(SEARCH("&lt;&gt;",$L$4))),IFERROR(('Final Calculation Sheet'!$K$38)&amp;"","")&lt;&gt;""),AND(TRIM($L$4)="",IFERROR(('Final Calculation Sheet'!$K$38)&amp;"","")=""))))</f>
        <v/>
      </c>
      <c r="BY39">
        <f>IF($M$4="",1,--(OR(SUMPRODUCT(--(TRIM(MID(SUBSTITUTE(SUBSTITUTE($M$4,"/",","),",",REPT(" ",99)),(ROW($1:$8)-1)*99+1,99))&lt;&gt;""),--ISNUMBER(SEARCH(TRIM(MID(SUBSTITUTE(SUBSTITUTE($M$4,"/",","),",",REPT(" ",99)),(ROW($1:$8)-1)*99+1,99)),IFERROR(('Final Calculation Sheet'!$L$38)&amp;"",""))))&gt;0,AND(ISNUMBER(SEARCH("blank",$M$4)),NOT(ISNUMBER(SEARCH("nonblank",$M$4))),IFERROR(('Final Calculation Sheet'!$L$38)&amp;"","")=""),AND(OR(ISNUMBER(SEARCH("nonblank",$M$4)),ISNUMBER(SEARCH("&lt;&gt;",$M$4))),IFERROR(('Final Calculation Sheet'!$L$38)&amp;"","")&lt;&gt;""),AND(TRIM($M$4)="",IFERROR(('Final Calculation Sheet'!$L$38)&amp;"","")=""))))</f>
        <v/>
      </c>
      <c r="BZ39">
        <f>IF($N$4="",1,--(OR(SUMPRODUCT(--(TRIM(MID(SUBSTITUTE(SUBSTITUTE($N$4,"/",","),",",REPT(" ",99)),(ROW($1:$8)-1)*99+1,99))&lt;&gt;""),--ISNUMBER(SEARCH(TRIM(MID(SUBSTITUTE(SUBSTITUTE($N$4,"/",","),",",REPT(" ",99)),(ROW($1:$8)-1)*99+1,99)),IFERROR(('Final Calculation Sheet'!$M$38)&amp;"",""))))&gt;0,AND(ISNUMBER(SEARCH("blank",$N$4)),NOT(ISNUMBER(SEARCH("nonblank",$N$4))),IFERROR(('Final Calculation Sheet'!$M$38)&amp;"","")=""),AND(OR(ISNUMBER(SEARCH("nonblank",$N$4)),ISNUMBER(SEARCH("&lt;&gt;",$N$4))),IFERROR(('Final Calculation Sheet'!$M$38)&amp;"","")&lt;&gt;""),AND(TRIM($N$4)="",IFERROR(('Final Calculation Sheet'!$M$38)&amp;"","")=""))))</f>
        <v/>
      </c>
      <c r="CA39">
        <f>IF($O$4="",1,--(OR(SUMPRODUCT(--(TRIM(MID(SUBSTITUTE(SUBSTITUTE($O$4,"/",","),",",REPT(" ",99)),(ROW($1:$8)-1)*99+1,99))&lt;&gt;""),--ISNUMBER(SEARCH(TRIM(MID(SUBSTITUTE(SUBSTITUTE($O$4,"/",","),",",REPT(" ",99)),(ROW($1:$8)-1)*99+1,99)),IFERROR(('Final Calculation Sheet'!$N$38)&amp;"",""))))&gt;0,AND(ISNUMBER(SEARCH("blank",$O$4)),NOT(ISNUMBER(SEARCH("nonblank",$O$4))),IFERROR(('Final Calculation Sheet'!$N$38)&amp;"","")=""),AND(OR(ISNUMBER(SEARCH("nonblank",$O$4)),ISNUMBER(SEARCH("&lt;&gt;",$O$4))),IFERROR(('Final Calculation Sheet'!$N$38)&amp;"","")&lt;&gt;""),AND(TRIM($O$4)="",IFERROR(('Final Calculation Sheet'!$N$38)&amp;"","")=""))))</f>
        <v/>
      </c>
      <c r="CB39">
        <f>IF($P$4="",1,--(OR(SUMPRODUCT(--(TRIM(MID(SUBSTITUTE(SUBSTITUTE($P$4,"/",","),",",REPT(" ",99)),(ROW($1:$8)-1)*99+1,99))&lt;&gt;""),--ISNUMBER(SEARCH(TRIM(MID(SUBSTITUTE(SUBSTITUTE($P$4,"/",","),",",REPT(" ",99)),(ROW($1:$8)-1)*99+1,99)),IFERROR(('Final Calculation Sheet'!$O$38)&amp;"",""))))&gt;0,AND(ISNUMBER(SEARCH("blank",$P$4)),NOT(ISNUMBER(SEARCH("nonblank",$P$4))),IFERROR(('Final Calculation Sheet'!$O$38)&amp;"","")=""),AND(OR(ISNUMBER(SEARCH("nonblank",$P$4)),ISNUMBER(SEARCH("&lt;&gt;",$P$4))),IFERROR(('Final Calculation Sheet'!$O$38)&amp;"","")&lt;&gt;""),AND(TRIM($P$4)="",IFERROR(('Final Calculation Sheet'!$O$38)&amp;"","")=""))))</f>
        <v/>
      </c>
      <c r="CC39">
        <f>IF($Q$4="",1,--(OR(SUMPRODUCT(--(TRIM(MID(SUBSTITUTE(SUBSTITUTE($Q$4,"/",","),",",REPT(" ",99)),(ROW($1:$8)-1)*99+1,99))&lt;&gt;""),--ISNUMBER(SEARCH(TRIM(MID(SUBSTITUTE(SUBSTITUTE($Q$4,"/",","),",",REPT(" ",99)),(ROW($1:$8)-1)*99+1,99)),IFERROR(('Final Calculation Sheet'!$P$38)&amp;"",""))))&gt;0,AND(ISNUMBER(SEARCH("blank",$Q$4)),NOT(ISNUMBER(SEARCH("nonblank",$Q$4))),IFERROR(('Final Calculation Sheet'!$P$38)&amp;"","")=""),AND(OR(ISNUMBER(SEARCH("nonblank",$Q$4)),ISNUMBER(SEARCH("&lt;&gt;",$Q$4))),IFERROR(('Final Calculation Sheet'!$P$38)&amp;"","")&lt;&gt;""),AND(TRIM($Q$4)="",IFERROR(('Final Calculation Sheet'!$P$38)&amp;"","")=""))))</f>
        <v/>
      </c>
      <c r="CD39">
        <f>IF($R$4="",1,--(OR(SUMPRODUCT(--(TRIM(MID(SUBSTITUTE(SUBSTITUTE($R$4,"/",","),",",REPT(" ",99)),(ROW($1:$8)-1)*99+1,99))&lt;&gt;""),--ISNUMBER(SEARCH(TRIM(MID(SUBSTITUTE(SUBSTITUTE($R$4,"/",","),",",REPT(" ",99)),(ROW($1:$8)-1)*99+1,99)),IFERROR(('Final Calculation Sheet'!$Q$38)&amp;"",""))))&gt;0,AND(ISNUMBER(SEARCH("blank",$R$4)),NOT(ISNUMBER(SEARCH("nonblank",$R$4))),IFERROR(('Final Calculation Sheet'!$Q$38)&amp;"","")=""),AND(OR(ISNUMBER(SEARCH("nonblank",$R$4)),ISNUMBER(SEARCH("&lt;&gt;",$R$4))),IFERROR(('Final Calculation Sheet'!$Q$38)&amp;"","")&lt;&gt;""),AND(TRIM($R$4)="",IFERROR(('Final Calculation Sheet'!$Q$38)&amp;"","")=""))))</f>
        <v/>
      </c>
      <c r="CE39">
        <f>IF($S$4="",1,--(OR(SUMPRODUCT(--(TRIM(MID(SUBSTITUTE(SUBSTITUTE($S$4,"/",","),",",REPT(" ",99)),(ROW($1:$8)-1)*99+1,99))&lt;&gt;""),--ISNUMBER(SEARCH(TRIM(MID(SUBSTITUTE(SUBSTITUTE($S$4,"/",","),",",REPT(" ",99)),(ROW($1:$8)-1)*99+1,99)),IFERROR(('Final Calculation Sheet'!$R$38)&amp;"",""))))&gt;0,AND(ISNUMBER(SEARCH("blank",$S$4)),NOT(ISNUMBER(SEARCH("nonblank",$S$4))),IFERROR(('Final Calculation Sheet'!$R$38)&amp;"","")=""),AND(OR(ISNUMBER(SEARCH("nonblank",$S$4)),ISNUMBER(SEARCH("&lt;&gt;",$S$4))),IFERROR(('Final Calculation Sheet'!$R$38)&amp;"","")&lt;&gt;""),AND(TRIM($S$4)="",IFERROR(('Final Calculation Sheet'!$R$38)&amp;"","")=""))))</f>
        <v/>
      </c>
      <c r="CF39">
        <f>IF($T$4="",1,--(OR(SUMPRODUCT(--(TRIM(MID(SUBSTITUTE(SUBSTITUTE($T$4,"/",","),",",REPT(" ",99)),(ROW($1:$8)-1)*99+1,99))&lt;&gt;""),--ISNUMBER(SEARCH(TRIM(MID(SUBSTITUTE(SUBSTITUTE($T$4,"/",","),",",REPT(" ",99)),(ROW($1:$8)-1)*99+1,99)),IFERROR(('Final Calculation Sheet'!$S$38)&amp;"",""))))&gt;0,AND(ISNUMBER(SEARCH("blank",$T$4)),NOT(ISNUMBER(SEARCH("nonblank",$T$4))),IFERROR(('Final Calculation Sheet'!$S$38)&amp;"","")=""),AND(OR(ISNUMBER(SEARCH("nonblank",$T$4)),ISNUMBER(SEARCH("&lt;&gt;",$T$4))),IFERROR(('Final Calculation Sheet'!$S$38)&amp;"","")&lt;&gt;""),AND(TRIM($T$4)="",IFERROR(('Final Calculation Sheet'!$S$38)&amp;"","")=""))))</f>
        <v/>
      </c>
      <c r="CG39">
        <f>IF($U$4="",1,--(OR(SUMPRODUCT(--(TRIM(MID(SUBSTITUTE(SUBSTITUTE($U$4,"/",","),",",REPT(" ",99)),(ROW($1:$8)-1)*99+1,99))&lt;&gt;""),--ISNUMBER(SEARCH(TRIM(MID(SUBSTITUTE(SUBSTITUTE($U$4,"/",","),",",REPT(" ",99)),(ROW($1:$8)-1)*99+1,99)),IFERROR(('Final Calculation Sheet'!$T$38)&amp;"",""))))&gt;0,AND(ISNUMBER(SEARCH("blank",$U$4)),NOT(ISNUMBER(SEARCH("nonblank",$U$4))),IFERROR(('Final Calculation Sheet'!$T$38)&amp;"","")=""),AND(OR(ISNUMBER(SEARCH("nonblank",$U$4)),ISNUMBER(SEARCH("&lt;&gt;",$U$4))),IFERROR(('Final Calculation Sheet'!$T$38)&amp;"","")&lt;&gt;""),AND(TRIM($U$4)="",IFERROR(('Final Calculation Sheet'!$T$38)&amp;"","")=""))))</f>
        <v/>
      </c>
      <c r="CH39">
        <f>IF($V$4="",1,--(OR(SUMPRODUCT(--(TRIM(MID(SUBSTITUTE(SUBSTITUTE($V$4,"/",","),",",REPT(" ",99)),(ROW($1:$8)-1)*99+1,99))&lt;&gt;""),--ISNUMBER(SEARCH(TRIM(MID(SUBSTITUTE(SUBSTITUTE($V$4,"/",","),",",REPT(" ",99)),(ROW($1:$8)-1)*99+1,99)),IFERROR(('Final Calculation Sheet'!$U$38)&amp;"",""))))&gt;0,AND(ISNUMBER(SEARCH("blank",$V$4)),NOT(ISNUMBER(SEARCH("nonblank",$V$4))),IFERROR(('Final Calculation Sheet'!$U$38)&amp;"","")=""),AND(OR(ISNUMBER(SEARCH("nonblank",$V$4)),ISNUMBER(SEARCH("&lt;&gt;",$V$4))),IFERROR(('Final Calculation Sheet'!$U$38)&amp;"","")&lt;&gt;""),AND(TRIM($V$4)="",IFERROR(('Final Calculation Sheet'!$U$38)&amp;"","")=""))))</f>
        <v/>
      </c>
      <c r="CI39">
        <f>IF($W$4="",1,--(OR(SUMPRODUCT(--(TRIM(MID(SUBSTITUTE(SUBSTITUTE($W$4,"/",","),",",REPT(" ",99)),(ROW($1:$8)-1)*99+1,99))&lt;&gt;""),--ISNUMBER(SEARCH(TRIM(MID(SUBSTITUTE(SUBSTITUTE($W$4,"/",","),",",REPT(" ",99)),(ROW($1:$8)-1)*99+1,99)),IFERROR(('Final Calculation Sheet'!$V$38)&amp;"",""))))&gt;0,AND(ISNUMBER(SEARCH("blank",$W$4)),NOT(ISNUMBER(SEARCH("nonblank",$W$4))),IFERROR(('Final Calculation Sheet'!$V$38)&amp;"","")=""),AND(OR(ISNUMBER(SEARCH("nonblank",$W$4)),ISNUMBER(SEARCH("&lt;&gt;",$W$4))),IFERROR(('Final Calculation Sheet'!$V$38)&amp;"","")&lt;&gt;""),AND(TRIM($W$4)="",IFERROR(('Final Calculation Sheet'!$V$38)&amp;"","")=""))))</f>
        <v/>
      </c>
      <c r="CJ39">
        <f>IF($X$4="",1,--(OR(SUMPRODUCT(--(TRIM(MID(SUBSTITUTE(SUBSTITUTE($X$4,"/",","),",",REPT(" ",99)),(ROW($1:$8)-1)*99+1,99))&lt;&gt;""),--ISNUMBER(SEARCH(TRIM(MID(SUBSTITUTE(SUBSTITUTE($X$4,"/",","),",",REPT(" ",99)),(ROW($1:$8)-1)*99+1,99)),IFERROR(('Final Calculation Sheet'!$W$38)&amp;"",""))))&gt;0,AND(ISNUMBER(SEARCH("blank",$X$4)),NOT(ISNUMBER(SEARCH("nonblank",$X$4))),IFERROR(('Final Calculation Sheet'!$W$38)&amp;"","")=""),AND(OR(ISNUMBER(SEARCH("nonblank",$X$4)),ISNUMBER(SEARCH("&lt;&gt;",$X$4))),IFERROR(('Final Calculation Sheet'!$W$38)&amp;"","")&lt;&gt;""),AND(TRIM($X$4)="",IFERROR(('Final Calculation Sheet'!$W$38)&amp;"","")=""))))</f>
        <v/>
      </c>
      <c r="CK39">
        <f>IF($Y$4="",1,--(OR(SUMPRODUCT(--(TRIM(MID(SUBSTITUTE(SUBSTITUTE($Y$4,"/",","),",",REPT(" ",99)),(ROW($1:$8)-1)*99+1,99))&lt;&gt;""),--ISNUMBER(SEARCH(TRIM(MID(SUBSTITUTE(SUBSTITUTE($Y$4,"/",","),",",REPT(" ",99)),(ROW($1:$8)-1)*99+1,99)),IFERROR(('Final Calculation Sheet'!$X$38)&amp;"",""))))&gt;0,AND(ISNUMBER(SEARCH("blank",$Y$4)),NOT(ISNUMBER(SEARCH("nonblank",$Y$4))),IFERROR(('Final Calculation Sheet'!$X$38)&amp;"","")=""),AND(OR(ISNUMBER(SEARCH("nonblank",$Y$4)),ISNUMBER(SEARCH("&lt;&gt;",$Y$4))),IFERROR(('Final Calculation Sheet'!$X$38)&amp;"","")&lt;&gt;""),AND(TRIM($Y$4)="",IFERROR(('Final Calculation Sheet'!$X$38)&amp;"","")=""))))</f>
        <v/>
      </c>
      <c r="CL39">
        <f>IF($Z$4="",1,--(OR(SUMPRODUCT(--(TRIM(MID(SUBSTITUTE(SUBSTITUTE($Z$4,"/",","),",",REPT(" ",99)),(ROW($1:$8)-1)*99+1,99))&lt;&gt;""),--ISNUMBER(SEARCH(TRIM(MID(SUBSTITUTE(SUBSTITUTE($Z$4,"/",","),",",REPT(" ",99)),(ROW($1:$8)-1)*99+1,99)),IFERROR(('Final Calculation Sheet'!$Y$38)&amp;"",""))))&gt;0,AND(ISNUMBER(SEARCH("blank",$Z$4)),NOT(ISNUMBER(SEARCH("nonblank",$Z$4))),IFERROR(('Final Calculation Sheet'!$Y$38)&amp;"","")=""),AND(OR(ISNUMBER(SEARCH("nonblank",$Z$4)),ISNUMBER(SEARCH("&lt;&gt;",$Z$4))),IFERROR(('Final Calculation Sheet'!$Y$38)&amp;"","")&lt;&gt;""),AND(TRIM($Z$4)="",IFERROR(('Final Calculation Sheet'!$Y$38)&amp;"","")=""))))</f>
        <v/>
      </c>
      <c r="CM39">
        <f>IF($AA$4="",1,--(OR(SUMPRODUCT(--(TRIM(MID(SUBSTITUTE(SUBSTITUTE($AA$4,"/",","),",",REPT(" ",99)),(ROW($1:$8)-1)*99+1,99))&lt;&gt;""),--ISNUMBER(SEARCH(TRIM(MID(SUBSTITUTE(SUBSTITUTE($AA$4,"/",","),",",REPT(" ",99)),(ROW($1:$8)-1)*99+1,99)),IFERROR(('Final Calculation Sheet'!$Z$38)&amp;"",""))))&gt;0,AND(ISNUMBER(SEARCH("blank",$AA$4)),NOT(ISNUMBER(SEARCH("nonblank",$AA$4))),IFERROR(('Final Calculation Sheet'!$Z$38)&amp;"","")=""),AND(OR(ISNUMBER(SEARCH("nonblank",$AA$4)),ISNUMBER(SEARCH("&lt;&gt;",$AA$4))),IFERROR(('Final Calculation Sheet'!$Z$38)&amp;"","")&lt;&gt;""),AND(TRIM($AA$4)="",IFERROR(('Final Calculation Sheet'!$Z$38)&amp;"","")=""))))</f>
        <v/>
      </c>
      <c r="CN39">
        <f>IF($AB$4="",1,--(OR(SUMPRODUCT(--(TRIM(MID(SUBSTITUTE(SUBSTITUTE($AB$4,"/",","),",",REPT(" ",99)),(ROW($1:$8)-1)*99+1,99))&lt;&gt;""),--ISNUMBER(SEARCH(TRIM(MID(SUBSTITUTE(SUBSTITUTE($AB$4,"/",","),",",REPT(" ",99)),(ROW($1:$8)-1)*99+1,99)),IFERROR(('Final Calculation Sheet'!$AA$38)&amp;"",""))))&gt;0,AND(ISNUMBER(SEARCH("blank",$AB$4)),NOT(ISNUMBER(SEARCH("nonblank",$AB$4))),IFERROR(('Final Calculation Sheet'!$AA$38)&amp;"","")=""),AND(OR(ISNUMBER(SEARCH("nonblank",$AB$4)),ISNUMBER(SEARCH("&lt;&gt;",$AB$4))),IFERROR(('Final Calculation Sheet'!$AA$38)&amp;"","")&lt;&gt;""),AND(TRIM($AB$4)="",IFERROR(('Final Calculation Sheet'!$AA$38)&amp;"","")=""))))</f>
        <v/>
      </c>
      <c r="CO39">
        <f>IF($AC$4="",1,--(OR(SUMPRODUCT(--(TRIM(MID(SUBSTITUTE(SUBSTITUTE($AC$4,"/",","),",",REPT(" ",99)),(ROW($1:$8)-1)*99+1,99))&lt;&gt;""),--ISNUMBER(SEARCH(TRIM(MID(SUBSTITUTE(SUBSTITUTE($AC$4,"/",","),",",REPT(" ",99)),(ROW($1:$8)-1)*99+1,99)),IFERROR(('Final Calculation Sheet'!$AB$38)&amp;"",""))))&gt;0,AND(ISNUMBER(SEARCH("blank",$AC$4)),NOT(ISNUMBER(SEARCH("nonblank",$AC$4))),IFERROR(('Final Calculation Sheet'!$AB$38)&amp;"","")=""),AND(OR(ISNUMBER(SEARCH("nonblank",$AC$4)),ISNUMBER(SEARCH("&lt;&gt;",$AC$4))),IFERROR(('Final Calculation Sheet'!$AB$38)&amp;"","")&lt;&gt;""),AND(TRIM($AC$4)="",IFERROR(('Final Calculation Sheet'!$AB$38)&amp;"","")=""))))</f>
        <v/>
      </c>
      <c r="CP39">
        <f>IF($AD$4="",1,--(OR(SUMPRODUCT(--(TRIM(MID(SUBSTITUTE(SUBSTITUTE($AD$4,"/",","),",",REPT(" ",99)),(ROW($1:$8)-1)*99+1,99))&lt;&gt;""),--ISNUMBER(SEARCH(TRIM(MID(SUBSTITUTE(SUBSTITUTE($AD$4,"/",","),",",REPT(" ",99)),(ROW($1:$8)-1)*99+1,99)),IFERROR(('Final Calculation Sheet'!$AC$38)&amp;"",""))))&gt;0,AND(ISNUMBER(SEARCH("blank",$AD$4)),NOT(ISNUMBER(SEARCH("nonblank",$AD$4))),IFERROR(('Final Calculation Sheet'!$AC$38)&amp;"","")=""),AND(OR(ISNUMBER(SEARCH("nonblank",$AD$4)),ISNUMBER(SEARCH("&lt;&gt;",$AD$4))),IFERROR(('Final Calculation Sheet'!$AC$38)&amp;"","")&lt;&gt;""),AND(TRIM($AD$4)="",IFERROR(('Final Calculation Sheet'!$AC$38)&amp;"","")=""))))</f>
        <v/>
      </c>
      <c r="CQ39">
        <f>IF($AE$4="",1,--(OR(SUMPRODUCT(--(TRIM(MID(SUBSTITUTE(SUBSTITUTE($AE$4,"/",","),",",REPT(" ",99)),(ROW($1:$8)-1)*99+1,99))&lt;&gt;""),--ISNUMBER(SEARCH(TRIM(MID(SUBSTITUTE(SUBSTITUTE($AE$4,"/",","),",",REPT(" ",99)),(ROW($1:$8)-1)*99+1,99)),IFERROR(('Final Calculation Sheet'!$AD$38)&amp;"",""))))&gt;0,AND(ISNUMBER(SEARCH("blank",$AE$4)),NOT(ISNUMBER(SEARCH("nonblank",$AE$4))),IFERROR(('Final Calculation Sheet'!$AD$38)&amp;"","")=""),AND(OR(ISNUMBER(SEARCH("nonblank",$AE$4)),ISNUMBER(SEARCH("&lt;&gt;",$AE$4))),IFERROR(('Final Calculation Sheet'!$AD$38)&amp;"","")&lt;&gt;""),AND(TRIM($AE$4)="",IFERROR(('Final Calculation Sheet'!$AD$38)&amp;"","")=""))))</f>
        <v/>
      </c>
      <c r="CR39">
        <f>IF($AF$4="",1,--(OR(SUMPRODUCT(--(TRIM(MID(SUBSTITUTE(SUBSTITUTE($AF$4,"/",","),",",REPT(" ",99)),(ROW($1:$8)-1)*99+1,99))&lt;&gt;""),--ISNUMBER(SEARCH(TRIM(MID(SUBSTITUTE(SUBSTITUTE($AF$4,"/",","),",",REPT(" ",99)),(ROW($1:$8)-1)*99+1,99)),IFERROR(('Final Calculation Sheet'!$AE$38)&amp;"",""))))&gt;0,AND(ISNUMBER(SEARCH("blank",$AF$4)),NOT(ISNUMBER(SEARCH("nonblank",$AF$4))),IFERROR(('Final Calculation Sheet'!$AE$38)&amp;"","")=""),AND(OR(ISNUMBER(SEARCH("nonblank",$AF$4)),ISNUMBER(SEARCH("&lt;&gt;",$AF$4))),IFERROR(('Final Calculation Sheet'!$AE$38)&amp;"","")&lt;&gt;""),AND(TRIM($AF$4)="",IFERROR(('Final Calculation Sheet'!$AE$38)&amp;"","")=""))))</f>
        <v/>
      </c>
      <c r="CS39">
        <f>IF($AG$4="",1,--(OR(SUMPRODUCT(--(TRIM(MID(SUBSTITUTE(SUBSTITUTE($AG$4,"/",","),",",REPT(" ",99)),(ROW($1:$8)-1)*99+1,99))&lt;&gt;""),--ISNUMBER(SEARCH(TRIM(MID(SUBSTITUTE(SUBSTITUTE($AG$4,"/",","),",",REPT(" ",99)),(ROW($1:$8)-1)*99+1,99)),IFERROR(('Final Calculation Sheet'!$AF$38)&amp;"",""))))&gt;0,AND(ISNUMBER(SEARCH("blank",$AG$4)),NOT(ISNUMBER(SEARCH("nonblank",$AG$4))),IFERROR(('Final Calculation Sheet'!$AF$38)&amp;"","")=""),AND(OR(ISNUMBER(SEARCH("nonblank",$AG$4)),ISNUMBER(SEARCH("&lt;&gt;",$AG$4))),IFERROR(('Final Calculation Sheet'!$AF$38)&amp;"","")&lt;&gt;""),AND(TRIM($AG$4)="",IFERROR(('Final Calculation Sheet'!$AF$38)&amp;"","")=""))))</f>
        <v/>
      </c>
      <c r="CT39">
        <f>IF($AH$4="",1,--(OR(SUMPRODUCT(--(TRIM(MID(SUBSTITUTE(SUBSTITUTE($AH$4,"/",","),",",REPT(" ",99)),(ROW($1:$8)-1)*99+1,99))&lt;&gt;""),--ISNUMBER(SEARCH(TRIM(MID(SUBSTITUTE(SUBSTITUTE($AH$4,"/",","),",",REPT(" ",99)),(ROW($1:$8)-1)*99+1,99)),IFERROR(('Final Calculation Sheet'!$AG$38)&amp;"",""))))&gt;0,AND(ISNUMBER(SEARCH("blank",$AH$4)),NOT(ISNUMBER(SEARCH("nonblank",$AH$4))),IFERROR(('Final Calculation Sheet'!$AG$38)&amp;"","")=""),AND(OR(ISNUMBER(SEARCH("nonblank",$AH$4)),ISNUMBER(SEARCH("&lt;&gt;",$AH$4))),IFERROR(('Final Calculation Sheet'!$AG$38)&amp;"","")&lt;&gt;""),AND(TRIM($AH$4)="",IFERROR(('Final Calculation Sheet'!$AG$38)&amp;"","")=""))))</f>
        <v/>
      </c>
      <c r="CU39">
        <f>IF($AI$4="",1,--(OR(SUMPRODUCT(--(TRIM(MID(SUBSTITUTE(SUBSTITUTE($AI$4,"/",","),",",REPT(" ",99)),(ROW($1:$8)-1)*99+1,99))&lt;&gt;""),--ISNUMBER(SEARCH(TRIM(MID(SUBSTITUTE(SUBSTITUTE($AI$4,"/",","),",",REPT(" ",99)),(ROW($1:$8)-1)*99+1,99)),IFERROR((IF('Final Calculation Sheet'!$AD$38&lt;=0,"SETTLED","OUTSTANDING"))&amp;"",""))))&gt;0,AND(ISNUMBER(SEARCH("blank",$AI$4)),NOT(ISNUMBER(SEARCH("nonblank",$AI$4))),IFERROR((IF('Final Calculation Sheet'!$AD$38&lt;=0,"SETTLED","OUTSTANDING"))&amp;"","")=""),AND(OR(ISNUMBER(SEARCH("nonblank",$AI$4)),ISNUMBER(SEARCH("&lt;&gt;",$AI$4))),IFERROR((IF('Final Calculation Sheet'!$AD$38&lt;=0,"SETTLED","OUTSTANDING"))&amp;"","")&lt;&gt;""),AND(TRIM($AI$4)="",IFERROR((IF('Final Calculation Sheet'!$AD$38&lt;=0,"SETTLED","OUTSTANDING"))&amp;"","")=""))))</f>
        <v/>
      </c>
    </row>
    <row r="40" ht="15" customHeight="1" s="77">
      <c r="A40" s="67">
        <f>IF($BJ39&gt;0,INDEX($BA$5:$BA$41,MATCH(39,$BB$5:$BB$41,0)),IF(OR($BI39=1,$BL39=1,$BH39&gt;0),"∑",""))</f>
        <v/>
      </c>
      <c r="B40" s="68">
        <f>IF($BJ39&gt;0,IF(INDEX('Final Calculation Sheet'!$F$4:$F$40,$BJ39-3)="","",INDEX('Final Calculation Sheet'!$F$4:$F$40,$BJ39-3)),"")</f>
        <v/>
      </c>
      <c r="C40" s="68">
        <f>IF($BJ39&gt;0,IF(INDEX('Final Calculation Sheet'!$G$4:$G$40,$BJ39-3)="","",INDEX('Final Calculation Sheet'!$G$4:$G$40,$BJ39-3)),IF(OR($BI39=1,$BL39=1,$BH39&gt;0),IF($BI39=1,37,IF($BL39=1,37-INDEX($BD$4:$BD$13,10),INDEX($BD$4:$BD$13,$BH39)))&amp;" lot(s)",""))</f>
        <v/>
      </c>
      <c r="D40" s="69">
        <f>IF($BJ39&gt;0,IF(INDEX('Final Calculation Sheet'!$B$4:$B$40,$BJ39-3)="","",INDEX('Final Calculation Sheet'!$B$4:$B$40,$BJ39-3)),IF(OR($BI39=1,$BL39=1,$BH39&gt;0),IF($BI39=1,"GRAND TOTAL  —  matching + remaining",IF($BL39=1,"TOTAL MATCHED  —  every group together",IF($BH39=10,"REMAINING  —  did not match the search",IF($BH39=9,IF(COUNTIF($A$4:$AI$4,"&lt;&gt;")&gt;0,"FILTERED LOTS  —  column fields","ALL LOTS  —  nothing typed in the box"),"GROUP "&amp;$BH39&amp;" TOTAL  —  lots matching  "&amp;INDEX($AR$6:$AY$6,$BH39))))),""))</f>
        <v/>
      </c>
      <c r="E40" s="69">
        <f>IF($BJ39&gt;0,IF(INDEX('Final Calculation Sheet'!$D$4:$D$40,$BJ39-3)="","",INDEX('Final Calculation Sheet'!$D$4:$D$40,$BJ39-3)),IF(OR($BI39=1,$BL39=1,$BH39&gt;0),"–",""))</f>
        <v/>
      </c>
      <c r="F40" s="69">
        <f>IF($BJ39&gt;0,IF(INDEX('Final Calculation Sheet'!$A$4:$A$40,$BJ39-3)="","",INDEX('Final Calculation Sheet'!$A$4:$A$40,$BJ39-3)),IF(OR($BI39=1,$BL39=1,$BH39&gt;0),IF($BI39=1,SUM('Final Calculation Sheet'!$A$4:$A$40),IF($BL39=1,SUM('Final Calculation Sheet'!$A$4:$A$40)-SUMIFS('Final Calculation Sheet'!$A$4:$A$40,$AZ$5:$AZ$41,10),SUMIFS('Final Calculation Sheet'!$A$4:$A$40,$AZ$5:$AZ$41,$BH39))),""))</f>
        <v/>
      </c>
      <c r="G40" s="69">
        <f>IF($BJ39&gt;0,IF(INDEX('Final Calculation Sheet'!$E$4:$E$40,$BJ39-3)="","",INDEX('Final Calculation Sheet'!$E$4:$E$40,$BJ39-3)),IF(OR($BI39=1,$BL39=1,$BH39&gt;0),"–",""))</f>
        <v/>
      </c>
      <c r="H40" s="70">
        <f>IF($BJ39&gt;0,IF(INDEX('Final Calculation Sheet'!$C$4:$C$40,$BJ39-3)="","",INDEX('Final Calculation Sheet'!$C$4:$C$40,$BJ39-3)),IF(OR($BI39=1,$BL39=1,$BH39&gt;0),"–",""))</f>
        <v/>
      </c>
      <c r="I40" s="70">
        <f>IF($BJ39&gt;0,IF(INDEX('Final Calculation Sheet'!$H$4:$H$40,$BJ39-3)="","",INDEX('Final Calculation Sheet'!$H$4:$H$40,$BJ39-3)),IF(OR($BI39=1,$BL39=1,$BH39&gt;0),IF($BI39=1,SUM('Final Calculation Sheet'!$H$4:$H$40),IF($BL39=1,SUM('Final Calculation Sheet'!$H$4:$H$40)-SUMIFS('Final Calculation Sheet'!$H$4:$H$40,$AZ$5:$AZ$41,10),SUMIFS('Final Calculation Sheet'!$H$4:$H$40,$AZ$5:$AZ$41,$BH39))),""))</f>
        <v/>
      </c>
      <c r="J40" s="70">
        <f>IF($BJ39&gt;0,IF(INDEX('Final Calculation Sheet'!$I$4:$I$40,$BJ39-3)="","",INDEX('Final Calculation Sheet'!$I$4:$I$40,$BJ39-3)),IF(OR($BI39=1,$BL39=1,$BH39&gt;0),IF($BI39=1,SUM('Final Calculation Sheet'!$I$4:$I$40),IF($BL39=1,SUM('Final Calculation Sheet'!$I$4:$I$40)-SUMIFS('Final Calculation Sheet'!$I$4:$I$40,$AZ$5:$AZ$41,10),SUMIFS('Final Calculation Sheet'!$I$4:$I$40,$AZ$5:$AZ$41,$BH39))),""))</f>
        <v/>
      </c>
      <c r="K40" s="70">
        <f>IF($BJ39&gt;0,IF(INDEX('Final Calculation Sheet'!$J$4:$J$40,$BJ39-3)="","",INDEX('Final Calculation Sheet'!$J$4:$J$40,$BJ39-3)),IF(OR($BI39=1,$BL39=1,$BH39&gt;0),IF($BI39=1,SUM('Final Calculation Sheet'!$J$4:$J$40),IF($BL39=1,SUM('Final Calculation Sheet'!$J$4:$J$40)-SUMIFS('Final Calculation Sheet'!$J$4:$J$40,$AZ$5:$AZ$41,10),SUMIFS('Final Calculation Sheet'!$J$4:$J$40,$AZ$5:$AZ$41,$BH39))),""))</f>
        <v/>
      </c>
      <c r="L40" s="70">
        <f>IF($BJ39&gt;0,IF(INDEX('Final Calculation Sheet'!$K$4:$K$40,$BJ39-3)="","",INDEX('Final Calculation Sheet'!$K$4:$K$40,$BJ39-3)),IF(OR($BI39=1,$BL39=1,$BH39&gt;0),IF($BI39=1,SUM('Final Calculation Sheet'!$K$4:$K$40),IF($BL39=1,SUM('Final Calculation Sheet'!$K$4:$K$40)-SUMIFS('Final Calculation Sheet'!$K$4:$K$40,$AZ$5:$AZ$41,10),SUMIFS('Final Calculation Sheet'!$K$4:$K$40,$AZ$5:$AZ$41,$BH39))),""))</f>
        <v/>
      </c>
      <c r="M40" s="70">
        <f>IF($BJ39&gt;0,IF(INDEX('Final Calculation Sheet'!$L$4:$L$40,$BJ39-3)="","",INDEX('Final Calculation Sheet'!$L$4:$L$40,$BJ39-3)),IF(OR($BI39=1,$BL39=1,$BH39&gt;0),IF($BI39=1,SUM('Final Calculation Sheet'!$L$4:$L$40),IF($BL39=1,SUM('Final Calculation Sheet'!$L$4:$L$40)-SUMIFS('Final Calculation Sheet'!$L$4:$L$40,$AZ$5:$AZ$41,10),SUMIFS('Final Calculation Sheet'!$L$4:$L$40,$AZ$5:$AZ$41,$BH39))),""))</f>
        <v/>
      </c>
      <c r="N40" s="70">
        <f>IF($BJ39&gt;0,IF(INDEX('Final Calculation Sheet'!$M$4:$M$40,$BJ39-3)="","",INDEX('Final Calculation Sheet'!$M$4:$M$40,$BJ39-3)),IF(OR($BI39=1,$BL39=1,$BH39&gt;0),IF($BI39=1,SUM('Final Calculation Sheet'!$M$4:$M$40),IF($BL39=1,SUM('Final Calculation Sheet'!$M$4:$M$40)-SUMIFS('Final Calculation Sheet'!$M$4:$M$40,$AZ$5:$AZ$41,10),SUMIFS('Final Calculation Sheet'!$M$4:$M$40,$AZ$5:$AZ$41,$BH39))),""))</f>
        <v/>
      </c>
      <c r="O40" s="71">
        <f>IF($BJ39&gt;0,IF(INDEX('Final Calculation Sheet'!$N$4:$N$40,$BJ39-3)="","",INDEX('Final Calculation Sheet'!$N$4:$N$40,$BJ39-3)),IF(OR($BI39=1,$BL39=1,$BH39&gt;0),IF($BI39=1,SUM('Final Calculation Sheet'!$N$4:$N$40),IF($BL39=1,SUM('Final Calculation Sheet'!$N$4:$N$40)-SUMIFS('Final Calculation Sheet'!$N$4:$N$40,$AZ$5:$AZ$41,10),SUMIFS('Final Calculation Sheet'!$N$4:$N$40,$AZ$5:$AZ$41,$BH39))),""))</f>
        <v/>
      </c>
      <c r="P40" s="70">
        <f>IF($BJ39&gt;0,IF(INDEX('Final Calculation Sheet'!$O$4:$O$40,$BJ39-3)="","",INDEX('Final Calculation Sheet'!$O$4:$O$40,$BJ39-3)),IF(OR($BI39=1,$BL39=1,$BH39&gt;0),IF($BI39=1,SUM('Final Calculation Sheet'!$O$4:$O$40),IF($BL39=1,SUM('Final Calculation Sheet'!$O$4:$O$40)-SUMIFS('Final Calculation Sheet'!$O$4:$O$40,$AZ$5:$AZ$41,10),SUMIFS('Final Calculation Sheet'!$O$4:$O$40,$AZ$5:$AZ$41,$BH39))),""))</f>
        <v/>
      </c>
      <c r="Q40" s="70">
        <f>IF($BJ39&gt;0,IF(INDEX('Final Calculation Sheet'!$P$4:$P$40,$BJ39-3)="","",INDEX('Final Calculation Sheet'!$P$4:$P$40,$BJ39-3)),IF(OR($BI39=1,$BL39=1,$BH39&gt;0),IF($BI39=1,SUM('Final Calculation Sheet'!$P$4:$P$40),IF($BL39=1,SUM('Final Calculation Sheet'!$P$4:$P$40)-SUMIFS('Final Calculation Sheet'!$P$4:$P$40,$AZ$5:$AZ$41,10),SUMIFS('Final Calculation Sheet'!$P$4:$P$40,$AZ$5:$AZ$41,$BH39))),""))</f>
        <v/>
      </c>
      <c r="R40" s="72">
        <f>IF($BJ39&gt;0,IF(INDEX('Final Calculation Sheet'!$Q$4:$Q$40,$BJ39-3)="","",INDEX('Final Calculation Sheet'!$Q$4:$Q$40,$BJ39-3)),IF(OR($BI39=1,$BL39=1,$BH39&gt;0),"–",""))</f>
        <v/>
      </c>
      <c r="S40" s="70">
        <f>IF($BJ39&gt;0,IF(INDEX('Final Calculation Sheet'!$R$4:$R$40,$BJ39-3)="","",INDEX('Final Calculation Sheet'!$R$4:$R$40,$BJ39-3)),IF(OR($BI39=1,$BL39=1,$BH39&gt;0),IF($BI39=1,SUM('Final Calculation Sheet'!$R$4:$R$40),IF($BL39=1,SUM('Final Calculation Sheet'!$R$4:$R$40)-SUMIFS('Final Calculation Sheet'!$R$4:$R$40,$AZ$5:$AZ$41,10),SUMIFS('Final Calculation Sheet'!$R$4:$R$40,$AZ$5:$AZ$41,$BH39))),""))</f>
        <v/>
      </c>
      <c r="T40" s="70">
        <f>IF($BJ39&gt;0,IF(INDEX('Final Calculation Sheet'!$S$4:$S$40,$BJ39-3)="","",INDEX('Final Calculation Sheet'!$S$4:$S$40,$BJ39-3)),IF(OR($BI39=1,$BL39=1,$BH39&gt;0),IF($BI39=1,SUM('Final Calculation Sheet'!$S$4:$S$40),IF($BL39=1,SUM('Final Calculation Sheet'!$S$4:$S$40)-SUMIFS('Final Calculation Sheet'!$S$4:$S$40,$AZ$5:$AZ$41,10),SUMIFS('Final Calculation Sheet'!$S$4:$S$40,$AZ$5:$AZ$41,$BH39))),""))</f>
        <v/>
      </c>
      <c r="U40" s="70">
        <f>IF($BJ39&gt;0,IF(INDEX('Final Calculation Sheet'!$T$4:$T$40,$BJ39-3)="","",INDEX('Final Calculation Sheet'!$T$4:$T$40,$BJ39-3)),IF(OR($BI39=1,$BL39=1,$BH39&gt;0),IF($BI39=1,SUM('Final Calculation Sheet'!$T$4:$T$40),IF($BL39=1,SUM('Final Calculation Sheet'!$T$4:$T$40)-SUMIFS('Final Calculation Sheet'!$T$4:$T$40,$AZ$5:$AZ$41,10),SUMIFS('Final Calculation Sheet'!$T$4:$T$40,$AZ$5:$AZ$41,$BH39))),""))</f>
        <v/>
      </c>
      <c r="V40" s="73">
        <f>IF($BJ39&gt;0,IF(INDEX('Final Calculation Sheet'!$U$4:$U$40,$BJ39-3)="","",INDEX('Final Calculation Sheet'!$U$4:$U$40,$BJ39-3)),IF(OR($BI39=1,$BL39=1,$BH39&gt;0),IF($BI39=1,SUM('Final Calculation Sheet'!$U$4:$U$40),IF($BL39=1,SUM('Final Calculation Sheet'!$U$4:$U$40)-SUMIFS('Final Calculation Sheet'!$U$4:$U$40,$AZ$5:$AZ$41,10),SUMIFS('Final Calculation Sheet'!$U$4:$U$40,$AZ$5:$AZ$41,$BH39))),""))</f>
        <v/>
      </c>
      <c r="W40" s="70">
        <f>IF($BJ39&gt;0,IF(INDEX('Final Calculation Sheet'!$V$4:$V$40,$BJ39-3)="","",INDEX('Final Calculation Sheet'!$V$4:$V$40,$BJ39-3)),IF(OR($BI39=1,$BL39=1,$BH39&gt;0),"–",""))</f>
        <v/>
      </c>
      <c r="X40" s="70">
        <f>IF($BJ39&gt;0,IF(INDEX('Final Calculation Sheet'!$W$4:$W$40,$BJ39-3)="","",INDEX('Final Calculation Sheet'!$W$4:$W$40,$BJ39-3)),IF(OR($BI39=1,$BL39=1,$BH39&gt;0),IF($BI39=1,SUM('Final Calculation Sheet'!$W$4:$W$40),IF($BL39=1,SUM('Final Calculation Sheet'!$W$4:$W$40)-SUMIFS('Final Calculation Sheet'!$W$4:$W$40,$AZ$5:$AZ$41,10),SUMIFS('Final Calculation Sheet'!$W$4:$W$40,$AZ$5:$AZ$41,$BH39))),""))</f>
        <v/>
      </c>
      <c r="Y40" s="70">
        <f>IF($BJ39&gt;0,IF(INDEX('Final Calculation Sheet'!$X$4:$X$40,$BJ39-3)="","",INDEX('Final Calculation Sheet'!$X$4:$X$40,$BJ39-3)),IF(OR($BI39=1,$BL39=1,$BH39&gt;0),IF($BI39=1,SUM('Final Calculation Sheet'!$X$4:$X$40),IF($BL39=1,SUM('Final Calculation Sheet'!$X$4:$X$40)-SUMIFS('Final Calculation Sheet'!$X$4:$X$40,$AZ$5:$AZ$41,10),SUMIFS('Final Calculation Sheet'!$X$4:$X$40,$AZ$5:$AZ$41,$BH39))),""))</f>
        <v/>
      </c>
      <c r="Z40" s="70">
        <f>IF($BJ39&gt;0,IF(INDEX('Final Calculation Sheet'!$Y$4:$Y$40,$BJ39-3)="","",INDEX('Final Calculation Sheet'!$Y$4:$Y$40,$BJ39-3)),IF(OR($BI39=1,$BL39=1,$BH39&gt;0),"–",""))</f>
        <v/>
      </c>
      <c r="AA40" s="70">
        <f>IF($BJ39&gt;0,IF(INDEX('Final Calculation Sheet'!$Z$4:$Z$40,$BJ39-3)="","",INDEX('Final Calculation Sheet'!$Z$4:$Z$40,$BJ39-3)),IF(OR($BI39=1,$BL39=1,$BH39&gt;0),IF($BI39=1,SUM('Final Calculation Sheet'!$Z$4:$Z$40),IF($BL39=1,SUM('Final Calculation Sheet'!$Z$4:$Z$40)-SUMIFS('Final Calculation Sheet'!$Z$4:$Z$40,$AZ$5:$AZ$41,10),SUMIFS('Final Calculation Sheet'!$Z$4:$Z$40,$AZ$5:$AZ$41,$BH39))),""))</f>
        <v/>
      </c>
      <c r="AB40" s="70">
        <f>IF($BJ39&gt;0,IF(INDEX('Final Calculation Sheet'!$AA$4:$AA$40,$BJ39-3)="","",INDEX('Final Calculation Sheet'!$AA$4:$AA$40,$BJ39-3)),IF(OR($BI39=1,$BL39=1,$BH39&gt;0),IF($BI39=1,SUM('Final Calculation Sheet'!$AA$4:$AA$40),IF($BL39=1,SUM('Final Calculation Sheet'!$AA$4:$AA$40)-SUMIFS('Final Calculation Sheet'!$AA$4:$AA$40,$AZ$5:$AZ$41,10),SUMIFS('Final Calculation Sheet'!$AA$4:$AA$40,$AZ$5:$AZ$41,$BH39))),""))</f>
        <v/>
      </c>
      <c r="AC40" s="70">
        <f>IF($BJ39&gt;0,IF(INDEX('Final Calculation Sheet'!$AB$4:$AB$40,$BJ39-3)="","",INDEX('Final Calculation Sheet'!$AB$4:$AB$40,$BJ39-3)),IF(OR($BI39=1,$BL39=1,$BH39&gt;0),"–",""))</f>
        <v/>
      </c>
      <c r="AD40" s="70">
        <f>IF($BJ39&gt;0,IF(INDEX('Final Calculation Sheet'!$AC$4:$AC$40,$BJ39-3)="","",INDEX('Final Calculation Sheet'!$AC$4:$AC$40,$BJ39-3)),IF(OR($BI39=1,$BL39=1,$BH39&gt;0),IF($BI39=1,SUM('Final Calculation Sheet'!$AC$4:$AC$40),IF($BL39=1,SUM('Final Calculation Sheet'!$AC$4:$AC$40)-SUMIFS('Final Calculation Sheet'!$AC$4:$AC$40,$AZ$5:$AZ$41,10),SUMIFS('Final Calculation Sheet'!$AC$4:$AC$40,$AZ$5:$AZ$41,$BH39))),""))</f>
        <v/>
      </c>
      <c r="AE40" s="70">
        <f>IF($BJ39&gt;0,IF(INDEX('Final Calculation Sheet'!$AD$4:$AD$40,$BJ39-3)="","",INDEX('Final Calculation Sheet'!$AD$4:$AD$40,$BJ39-3)),IF(OR($BI39=1,$BL39=1,$BH39&gt;0),IF($BI39=1,SUM('Final Calculation Sheet'!$AD$4:$AD$40),IF($BL39=1,SUM('Final Calculation Sheet'!$AD$4:$AD$40)-SUMIFS('Final Calculation Sheet'!$AD$4:$AD$40,$AZ$5:$AZ$41,10),SUMIFS('Final Calculation Sheet'!$AD$4:$AD$40,$AZ$5:$AZ$41,$BH39))),""))</f>
        <v/>
      </c>
      <c r="AF40" s="70">
        <f>IF($BJ39&gt;0,IF(INDEX('Final Calculation Sheet'!$AE$4:$AE$40,$BJ39-3)="","",INDEX('Final Calculation Sheet'!$AE$4:$AE$40,$BJ39-3)),IF(OR($BI39=1,$BL39=1,$BH39&gt;0),"–",""))</f>
        <v/>
      </c>
      <c r="AG40" s="74">
        <f>IF($BJ39&gt;0,IF(INDEX('Final Calculation Sheet'!$AF$4:$AF$40,$BJ39-3)="","",INDEX('Final Calculation Sheet'!$AF$4:$AF$40,$BJ39-3)),IF(OR($BI39=1,$BL39=1,$BH39&gt;0),"–",""))</f>
        <v/>
      </c>
      <c r="AH40" s="70">
        <f>IF($BJ39&gt;0,IF(INDEX('Final Calculation Sheet'!$AG$4:$AG$40,$BJ39-3)="","",INDEX('Final Calculation Sheet'!$AG$4:$AG$40,$BJ39-3)),IF(OR($BI39=1,$BL39=1,$BH39&gt;0),"–",""))</f>
        <v/>
      </c>
      <c r="AI40" s="75">
        <f>IF($BJ39&gt;0,IF(INDEX('Final Calculation Sheet'!$AD$4:$AD$40,$BJ39-3)="","",IF(INDEX('Final Calculation Sheet'!$AD$4:$AD$40,$BJ39-3)&lt;=0,"SETTLED","OUTSTANDING")),IF(OR($BI39=1,$BL39=1,$BH39&gt;0),IF(IF($BI39=1,SUM('Final Calculation Sheet'!$AD$4:$AD$40),IF($BL39=1,SUM('Final Calculation Sheet'!$AD$4:$AD$40)-SUMIFS('Final Calculation Sheet'!$AD$4:$AD$40,$AZ$5:$AZ$41,10),SUMIFS('Final Calculation Sheet'!$AD$4:$AD$40,$AZ$5:$AZ$41,$BH39)))&lt;=0,"ALL SETTLED","OUTSTANDING"),""))</f>
        <v/>
      </c>
      <c r="AK40">
        <f>IF($F$3="Lot No.",'Final Calculation Sheet'!$F$39,IF($F$3="Buyer",'Final Calculation Sheet'!$G$39,IF($F$3="Lot Name",'Final Calculation Sheet'!$B$39,IF($F$3="Bid Sheet",'Final Calculation Sheet'!$D$39,IF($F$3="Unit",'Final Calculation Sheet'!$E$39,'Final Calculation Sheet'!$F$39&amp;" "&amp;'Final Calculation Sheet'!$G$39&amp;" "&amp;'Final Calculation Sheet'!$B$39)))))</f>
        <v/>
      </c>
      <c r="AM40">
        <f>IF(COUNTIF($BM40:$CU40,0)&gt;0,0,IF($B$3="",1,IF(AND(IF(COUNTIF($AR$9:$AY$9,1)=0,TRUE,SUMPRODUCT(($AR$9:$AY$9=1)*($AR$6:$AY$6&lt;&gt;"")*ISNUMBER(SEARCH($AR$6:$AY$6,$AK40)))&gt;0),IF(COUNTIF($AR$9:$AY$9,2)=0,TRUE,SUMPRODUCT(($AR$9:$AY$9=2)*($AR$6:$AY$6&lt;&gt;"")*ISNUMBER(SEARCH($AR$6:$AY$6,$AK40)))&gt;0),IF(COUNTIF($AR$9:$AY$9,3)=0,TRUE,SUMPRODUCT(($AR$9:$AY$9=3)*($AR$6:$AY$6&lt;&gt;"")*ISNUMBER(SEARCH($AR$6:$AY$6,$AK40)))&gt;0),IF(COUNTIF($AR$9:$AY$9,4)=0,TRUE,SUMPRODUCT(($AR$9:$AY$9=4)*($AR$6:$AY$6&lt;&gt;"")*ISNUMBER(SEARCH($AR$6:$AY$6,$AK40)))&gt;0),IF(COUNTIF($AR$9:$AY$9,5)=0,TRUE,SUMPRODUCT(($AR$9:$AY$9=5)*($AR$6:$AY$6&lt;&gt;"")*ISNUMBER(SEARCH($AR$6:$AY$6,$AK40)))&gt;0),IF(COUNTIF($AR$9:$AY$9,6)=0,TRUE,SUMPRODUCT(($AR$9:$AY$9=6)*($AR$6:$AY$6&lt;&gt;"")*ISNUMBER(SEARCH($AR$6:$AY$6,$AK40)))&gt;0),IF(COUNTIF($AR$9:$AY$9,7)=0,TRUE,SUMPRODUCT(($AR$9:$AY$9=7)*($AR$6:$AY$6&lt;&gt;"")*ISNUMBER(SEARCH($AR$6:$AY$6,$AK40)))&gt;0),IF(COUNTIF($AR$9:$AY$9,8)=0,TRUE,SUMPRODUCT(($AR$9:$AY$9=8)*($AR$6:$AY$6&lt;&gt;"")*ISNUMBER(SEARCH($AR$6:$AY$6,$AK40)))&gt;0)),1,0)))</f>
        <v/>
      </c>
      <c r="AZ40">
        <f>IF($B$3="",IF(COUNTIF($A$4:$AI$4,"&lt;&gt;")=0,9,IF($AM40=1,9,10)),IF($AM40=0,10,IF(AND($AR$6&lt;&gt;"",ISNUMBER(SEARCH($AR$6,$AK40))),1,IF(AND($AS$6&lt;&gt;"",ISNUMBER(SEARCH($AS$6,$AK40))),2,IF(AND($AT$6&lt;&gt;"",ISNUMBER(SEARCH($AT$6,$AK40))),3,IF(AND($AU$6&lt;&gt;"",ISNUMBER(SEARCH($AU$6,$AK40))),4,IF(AND($AV$6&lt;&gt;"",ISNUMBER(SEARCH($AV$6,$AK40))),5,IF(AND($AW$6&lt;&gt;"",ISNUMBER(SEARCH($AW$6,$AK40))),6,IF(AND($AX$6&lt;&gt;"",ISNUMBER(SEARCH($AX$6,$AK40))),7,IF(AND($AY$6&lt;&gt;"",ISNUMBER(SEARCH($AY$6,$AK40))),8,0))))))))))</f>
        <v/>
      </c>
      <c r="BA40">
        <f>SUMPRODUCT(($AZ$5:$AZ$41=$AZ40)*($BC$5:$BC$41&lt;$BC40))+1</f>
        <v/>
      </c>
      <c r="BB40">
        <f>IF(INDEX($BF$4:$BF$13,$AZ40)=0,0,INDEX($BE$4:$BE$13,$AZ40)+$BA40-1)</f>
        <v/>
      </c>
      <c r="BC40" t="n">
        <v>39</v>
      </c>
      <c r="BH40">
        <f>IFERROR(MATCH(40,$BF$4:$BF$13,0),0)</f>
        <v/>
      </c>
      <c r="BI40">
        <f>IF(40=$BG$5,1,0)</f>
        <v/>
      </c>
      <c r="BJ40">
        <f>IF(OR($BH40&gt;0,$BI40=1,$BL40=1),0,IFERROR(INDEX($BC$5:$BC$41,MATCH(40,$BB$5:$BB$41,0)),0))</f>
        <v/>
      </c>
      <c r="BK40">
        <f>IF($BJ40&gt;0,IF(INDEX($AZ$5:$AZ$41,MATCH(40,$BB$5:$BB$41,0))=10,1,0),IF($BH40=10,1,0))</f>
        <v/>
      </c>
      <c r="BL40">
        <f>IF(40=$BG$4,1,0)</f>
        <v/>
      </c>
      <c r="BM40">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40">
        <f>IF($B$4="",1,--(OR(SUMPRODUCT(--(TRIM(MID(SUBSTITUTE(SUBSTITUTE($B$4,"/",","),",",REPT(" ",99)),(ROW($1:$8)-1)*99+1,99))&lt;&gt;""),--ISNUMBER(SEARCH(TRIM(MID(SUBSTITUTE(SUBSTITUTE($B$4,"/",","),",",REPT(" ",99)),(ROW($1:$8)-1)*99+1,99)),IFERROR(('Final Calculation Sheet'!$F$39)&amp;"",""))))&gt;0,AND(ISNUMBER(SEARCH("blank",$B$4)),NOT(ISNUMBER(SEARCH("nonblank",$B$4))),IFERROR(('Final Calculation Sheet'!$F$39)&amp;"","")=""),AND(OR(ISNUMBER(SEARCH("nonblank",$B$4)),ISNUMBER(SEARCH("&lt;&gt;",$B$4))),IFERROR(('Final Calculation Sheet'!$F$39)&amp;"","")&lt;&gt;""),AND(TRIM($B$4)="",IFERROR(('Final Calculation Sheet'!$F$39)&amp;"","")=""))))</f>
        <v/>
      </c>
      <c r="BO40">
        <f>IF($C$4="",1,--(OR(SUMPRODUCT(--(TRIM(MID(SUBSTITUTE(SUBSTITUTE($C$4,"/",","),",",REPT(" ",99)),(ROW($1:$8)-1)*99+1,99))&lt;&gt;""),--ISNUMBER(SEARCH(TRIM(MID(SUBSTITUTE(SUBSTITUTE($C$4,"/",","),",",REPT(" ",99)),(ROW($1:$8)-1)*99+1,99)),IFERROR(('Final Calculation Sheet'!$G$39)&amp;"",""))))&gt;0,AND(ISNUMBER(SEARCH("blank",$C$4)),NOT(ISNUMBER(SEARCH("nonblank",$C$4))),IFERROR(('Final Calculation Sheet'!$G$39)&amp;"","")=""),AND(OR(ISNUMBER(SEARCH("nonblank",$C$4)),ISNUMBER(SEARCH("&lt;&gt;",$C$4))),IFERROR(('Final Calculation Sheet'!$G$39)&amp;"","")&lt;&gt;""),AND(TRIM($C$4)="",IFERROR(('Final Calculation Sheet'!$G$39)&amp;"","")=""))))</f>
        <v/>
      </c>
      <c r="BP40">
        <f>IF($D$4="",1,--(OR(SUMPRODUCT(--(TRIM(MID(SUBSTITUTE(SUBSTITUTE($D$4,"/",","),",",REPT(" ",99)),(ROW($1:$8)-1)*99+1,99))&lt;&gt;""),--ISNUMBER(SEARCH(TRIM(MID(SUBSTITUTE(SUBSTITUTE($D$4,"/",","),",",REPT(" ",99)),(ROW($1:$8)-1)*99+1,99)),IFERROR(('Final Calculation Sheet'!$B$39)&amp;"",""))))&gt;0,AND(ISNUMBER(SEARCH("blank",$D$4)),NOT(ISNUMBER(SEARCH("nonblank",$D$4))),IFERROR(('Final Calculation Sheet'!$B$39)&amp;"","")=""),AND(OR(ISNUMBER(SEARCH("nonblank",$D$4)),ISNUMBER(SEARCH("&lt;&gt;",$D$4))),IFERROR(('Final Calculation Sheet'!$B$39)&amp;"","")&lt;&gt;""),AND(TRIM($D$4)="",IFERROR(('Final Calculation Sheet'!$B$39)&amp;"","")=""))))</f>
        <v/>
      </c>
      <c r="BQ40">
        <f>IF($E$4="",1,--(OR(SUMPRODUCT(--(TRIM(MID(SUBSTITUTE(SUBSTITUTE($E$4,"/",","),",",REPT(" ",99)),(ROW($1:$8)-1)*99+1,99))&lt;&gt;""),--ISNUMBER(SEARCH(TRIM(MID(SUBSTITUTE(SUBSTITUTE($E$4,"/",","),",",REPT(" ",99)),(ROW($1:$8)-1)*99+1,99)),IFERROR(('Final Calculation Sheet'!$D$39)&amp;"",""))))&gt;0,AND(ISNUMBER(SEARCH("blank",$E$4)),NOT(ISNUMBER(SEARCH("nonblank",$E$4))),IFERROR(('Final Calculation Sheet'!$D$39)&amp;"","")=""),AND(OR(ISNUMBER(SEARCH("nonblank",$E$4)),ISNUMBER(SEARCH("&lt;&gt;",$E$4))),IFERROR(('Final Calculation Sheet'!$D$39)&amp;"","")&lt;&gt;""),AND(TRIM($E$4)="",IFERROR(('Final Calculation Sheet'!$D$39)&amp;"","")=""))))</f>
        <v/>
      </c>
      <c r="BR40">
        <f>IF($F$4="",1,--(OR(SUMPRODUCT(--(TRIM(MID(SUBSTITUTE(SUBSTITUTE($F$4,"/",","),",",REPT(" ",99)),(ROW($1:$8)-1)*99+1,99))&lt;&gt;""),--ISNUMBER(SEARCH(TRIM(MID(SUBSTITUTE(SUBSTITUTE($F$4,"/",","),",",REPT(" ",99)),(ROW($1:$8)-1)*99+1,99)),IFERROR(('Final Calculation Sheet'!$A$39)&amp;"",""))))&gt;0,AND(ISNUMBER(SEARCH("blank",$F$4)),NOT(ISNUMBER(SEARCH("nonblank",$F$4))),IFERROR(('Final Calculation Sheet'!$A$39)&amp;"","")=""),AND(OR(ISNUMBER(SEARCH("nonblank",$F$4)),ISNUMBER(SEARCH("&lt;&gt;",$F$4))),IFERROR(('Final Calculation Sheet'!$A$39)&amp;"","")&lt;&gt;""),AND(TRIM($F$4)="",IFERROR(('Final Calculation Sheet'!$A$39)&amp;"","")=""))))</f>
        <v/>
      </c>
      <c r="BS40">
        <f>IF($G$4="",1,--(OR(SUMPRODUCT(--(TRIM(MID(SUBSTITUTE(SUBSTITUTE($G$4,"/",","),",",REPT(" ",99)),(ROW($1:$8)-1)*99+1,99))&lt;&gt;""),--ISNUMBER(SEARCH(TRIM(MID(SUBSTITUTE(SUBSTITUTE($G$4,"/",","),",",REPT(" ",99)),(ROW($1:$8)-1)*99+1,99)),IFERROR(('Final Calculation Sheet'!$E$39)&amp;"",""))))&gt;0,AND(ISNUMBER(SEARCH("blank",$G$4)),NOT(ISNUMBER(SEARCH("nonblank",$G$4))),IFERROR(('Final Calculation Sheet'!$E$39)&amp;"","")=""),AND(OR(ISNUMBER(SEARCH("nonblank",$G$4)),ISNUMBER(SEARCH("&lt;&gt;",$G$4))),IFERROR(('Final Calculation Sheet'!$E$39)&amp;"","")&lt;&gt;""),AND(TRIM($G$4)="",IFERROR(('Final Calculation Sheet'!$E$39)&amp;"","")=""))))</f>
        <v/>
      </c>
      <c r="BT40">
        <f>IF($H$4="",1,--(OR(SUMPRODUCT(--(TRIM(MID(SUBSTITUTE(SUBSTITUTE($H$4,"/",","),",",REPT(" ",99)),(ROW($1:$8)-1)*99+1,99))&lt;&gt;""),--ISNUMBER(SEARCH(TRIM(MID(SUBSTITUTE(SUBSTITUTE($H$4,"/",","),",",REPT(" ",99)),(ROW($1:$8)-1)*99+1,99)),IFERROR(('Final Calculation Sheet'!$C$39)&amp;"",""))))&gt;0,AND(ISNUMBER(SEARCH("blank",$H$4)),NOT(ISNUMBER(SEARCH("nonblank",$H$4))),IFERROR(('Final Calculation Sheet'!$C$39)&amp;"","")=""),AND(OR(ISNUMBER(SEARCH("nonblank",$H$4)),ISNUMBER(SEARCH("&lt;&gt;",$H$4))),IFERROR(('Final Calculation Sheet'!$C$39)&amp;"","")&lt;&gt;""),AND(TRIM($H$4)="",IFERROR(('Final Calculation Sheet'!$C$39)&amp;"","")=""))))</f>
        <v/>
      </c>
      <c r="BU40">
        <f>IF($I$4="",1,--(OR(SUMPRODUCT(--(TRIM(MID(SUBSTITUTE(SUBSTITUTE($I$4,"/",","),",",REPT(" ",99)),(ROW($1:$8)-1)*99+1,99))&lt;&gt;""),--ISNUMBER(SEARCH(TRIM(MID(SUBSTITUTE(SUBSTITUTE($I$4,"/",","),",",REPT(" ",99)),(ROW($1:$8)-1)*99+1,99)),IFERROR(('Final Calculation Sheet'!$H$39)&amp;"",""))))&gt;0,AND(ISNUMBER(SEARCH("blank",$I$4)),NOT(ISNUMBER(SEARCH("nonblank",$I$4))),IFERROR(('Final Calculation Sheet'!$H$39)&amp;"","")=""),AND(OR(ISNUMBER(SEARCH("nonblank",$I$4)),ISNUMBER(SEARCH("&lt;&gt;",$I$4))),IFERROR(('Final Calculation Sheet'!$H$39)&amp;"","")&lt;&gt;""),AND(TRIM($I$4)="",IFERROR(('Final Calculation Sheet'!$H$39)&amp;"","")=""))))</f>
        <v/>
      </c>
      <c r="BV40">
        <f>IF($J$4="",1,--(OR(SUMPRODUCT(--(TRIM(MID(SUBSTITUTE(SUBSTITUTE($J$4,"/",","),",",REPT(" ",99)),(ROW($1:$8)-1)*99+1,99))&lt;&gt;""),--ISNUMBER(SEARCH(TRIM(MID(SUBSTITUTE(SUBSTITUTE($J$4,"/",","),",",REPT(" ",99)),(ROW($1:$8)-1)*99+1,99)),IFERROR(('Final Calculation Sheet'!$I$39)&amp;"",""))))&gt;0,AND(ISNUMBER(SEARCH("blank",$J$4)),NOT(ISNUMBER(SEARCH("nonblank",$J$4))),IFERROR(('Final Calculation Sheet'!$I$39)&amp;"","")=""),AND(OR(ISNUMBER(SEARCH("nonblank",$J$4)),ISNUMBER(SEARCH("&lt;&gt;",$J$4))),IFERROR(('Final Calculation Sheet'!$I$39)&amp;"","")&lt;&gt;""),AND(TRIM($J$4)="",IFERROR(('Final Calculation Sheet'!$I$39)&amp;"","")=""))))</f>
        <v/>
      </c>
      <c r="BW40">
        <f>IF($K$4="",1,--(OR(SUMPRODUCT(--(TRIM(MID(SUBSTITUTE(SUBSTITUTE($K$4,"/",","),",",REPT(" ",99)),(ROW($1:$8)-1)*99+1,99))&lt;&gt;""),--ISNUMBER(SEARCH(TRIM(MID(SUBSTITUTE(SUBSTITUTE($K$4,"/",","),",",REPT(" ",99)),(ROW($1:$8)-1)*99+1,99)),IFERROR(('Final Calculation Sheet'!$J$39)&amp;"",""))))&gt;0,AND(ISNUMBER(SEARCH("blank",$K$4)),NOT(ISNUMBER(SEARCH("nonblank",$K$4))),IFERROR(('Final Calculation Sheet'!$J$39)&amp;"","")=""),AND(OR(ISNUMBER(SEARCH("nonblank",$K$4)),ISNUMBER(SEARCH("&lt;&gt;",$K$4))),IFERROR(('Final Calculation Sheet'!$J$39)&amp;"","")&lt;&gt;""),AND(TRIM($K$4)="",IFERROR(('Final Calculation Sheet'!$J$39)&amp;"","")=""))))</f>
        <v/>
      </c>
      <c r="BX40">
        <f>IF($L$4="",1,--(OR(SUMPRODUCT(--(TRIM(MID(SUBSTITUTE(SUBSTITUTE($L$4,"/",","),",",REPT(" ",99)),(ROW($1:$8)-1)*99+1,99))&lt;&gt;""),--ISNUMBER(SEARCH(TRIM(MID(SUBSTITUTE(SUBSTITUTE($L$4,"/",","),",",REPT(" ",99)),(ROW($1:$8)-1)*99+1,99)),IFERROR(('Final Calculation Sheet'!$K$39)&amp;"",""))))&gt;0,AND(ISNUMBER(SEARCH("blank",$L$4)),NOT(ISNUMBER(SEARCH("nonblank",$L$4))),IFERROR(('Final Calculation Sheet'!$K$39)&amp;"","")=""),AND(OR(ISNUMBER(SEARCH("nonblank",$L$4)),ISNUMBER(SEARCH("&lt;&gt;",$L$4))),IFERROR(('Final Calculation Sheet'!$K$39)&amp;"","")&lt;&gt;""),AND(TRIM($L$4)="",IFERROR(('Final Calculation Sheet'!$K$39)&amp;"","")=""))))</f>
        <v/>
      </c>
      <c r="BY40">
        <f>IF($M$4="",1,--(OR(SUMPRODUCT(--(TRIM(MID(SUBSTITUTE(SUBSTITUTE($M$4,"/",","),",",REPT(" ",99)),(ROW($1:$8)-1)*99+1,99))&lt;&gt;""),--ISNUMBER(SEARCH(TRIM(MID(SUBSTITUTE(SUBSTITUTE($M$4,"/",","),",",REPT(" ",99)),(ROW($1:$8)-1)*99+1,99)),IFERROR(('Final Calculation Sheet'!$L$39)&amp;"",""))))&gt;0,AND(ISNUMBER(SEARCH("blank",$M$4)),NOT(ISNUMBER(SEARCH("nonblank",$M$4))),IFERROR(('Final Calculation Sheet'!$L$39)&amp;"","")=""),AND(OR(ISNUMBER(SEARCH("nonblank",$M$4)),ISNUMBER(SEARCH("&lt;&gt;",$M$4))),IFERROR(('Final Calculation Sheet'!$L$39)&amp;"","")&lt;&gt;""),AND(TRIM($M$4)="",IFERROR(('Final Calculation Sheet'!$L$39)&amp;"","")=""))))</f>
        <v/>
      </c>
      <c r="BZ40">
        <f>IF($N$4="",1,--(OR(SUMPRODUCT(--(TRIM(MID(SUBSTITUTE(SUBSTITUTE($N$4,"/",","),",",REPT(" ",99)),(ROW($1:$8)-1)*99+1,99))&lt;&gt;""),--ISNUMBER(SEARCH(TRIM(MID(SUBSTITUTE(SUBSTITUTE($N$4,"/",","),",",REPT(" ",99)),(ROW($1:$8)-1)*99+1,99)),IFERROR(('Final Calculation Sheet'!$M$39)&amp;"",""))))&gt;0,AND(ISNUMBER(SEARCH("blank",$N$4)),NOT(ISNUMBER(SEARCH("nonblank",$N$4))),IFERROR(('Final Calculation Sheet'!$M$39)&amp;"","")=""),AND(OR(ISNUMBER(SEARCH("nonblank",$N$4)),ISNUMBER(SEARCH("&lt;&gt;",$N$4))),IFERROR(('Final Calculation Sheet'!$M$39)&amp;"","")&lt;&gt;""),AND(TRIM($N$4)="",IFERROR(('Final Calculation Sheet'!$M$39)&amp;"","")=""))))</f>
        <v/>
      </c>
      <c r="CA40">
        <f>IF($O$4="",1,--(OR(SUMPRODUCT(--(TRIM(MID(SUBSTITUTE(SUBSTITUTE($O$4,"/",","),",",REPT(" ",99)),(ROW($1:$8)-1)*99+1,99))&lt;&gt;""),--ISNUMBER(SEARCH(TRIM(MID(SUBSTITUTE(SUBSTITUTE($O$4,"/",","),",",REPT(" ",99)),(ROW($1:$8)-1)*99+1,99)),IFERROR(('Final Calculation Sheet'!$N$39)&amp;"",""))))&gt;0,AND(ISNUMBER(SEARCH("blank",$O$4)),NOT(ISNUMBER(SEARCH("nonblank",$O$4))),IFERROR(('Final Calculation Sheet'!$N$39)&amp;"","")=""),AND(OR(ISNUMBER(SEARCH("nonblank",$O$4)),ISNUMBER(SEARCH("&lt;&gt;",$O$4))),IFERROR(('Final Calculation Sheet'!$N$39)&amp;"","")&lt;&gt;""),AND(TRIM($O$4)="",IFERROR(('Final Calculation Sheet'!$N$39)&amp;"","")=""))))</f>
        <v/>
      </c>
      <c r="CB40">
        <f>IF($P$4="",1,--(OR(SUMPRODUCT(--(TRIM(MID(SUBSTITUTE(SUBSTITUTE($P$4,"/",","),",",REPT(" ",99)),(ROW($1:$8)-1)*99+1,99))&lt;&gt;""),--ISNUMBER(SEARCH(TRIM(MID(SUBSTITUTE(SUBSTITUTE($P$4,"/",","),",",REPT(" ",99)),(ROW($1:$8)-1)*99+1,99)),IFERROR(('Final Calculation Sheet'!$O$39)&amp;"",""))))&gt;0,AND(ISNUMBER(SEARCH("blank",$P$4)),NOT(ISNUMBER(SEARCH("nonblank",$P$4))),IFERROR(('Final Calculation Sheet'!$O$39)&amp;"","")=""),AND(OR(ISNUMBER(SEARCH("nonblank",$P$4)),ISNUMBER(SEARCH("&lt;&gt;",$P$4))),IFERROR(('Final Calculation Sheet'!$O$39)&amp;"","")&lt;&gt;""),AND(TRIM($P$4)="",IFERROR(('Final Calculation Sheet'!$O$39)&amp;"","")=""))))</f>
        <v/>
      </c>
      <c r="CC40">
        <f>IF($Q$4="",1,--(OR(SUMPRODUCT(--(TRIM(MID(SUBSTITUTE(SUBSTITUTE($Q$4,"/",","),",",REPT(" ",99)),(ROW($1:$8)-1)*99+1,99))&lt;&gt;""),--ISNUMBER(SEARCH(TRIM(MID(SUBSTITUTE(SUBSTITUTE($Q$4,"/",","),",",REPT(" ",99)),(ROW($1:$8)-1)*99+1,99)),IFERROR(('Final Calculation Sheet'!$P$39)&amp;"",""))))&gt;0,AND(ISNUMBER(SEARCH("blank",$Q$4)),NOT(ISNUMBER(SEARCH("nonblank",$Q$4))),IFERROR(('Final Calculation Sheet'!$P$39)&amp;"","")=""),AND(OR(ISNUMBER(SEARCH("nonblank",$Q$4)),ISNUMBER(SEARCH("&lt;&gt;",$Q$4))),IFERROR(('Final Calculation Sheet'!$P$39)&amp;"","")&lt;&gt;""),AND(TRIM($Q$4)="",IFERROR(('Final Calculation Sheet'!$P$39)&amp;"","")=""))))</f>
        <v/>
      </c>
      <c r="CD40">
        <f>IF($R$4="",1,--(OR(SUMPRODUCT(--(TRIM(MID(SUBSTITUTE(SUBSTITUTE($R$4,"/",","),",",REPT(" ",99)),(ROW($1:$8)-1)*99+1,99))&lt;&gt;""),--ISNUMBER(SEARCH(TRIM(MID(SUBSTITUTE(SUBSTITUTE($R$4,"/",","),",",REPT(" ",99)),(ROW($1:$8)-1)*99+1,99)),IFERROR(('Final Calculation Sheet'!$Q$39)&amp;"",""))))&gt;0,AND(ISNUMBER(SEARCH("blank",$R$4)),NOT(ISNUMBER(SEARCH("nonblank",$R$4))),IFERROR(('Final Calculation Sheet'!$Q$39)&amp;"","")=""),AND(OR(ISNUMBER(SEARCH("nonblank",$R$4)),ISNUMBER(SEARCH("&lt;&gt;",$R$4))),IFERROR(('Final Calculation Sheet'!$Q$39)&amp;"","")&lt;&gt;""),AND(TRIM($R$4)="",IFERROR(('Final Calculation Sheet'!$Q$39)&amp;"","")=""))))</f>
        <v/>
      </c>
      <c r="CE40">
        <f>IF($S$4="",1,--(OR(SUMPRODUCT(--(TRIM(MID(SUBSTITUTE(SUBSTITUTE($S$4,"/",","),",",REPT(" ",99)),(ROW($1:$8)-1)*99+1,99))&lt;&gt;""),--ISNUMBER(SEARCH(TRIM(MID(SUBSTITUTE(SUBSTITUTE($S$4,"/",","),",",REPT(" ",99)),(ROW($1:$8)-1)*99+1,99)),IFERROR(('Final Calculation Sheet'!$R$39)&amp;"",""))))&gt;0,AND(ISNUMBER(SEARCH("blank",$S$4)),NOT(ISNUMBER(SEARCH("nonblank",$S$4))),IFERROR(('Final Calculation Sheet'!$R$39)&amp;"","")=""),AND(OR(ISNUMBER(SEARCH("nonblank",$S$4)),ISNUMBER(SEARCH("&lt;&gt;",$S$4))),IFERROR(('Final Calculation Sheet'!$R$39)&amp;"","")&lt;&gt;""),AND(TRIM($S$4)="",IFERROR(('Final Calculation Sheet'!$R$39)&amp;"","")=""))))</f>
        <v/>
      </c>
      <c r="CF40">
        <f>IF($T$4="",1,--(OR(SUMPRODUCT(--(TRIM(MID(SUBSTITUTE(SUBSTITUTE($T$4,"/",","),",",REPT(" ",99)),(ROW($1:$8)-1)*99+1,99))&lt;&gt;""),--ISNUMBER(SEARCH(TRIM(MID(SUBSTITUTE(SUBSTITUTE($T$4,"/",","),",",REPT(" ",99)),(ROW($1:$8)-1)*99+1,99)),IFERROR(('Final Calculation Sheet'!$S$39)&amp;"",""))))&gt;0,AND(ISNUMBER(SEARCH("blank",$T$4)),NOT(ISNUMBER(SEARCH("nonblank",$T$4))),IFERROR(('Final Calculation Sheet'!$S$39)&amp;"","")=""),AND(OR(ISNUMBER(SEARCH("nonblank",$T$4)),ISNUMBER(SEARCH("&lt;&gt;",$T$4))),IFERROR(('Final Calculation Sheet'!$S$39)&amp;"","")&lt;&gt;""),AND(TRIM($T$4)="",IFERROR(('Final Calculation Sheet'!$S$39)&amp;"","")=""))))</f>
        <v/>
      </c>
      <c r="CG40">
        <f>IF($U$4="",1,--(OR(SUMPRODUCT(--(TRIM(MID(SUBSTITUTE(SUBSTITUTE($U$4,"/",","),",",REPT(" ",99)),(ROW($1:$8)-1)*99+1,99))&lt;&gt;""),--ISNUMBER(SEARCH(TRIM(MID(SUBSTITUTE(SUBSTITUTE($U$4,"/",","),",",REPT(" ",99)),(ROW($1:$8)-1)*99+1,99)),IFERROR(('Final Calculation Sheet'!$T$39)&amp;"",""))))&gt;0,AND(ISNUMBER(SEARCH("blank",$U$4)),NOT(ISNUMBER(SEARCH("nonblank",$U$4))),IFERROR(('Final Calculation Sheet'!$T$39)&amp;"","")=""),AND(OR(ISNUMBER(SEARCH("nonblank",$U$4)),ISNUMBER(SEARCH("&lt;&gt;",$U$4))),IFERROR(('Final Calculation Sheet'!$T$39)&amp;"","")&lt;&gt;""),AND(TRIM($U$4)="",IFERROR(('Final Calculation Sheet'!$T$39)&amp;"","")=""))))</f>
        <v/>
      </c>
      <c r="CH40">
        <f>IF($V$4="",1,--(OR(SUMPRODUCT(--(TRIM(MID(SUBSTITUTE(SUBSTITUTE($V$4,"/",","),",",REPT(" ",99)),(ROW($1:$8)-1)*99+1,99))&lt;&gt;""),--ISNUMBER(SEARCH(TRIM(MID(SUBSTITUTE(SUBSTITUTE($V$4,"/",","),",",REPT(" ",99)),(ROW($1:$8)-1)*99+1,99)),IFERROR(('Final Calculation Sheet'!$U$39)&amp;"",""))))&gt;0,AND(ISNUMBER(SEARCH("blank",$V$4)),NOT(ISNUMBER(SEARCH("nonblank",$V$4))),IFERROR(('Final Calculation Sheet'!$U$39)&amp;"","")=""),AND(OR(ISNUMBER(SEARCH("nonblank",$V$4)),ISNUMBER(SEARCH("&lt;&gt;",$V$4))),IFERROR(('Final Calculation Sheet'!$U$39)&amp;"","")&lt;&gt;""),AND(TRIM($V$4)="",IFERROR(('Final Calculation Sheet'!$U$39)&amp;"","")=""))))</f>
        <v/>
      </c>
      <c r="CI40">
        <f>IF($W$4="",1,--(OR(SUMPRODUCT(--(TRIM(MID(SUBSTITUTE(SUBSTITUTE($W$4,"/",","),",",REPT(" ",99)),(ROW($1:$8)-1)*99+1,99))&lt;&gt;""),--ISNUMBER(SEARCH(TRIM(MID(SUBSTITUTE(SUBSTITUTE($W$4,"/",","),",",REPT(" ",99)),(ROW($1:$8)-1)*99+1,99)),IFERROR(('Final Calculation Sheet'!$V$39)&amp;"",""))))&gt;0,AND(ISNUMBER(SEARCH("blank",$W$4)),NOT(ISNUMBER(SEARCH("nonblank",$W$4))),IFERROR(('Final Calculation Sheet'!$V$39)&amp;"","")=""),AND(OR(ISNUMBER(SEARCH("nonblank",$W$4)),ISNUMBER(SEARCH("&lt;&gt;",$W$4))),IFERROR(('Final Calculation Sheet'!$V$39)&amp;"","")&lt;&gt;""),AND(TRIM($W$4)="",IFERROR(('Final Calculation Sheet'!$V$39)&amp;"","")=""))))</f>
        <v/>
      </c>
      <c r="CJ40">
        <f>IF($X$4="",1,--(OR(SUMPRODUCT(--(TRIM(MID(SUBSTITUTE(SUBSTITUTE($X$4,"/",","),",",REPT(" ",99)),(ROW($1:$8)-1)*99+1,99))&lt;&gt;""),--ISNUMBER(SEARCH(TRIM(MID(SUBSTITUTE(SUBSTITUTE($X$4,"/",","),",",REPT(" ",99)),(ROW($1:$8)-1)*99+1,99)),IFERROR(('Final Calculation Sheet'!$W$39)&amp;"",""))))&gt;0,AND(ISNUMBER(SEARCH("blank",$X$4)),NOT(ISNUMBER(SEARCH("nonblank",$X$4))),IFERROR(('Final Calculation Sheet'!$W$39)&amp;"","")=""),AND(OR(ISNUMBER(SEARCH("nonblank",$X$4)),ISNUMBER(SEARCH("&lt;&gt;",$X$4))),IFERROR(('Final Calculation Sheet'!$W$39)&amp;"","")&lt;&gt;""),AND(TRIM($X$4)="",IFERROR(('Final Calculation Sheet'!$W$39)&amp;"","")=""))))</f>
        <v/>
      </c>
      <c r="CK40">
        <f>IF($Y$4="",1,--(OR(SUMPRODUCT(--(TRIM(MID(SUBSTITUTE(SUBSTITUTE($Y$4,"/",","),",",REPT(" ",99)),(ROW($1:$8)-1)*99+1,99))&lt;&gt;""),--ISNUMBER(SEARCH(TRIM(MID(SUBSTITUTE(SUBSTITUTE($Y$4,"/",","),",",REPT(" ",99)),(ROW($1:$8)-1)*99+1,99)),IFERROR(('Final Calculation Sheet'!$X$39)&amp;"",""))))&gt;0,AND(ISNUMBER(SEARCH("blank",$Y$4)),NOT(ISNUMBER(SEARCH("nonblank",$Y$4))),IFERROR(('Final Calculation Sheet'!$X$39)&amp;"","")=""),AND(OR(ISNUMBER(SEARCH("nonblank",$Y$4)),ISNUMBER(SEARCH("&lt;&gt;",$Y$4))),IFERROR(('Final Calculation Sheet'!$X$39)&amp;"","")&lt;&gt;""),AND(TRIM($Y$4)="",IFERROR(('Final Calculation Sheet'!$X$39)&amp;"","")=""))))</f>
        <v/>
      </c>
      <c r="CL40">
        <f>IF($Z$4="",1,--(OR(SUMPRODUCT(--(TRIM(MID(SUBSTITUTE(SUBSTITUTE($Z$4,"/",","),",",REPT(" ",99)),(ROW($1:$8)-1)*99+1,99))&lt;&gt;""),--ISNUMBER(SEARCH(TRIM(MID(SUBSTITUTE(SUBSTITUTE($Z$4,"/",","),",",REPT(" ",99)),(ROW($1:$8)-1)*99+1,99)),IFERROR(('Final Calculation Sheet'!$Y$39)&amp;"",""))))&gt;0,AND(ISNUMBER(SEARCH("blank",$Z$4)),NOT(ISNUMBER(SEARCH("nonblank",$Z$4))),IFERROR(('Final Calculation Sheet'!$Y$39)&amp;"","")=""),AND(OR(ISNUMBER(SEARCH("nonblank",$Z$4)),ISNUMBER(SEARCH("&lt;&gt;",$Z$4))),IFERROR(('Final Calculation Sheet'!$Y$39)&amp;"","")&lt;&gt;""),AND(TRIM($Z$4)="",IFERROR(('Final Calculation Sheet'!$Y$39)&amp;"","")=""))))</f>
        <v/>
      </c>
      <c r="CM40">
        <f>IF($AA$4="",1,--(OR(SUMPRODUCT(--(TRIM(MID(SUBSTITUTE(SUBSTITUTE($AA$4,"/",","),",",REPT(" ",99)),(ROW($1:$8)-1)*99+1,99))&lt;&gt;""),--ISNUMBER(SEARCH(TRIM(MID(SUBSTITUTE(SUBSTITUTE($AA$4,"/",","),",",REPT(" ",99)),(ROW($1:$8)-1)*99+1,99)),IFERROR(('Final Calculation Sheet'!$Z$39)&amp;"",""))))&gt;0,AND(ISNUMBER(SEARCH("blank",$AA$4)),NOT(ISNUMBER(SEARCH("nonblank",$AA$4))),IFERROR(('Final Calculation Sheet'!$Z$39)&amp;"","")=""),AND(OR(ISNUMBER(SEARCH("nonblank",$AA$4)),ISNUMBER(SEARCH("&lt;&gt;",$AA$4))),IFERROR(('Final Calculation Sheet'!$Z$39)&amp;"","")&lt;&gt;""),AND(TRIM($AA$4)="",IFERROR(('Final Calculation Sheet'!$Z$39)&amp;"","")=""))))</f>
        <v/>
      </c>
      <c r="CN40">
        <f>IF($AB$4="",1,--(OR(SUMPRODUCT(--(TRIM(MID(SUBSTITUTE(SUBSTITUTE($AB$4,"/",","),",",REPT(" ",99)),(ROW($1:$8)-1)*99+1,99))&lt;&gt;""),--ISNUMBER(SEARCH(TRIM(MID(SUBSTITUTE(SUBSTITUTE($AB$4,"/",","),",",REPT(" ",99)),(ROW($1:$8)-1)*99+1,99)),IFERROR(('Final Calculation Sheet'!$AA$39)&amp;"",""))))&gt;0,AND(ISNUMBER(SEARCH("blank",$AB$4)),NOT(ISNUMBER(SEARCH("nonblank",$AB$4))),IFERROR(('Final Calculation Sheet'!$AA$39)&amp;"","")=""),AND(OR(ISNUMBER(SEARCH("nonblank",$AB$4)),ISNUMBER(SEARCH("&lt;&gt;",$AB$4))),IFERROR(('Final Calculation Sheet'!$AA$39)&amp;"","")&lt;&gt;""),AND(TRIM($AB$4)="",IFERROR(('Final Calculation Sheet'!$AA$39)&amp;"","")=""))))</f>
        <v/>
      </c>
      <c r="CO40">
        <f>IF($AC$4="",1,--(OR(SUMPRODUCT(--(TRIM(MID(SUBSTITUTE(SUBSTITUTE($AC$4,"/",","),",",REPT(" ",99)),(ROW($1:$8)-1)*99+1,99))&lt;&gt;""),--ISNUMBER(SEARCH(TRIM(MID(SUBSTITUTE(SUBSTITUTE($AC$4,"/",","),",",REPT(" ",99)),(ROW($1:$8)-1)*99+1,99)),IFERROR(('Final Calculation Sheet'!$AB$39)&amp;"",""))))&gt;0,AND(ISNUMBER(SEARCH("blank",$AC$4)),NOT(ISNUMBER(SEARCH("nonblank",$AC$4))),IFERROR(('Final Calculation Sheet'!$AB$39)&amp;"","")=""),AND(OR(ISNUMBER(SEARCH("nonblank",$AC$4)),ISNUMBER(SEARCH("&lt;&gt;",$AC$4))),IFERROR(('Final Calculation Sheet'!$AB$39)&amp;"","")&lt;&gt;""),AND(TRIM($AC$4)="",IFERROR(('Final Calculation Sheet'!$AB$39)&amp;"","")=""))))</f>
        <v/>
      </c>
      <c r="CP40">
        <f>IF($AD$4="",1,--(OR(SUMPRODUCT(--(TRIM(MID(SUBSTITUTE(SUBSTITUTE($AD$4,"/",","),",",REPT(" ",99)),(ROW($1:$8)-1)*99+1,99))&lt;&gt;""),--ISNUMBER(SEARCH(TRIM(MID(SUBSTITUTE(SUBSTITUTE($AD$4,"/",","),",",REPT(" ",99)),(ROW($1:$8)-1)*99+1,99)),IFERROR(('Final Calculation Sheet'!$AC$39)&amp;"",""))))&gt;0,AND(ISNUMBER(SEARCH("blank",$AD$4)),NOT(ISNUMBER(SEARCH("nonblank",$AD$4))),IFERROR(('Final Calculation Sheet'!$AC$39)&amp;"","")=""),AND(OR(ISNUMBER(SEARCH("nonblank",$AD$4)),ISNUMBER(SEARCH("&lt;&gt;",$AD$4))),IFERROR(('Final Calculation Sheet'!$AC$39)&amp;"","")&lt;&gt;""),AND(TRIM($AD$4)="",IFERROR(('Final Calculation Sheet'!$AC$39)&amp;"","")=""))))</f>
        <v/>
      </c>
      <c r="CQ40">
        <f>IF($AE$4="",1,--(OR(SUMPRODUCT(--(TRIM(MID(SUBSTITUTE(SUBSTITUTE($AE$4,"/",","),",",REPT(" ",99)),(ROW($1:$8)-1)*99+1,99))&lt;&gt;""),--ISNUMBER(SEARCH(TRIM(MID(SUBSTITUTE(SUBSTITUTE($AE$4,"/",","),",",REPT(" ",99)),(ROW($1:$8)-1)*99+1,99)),IFERROR(('Final Calculation Sheet'!$AD$39)&amp;"",""))))&gt;0,AND(ISNUMBER(SEARCH("blank",$AE$4)),NOT(ISNUMBER(SEARCH("nonblank",$AE$4))),IFERROR(('Final Calculation Sheet'!$AD$39)&amp;"","")=""),AND(OR(ISNUMBER(SEARCH("nonblank",$AE$4)),ISNUMBER(SEARCH("&lt;&gt;",$AE$4))),IFERROR(('Final Calculation Sheet'!$AD$39)&amp;"","")&lt;&gt;""),AND(TRIM($AE$4)="",IFERROR(('Final Calculation Sheet'!$AD$39)&amp;"","")=""))))</f>
        <v/>
      </c>
      <c r="CR40">
        <f>IF($AF$4="",1,--(OR(SUMPRODUCT(--(TRIM(MID(SUBSTITUTE(SUBSTITUTE($AF$4,"/",","),",",REPT(" ",99)),(ROW($1:$8)-1)*99+1,99))&lt;&gt;""),--ISNUMBER(SEARCH(TRIM(MID(SUBSTITUTE(SUBSTITUTE($AF$4,"/",","),",",REPT(" ",99)),(ROW($1:$8)-1)*99+1,99)),IFERROR(('Final Calculation Sheet'!$AE$39)&amp;"",""))))&gt;0,AND(ISNUMBER(SEARCH("blank",$AF$4)),NOT(ISNUMBER(SEARCH("nonblank",$AF$4))),IFERROR(('Final Calculation Sheet'!$AE$39)&amp;"","")=""),AND(OR(ISNUMBER(SEARCH("nonblank",$AF$4)),ISNUMBER(SEARCH("&lt;&gt;",$AF$4))),IFERROR(('Final Calculation Sheet'!$AE$39)&amp;"","")&lt;&gt;""),AND(TRIM($AF$4)="",IFERROR(('Final Calculation Sheet'!$AE$39)&amp;"","")=""))))</f>
        <v/>
      </c>
      <c r="CS40">
        <f>IF($AG$4="",1,--(OR(SUMPRODUCT(--(TRIM(MID(SUBSTITUTE(SUBSTITUTE($AG$4,"/",","),",",REPT(" ",99)),(ROW($1:$8)-1)*99+1,99))&lt;&gt;""),--ISNUMBER(SEARCH(TRIM(MID(SUBSTITUTE(SUBSTITUTE($AG$4,"/",","),",",REPT(" ",99)),(ROW($1:$8)-1)*99+1,99)),IFERROR(('Final Calculation Sheet'!$AF$39)&amp;"",""))))&gt;0,AND(ISNUMBER(SEARCH("blank",$AG$4)),NOT(ISNUMBER(SEARCH("nonblank",$AG$4))),IFERROR(('Final Calculation Sheet'!$AF$39)&amp;"","")=""),AND(OR(ISNUMBER(SEARCH("nonblank",$AG$4)),ISNUMBER(SEARCH("&lt;&gt;",$AG$4))),IFERROR(('Final Calculation Sheet'!$AF$39)&amp;"","")&lt;&gt;""),AND(TRIM($AG$4)="",IFERROR(('Final Calculation Sheet'!$AF$39)&amp;"","")=""))))</f>
        <v/>
      </c>
      <c r="CT40">
        <f>IF($AH$4="",1,--(OR(SUMPRODUCT(--(TRIM(MID(SUBSTITUTE(SUBSTITUTE($AH$4,"/",","),",",REPT(" ",99)),(ROW($1:$8)-1)*99+1,99))&lt;&gt;""),--ISNUMBER(SEARCH(TRIM(MID(SUBSTITUTE(SUBSTITUTE($AH$4,"/",","),",",REPT(" ",99)),(ROW($1:$8)-1)*99+1,99)),IFERROR(('Final Calculation Sheet'!$AG$39)&amp;"",""))))&gt;0,AND(ISNUMBER(SEARCH("blank",$AH$4)),NOT(ISNUMBER(SEARCH("nonblank",$AH$4))),IFERROR(('Final Calculation Sheet'!$AG$39)&amp;"","")=""),AND(OR(ISNUMBER(SEARCH("nonblank",$AH$4)),ISNUMBER(SEARCH("&lt;&gt;",$AH$4))),IFERROR(('Final Calculation Sheet'!$AG$39)&amp;"","")&lt;&gt;""),AND(TRIM($AH$4)="",IFERROR(('Final Calculation Sheet'!$AG$39)&amp;"","")=""))))</f>
        <v/>
      </c>
      <c r="CU40">
        <f>IF($AI$4="",1,--(OR(SUMPRODUCT(--(TRIM(MID(SUBSTITUTE(SUBSTITUTE($AI$4,"/",","),",",REPT(" ",99)),(ROW($1:$8)-1)*99+1,99))&lt;&gt;""),--ISNUMBER(SEARCH(TRIM(MID(SUBSTITUTE(SUBSTITUTE($AI$4,"/",","),",",REPT(" ",99)),(ROW($1:$8)-1)*99+1,99)),IFERROR((IF('Final Calculation Sheet'!$AD$39&lt;=0,"SETTLED","OUTSTANDING"))&amp;"",""))))&gt;0,AND(ISNUMBER(SEARCH("blank",$AI$4)),NOT(ISNUMBER(SEARCH("nonblank",$AI$4))),IFERROR((IF('Final Calculation Sheet'!$AD$39&lt;=0,"SETTLED","OUTSTANDING"))&amp;"","")=""),AND(OR(ISNUMBER(SEARCH("nonblank",$AI$4)),ISNUMBER(SEARCH("&lt;&gt;",$AI$4))),IFERROR((IF('Final Calculation Sheet'!$AD$39&lt;=0,"SETTLED","OUTSTANDING"))&amp;"","")&lt;&gt;""),AND(TRIM($AI$4)="",IFERROR((IF('Final Calculation Sheet'!$AD$39&lt;=0,"SETTLED","OUTSTANDING"))&amp;"","")=""))))</f>
        <v/>
      </c>
    </row>
    <row r="41" ht="15" customHeight="1" s="77">
      <c r="A41" s="67">
        <f>IF($BJ40&gt;0,INDEX($BA$5:$BA$41,MATCH(40,$BB$5:$BB$41,0)),IF(OR($BI40=1,$BL40=1,$BH40&gt;0),"∑",""))</f>
        <v/>
      </c>
      <c r="B41" s="68">
        <f>IF($BJ40&gt;0,IF(INDEX('Final Calculation Sheet'!$F$4:$F$40,$BJ40-3)="","",INDEX('Final Calculation Sheet'!$F$4:$F$40,$BJ40-3)),"")</f>
        <v/>
      </c>
      <c r="C41" s="68">
        <f>IF($BJ40&gt;0,IF(INDEX('Final Calculation Sheet'!$G$4:$G$40,$BJ40-3)="","",INDEX('Final Calculation Sheet'!$G$4:$G$40,$BJ40-3)),IF(OR($BI40=1,$BL40=1,$BH40&gt;0),IF($BI40=1,37,IF($BL40=1,37-INDEX($BD$4:$BD$13,10),INDEX($BD$4:$BD$13,$BH40)))&amp;" lot(s)",""))</f>
        <v/>
      </c>
      <c r="D41" s="69">
        <f>IF($BJ40&gt;0,IF(INDEX('Final Calculation Sheet'!$B$4:$B$40,$BJ40-3)="","",INDEX('Final Calculation Sheet'!$B$4:$B$40,$BJ40-3)),IF(OR($BI40=1,$BL40=1,$BH40&gt;0),IF($BI40=1,"GRAND TOTAL  —  matching + remaining",IF($BL40=1,"TOTAL MATCHED  —  every group together",IF($BH40=10,"REMAINING  —  did not match the search",IF($BH40=9,IF(COUNTIF($A$4:$AI$4,"&lt;&gt;")&gt;0,"FILTERED LOTS  —  column fields","ALL LOTS  —  nothing typed in the box"),"GROUP "&amp;$BH40&amp;" TOTAL  —  lots matching  "&amp;INDEX($AR$6:$AY$6,$BH40))))),""))</f>
        <v/>
      </c>
      <c r="E41" s="69">
        <f>IF($BJ40&gt;0,IF(INDEX('Final Calculation Sheet'!$D$4:$D$40,$BJ40-3)="","",INDEX('Final Calculation Sheet'!$D$4:$D$40,$BJ40-3)),IF(OR($BI40=1,$BL40=1,$BH40&gt;0),"–",""))</f>
        <v/>
      </c>
      <c r="F41" s="69">
        <f>IF($BJ40&gt;0,IF(INDEX('Final Calculation Sheet'!$A$4:$A$40,$BJ40-3)="","",INDEX('Final Calculation Sheet'!$A$4:$A$40,$BJ40-3)),IF(OR($BI40=1,$BL40=1,$BH40&gt;0),IF($BI40=1,SUM('Final Calculation Sheet'!$A$4:$A$40),IF($BL40=1,SUM('Final Calculation Sheet'!$A$4:$A$40)-SUMIFS('Final Calculation Sheet'!$A$4:$A$40,$AZ$5:$AZ$41,10),SUMIFS('Final Calculation Sheet'!$A$4:$A$40,$AZ$5:$AZ$41,$BH40))),""))</f>
        <v/>
      </c>
      <c r="G41" s="69">
        <f>IF($BJ40&gt;0,IF(INDEX('Final Calculation Sheet'!$E$4:$E$40,$BJ40-3)="","",INDEX('Final Calculation Sheet'!$E$4:$E$40,$BJ40-3)),IF(OR($BI40=1,$BL40=1,$BH40&gt;0),"–",""))</f>
        <v/>
      </c>
      <c r="H41" s="70">
        <f>IF($BJ40&gt;0,IF(INDEX('Final Calculation Sheet'!$C$4:$C$40,$BJ40-3)="","",INDEX('Final Calculation Sheet'!$C$4:$C$40,$BJ40-3)),IF(OR($BI40=1,$BL40=1,$BH40&gt;0),"–",""))</f>
        <v/>
      </c>
      <c r="I41" s="70">
        <f>IF($BJ40&gt;0,IF(INDEX('Final Calculation Sheet'!$H$4:$H$40,$BJ40-3)="","",INDEX('Final Calculation Sheet'!$H$4:$H$40,$BJ40-3)),IF(OR($BI40=1,$BL40=1,$BH40&gt;0),IF($BI40=1,SUM('Final Calculation Sheet'!$H$4:$H$40),IF($BL40=1,SUM('Final Calculation Sheet'!$H$4:$H$40)-SUMIFS('Final Calculation Sheet'!$H$4:$H$40,$AZ$5:$AZ$41,10),SUMIFS('Final Calculation Sheet'!$H$4:$H$40,$AZ$5:$AZ$41,$BH40))),""))</f>
        <v/>
      </c>
      <c r="J41" s="70">
        <f>IF($BJ40&gt;0,IF(INDEX('Final Calculation Sheet'!$I$4:$I$40,$BJ40-3)="","",INDEX('Final Calculation Sheet'!$I$4:$I$40,$BJ40-3)),IF(OR($BI40=1,$BL40=1,$BH40&gt;0),IF($BI40=1,SUM('Final Calculation Sheet'!$I$4:$I$40),IF($BL40=1,SUM('Final Calculation Sheet'!$I$4:$I$40)-SUMIFS('Final Calculation Sheet'!$I$4:$I$40,$AZ$5:$AZ$41,10),SUMIFS('Final Calculation Sheet'!$I$4:$I$40,$AZ$5:$AZ$41,$BH40))),""))</f>
        <v/>
      </c>
      <c r="K41" s="70">
        <f>IF($BJ40&gt;0,IF(INDEX('Final Calculation Sheet'!$J$4:$J$40,$BJ40-3)="","",INDEX('Final Calculation Sheet'!$J$4:$J$40,$BJ40-3)),IF(OR($BI40=1,$BL40=1,$BH40&gt;0),IF($BI40=1,SUM('Final Calculation Sheet'!$J$4:$J$40),IF($BL40=1,SUM('Final Calculation Sheet'!$J$4:$J$40)-SUMIFS('Final Calculation Sheet'!$J$4:$J$40,$AZ$5:$AZ$41,10),SUMIFS('Final Calculation Sheet'!$J$4:$J$40,$AZ$5:$AZ$41,$BH40))),""))</f>
        <v/>
      </c>
      <c r="L41" s="70">
        <f>IF($BJ40&gt;0,IF(INDEX('Final Calculation Sheet'!$K$4:$K$40,$BJ40-3)="","",INDEX('Final Calculation Sheet'!$K$4:$K$40,$BJ40-3)),IF(OR($BI40=1,$BL40=1,$BH40&gt;0),IF($BI40=1,SUM('Final Calculation Sheet'!$K$4:$K$40),IF($BL40=1,SUM('Final Calculation Sheet'!$K$4:$K$40)-SUMIFS('Final Calculation Sheet'!$K$4:$K$40,$AZ$5:$AZ$41,10),SUMIFS('Final Calculation Sheet'!$K$4:$K$40,$AZ$5:$AZ$41,$BH40))),""))</f>
        <v/>
      </c>
      <c r="M41" s="70">
        <f>IF($BJ40&gt;0,IF(INDEX('Final Calculation Sheet'!$L$4:$L$40,$BJ40-3)="","",INDEX('Final Calculation Sheet'!$L$4:$L$40,$BJ40-3)),IF(OR($BI40=1,$BL40=1,$BH40&gt;0),IF($BI40=1,SUM('Final Calculation Sheet'!$L$4:$L$40),IF($BL40=1,SUM('Final Calculation Sheet'!$L$4:$L$40)-SUMIFS('Final Calculation Sheet'!$L$4:$L$40,$AZ$5:$AZ$41,10),SUMIFS('Final Calculation Sheet'!$L$4:$L$40,$AZ$5:$AZ$41,$BH40))),""))</f>
        <v/>
      </c>
      <c r="N41" s="70">
        <f>IF($BJ40&gt;0,IF(INDEX('Final Calculation Sheet'!$M$4:$M$40,$BJ40-3)="","",INDEX('Final Calculation Sheet'!$M$4:$M$40,$BJ40-3)),IF(OR($BI40=1,$BL40=1,$BH40&gt;0),IF($BI40=1,SUM('Final Calculation Sheet'!$M$4:$M$40),IF($BL40=1,SUM('Final Calculation Sheet'!$M$4:$M$40)-SUMIFS('Final Calculation Sheet'!$M$4:$M$40,$AZ$5:$AZ$41,10),SUMIFS('Final Calculation Sheet'!$M$4:$M$40,$AZ$5:$AZ$41,$BH40))),""))</f>
        <v/>
      </c>
      <c r="O41" s="71">
        <f>IF($BJ40&gt;0,IF(INDEX('Final Calculation Sheet'!$N$4:$N$40,$BJ40-3)="","",INDEX('Final Calculation Sheet'!$N$4:$N$40,$BJ40-3)),IF(OR($BI40=1,$BL40=1,$BH40&gt;0),IF($BI40=1,SUM('Final Calculation Sheet'!$N$4:$N$40),IF($BL40=1,SUM('Final Calculation Sheet'!$N$4:$N$40)-SUMIFS('Final Calculation Sheet'!$N$4:$N$40,$AZ$5:$AZ$41,10),SUMIFS('Final Calculation Sheet'!$N$4:$N$40,$AZ$5:$AZ$41,$BH40))),""))</f>
        <v/>
      </c>
      <c r="P41" s="70">
        <f>IF($BJ40&gt;0,IF(INDEX('Final Calculation Sheet'!$O$4:$O$40,$BJ40-3)="","",INDEX('Final Calculation Sheet'!$O$4:$O$40,$BJ40-3)),IF(OR($BI40=1,$BL40=1,$BH40&gt;0),IF($BI40=1,SUM('Final Calculation Sheet'!$O$4:$O$40),IF($BL40=1,SUM('Final Calculation Sheet'!$O$4:$O$40)-SUMIFS('Final Calculation Sheet'!$O$4:$O$40,$AZ$5:$AZ$41,10),SUMIFS('Final Calculation Sheet'!$O$4:$O$40,$AZ$5:$AZ$41,$BH40))),""))</f>
        <v/>
      </c>
      <c r="Q41" s="70">
        <f>IF($BJ40&gt;0,IF(INDEX('Final Calculation Sheet'!$P$4:$P$40,$BJ40-3)="","",INDEX('Final Calculation Sheet'!$P$4:$P$40,$BJ40-3)),IF(OR($BI40=1,$BL40=1,$BH40&gt;0),IF($BI40=1,SUM('Final Calculation Sheet'!$P$4:$P$40),IF($BL40=1,SUM('Final Calculation Sheet'!$P$4:$P$40)-SUMIFS('Final Calculation Sheet'!$P$4:$P$40,$AZ$5:$AZ$41,10),SUMIFS('Final Calculation Sheet'!$P$4:$P$40,$AZ$5:$AZ$41,$BH40))),""))</f>
        <v/>
      </c>
      <c r="R41" s="72">
        <f>IF($BJ40&gt;0,IF(INDEX('Final Calculation Sheet'!$Q$4:$Q$40,$BJ40-3)="","",INDEX('Final Calculation Sheet'!$Q$4:$Q$40,$BJ40-3)),IF(OR($BI40=1,$BL40=1,$BH40&gt;0),"–",""))</f>
        <v/>
      </c>
      <c r="S41" s="70">
        <f>IF($BJ40&gt;0,IF(INDEX('Final Calculation Sheet'!$R$4:$R$40,$BJ40-3)="","",INDEX('Final Calculation Sheet'!$R$4:$R$40,$BJ40-3)),IF(OR($BI40=1,$BL40=1,$BH40&gt;0),IF($BI40=1,SUM('Final Calculation Sheet'!$R$4:$R$40),IF($BL40=1,SUM('Final Calculation Sheet'!$R$4:$R$40)-SUMIFS('Final Calculation Sheet'!$R$4:$R$40,$AZ$5:$AZ$41,10),SUMIFS('Final Calculation Sheet'!$R$4:$R$40,$AZ$5:$AZ$41,$BH40))),""))</f>
        <v/>
      </c>
      <c r="T41" s="70">
        <f>IF($BJ40&gt;0,IF(INDEX('Final Calculation Sheet'!$S$4:$S$40,$BJ40-3)="","",INDEX('Final Calculation Sheet'!$S$4:$S$40,$BJ40-3)),IF(OR($BI40=1,$BL40=1,$BH40&gt;0),IF($BI40=1,SUM('Final Calculation Sheet'!$S$4:$S$40),IF($BL40=1,SUM('Final Calculation Sheet'!$S$4:$S$40)-SUMIFS('Final Calculation Sheet'!$S$4:$S$40,$AZ$5:$AZ$41,10),SUMIFS('Final Calculation Sheet'!$S$4:$S$40,$AZ$5:$AZ$41,$BH40))),""))</f>
        <v/>
      </c>
      <c r="U41" s="70">
        <f>IF($BJ40&gt;0,IF(INDEX('Final Calculation Sheet'!$T$4:$T$40,$BJ40-3)="","",INDEX('Final Calculation Sheet'!$T$4:$T$40,$BJ40-3)),IF(OR($BI40=1,$BL40=1,$BH40&gt;0),IF($BI40=1,SUM('Final Calculation Sheet'!$T$4:$T$40),IF($BL40=1,SUM('Final Calculation Sheet'!$T$4:$T$40)-SUMIFS('Final Calculation Sheet'!$T$4:$T$40,$AZ$5:$AZ$41,10),SUMIFS('Final Calculation Sheet'!$T$4:$T$40,$AZ$5:$AZ$41,$BH40))),""))</f>
        <v/>
      </c>
      <c r="V41" s="73">
        <f>IF($BJ40&gt;0,IF(INDEX('Final Calculation Sheet'!$U$4:$U$40,$BJ40-3)="","",INDEX('Final Calculation Sheet'!$U$4:$U$40,$BJ40-3)),IF(OR($BI40=1,$BL40=1,$BH40&gt;0),IF($BI40=1,SUM('Final Calculation Sheet'!$U$4:$U$40),IF($BL40=1,SUM('Final Calculation Sheet'!$U$4:$U$40)-SUMIFS('Final Calculation Sheet'!$U$4:$U$40,$AZ$5:$AZ$41,10),SUMIFS('Final Calculation Sheet'!$U$4:$U$40,$AZ$5:$AZ$41,$BH40))),""))</f>
        <v/>
      </c>
      <c r="W41" s="70">
        <f>IF($BJ40&gt;0,IF(INDEX('Final Calculation Sheet'!$V$4:$V$40,$BJ40-3)="","",INDEX('Final Calculation Sheet'!$V$4:$V$40,$BJ40-3)),IF(OR($BI40=1,$BL40=1,$BH40&gt;0),"–",""))</f>
        <v/>
      </c>
      <c r="X41" s="70">
        <f>IF($BJ40&gt;0,IF(INDEX('Final Calculation Sheet'!$W$4:$W$40,$BJ40-3)="","",INDEX('Final Calculation Sheet'!$W$4:$W$40,$BJ40-3)),IF(OR($BI40=1,$BL40=1,$BH40&gt;0),IF($BI40=1,SUM('Final Calculation Sheet'!$W$4:$W$40),IF($BL40=1,SUM('Final Calculation Sheet'!$W$4:$W$40)-SUMIFS('Final Calculation Sheet'!$W$4:$W$40,$AZ$5:$AZ$41,10),SUMIFS('Final Calculation Sheet'!$W$4:$W$40,$AZ$5:$AZ$41,$BH40))),""))</f>
        <v/>
      </c>
      <c r="Y41" s="70">
        <f>IF($BJ40&gt;0,IF(INDEX('Final Calculation Sheet'!$X$4:$X$40,$BJ40-3)="","",INDEX('Final Calculation Sheet'!$X$4:$X$40,$BJ40-3)),IF(OR($BI40=1,$BL40=1,$BH40&gt;0),IF($BI40=1,SUM('Final Calculation Sheet'!$X$4:$X$40),IF($BL40=1,SUM('Final Calculation Sheet'!$X$4:$X$40)-SUMIFS('Final Calculation Sheet'!$X$4:$X$40,$AZ$5:$AZ$41,10),SUMIFS('Final Calculation Sheet'!$X$4:$X$40,$AZ$5:$AZ$41,$BH40))),""))</f>
        <v/>
      </c>
      <c r="Z41" s="70">
        <f>IF($BJ40&gt;0,IF(INDEX('Final Calculation Sheet'!$Y$4:$Y$40,$BJ40-3)="","",INDEX('Final Calculation Sheet'!$Y$4:$Y$40,$BJ40-3)),IF(OR($BI40=1,$BL40=1,$BH40&gt;0),"–",""))</f>
        <v/>
      </c>
      <c r="AA41" s="70">
        <f>IF($BJ40&gt;0,IF(INDEX('Final Calculation Sheet'!$Z$4:$Z$40,$BJ40-3)="","",INDEX('Final Calculation Sheet'!$Z$4:$Z$40,$BJ40-3)),IF(OR($BI40=1,$BL40=1,$BH40&gt;0),IF($BI40=1,SUM('Final Calculation Sheet'!$Z$4:$Z$40),IF($BL40=1,SUM('Final Calculation Sheet'!$Z$4:$Z$40)-SUMIFS('Final Calculation Sheet'!$Z$4:$Z$40,$AZ$5:$AZ$41,10),SUMIFS('Final Calculation Sheet'!$Z$4:$Z$40,$AZ$5:$AZ$41,$BH40))),""))</f>
        <v/>
      </c>
      <c r="AB41" s="70">
        <f>IF($BJ40&gt;0,IF(INDEX('Final Calculation Sheet'!$AA$4:$AA$40,$BJ40-3)="","",INDEX('Final Calculation Sheet'!$AA$4:$AA$40,$BJ40-3)),IF(OR($BI40=1,$BL40=1,$BH40&gt;0),IF($BI40=1,SUM('Final Calculation Sheet'!$AA$4:$AA$40),IF($BL40=1,SUM('Final Calculation Sheet'!$AA$4:$AA$40)-SUMIFS('Final Calculation Sheet'!$AA$4:$AA$40,$AZ$5:$AZ$41,10),SUMIFS('Final Calculation Sheet'!$AA$4:$AA$40,$AZ$5:$AZ$41,$BH40))),""))</f>
        <v/>
      </c>
      <c r="AC41" s="70">
        <f>IF($BJ40&gt;0,IF(INDEX('Final Calculation Sheet'!$AB$4:$AB$40,$BJ40-3)="","",INDEX('Final Calculation Sheet'!$AB$4:$AB$40,$BJ40-3)),IF(OR($BI40=1,$BL40=1,$BH40&gt;0),"–",""))</f>
        <v/>
      </c>
      <c r="AD41" s="70">
        <f>IF($BJ40&gt;0,IF(INDEX('Final Calculation Sheet'!$AC$4:$AC$40,$BJ40-3)="","",INDEX('Final Calculation Sheet'!$AC$4:$AC$40,$BJ40-3)),IF(OR($BI40=1,$BL40=1,$BH40&gt;0),IF($BI40=1,SUM('Final Calculation Sheet'!$AC$4:$AC$40),IF($BL40=1,SUM('Final Calculation Sheet'!$AC$4:$AC$40)-SUMIFS('Final Calculation Sheet'!$AC$4:$AC$40,$AZ$5:$AZ$41,10),SUMIFS('Final Calculation Sheet'!$AC$4:$AC$40,$AZ$5:$AZ$41,$BH40))),""))</f>
        <v/>
      </c>
      <c r="AE41" s="70">
        <f>IF($BJ40&gt;0,IF(INDEX('Final Calculation Sheet'!$AD$4:$AD$40,$BJ40-3)="","",INDEX('Final Calculation Sheet'!$AD$4:$AD$40,$BJ40-3)),IF(OR($BI40=1,$BL40=1,$BH40&gt;0),IF($BI40=1,SUM('Final Calculation Sheet'!$AD$4:$AD$40),IF($BL40=1,SUM('Final Calculation Sheet'!$AD$4:$AD$40)-SUMIFS('Final Calculation Sheet'!$AD$4:$AD$40,$AZ$5:$AZ$41,10),SUMIFS('Final Calculation Sheet'!$AD$4:$AD$40,$AZ$5:$AZ$41,$BH40))),""))</f>
        <v/>
      </c>
      <c r="AF41" s="70">
        <f>IF($BJ40&gt;0,IF(INDEX('Final Calculation Sheet'!$AE$4:$AE$40,$BJ40-3)="","",INDEX('Final Calculation Sheet'!$AE$4:$AE$40,$BJ40-3)),IF(OR($BI40=1,$BL40=1,$BH40&gt;0),"–",""))</f>
        <v/>
      </c>
      <c r="AG41" s="74">
        <f>IF($BJ40&gt;0,IF(INDEX('Final Calculation Sheet'!$AF$4:$AF$40,$BJ40-3)="","",INDEX('Final Calculation Sheet'!$AF$4:$AF$40,$BJ40-3)),IF(OR($BI40=1,$BL40=1,$BH40&gt;0),"–",""))</f>
        <v/>
      </c>
      <c r="AH41" s="70">
        <f>IF($BJ40&gt;0,IF(INDEX('Final Calculation Sheet'!$AG$4:$AG$40,$BJ40-3)="","",INDEX('Final Calculation Sheet'!$AG$4:$AG$40,$BJ40-3)),IF(OR($BI40=1,$BL40=1,$BH40&gt;0),"–",""))</f>
        <v/>
      </c>
      <c r="AI41" s="75">
        <f>IF($BJ40&gt;0,IF(INDEX('Final Calculation Sheet'!$AD$4:$AD$40,$BJ40-3)="","",IF(INDEX('Final Calculation Sheet'!$AD$4:$AD$40,$BJ40-3)&lt;=0,"SETTLED","OUTSTANDING")),IF(OR($BI40=1,$BL40=1,$BH40&gt;0),IF(IF($BI40=1,SUM('Final Calculation Sheet'!$AD$4:$AD$40),IF($BL40=1,SUM('Final Calculation Sheet'!$AD$4:$AD$40)-SUMIFS('Final Calculation Sheet'!$AD$4:$AD$40,$AZ$5:$AZ$41,10),SUMIFS('Final Calculation Sheet'!$AD$4:$AD$40,$AZ$5:$AZ$41,$BH40)))&lt;=0,"ALL SETTLED","OUTSTANDING"),""))</f>
        <v/>
      </c>
      <c r="AK41">
        <f>IF($F$3="Lot No.",'Final Calculation Sheet'!$F$40,IF($F$3="Buyer",'Final Calculation Sheet'!$G$40,IF($F$3="Lot Name",'Final Calculation Sheet'!$B$40,IF($F$3="Bid Sheet",'Final Calculation Sheet'!$D$40,IF($F$3="Unit",'Final Calculation Sheet'!$E$40,'Final Calculation Sheet'!$F$40&amp;" "&amp;'Final Calculation Sheet'!$G$40&amp;" "&amp;'Final Calculation Sheet'!$B$40)))))</f>
        <v/>
      </c>
      <c r="AM41">
        <f>IF(COUNTIF($BM41:$CU41,0)&gt;0,0,IF($B$3="",1,IF(AND(IF(COUNTIF($AR$9:$AY$9,1)=0,TRUE,SUMPRODUCT(($AR$9:$AY$9=1)*($AR$6:$AY$6&lt;&gt;"")*ISNUMBER(SEARCH($AR$6:$AY$6,$AK41)))&gt;0),IF(COUNTIF($AR$9:$AY$9,2)=0,TRUE,SUMPRODUCT(($AR$9:$AY$9=2)*($AR$6:$AY$6&lt;&gt;"")*ISNUMBER(SEARCH($AR$6:$AY$6,$AK41)))&gt;0),IF(COUNTIF($AR$9:$AY$9,3)=0,TRUE,SUMPRODUCT(($AR$9:$AY$9=3)*($AR$6:$AY$6&lt;&gt;"")*ISNUMBER(SEARCH($AR$6:$AY$6,$AK41)))&gt;0),IF(COUNTIF($AR$9:$AY$9,4)=0,TRUE,SUMPRODUCT(($AR$9:$AY$9=4)*($AR$6:$AY$6&lt;&gt;"")*ISNUMBER(SEARCH($AR$6:$AY$6,$AK41)))&gt;0),IF(COUNTIF($AR$9:$AY$9,5)=0,TRUE,SUMPRODUCT(($AR$9:$AY$9=5)*($AR$6:$AY$6&lt;&gt;"")*ISNUMBER(SEARCH($AR$6:$AY$6,$AK41)))&gt;0),IF(COUNTIF($AR$9:$AY$9,6)=0,TRUE,SUMPRODUCT(($AR$9:$AY$9=6)*($AR$6:$AY$6&lt;&gt;"")*ISNUMBER(SEARCH($AR$6:$AY$6,$AK41)))&gt;0),IF(COUNTIF($AR$9:$AY$9,7)=0,TRUE,SUMPRODUCT(($AR$9:$AY$9=7)*($AR$6:$AY$6&lt;&gt;"")*ISNUMBER(SEARCH($AR$6:$AY$6,$AK41)))&gt;0),IF(COUNTIF($AR$9:$AY$9,8)=0,TRUE,SUMPRODUCT(($AR$9:$AY$9=8)*($AR$6:$AY$6&lt;&gt;"")*ISNUMBER(SEARCH($AR$6:$AY$6,$AK41)))&gt;0)),1,0)))</f>
        <v/>
      </c>
      <c r="AZ41">
        <f>IF($B$3="",IF(COUNTIF($A$4:$AI$4,"&lt;&gt;")=0,9,IF($AM41=1,9,10)),IF($AM41=0,10,IF(AND($AR$6&lt;&gt;"",ISNUMBER(SEARCH($AR$6,$AK41))),1,IF(AND($AS$6&lt;&gt;"",ISNUMBER(SEARCH($AS$6,$AK41))),2,IF(AND($AT$6&lt;&gt;"",ISNUMBER(SEARCH($AT$6,$AK41))),3,IF(AND($AU$6&lt;&gt;"",ISNUMBER(SEARCH($AU$6,$AK41))),4,IF(AND($AV$6&lt;&gt;"",ISNUMBER(SEARCH($AV$6,$AK41))),5,IF(AND($AW$6&lt;&gt;"",ISNUMBER(SEARCH($AW$6,$AK41))),6,IF(AND($AX$6&lt;&gt;"",ISNUMBER(SEARCH($AX$6,$AK41))),7,IF(AND($AY$6&lt;&gt;"",ISNUMBER(SEARCH($AY$6,$AK41))),8,0))))))))))</f>
        <v/>
      </c>
      <c r="BA41">
        <f>SUMPRODUCT(($AZ$5:$AZ$41=$AZ41)*($BC$5:$BC$41&lt;$BC41))+1</f>
        <v/>
      </c>
      <c r="BB41">
        <f>IF(INDEX($BF$4:$BF$13,$AZ41)=0,0,INDEX($BE$4:$BE$13,$AZ41)+$BA41-1)</f>
        <v/>
      </c>
      <c r="BC41" t="n">
        <v>40</v>
      </c>
      <c r="BH41">
        <f>IFERROR(MATCH(41,$BF$4:$BF$13,0),0)</f>
        <v/>
      </c>
      <c r="BI41">
        <f>IF(41=$BG$5,1,0)</f>
        <v/>
      </c>
      <c r="BJ41">
        <f>IF(OR($BH41&gt;0,$BI41=1,$BL41=1),0,IFERROR(INDEX($BC$5:$BC$41,MATCH(41,$BB$5:$BB$41,0)),0))</f>
        <v/>
      </c>
      <c r="BK41">
        <f>IF($BJ41&gt;0,IF(INDEX($AZ$5:$AZ$41,MATCH(41,$BB$5:$BB$41,0))=10,1,0),IF($BH41=10,1,0))</f>
        <v/>
      </c>
      <c r="BL41">
        <f>IF(41=$BG$4,1,0)</f>
        <v/>
      </c>
      <c r="BM41">
        <f>IF($A$4="",1,--(OR(SUMPRODUCT(--(TRIM(MID(SUBSTITUTE(SUBSTITUTE($A$4,"/",","),",",REPT(" ",99)),(ROW($1:$8)-1)*99+1,99))&lt;&gt;""),--ISNUMBER(SEARCH(TRIM(MID(SUBSTITUTE(SUBSTITUTE($A$4,"/",","),",",REPT(" ",99)),(ROW($1:$8)-1)*99+1,99)),IFERROR((ROW()-4)&amp;"",""))))&gt;0,AND(ISNUMBER(SEARCH("blank",$A$4)),NOT(ISNUMBER(SEARCH("nonblank",$A$4))),IFERROR((ROW()-4)&amp;"","")=""),AND(OR(ISNUMBER(SEARCH("nonblank",$A$4)),ISNUMBER(SEARCH("&lt;&gt;",$A$4))),IFERROR((ROW()-4)&amp;"","")&lt;&gt;""),AND(TRIM($A$4)="",IFERROR((ROW()-4)&amp;"","")=""))))</f>
        <v/>
      </c>
      <c r="BN41">
        <f>IF($B$4="",1,--(OR(SUMPRODUCT(--(TRIM(MID(SUBSTITUTE(SUBSTITUTE($B$4,"/",","),",",REPT(" ",99)),(ROW($1:$8)-1)*99+1,99))&lt;&gt;""),--ISNUMBER(SEARCH(TRIM(MID(SUBSTITUTE(SUBSTITUTE($B$4,"/",","),",",REPT(" ",99)),(ROW($1:$8)-1)*99+1,99)),IFERROR(('Final Calculation Sheet'!$F$40)&amp;"",""))))&gt;0,AND(ISNUMBER(SEARCH("blank",$B$4)),NOT(ISNUMBER(SEARCH("nonblank",$B$4))),IFERROR(('Final Calculation Sheet'!$F$40)&amp;"","")=""),AND(OR(ISNUMBER(SEARCH("nonblank",$B$4)),ISNUMBER(SEARCH("&lt;&gt;",$B$4))),IFERROR(('Final Calculation Sheet'!$F$40)&amp;"","")&lt;&gt;""),AND(TRIM($B$4)="",IFERROR(('Final Calculation Sheet'!$F$40)&amp;"","")=""))))</f>
        <v/>
      </c>
      <c r="BO41">
        <f>IF($C$4="",1,--(OR(SUMPRODUCT(--(TRIM(MID(SUBSTITUTE(SUBSTITUTE($C$4,"/",","),",",REPT(" ",99)),(ROW($1:$8)-1)*99+1,99))&lt;&gt;""),--ISNUMBER(SEARCH(TRIM(MID(SUBSTITUTE(SUBSTITUTE($C$4,"/",","),",",REPT(" ",99)),(ROW($1:$8)-1)*99+1,99)),IFERROR(('Final Calculation Sheet'!$G$40)&amp;"",""))))&gt;0,AND(ISNUMBER(SEARCH("blank",$C$4)),NOT(ISNUMBER(SEARCH("nonblank",$C$4))),IFERROR(('Final Calculation Sheet'!$G$40)&amp;"","")=""),AND(OR(ISNUMBER(SEARCH("nonblank",$C$4)),ISNUMBER(SEARCH("&lt;&gt;",$C$4))),IFERROR(('Final Calculation Sheet'!$G$40)&amp;"","")&lt;&gt;""),AND(TRIM($C$4)="",IFERROR(('Final Calculation Sheet'!$G$40)&amp;"","")=""))))</f>
        <v/>
      </c>
      <c r="BP41">
        <f>IF($D$4="",1,--(OR(SUMPRODUCT(--(TRIM(MID(SUBSTITUTE(SUBSTITUTE($D$4,"/",","),",",REPT(" ",99)),(ROW($1:$8)-1)*99+1,99))&lt;&gt;""),--ISNUMBER(SEARCH(TRIM(MID(SUBSTITUTE(SUBSTITUTE($D$4,"/",","),",",REPT(" ",99)),(ROW($1:$8)-1)*99+1,99)),IFERROR(('Final Calculation Sheet'!$B$40)&amp;"",""))))&gt;0,AND(ISNUMBER(SEARCH("blank",$D$4)),NOT(ISNUMBER(SEARCH("nonblank",$D$4))),IFERROR(('Final Calculation Sheet'!$B$40)&amp;"","")=""),AND(OR(ISNUMBER(SEARCH("nonblank",$D$4)),ISNUMBER(SEARCH("&lt;&gt;",$D$4))),IFERROR(('Final Calculation Sheet'!$B$40)&amp;"","")&lt;&gt;""),AND(TRIM($D$4)="",IFERROR(('Final Calculation Sheet'!$B$40)&amp;"","")=""))))</f>
        <v/>
      </c>
      <c r="BQ41">
        <f>IF($E$4="",1,--(OR(SUMPRODUCT(--(TRIM(MID(SUBSTITUTE(SUBSTITUTE($E$4,"/",","),",",REPT(" ",99)),(ROW($1:$8)-1)*99+1,99))&lt;&gt;""),--ISNUMBER(SEARCH(TRIM(MID(SUBSTITUTE(SUBSTITUTE($E$4,"/",","),",",REPT(" ",99)),(ROW($1:$8)-1)*99+1,99)),IFERROR(('Final Calculation Sheet'!$D$40)&amp;"",""))))&gt;0,AND(ISNUMBER(SEARCH("blank",$E$4)),NOT(ISNUMBER(SEARCH("nonblank",$E$4))),IFERROR(('Final Calculation Sheet'!$D$40)&amp;"","")=""),AND(OR(ISNUMBER(SEARCH("nonblank",$E$4)),ISNUMBER(SEARCH("&lt;&gt;",$E$4))),IFERROR(('Final Calculation Sheet'!$D$40)&amp;"","")&lt;&gt;""),AND(TRIM($E$4)="",IFERROR(('Final Calculation Sheet'!$D$40)&amp;"","")=""))))</f>
        <v/>
      </c>
      <c r="BR41">
        <f>IF($F$4="",1,--(OR(SUMPRODUCT(--(TRIM(MID(SUBSTITUTE(SUBSTITUTE($F$4,"/",","),",",REPT(" ",99)),(ROW($1:$8)-1)*99+1,99))&lt;&gt;""),--ISNUMBER(SEARCH(TRIM(MID(SUBSTITUTE(SUBSTITUTE($F$4,"/",","),",",REPT(" ",99)),(ROW($1:$8)-1)*99+1,99)),IFERROR(('Final Calculation Sheet'!$A$40)&amp;"",""))))&gt;0,AND(ISNUMBER(SEARCH("blank",$F$4)),NOT(ISNUMBER(SEARCH("nonblank",$F$4))),IFERROR(('Final Calculation Sheet'!$A$40)&amp;"","")=""),AND(OR(ISNUMBER(SEARCH("nonblank",$F$4)),ISNUMBER(SEARCH("&lt;&gt;",$F$4))),IFERROR(('Final Calculation Sheet'!$A$40)&amp;"","")&lt;&gt;""),AND(TRIM($F$4)="",IFERROR(('Final Calculation Sheet'!$A$40)&amp;"","")=""))))</f>
        <v/>
      </c>
      <c r="BS41">
        <f>IF($G$4="",1,--(OR(SUMPRODUCT(--(TRIM(MID(SUBSTITUTE(SUBSTITUTE($G$4,"/",","),",",REPT(" ",99)),(ROW($1:$8)-1)*99+1,99))&lt;&gt;""),--ISNUMBER(SEARCH(TRIM(MID(SUBSTITUTE(SUBSTITUTE($G$4,"/",","),",",REPT(" ",99)),(ROW($1:$8)-1)*99+1,99)),IFERROR(('Final Calculation Sheet'!$E$40)&amp;"",""))))&gt;0,AND(ISNUMBER(SEARCH("blank",$G$4)),NOT(ISNUMBER(SEARCH("nonblank",$G$4))),IFERROR(('Final Calculation Sheet'!$E$40)&amp;"","")=""),AND(OR(ISNUMBER(SEARCH("nonblank",$G$4)),ISNUMBER(SEARCH("&lt;&gt;",$G$4))),IFERROR(('Final Calculation Sheet'!$E$40)&amp;"","")&lt;&gt;""),AND(TRIM($G$4)="",IFERROR(('Final Calculation Sheet'!$E$40)&amp;"","")=""))))</f>
        <v/>
      </c>
      <c r="BT41">
        <f>IF($H$4="",1,--(OR(SUMPRODUCT(--(TRIM(MID(SUBSTITUTE(SUBSTITUTE($H$4,"/",","),",",REPT(" ",99)),(ROW($1:$8)-1)*99+1,99))&lt;&gt;""),--ISNUMBER(SEARCH(TRIM(MID(SUBSTITUTE(SUBSTITUTE($H$4,"/",","),",",REPT(" ",99)),(ROW($1:$8)-1)*99+1,99)),IFERROR(('Final Calculation Sheet'!$C$40)&amp;"",""))))&gt;0,AND(ISNUMBER(SEARCH("blank",$H$4)),NOT(ISNUMBER(SEARCH("nonblank",$H$4))),IFERROR(('Final Calculation Sheet'!$C$40)&amp;"","")=""),AND(OR(ISNUMBER(SEARCH("nonblank",$H$4)),ISNUMBER(SEARCH("&lt;&gt;",$H$4))),IFERROR(('Final Calculation Sheet'!$C$40)&amp;"","")&lt;&gt;""),AND(TRIM($H$4)="",IFERROR(('Final Calculation Sheet'!$C$40)&amp;"","")=""))))</f>
        <v/>
      </c>
      <c r="BU41">
        <f>IF($I$4="",1,--(OR(SUMPRODUCT(--(TRIM(MID(SUBSTITUTE(SUBSTITUTE($I$4,"/",","),",",REPT(" ",99)),(ROW($1:$8)-1)*99+1,99))&lt;&gt;""),--ISNUMBER(SEARCH(TRIM(MID(SUBSTITUTE(SUBSTITUTE($I$4,"/",","),",",REPT(" ",99)),(ROW($1:$8)-1)*99+1,99)),IFERROR(('Final Calculation Sheet'!$H$40)&amp;"",""))))&gt;0,AND(ISNUMBER(SEARCH("blank",$I$4)),NOT(ISNUMBER(SEARCH("nonblank",$I$4))),IFERROR(('Final Calculation Sheet'!$H$40)&amp;"","")=""),AND(OR(ISNUMBER(SEARCH("nonblank",$I$4)),ISNUMBER(SEARCH("&lt;&gt;",$I$4))),IFERROR(('Final Calculation Sheet'!$H$40)&amp;"","")&lt;&gt;""),AND(TRIM($I$4)="",IFERROR(('Final Calculation Sheet'!$H$40)&amp;"","")=""))))</f>
        <v/>
      </c>
      <c r="BV41">
        <f>IF($J$4="",1,--(OR(SUMPRODUCT(--(TRIM(MID(SUBSTITUTE(SUBSTITUTE($J$4,"/",","),",",REPT(" ",99)),(ROW($1:$8)-1)*99+1,99))&lt;&gt;""),--ISNUMBER(SEARCH(TRIM(MID(SUBSTITUTE(SUBSTITUTE($J$4,"/",","),",",REPT(" ",99)),(ROW($1:$8)-1)*99+1,99)),IFERROR(('Final Calculation Sheet'!$I$40)&amp;"",""))))&gt;0,AND(ISNUMBER(SEARCH("blank",$J$4)),NOT(ISNUMBER(SEARCH("nonblank",$J$4))),IFERROR(('Final Calculation Sheet'!$I$40)&amp;"","")=""),AND(OR(ISNUMBER(SEARCH("nonblank",$J$4)),ISNUMBER(SEARCH("&lt;&gt;",$J$4))),IFERROR(('Final Calculation Sheet'!$I$40)&amp;"","")&lt;&gt;""),AND(TRIM($J$4)="",IFERROR(('Final Calculation Sheet'!$I$40)&amp;"","")=""))))</f>
        <v/>
      </c>
      <c r="BW41">
        <f>IF($K$4="",1,--(OR(SUMPRODUCT(--(TRIM(MID(SUBSTITUTE(SUBSTITUTE($K$4,"/",","),",",REPT(" ",99)),(ROW($1:$8)-1)*99+1,99))&lt;&gt;""),--ISNUMBER(SEARCH(TRIM(MID(SUBSTITUTE(SUBSTITUTE($K$4,"/",","),",",REPT(" ",99)),(ROW($1:$8)-1)*99+1,99)),IFERROR(('Final Calculation Sheet'!$J$40)&amp;"",""))))&gt;0,AND(ISNUMBER(SEARCH("blank",$K$4)),NOT(ISNUMBER(SEARCH("nonblank",$K$4))),IFERROR(('Final Calculation Sheet'!$J$40)&amp;"","")=""),AND(OR(ISNUMBER(SEARCH("nonblank",$K$4)),ISNUMBER(SEARCH("&lt;&gt;",$K$4))),IFERROR(('Final Calculation Sheet'!$J$40)&amp;"","")&lt;&gt;""),AND(TRIM($K$4)="",IFERROR(('Final Calculation Sheet'!$J$40)&amp;"","")=""))))</f>
        <v/>
      </c>
      <c r="BX41">
        <f>IF($L$4="",1,--(OR(SUMPRODUCT(--(TRIM(MID(SUBSTITUTE(SUBSTITUTE($L$4,"/",","),",",REPT(" ",99)),(ROW($1:$8)-1)*99+1,99))&lt;&gt;""),--ISNUMBER(SEARCH(TRIM(MID(SUBSTITUTE(SUBSTITUTE($L$4,"/",","),",",REPT(" ",99)),(ROW($1:$8)-1)*99+1,99)),IFERROR(('Final Calculation Sheet'!$K$40)&amp;"",""))))&gt;0,AND(ISNUMBER(SEARCH("blank",$L$4)),NOT(ISNUMBER(SEARCH("nonblank",$L$4))),IFERROR(('Final Calculation Sheet'!$K$40)&amp;"","")=""),AND(OR(ISNUMBER(SEARCH("nonblank",$L$4)),ISNUMBER(SEARCH("&lt;&gt;",$L$4))),IFERROR(('Final Calculation Sheet'!$K$40)&amp;"","")&lt;&gt;""),AND(TRIM($L$4)="",IFERROR(('Final Calculation Sheet'!$K$40)&amp;"","")=""))))</f>
        <v/>
      </c>
      <c r="BY41">
        <f>IF($M$4="",1,--(OR(SUMPRODUCT(--(TRIM(MID(SUBSTITUTE(SUBSTITUTE($M$4,"/",","),",",REPT(" ",99)),(ROW($1:$8)-1)*99+1,99))&lt;&gt;""),--ISNUMBER(SEARCH(TRIM(MID(SUBSTITUTE(SUBSTITUTE($M$4,"/",","),",",REPT(" ",99)),(ROW($1:$8)-1)*99+1,99)),IFERROR(('Final Calculation Sheet'!$L$40)&amp;"",""))))&gt;0,AND(ISNUMBER(SEARCH("blank",$M$4)),NOT(ISNUMBER(SEARCH("nonblank",$M$4))),IFERROR(('Final Calculation Sheet'!$L$40)&amp;"","")=""),AND(OR(ISNUMBER(SEARCH("nonblank",$M$4)),ISNUMBER(SEARCH("&lt;&gt;",$M$4))),IFERROR(('Final Calculation Sheet'!$L$40)&amp;"","")&lt;&gt;""),AND(TRIM($M$4)="",IFERROR(('Final Calculation Sheet'!$L$40)&amp;"","")=""))))</f>
        <v/>
      </c>
      <c r="BZ41">
        <f>IF($N$4="",1,--(OR(SUMPRODUCT(--(TRIM(MID(SUBSTITUTE(SUBSTITUTE($N$4,"/",","),",",REPT(" ",99)),(ROW($1:$8)-1)*99+1,99))&lt;&gt;""),--ISNUMBER(SEARCH(TRIM(MID(SUBSTITUTE(SUBSTITUTE($N$4,"/",","),",",REPT(" ",99)),(ROW($1:$8)-1)*99+1,99)),IFERROR(('Final Calculation Sheet'!$M$40)&amp;"",""))))&gt;0,AND(ISNUMBER(SEARCH("blank",$N$4)),NOT(ISNUMBER(SEARCH("nonblank",$N$4))),IFERROR(('Final Calculation Sheet'!$M$40)&amp;"","")=""),AND(OR(ISNUMBER(SEARCH("nonblank",$N$4)),ISNUMBER(SEARCH("&lt;&gt;",$N$4))),IFERROR(('Final Calculation Sheet'!$M$40)&amp;"","")&lt;&gt;""),AND(TRIM($N$4)="",IFERROR(('Final Calculation Sheet'!$M$40)&amp;"","")=""))))</f>
        <v/>
      </c>
      <c r="CA41">
        <f>IF($O$4="",1,--(OR(SUMPRODUCT(--(TRIM(MID(SUBSTITUTE(SUBSTITUTE($O$4,"/",","),",",REPT(" ",99)),(ROW($1:$8)-1)*99+1,99))&lt;&gt;""),--ISNUMBER(SEARCH(TRIM(MID(SUBSTITUTE(SUBSTITUTE($O$4,"/",","),",",REPT(" ",99)),(ROW($1:$8)-1)*99+1,99)),IFERROR(('Final Calculation Sheet'!$N$40)&amp;"",""))))&gt;0,AND(ISNUMBER(SEARCH("blank",$O$4)),NOT(ISNUMBER(SEARCH("nonblank",$O$4))),IFERROR(('Final Calculation Sheet'!$N$40)&amp;"","")=""),AND(OR(ISNUMBER(SEARCH("nonblank",$O$4)),ISNUMBER(SEARCH("&lt;&gt;",$O$4))),IFERROR(('Final Calculation Sheet'!$N$40)&amp;"","")&lt;&gt;""),AND(TRIM($O$4)="",IFERROR(('Final Calculation Sheet'!$N$40)&amp;"","")=""))))</f>
        <v/>
      </c>
      <c r="CB41">
        <f>IF($P$4="",1,--(OR(SUMPRODUCT(--(TRIM(MID(SUBSTITUTE(SUBSTITUTE($P$4,"/",","),",",REPT(" ",99)),(ROW($1:$8)-1)*99+1,99))&lt;&gt;""),--ISNUMBER(SEARCH(TRIM(MID(SUBSTITUTE(SUBSTITUTE($P$4,"/",","),",",REPT(" ",99)),(ROW($1:$8)-1)*99+1,99)),IFERROR(('Final Calculation Sheet'!$O$40)&amp;"",""))))&gt;0,AND(ISNUMBER(SEARCH("blank",$P$4)),NOT(ISNUMBER(SEARCH("nonblank",$P$4))),IFERROR(('Final Calculation Sheet'!$O$40)&amp;"","")=""),AND(OR(ISNUMBER(SEARCH("nonblank",$P$4)),ISNUMBER(SEARCH("&lt;&gt;",$P$4))),IFERROR(('Final Calculation Sheet'!$O$40)&amp;"","")&lt;&gt;""),AND(TRIM($P$4)="",IFERROR(('Final Calculation Sheet'!$O$40)&amp;"","")=""))))</f>
        <v/>
      </c>
      <c r="CC41">
        <f>IF($Q$4="",1,--(OR(SUMPRODUCT(--(TRIM(MID(SUBSTITUTE(SUBSTITUTE($Q$4,"/",","),",",REPT(" ",99)),(ROW($1:$8)-1)*99+1,99))&lt;&gt;""),--ISNUMBER(SEARCH(TRIM(MID(SUBSTITUTE(SUBSTITUTE($Q$4,"/",","),",",REPT(" ",99)),(ROW($1:$8)-1)*99+1,99)),IFERROR(('Final Calculation Sheet'!$P$40)&amp;"",""))))&gt;0,AND(ISNUMBER(SEARCH("blank",$Q$4)),NOT(ISNUMBER(SEARCH("nonblank",$Q$4))),IFERROR(('Final Calculation Sheet'!$P$40)&amp;"","")=""),AND(OR(ISNUMBER(SEARCH("nonblank",$Q$4)),ISNUMBER(SEARCH("&lt;&gt;",$Q$4))),IFERROR(('Final Calculation Sheet'!$P$40)&amp;"","")&lt;&gt;""),AND(TRIM($Q$4)="",IFERROR(('Final Calculation Sheet'!$P$40)&amp;"","")=""))))</f>
        <v/>
      </c>
      <c r="CD41">
        <f>IF($R$4="",1,--(OR(SUMPRODUCT(--(TRIM(MID(SUBSTITUTE(SUBSTITUTE($R$4,"/",","),",",REPT(" ",99)),(ROW($1:$8)-1)*99+1,99))&lt;&gt;""),--ISNUMBER(SEARCH(TRIM(MID(SUBSTITUTE(SUBSTITUTE($R$4,"/",","),",",REPT(" ",99)),(ROW($1:$8)-1)*99+1,99)),IFERROR(('Final Calculation Sheet'!$Q$40)&amp;"",""))))&gt;0,AND(ISNUMBER(SEARCH("blank",$R$4)),NOT(ISNUMBER(SEARCH("nonblank",$R$4))),IFERROR(('Final Calculation Sheet'!$Q$40)&amp;"","")=""),AND(OR(ISNUMBER(SEARCH("nonblank",$R$4)),ISNUMBER(SEARCH("&lt;&gt;",$R$4))),IFERROR(('Final Calculation Sheet'!$Q$40)&amp;"","")&lt;&gt;""),AND(TRIM($R$4)="",IFERROR(('Final Calculation Sheet'!$Q$40)&amp;"","")=""))))</f>
        <v/>
      </c>
      <c r="CE41">
        <f>IF($S$4="",1,--(OR(SUMPRODUCT(--(TRIM(MID(SUBSTITUTE(SUBSTITUTE($S$4,"/",","),",",REPT(" ",99)),(ROW($1:$8)-1)*99+1,99))&lt;&gt;""),--ISNUMBER(SEARCH(TRIM(MID(SUBSTITUTE(SUBSTITUTE($S$4,"/",","),",",REPT(" ",99)),(ROW($1:$8)-1)*99+1,99)),IFERROR(('Final Calculation Sheet'!$R$40)&amp;"",""))))&gt;0,AND(ISNUMBER(SEARCH("blank",$S$4)),NOT(ISNUMBER(SEARCH("nonblank",$S$4))),IFERROR(('Final Calculation Sheet'!$R$40)&amp;"","")=""),AND(OR(ISNUMBER(SEARCH("nonblank",$S$4)),ISNUMBER(SEARCH("&lt;&gt;",$S$4))),IFERROR(('Final Calculation Sheet'!$R$40)&amp;"","")&lt;&gt;""),AND(TRIM($S$4)="",IFERROR(('Final Calculation Sheet'!$R$40)&amp;"","")=""))))</f>
        <v/>
      </c>
      <c r="CF41">
        <f>IF($T$4="",1,--(OR(SUMPRODUCT(--(TRIM(MID(SUBSTITUTE(SUBSTITUTE($T$4,"/",","),",",REPT(" ",99)),(ROW($1:$8)-1)*99+1,99))&lt;&gt;""),--ISNUMBER(SEARCH(TRIM(MID(SUBSTITUTE(SUBSTITUTE($T$4,"/",","),",",REPT(" ",99)),(ROW($1:$8)-1)*99+1,99)),IFERROR(('Final Calculation Sheet'!$S$40)&amp;"",""))))&gt;0,AND(ISNUMBER(SEARCH("blank",$T$4)),NOT(ISNUMBER(SEARCH("nonblank",$T$4))),IFERROR(('Final Calculation Sheet'!$S$40)&amp;"","")=""),AND(OR(ISNUMBER(SEARCH("nonblank",$T$4)),ISNUMBER(SEARCH("&lt;&gt;",$T$4))),IFERROR(('Final Calculation Sheet'!$S$40)&amp;"","")&lt;&gt;""),AND(TRIM($T$4)="",IFERROR(('Final Calculation Sheet'!$S$40)&amp;"","")=""))))</f>
        <v/>
      </c>
      <c r="CG41">
        <f>IF($U$4="",1,--(OR(SUMPRODUCT(--(TRIM(MID(SUBSTITUTE(SUBSTITUTE($U$4,"/",","),",",REPT(" ",99)),(ROW($1:$8)-1)*99+1,99))&lt;&gt;""),--ISNUMBER(SEARCH(TRIM(MID(SUBSTITUTE(SUBSTITUTE($U$4,"/",","),",",REPT(" ",99)),(ROW($1:$8)-1)*99+1,99)),IFERROR(('Final Calculation Sheet'!$T$40)&amp;"",""))))&gt;0,AND(ISNUMBER(SEARCH("blank",$U$4)),NOT(ISNUMBER(SEARCH("nonblank",$U$4))),IFERROR(('Final Calculation Sheet'!$T$40)&amp;"","")=""),AND(OR(ISNUMBER(SEARCH("nonblank",$U$4)),ISNUMBER(SEARCH("&lt;&gt;",$U$4))),IFERROR(('Final Calculation Sheet'!$T$40)&amp;"","")&lt;&gt;""),AND(TRIM($U$4)="",IFERROR(('Final Calculation Sheet'!$T$40)&amp;"","")=""))))</f>
        <v/>
      </c>
      <c r="CH41">
        <f>IF($V$4="",1,--(OR(SUMPRODUCT(--(TRIM(MID(SUBSTITUTE(SUBSTITUTE($V$4,"/",","),",",REPT(" ",99)),(ROW($1:$8)-1)*99+1,99))&lt;&gt;""),--ISNUMBER(SEARCH(TRIM(MID(SUBSTITUTE(SUBSTITUTE($V$4,"/",","),",",REPT(" ",99)),(ROW($1:$8)-1)*99+1,99)),IFERROR(('Final Calculation Sheet'!$U$40)&amp;"",""))))&gt;0,AND(ISNUMBER(SEARCH("blank",$V$4)),NOT(ISNUMBER(SEARCH("nonblank",$V$4))),IFERROR(('Final Calculation Sheet'!$U$40)&amp;"","")=""),AND(OR(ISNUMBER(SEARCH("nonblank",$V$4)),ISNUMBER(SEARCH("&lt;&gt;",$V$4))),IFERROR(('Final Calculation Sheet'!$U$40)&amp;"","")&lt;&gt;""),AND(TRIM($V$4)="",IFERROR(('Final Calculation Sheet'!$U$40)&amp;"","")=""))))</f>
        <v/>
      </c>
      <c r="CI41">
        <f>IF($W$4="",1,--(OR(SUMPRODUCT(--(TRIM(MID(SUBSTITUTE(SUBSTITUTE($W$4,"/",","),",",REPT(" ",99)),(ROW($1:$8)-1)*99+1,99))&lt;&gt;""),--ISNUMBER(SEARCH(TRIM(MID(SUBSTITUTE(SUBSTITUTE($W$4,"/",","),",",REPT(" ",99)),(ROW($1:$8)-1)*99+1,99)),IFERROR(('Final Calculation Sheet'!$V$40)&amp;"",""))))&gt;0,AND(ISNUMBER(SEARCH("blank",$W$4)),NOT(ISNUMBER(SEARCH("nonblank",$W$4))),IFERROR(('Final Calculation Sheet'!$V$40)&amp;"","")=""),AND(OR(ISNUMBER(SEARCH("nonblank",$W$4)),ISNUMBER(SEARCH("&lt;&gt;",$W$4))),IFERROR(('Final Calculation Sheet'!$V$40)&amp;"","")&lt;&gt;""),AND(TRIM($W$4)="",IFERROR(('Final Calculation Sheet'!$V$40)&amp;"","")=""))))</f>
        <v/>
      </c>
      <c r="CJ41">
        <f>IF($X$4="",1,--(OR(SUMPRODUCT(--(TRIM(MID(SUBSTITUTE(SUBSTITUTE($X$4,"/",","),",",REPT(" ",99)),(ROW($1:$8)-1)*99+1,99))&lt;&gt;""),--ISNUMBER(SEARCH(TRIM(MID(SUBSTITUTE(SUBSTITUTE($X$4,"/",","),",",REPT(" ",99)),(ROW($1:$8)-1)*99+1,99)),IFERROR(('Final Calculation Sheet'!$W$40)&amp;"",""))))&gt;0,AND(ISNUMBER(SEARCH("blank",$X$4)),NOT(ISNUMBER(SEARCH("nonblank",$X$4))),IFERROR(('Final Calculation Sheet'!$W$40)&amp;"","")=""),AND(OR(ISNUMBER(SEARCH("nonblank",$X$4)),ISNUMBER(SEARCH("&lt;&gt;",$X$4))),IFERROR(('Final Calculation Sheet'!$W$40)&amp;"","")&lt;&gt;""),AND(TRIM($X$4)="",IFERROR(('Final Calculation Sheet'!$W$40)&amp;"","")=""))))</f>
        <v/>
      </c>
      <c r="CK41">
        <f>IF($Y$4="",1,--(OR(SUMPRODUCT(--(TRIM(MID(SUBSTITUTE(SUBSTITUTE($Y$4,"/",","),",",REPT(" ",99)),(ROW($1:$8)-1)*99+1,99))&lt;&gt;""),--ISNUMBER(SEARCH(TRIM(MID(SUBSTITUTE(SUBSTITUTE($Y$4,"/",","),",",REPT(" ",99)),(ROW($1:$8)-1)*99+1,99)),IFERROR(('Final Calculation Sheet'!$X$40)&amp;"",""))))&gt;0,AND(ISNUMBER(SEARCH("blank",$Y$4)),NOT(ISNUMBER(SEARCH("nonblank",$Y$4))),IFERROR(('Final Calculation Sheet'!$X$40)&amp;"","")=""),AND(OR(ISNUMBER(SEARCH("nonblank",$Y$4)),ISNUMBER(SEARCH("&lt;&gt;",$Y$4))),IFERROR(('Final Calculation Sheet'!$X$40)&amp;"","")&lt;&gt;""),AND(TRIM($Y$4)="",IFERROR(('Final Calculation Sheet'!$X$40)&amp;"","")=""))))</f>
        <v/>
      </c>
      <c r="CL41">
        <f>IF($Z$4="",1,--(OR(SUMPRODUCT(--(TRIM(MID(SUBSTITUTE(SUBSTITUTE($Z$4,"/",","),",",REPT(" ",99)),(ROW($1:$8)-1)*99+1,99))&lt;&gt;""),--ISNUMBER(SEARCH(TRIM(MID(SUBSTITUTE(SUBSTITUTE($Z$4,"/",","),",",REPT(" ",99)),(ROW($1:$8)-1)*99+1,99)),IFERROR(('Final Calculation Sheet'!$Y$40)&amp;"",""))))&gt;0,AND(ISNUMBER(SEARCH("blank",$Z$4)),NOT(ISNUMBER(SEARCH("nonblank",$Z$4))),IFERROR(('Final Calculation Sheet'!$Y$40)&amp;"","")=""),AND(OR(ISNUMBER(SEARCH("nonblank",$Z$4)),ISNUMBER(SEARCH("&lt;&gt;",$Z$4))),IFERROR(('Final Calculation Sheet'!$Y$40)&amp;"","")&lt;&gt;""),AND(TRIM($Z$4)="",IFERROR(('Final Calculation Sheet'!$Y$40)&amp;"","")=""))))</f>
        <v/>
      </c>
      <c r="CM41">
        <f>IF($AA$4="",1,--(OR(SUMPRODUCT(--(TRIM(MID(SUBSTITUTE(SUBSTITUTE($AA$4,"/",","),",",REPT(" ",99)),(ROW($1:$8)-1)*99+1,99))&lt;&gt;""),--ISNUMBER(SEARCH(TRIM(MID(SUBSTITUTE(SUBSTITUTE($AA$4,"/",","),",",REPT(" ",99)),(ROW($1:$8)-1)*99+1,99)),IFERROR(('Final Calculation Sheet'!$Z$40)&amp;"",""))))&gt;0,AND(ISNUMBER(SEARCH("blank",$AA$4)),NOT(ISNUMBER(SEARCH("nonblank",$AA$4))),IFERROR(('Final Calculation Sheet'!$Z$40)&amp;"","")=""),AND(OR(ISNUMBER(SEARCH("nonblank",$AA$4)),ISNUMBER(SEARCH("&lt;&gt;",$AA$4))),IFERROR(('Final Calculation Sheet'!$Z$40)&amp;"","")&lt;&gt;""),AND(TRIM($AA$4)="",IFERROR(('Final Calculation Sheet'!$Z$40)&amp;"","")=""))))</f>
        <v/>
      </c>
      <c r="CN41">
        <f>IF($AB$4="",1,--(OR(SUMPRODUCT(--(TRIM(MID(SUBSTITUTE(SUBSTITUTE($AB$4,"/",","),",",REPT(" ",99)),(ROW($1:$8)-1)*99+1,99))&lt;&gt;""),--ISNUMBER(SEARCH(TRIM(MID(SUBSTITUTE(SUBSTITUTE($AB$4,"/",","),",",REPT(" ",99)),(ROW($1:$8)-1)*99+1,99)),IFERROR(('Final Calculation Sheet'!$AA$40)&amp;"",""))))&gt;0,AND(ISNUMBER(SEARCH("blank",$AB$4)),NOT(ISNUMBER(SEARCH("nonblank",$AB$4))),IFERROR(('Final Calculation Sheet'!$AA$40)&amp;"","")=""),AND(OR(ISNUMBER(SEARCH("nonblank",$AB$4)),ISNUMBER(SEARCH("&lt;&gt;",$AB$4))),IFERROR(('Final Calculation Sheet'!$AA$40)&amp;"","")&lt;&gt;""),AND(TRIM($AB$4)="",IFERROR(('Final Calculation Sheet'!$AA$40)&amp;"","")=""))))</f>
        <v/>
      </c>
      <c r="CO41">
        <f>IF($AC$4="",1,--(OR(SUMPRODUCT(--(TRIM(MID(SUBSTITUTE(SUBSTITUTE($AC$4,"/",","),",",REPT(" ",99)),(ROW($1:$8)-1)*99+1,99))&lt;&gt;""),--ISNUMBER(SEARCH(TRIM(MID(SUBSTITUTE(SUBSTITUTE($AC$4,"/",","),",",REPT(" ",99)),(ROW($1:$8)-1)*99+1,99)),IFERROR(('Final Calculation Sheet'!$AB$40)&amp;"",""))))&gt;0,AND(ISNUMBER(SEARCH("blank",$AC$4)),NOT(ISNUMBER(SEARCH("nonblank",$AC$4))),IFERROR(('Final Calculation Sheet'!$AB$40)&amp;"","")=""),AND(OR(ISNUMBER(SEARCH("nonblank",$AC$4)),ISNUMBER(SEARCH("&lt;&gt;",$AC$4))),IFERROR(('Final Calculation Sheet'!$AB$40)&amp;"","")&lt;&gt;""),AND(TRIM($AC$4)="",IFERROR(('Final Calculation Sheet'!$AB$40)&amp;"","")=""))))</f>
        <v/>
      </c>
      <c r="CP41">
        <f>IF($AD$4="",1,--(OR(SUMPRODUCT(--(TRIM(MID(SUBSTITUTE(SUBSTITUTE($AD$4,"/",","),",",REPT(" ",99)),(ROW($1:$8)-1)*99+1,99))&lt;&gt;""),--ISNUMBER(SEARCH(TRIM(MID(SUBSTITUTE(SUBSTITUTE($AD$4,"/",","),",",REPT(" ",99)),(ROW($1:$8)-1)*99+1,99)),IFERROR(('Final Calculation Sheet'!$AC$40)&amp;"",""))))&gt;0,AND(ISNUMBER(SEARCH("blank",$AD$4)),NOT(ISNUMBER(SEARCH("nonblank",$AD$4))),IFERROR(('Final Calculation Sheet'!$AC$40)&amp;"","")=""),AND(OR(ISNUMBER(SEARCH("nonblank",$AD$4)),ISNUMBER(SEARCH("&lt;&gt;",$AD$4))),IFERROR(('Final Calculation Sheet'!$AC$40)&amp;"","")&lt;&gt;""),AND(TRIM($AD$4)="",IFERROR(('Final Calculation Sheet'!$AC$40)&amp;"","")=""))))</f>
        <v/>
      </c>
      <c r="CQ41">
        <f>IF($AE$4="",1,--(OR(SUMPRODUCT(--(TRIM(MID(SUBSTITUTE(SUBSTITUTE($AE$4,"/",","),",",REPT(" ",99)),(ROW($1:$8)-1)*99+1,99))&lt;&gt;""),--ISNUMBER(SEARCH(TRIM(MID(SUBSTITUTE(SUBSTITUTE($AE$4,"/",","),",",REPT(" ",99)),(ROW($1:$8)-1)*99+1,99)),IFERROR(('Final Calculation Sheet'!$AD$40)&amp;"",""))))&gt;0,AND(ISNUMBER(SEARCH("blank",$AE$4)),NOT(ISNUMBER(SEARCH("nonblank",$AE$4))),IFERROR(('Final Calculation Sheet'!$AD$40)&amp;"","")=""),AND(OR(ISNUMBER(SEARCH("nonblank",$AE$4)),ISNUMBER(SEARCH("&lt;&gt;",$AE$4))),IFERROR(('Final Calculation Sheet'!$AD$40)&amp;"","")&lt;&gt;""),AND(TRIM($AE$4)="",IFERROR(('Final Calculation Sheet'!$AD$40)&amp;"","")=""))))</f>
        <v/>
      </c>
      <c r="CR41">
        <f>IF($AF$4="",1,--(OR(SUMPRODUCT(--(TRIM(MID(SUBSTITUTE(SUBSTITUTE($AF$4,"/",","),",",REPT(" ",99)),(ROW($1:$8)-1)*99+1,99))&lt;&gt;""),--ISNUMBER(SEARCH(TRIM(MID(SUBSTITUTE(SUBSTITUTE($AF$4,"/",","),",",REPT(" ",99)),(ROW($1:$8)-1)*99+1,99)),IFERROR(('Final Calculation Sheet'!$AE$40)&amp;"",""))))&gt;0,AND(ISNUMBER(SEARCH("blank",$AF$4)),NOT(ISNUMBER(SEARCH("nonblank",$AF$4))),IFERROR(('Final Calculation Sheet'!$AE$40)&amp;"","")=""),AND(OR(ISNUMBER(SEARCH("nonblank",$AF$4)),ISNUMBER(SEARCH("&lt;&gt;",$AF$4))),IFERROR(('Final Calculation Sheet'!$AE$40)&amp;"","")&lt;&gt;""),AND(TRIM($AF$4)="",IFERROR(('Final Calculation Sheet'!$AE$40)&amp;"","")=""))))</f>
        <v/>
      </c>
      <c r="CS41">
        <f>IF($AG$4="",1,--(OR(SUMPRODUCT(--(TRIM(MID(SUBSTITUTE(SUBSTITUTE($AG$4,"/",","),",",REPT(" ",99)),(ROW($1:$8)-1)*99+1,99))&lt;&gt;""),--ISNUMBER(SEARCH(TRIM(MID(SUBSTITUTE(SUBSTITUTE($AG$4,"/",","),",",REPT(" ",99)),(ROW($1:$8)-1)*99+1,99)),IFERROR(('Final Calculation Sheet'!$AF$40)&amp;"",""))))&gt;0,AND(ISNUMBER(SEARCH("blank",$AG$4)),NOT(ISNUMBER(SEARCH("nonblank",$AG$4))),IFERROR(('Final Calculation Sheet'!$AF$40)&amp;"","")=""),AND(OR(ISNUMBER(SEARCH("nonblank",$AG$4)),ISNUMBER(SEARCH("&lt;&gt;",$AG$4))),IFERROR(('Final Calculation Sheet'!$AF$40)&amp;"","")&lt;&gt;""),AND(TRIM($AG$4)="",IFERROR(('Final Calculation Sheet'!$AF$40)&amp;"","")=""))))</f>
        <v/>
      </c>
      <c r="CT41">
        <f>IF($AH$4="",1,--(OR(SUMPRODUCT(--(TRIM(MID(SUBSTITUTE(SUBSTITUTE($AH$4,"/",","),",",REPT(" ",99)),(ROW($1:$8)-1)*99+1,99))&lt;&gt;""),--ISNUMBER(SEARCH(TRIM(MID(SUBSTITUTE(SUBSTITUTE($AH$4,"/",","),",",REPT(" ",99)),(ROW($1:$8)-1)*99+1,99)),IFERROR(('Final Calculation Sheet'!$AG$40)&amp;"",""))))&gt;0,AND(ISNUMBER(SEARCH("blank",$AH$4)),NOT(ISNUMBER(SEARCH("nonblank",$AH$4))),IFERROR(('Final Calculation Sheet'!$AG$40)&amp;"","")=""),AND(OR(ISNUMBER(SEARCH("nonblank",$AH$4)),ISNUMBER(SEARCH("&lt;&gt;",$AH$4))),IFERROR(('Final Calculation Sheet'!$AG$40)&amp;"","")&lt;&gt;""),AND(TRIM($AH$4)="",IFERROR(('Final Calculation Sheet'!$AG$40)&amp;"","")=""))))</f>
        <v/>
      </c>
      <c r="CU41">
        <f>IF($AI$4="",1,--(OR(SUMPRODUCT(--(TRIM(MID(SUBSTITUTE(SUBSTITUTE($AI$4,"/",","),",",REPT(" ",99)),(ROW($1:$8)-1)*99+1,99))&lt;&gt;""),--ISNUMBER(SEARCH(TRIM(MID(SUBSTITUTE(SUBSTITUTE($AI$4,"/",","),",",REPT(" ",99)),(ROW($1:$8)-1)*99+1,99)),IFERROR((IF('Final Calculation Sheet'!$AD$40&lt;=0,"SETTLED","OUTSTANDING"))&amp;"",""))))&gt;0,AND(ISNUMBER(SEARCH("blank",$AI$4)),NOT(ISNUMBER(SEARCH("nonblank",$AI$4))),IFERROR((IF('Final Calculation Sheet'!$AD$40&lt;=0,"SETTLED","OUTSTANDING"))&amp;"","")=""),AND(OR(ISNUMBER(SEARCH("nonblank",$AI$4)),ISNUMBER(SEARCH("&lt;&gt;",$AI$4))),IFERROR((IF('Final Calculation Sheet'!$AD$40&lt;=0,"SETTLED","OUTSTANDING"))&amp;"","")&lt;&gt;""),AND(TRIM($AI$4)="",IFERROR((IF('Final Calculation Sheet'!$AD$40&lt;=0,"SETTLED","OUTSTANDING"))&amp;"","")=""))))</f>
        <v/>
      </c>
    </row>
    <row r="42" ht="15" customHeight="1" s="77">
      <c r="A42" s="67">
        <f>IF($BJ41&gt;0,INDEX($BA$5:$BA$41,MATCH(41,$BB$5:$BB$41,0)),IF(OR($BI41=1,$BL41=1,$BH41&gt;0),"∑",""))</f>
        <v/>
      </c>
      <c r="B42" s="68">
        <f>IF($BJ41&gt;0,IF(INDEX('Final Calculation Sheet'!$F$4:$F$40,$BJ41-3)="","",INDEX('Final Calculation Sheet'!$F$4:$F$40,$BJ41-3)),"")</f>
        <v/>
      </c>
      <c r="C42" s="68">
        <f>IF($BJ41&gt;0,IF(INDEX('Final Calculation Sheet'!$G$4:$G$40,$BJ41-3)="","",INDEX('Final Calculation Sheet'!$G$4:$G$40,$BJ41-3)),IF(OR($BI41=1,$BL41=1,$BH41&gt;0),IF($BI41=1,37,IF($BL41=1,37-INDEX($BD$4:$BD$13,10),INDEX($BD$4:$BD$13,$BH41)))&amp;" lot(s)",""))</f>
        <v/>
      </c>
      <c r="D42" s="69">
        <f>IF($BJ41&gt;0,IF(INDEX('Final Calculation Sheet'!$B$4:$B$40,$BJ41-3)="","",INDEX('Final Calculation Sheet'!$B$4:$B$40,$BJ41-3)),IF(OR($BI41=1,$BL41=1,$BH41&gt;0),IF($BI41=1,"GRAND TOTAL  —  matching + remaining",IF($BL41=1,"TOTAL MATCHED  —  every group together",IF($BH41=10,"REMAINING  —  did not match the search",IF($BH41=9,IF(COUNTIF($A$4:$AI$4,"&lt;&gt;")&gt;0,"FILTERED LOTS  —  column fields","ALL LOTS  —  nothing typed in the box"),"GROUP "&amp;$BH41&amp;" TOTAL  —  lots matching  "&amp;INDEX($AR$6:$AY$6,$BH41))))),""))</f>
        <v/>
      </c>
      <c r="E42" s="69">
        <f>IF($BJ41&gt;0,IF(INDEX('Final Calculation Sheet'!$D$4:$D$40,$BJ41-3)="","",INDEX('Final Calculation Sheet'!$D$4:$D$40,$BJ41-3)),IF(OR($BI41=1,$BL41=1,$BH41&gt;0),"–",""))</f>
        <v/>
      </c>
      <c r="F42" s="69">
        <f>IF($BJ41&gt;0,IF(INDEX('Final Calculation Sheet'!$A$4:$A$40,$BJ41-3)="","",INDEX('Final Calculation Sheet'!$A$4:$A$40,$BJ41-3)),IF(OR($BI41=1,$BL41=1,$BH41&gt;0),IF($BI41=1,SUM('Final Calculation Sheet'!$A$4:$A$40),IF($BL41=1,SUM('Final Calculation Sheet'!$A$4:$A$40)-SUMIFS('Final Calculation Sheet'!$A$4:$A$40,$AZ$5:$AZ$41,10),SUMIFS('Final Calculation Sheet'!$A$4:$A$40,$AZ$5:$AZ$41,$BH41))),""))</f>
        <v/>
      </c>
      <c r="G42" s="69">
        <f>IF($BJ41&gt;0,IF(INDEX('Final Calculation Sheet'!$E$4:$E$40,$BJ41-3)="","",INDEX('Final Calculation Sheet'!$E$4:$E$40,$BJ41-3)),IF(OR($BI41=1,$BL41=1,$BH41&gt;0),"–",""))</f>
        <v/>
      </c>
      <c r="H42" s="70">
        <f>IF($BJ41&gt;0,IF(INDEX('Final Calculation Sheet'!$C$4:$C$40,$BJ41-3)="","",INDEX('Final Calculation Sheet'!$C$4:$C$40,$BJ41-3)),IF(OR($BI41=1,$BL41=1,$BH41&gt;0),"–",""))</f>
        <v/>
      </c>
      <c r="I42" s="70">
        <f>IF($BJ41&gt;0,IF(INDEX('Final Calculation Sheet'!$H$4:$H$40,$BJ41-3)="","",INDEX('Final Calculation Sheet'!$H$4:$H$40,$BJ41-3)),IF(OR($BI41=1,$BL41=1,$BH41&gt;0),IF($BI41=1,SUM('Final Calculation Sheet'!$H$4:$H$40),IF($BL41=1,SUM('Final Calculation Sheet'!$H$4:$H$40)-SUMIFS('Final Calculation Sheet'!$H$4:$H$40,$AZ$5:$AZ$41,10),SUMIFS('Final Calculation Sheet'!$H$4:$H$40,$AZ$5:$AZ$41,$BH41))),""))</f>
        <v/>
      </c>
      <c r="J42" s="70">
        <f>IF($BJ41&gt;0,IF(INDEX('Final Calculation Sheet'!$I$4:$I$40,$BJ41-3)="","",INDEX('Final Calculation Sheet'!$I$4:$I$40,$BJ41-3)),IF(OR($BI41=1,$BL41=1,$BH41&gt;0),IF($BI41=1,SUM('Final Calculation Sheet'!$I$4:$I$40),IF($BL41=1,SUM('Final Calculation Sheet'!$I$4:$I$40)-SUMIFS('Final Calculation Sheet'!$I$4:$I$40,$AZ$5:$AZ$41,10),SUMIFS('Final Calculation Sheet'!$I$4:$I$40,$AZ$5:$AZ$41,$BH41))),""))</f>
        <v/>
      </c>
      <c r="K42" s="70">
        <f>IF($BJ41&gt;0,IF(INDEX('Final Calculation Sheet'!$J$4:$J$40,$BJ41-3)="","",INDEX('Final Calculation Sheet'!$J$4:$J$40,$BJ41-3)),IF(OR($BI41=1,$BL41=1,$BH41&gt;0),IF($BI41=1,SUM('Final Calculation Sheet'!$J$4:$J$40),IF($BL41=1,SUM('Final Calculation Sheet'!$J$4:$J$40)-SUMIFS('Final Calculation Sheet'!$J$4:$J$40,$AZ$5:$AZ$41,10),SUMIFS('Final Calculation Sheet'!$J$4:$J$40,$AZ$5:$AZ$41,$BH41))),""))</f>
        <v/>
      </c>
      <c r="L42" s="70">
        <f>IF($BJ41&gt;0,IF(INDEX('Final Calculation Sheet'!$K$4:$K$40,$BJ41-3)="","",INDEX('Final Calculation Sheet'!$K$4:$K$40,$BJ41-3)),IF(OR($BI41=1,$BL41=1,$BH41&gt;0),IF($BI41=1,SUM('Final Calculation Sheet'!$K$4:$K$40),IF($BL41=1,SUM('Final Calculation Sheet'!$K$4:$K$40)-SUMIFS('Final Calculation Sheet'!$K$4:$K$40,$AZ$5:$AZ$41,10),SUMIFS('Final Calculation Sheet'!$K$4:$K$40,$AZ$5:$AZ$41,$BH41))),""))</f>
        <v/>
      </c>
      <c r="M42" s="70">
        <f>IF($BJ41&gt;0,IF(INDEX('Final Calculation Sheet'!$L$4:$L$40,$BJ41-3)="","",INDEX('Final Calculation Sheet'!$L$4:$L$40,$BJ41-3)),IF(OR($BI41=1,$BL41=1,$BH41&gt;0),IF($BI41=1,SUM('Final Calculation Sheet'!$L$4:$L$40),IF($BL41=1,SUM('Final Calculation Sheet'!$L$4:$L$40)-SUMIFS('Final Calculation Sheet'!$L$4:$L$40,$AZ$5:$AZ$41,10),SUMIFS('Final Calculation Sheet'!$L$4:$L$40,$AZ$5:$AZ$41,$BH41))),""))</f>
        <v/>
      </c>
      <c r="N42" s="70">
        <f>IF($BJ41&gt;0,IF(INDEX('Final Calculation Sheet'!$M$4:$M$40,$BJ41-3)="","",INDEX('Final Calculation Sheet'!$M$4:$M$40,$BJ41-3)),IF(OR($BI41=1,$BL41=1,$BH41&gt;0),IF($BI41=1,SUM('Final Calculation Sheet'!$M$4:$M$40),IF($BL41=1,SUM('Final Calculation Sheet'!$M$4:$M$40)-SUMIFS('Final Calculation Sheet'!$M$4:$M$40,$AZ$5:$AZ$41,10),SUMIFS('Final Calculation Sheet'!$M$4:$M$40,$AZ$5:$AZ$41,$BH41))),""))</f>
        <v/>
      </c>
      <c r="O42" s="71">
        <f>IF($BJ41&gt;0,IF(INDEX('Final Calculation Sheet'!$N$4:$N$40,$BJ41-3)="","",INDEX('Final Calculation Sheet'!$N$4:$N$40,$BJ41-3)),IF(OR($BI41=1,$BL41=1,$BH41&gt;0),IF($BI41=1,SUM('Final Calculation Sheet'!$N$4:$N$40),IF($BL41=1,SUM('Final Calculation Sheet'!$N$4:$N$40)-SUMIFS('Final Calculation Sheet'!$N$4:$N$40,$AZ$5:$AZ$41,10),SUMIFS('Final Calculation Sheet'!$N$4:$N$40,$AZ$5:$AZ$41,$BH41))),""))</f>
        <v/>
      </c>
      <c r="P42" s="70">
        <f>IF($BJ41&gt;0,IF(INDEX('Final Calculation Sheet'!$O$4:$O$40,$BJ41-3)="","",INDEX('Final Calculation Sheet'!$O$4:$O$40,$BJ41-3)),IF(OR($BI41=1,$BL41=1,$BH41&gt;0),IF($BI41=1,SUM('Final Calculation Sheet'!$O$4:$O$40),IF($BL41=1,SUM('Final Calculation Sheet'!$O$4:$O$40)-SUMIFS('Final Calculation Sheet'!$O$4:$O$40,$AZ$5:$AZ$41,10),SUMIFS('Final Calculation Sheet'!$O$4:$O$40,$AZ$5:$AZ$41,$BH41))),""))</f>
        <v/>
      </c>
      <c r="Q42" s="70">
        <f>IF($BJ41&gt;0,IF(INDEX('Final Calculation Sheet'!$P$4:$P$40,$BJ41-3)="","",INDEX('Final Calculation Sheet'!$P$4:$P$40,$BJ41-3)),IF(OR($BI41=1,$BL41=1,$BH41&gt;0),IF($BI41=1,SUM('Final Calculation Sheet'!$P$4:$P$40),IF($BL41=1,SUM('Final Calculation Sheet'!$P$4:$P$40)-SUMIFS('Final Calculation Sheet'!$P$4:$P$40,$AZ$5:$AZ$41,10),SUMIFS('Final Calculation Sheet'!$P$4:$P$40,$AZ$5:$AZ$41,$BH41))),""))</f>
        <v/>
      </c>
      <c r="R42" s="72">
        <f>IF($BJ41&gt;0,IF(INDEX('Final Calculation Sheet'!$Q$4:$Q$40,$BJ41-3)="","",INDEX('Final Calculation Sheet'!$Q$4:$Q$40,$BJ41-3)),IF(OR($BI41=1,$BL41=1,$BH41&gt;0),"–",""))</f>
        <v/>
      </c>
      <c r="S42" s="70">
        <f>IF($BJ41&gt;0,IF(INDEX('Final Calculation Sheet'!$R$4:$R$40,$BJ41-3)="","",INDEX('Final Calculation Sheet'!$R$4:$R$40,$BJ41-3)),IF(OR($BI41=1,$BL41=1,$BH41&gt;0),IF($BI41=1,SUM('Final Calculation Sheet'!$R$4:$R$40),IF($BL41=1,SUM('Final Calculation Sheet'!$R$4:$R$40)-SUMIFS('Final Calculation Sheet'!$R$4:$R$40,$AZ$5:$AZ$41,10),SUMIFS('Final Calculation Sheet'!$R$4:$R$40,$AZ$5:$AZ$41,$BH41))),""))</f>
        <v/>
      </c>
      <c r="T42" s="70">
        <f>IF($BJ41&gt;0,IF(INDEX('Final Calculation Sheet'!$S$4:$S$40,$BJ41-3)="","",INDEX('Final Calculation Sheet'!$S$4:$S$40,$BJ41-3)),IF(OR($BI41=1,$BL41=1,$BH41&gt;0),IF($BI41=1,SUM('Final Calculation Sheet'!$S$4:$S$40),IF($BL41=1,SUM('Final Calculation Sheet'!$S$4:$S$40)-SUMIFS('Final Calculation Sheet'!$S$4:$S$40,$AZ$5:$AZ$41,10),SUMIFS('Final Calculation Sheet'!$S$4:$S$40,$AZ$5:$AZ$41,$BH41))),""))</f>
        <v/>
      </c>
      <c r="U42" s="70">
        <f>IF($BJ41&gt;0,IF(INDEX('Final Calculation Sheet'!$T$4:$T$40,$BJ41-3)="","",INDEX('Final Calculation Sheet'!$T$4:$T$40,$BJ41-3)),IF(OR($BI41=1,$BL41=1,$BH41&gt;0),IF($BI41=1,SUM('Final Calculation Sheet'!$T$4:$T$40),IF($BL41=1,SUM('Final Calculation Sheet'!$T$4:$T$40)-SUMIFS('Final Calculation Sheet'!$T$4:$T$40,$AZ$5:$AZ$41,10),SUMIFS('Final Calculation Sheet'!$T$4:$T$40,$AZ$5:$AZ$41,$BH41))),""))</f>
        <v/>
      </c>
      <c r="V42" s="73">
        <f>IF($BJ41&gt;0,IF(INDEX('Final Calculation Sheet'!$U$4:$U$40,$BJ41-3)="","",INDEX('Final Calculation Sheet'!$U$4:$U$40,$BJ41-3)),IF(OR($BI41=1,$BL41=1,$BH41&gt;0),IF($BI41=1,SUM('Final Calculation Sheet'!$U$4:$U$40),IF($BL41=1,SUM('Final Calculation Sheet'!$U$4:$U$40)-SUMIFS('Final Calculation Sheet'!$U$4:$U$40,$AZ$5:$AZ$41,10),SUMIFS('Final Calculation Sheet'!$U$4:$U$40,$AZ$5:$AZ$41,$BH41))),""))</f>
        <v/>
      </c>
      <c r="W42" s="70">
        <f>IF($BJ41&gt;0,IF(INDEX('Final Calculation Sheet'!$V$4:$V$40,$BJ41-3)="","",INDEX('Final Calculation Sheet'!$V$4:$V$40,$BJ41-3)),IF(OR($BI41=1,$BL41=1,$BH41&gt;0),"–",""))</f>
        <v/>
      </c>
      <c r="X42" s="70">
        <f>IF($BJ41&gt;0,IF(INDEX('Final Calculation Sheet'!$W$4:$W$40,$BJ41-3)="","",INDEX('Final Calculation Sheet'!$W$4:$W$40,$BJ41-3)),IF(OR($BI41=1,$BL41=1,$BH41&gt;0),IF($BI41=1,SUM('Final Calculation Sheet'!$W$4:$W$40),IF($BL41=1,SUM('Final Calculation Sheet'!$W$4:$W$40)-SUMIFS('Final Calculation Sheet'!$W$4:$W$40,$AZ$5:$AZ$41,10),SUMIFS('Final Calculation Sheet'!$W$4:$W$40,$AZ$5:$AZ$41,$BH41))),""))</f>
        <v/>
      </c>
      <c r="Y42" s="70">
        <f>IF($BJ41&gt;0,IF(INDEX('Final Calculation Sheet'!$X$4:$X$40,$BJ41-3)="","",INDEX('Final Calculation Sheet'!$X$4:$X$40,$BJ41-3)),IF(OR($BI41=1,$BL41=1,$BH41&gt;0),IF($BI41=1,SUM('Final Calculation Sheet'!$X$4:$X$40),IF($BL41=1,SUM('Final Calculation Sheet'!$X$4:$X$40)-SUMIFS('Final Calculation Sheet'!$X$4:$X$40,$AZ$5:$AZ$41,10),SUMIFS('Final Calculation Sheet'!$X$4:$X$40,$AZ$5:$AZ$41,$BH41))),""))</f>
        <v/>
      </c>
      <c r="Z42" s="70">
        <f>IF($BJ41&gt;0,IF(INDEX('Final Calculation Sheet'!$Y$4:$Y$40,$BJ41-3)="","",INDEX('Final Calculation Sheet'!$Y$4:$Y$40,$BJ41-3)),IF(OR($BI41=1,$BL41=1,$BH41&gt;0),"–",""))</f>
        <v/>
      </c>
      <c r="AA42" s="70">
        <f>IF($BJ41&gt;0,IF(INDEX('Final Calculation Sheet'!$Z$4:$Z$40,$BJ41-3)="","",INDEX('Final Calculation Sheet'!$Z$4:$Z$40,$BJ41-3)),IF(OR($BI41=1,$BL41=1,$BH41&gt;0),IF($BI41=1,SUM('Final Calculation Sheet'!$Z$4:$Z$40),IF($BL41=1,SUM('Final Calculation Sheet'!$Z$4:$Z$40)-SUMIFS('Final Calculation Sheet'!$Z$4:$Z$40,$AZ$5:$AZ$41,10),SUMIFS('Final Calculation Sheet'!$Z$4:$Z$40,$AZ$5:$AZ$41,$BH41))),""))</f>
        <v/>
      </c>
      <c r="AB42" s="70">
        <f>IF($BJ41&gt;0,IF(INDEX('Final Calculation Sheet'!$AA$4:$AA$40,$BJ41-3)="","",INDEX('Final Calculation Sheet'!$AA$4:$AA$40,$BJ41-3)),IF(OR($BI41=1,$BL41=1,$BH41&gt;0),IF($BI41=1,SUM('Final Calculation Sheet'!$AA$4:$AA$40),IF($BL41=1,SUM('Final Calculation Sheet'!$AA$4:$AA$40)-SUMIFS('Final Calculation Sheet'!$AA$4:$AA$40,$AZ$5:$AZ$41,10),SUMIFS('Final Calculation Sheet'!$AA$4:$AA$40,$AZ$5:$AZ$41,$BH41))),""))</f>
        <v/>
      </c>
      <c r="AC42" s="70">
        <f>IF($BJ41&gt;0,IF(INDEX('Final Calculation Sheet'!$AB$4:$AB$40,$BJ41-3)="","",INDEX('Final Calculation Sheet'!$AB$4:$AB$40,$BJ41-3)),IF(OR($BI41=1,$BL41=1,$BH41&gt;0),"–",""))</f>
        <v/>
      </c>
      <c r="AD42" s="70">
        <f>IF($BJ41&gt;0,IF(INDEX('Final Calculation Sheet'!$AC$4:$AC$40,$BJ41-3)="","",INDEX('Final Calculation Sheet'!$AC$4:$AC$40,$BJ41-3)),IF(OR($BI41=1,$BL41=1,$BH41&gt;0),IF($BI41=1,SUM('Final Calculation Sheet'!$AC$4:$AC$40),IF($BL41=1,SUM('Final Calculation Sheet'!$AC$4:$AC$40)-SUMIFS('Final Calculation Sheet'!$AC$4:$AC$40,$AZ$5:$AZ$41,10),SUMIFS('Final Calculation Sheet'!$AC$4:$AC$40,$AZ$5:$AZ$41,$BH41))),""))</f>
        <v/>
      </c>
      <c r="AE42" s="70">
        <f>IF($BJ41&gt;0,IF(INDEX('Final Calculation Sheet'!$AD$4:$AD$40,$BJ41-3)="","",INDEX('Final Calculation Sheet'!$AD$4:$AD$40,$BJ41-3)),IF(OR($BI41=1,$BL41=1,$BH41&gt;0),IF($BI41=1,SUM('Final Calculation Sheet'!$AD$4:$AD$40),IF($BL41=1,SUM('Final Calculation Sheet'!$AD$4:$AD$40)-SUMIFS('Final Calculation Sheet'!$AD$4:$AD$40,$AZ$5:$AZ$41,10),SUMIFS('Final Calculation Sheet'!$AD$4:$AD$40,$AZ$5:$AZ$41,$BH41))),""))</f>
        <v/>
      </c>
      <c r="AF42" s="70">
        <f>IF($BJ41&gt;0,IF(INDEX('Final Calculation Sheet'!$AE$4:$AE$40,$BJ41-3)="","",INDEX('Final Calculation Sheet'!$AE$4:$AE$40,$BJ41-3)),IF(OR($BI41=1,$BL41=1,$BH41&gt;0),"–",""))</f>
        <v/>
      </c>
      <c r="AG42" s="74">
        <f>IF($BJ41&gt;0,IF(INDEX('Final Calculation Sheet'!$AF$4:$AF$40,$BJ41-3)="","",INDEX('Final Calculation Sheet'!$AF$4:$AF$40,$BJ41-3)),IF(OR($BI41=1,$BL41=1,$BH41&gt;0),"–",""))</f>
        <v/>
      </c>
      <c r="AH42" s="70">
        <f>IF($BJ41&gt;0,IF(INDEX('Final Calculation Sheet'!$AG$4:$AG$40,$BJ41-3)="","",INDEX('Final Calculation Sheet'!$AG$4:$AG$40,$BJ41-3)),IF(OR($BI41=1,$BL41=1,$BH41&gt;0),"–",""))</f>
        <v/>
      </c>
      <c r="AI42" s="75">
        <f>IF($BJ41&gt;0,IF(INDEX('Final Calculation Sheet'!$AD$4:$AD$40,$BJ41-3)="","",IF(INDEX('Final Calculation Sheet'!$AD$4:$AD$40,$BJ41-3)&lt;=0,"SETTLED","OUTSTANDING")),IF(OR($BI41=1,$BL41=1,$BH41&gt;0),IF(IF($BI41=1,SUM('Final Calculation Sheet'!$AD$4:$AD$40),IF($BL41=1,SUM('Final Calculation Sheet'!$AD$4:$AD$40)-SUMIFS('Final Calculation Sheet'!$AD$4:$AD$40,$AZ$5:$AZ$41,10),SUMIFS('Final Calculation Sheet'!$AD$4:$AD$40,$AZ$5:$AZ$41,$BH41)))&lt;=0,"ALL SETTLED","OUTSTANDING"),""))</f>
        <v/>
      </c>
      <c r="BH42">
        <f>IFERROR(MATCH(42,$BF$4:$BF$13,0),0)</f>
        <v/>
      </c>
      <c r="BI42">
        <f>IF(42=$BG$5,1,0)</f>
        <v/>
      </c>
      <c r="BJ42">
        <f>IF(OR($BH42&gt;0,$BI42=1,$BL42=1),0,IFERROR(INDEX($BC$5:$BC$41,MATCH(42,$BB$5:$BB$41,0)),0))</f>
        <v/>
      </c>
      <c r="BK42">
        <f>IF($BJ42&gt;0,IF(INDEX($AZ$5:$AZ$41,MATCH(42,$BB$5:$BB$41,0))=10,1,0),IF($BH42=10,1,0))</f>
        <v/>
      </c>
      <c r="BL42">
        <f>IF(42=$BG$4,1,0)</f>
        <v/>
      </c>
    </row>
    <row r="43" ht="15" customHeight="1" s="77">
      <c r="A43" s="67">
        <f>IF($BJ42&gt;0,INDEX($BA$5:$BA$41,MATCH(42,$BB$5:$BB$41,0)),IF(OR($BI42=1,$BL42=1,$BH42&gt;0),"∑",""))</f>
        <v/>
      </c>
      <c r="B43" s="68">
        <f>IF($BJ42&gt;0,IF(INDEX('Final Calculation Sheet'!$F$4:$F$40,$BJ42-3)="","",INDEX('Final Calculation Sheet'!$F$4:$F$40,$BJ42-3)),"")</f>
        <v/>
      </c>
      <c r="C43" s="68">
        <f>IF($BJ42&gt;0,IF(INDEX('Final Calculation Sheet'!$G$4:$G$40,$BJ42-3)="","",INDEX('Final Calculation Sheet'!$G$4:$G$40,$BJ42-3)),IF(OR($BI42=1,$BL42=1,$BH42&gt;0),IF($BI42=1,37,IF($BL42=1,37-INDEX($BD$4:$BD$13,10),INDEX($BD$4:$BD$13,$BH42)))&amp;" lot(s)",""))</f>
        <v/>
      </c>
      <c r="D43" s="69">
        <f>IF($BJ42&gt;0,IF(INDEX('Final Calculation Sheet'!$B$4:$B$40,$BJ42-3)="","",INDEX('Final Calculation Sheet'!$B$4:$B$40,$BJ42-3)),IF(OR($BI42=1,$BL42=1,$BH42&gt;0),IF($BI42=1,"GRAND TOTAL  —  matching + remaining",IF($BL42=1,"TOTAL MATCHED  —  every group together",IF($BH42=10,"REMAINING  —  did not match the search",IF($BH42=9,IF(COUNTIF($A$4:$AI$4,"&lt;&gt;")&gt;0,"FILTERED LOTS  —  column fields","ALL LOTS  —  nothing typed in the box"),"GROUP "&amp;$BH42&amp;" TOTAL  —  lots matching  "&amp;INDEX($AR$6:$AY$6,$BH42))))),""))</f>
        <v/>
      </c>
      <c r="E43" s="69">
        <f>IF($BJ42&gt;0,IF(INDEX('Final Calculation Sheet'!$D$4:$D$40,$BJ42-3)="","",INDEX('Final Calculation Sheet'!$D$4:$D$40,$BJ42-3)),IF(OR($BI42=1,$BL42=1,$BH42&gt;0),"–",""))</f>
        <v/>
      </c>
      <c r="F43" s="69">
        <f>IF($BJ42&gt;0,IF(INDEX('Final Calculation Sheet'!$A$4:$A$40,$BJ42-3)="","",INDEX('Final Calculation Sheet'!$A$4:$A$40,$BJ42-3)),IF(OR($BI42=1,$BL42=1,$BH42&gt;0),IF($BI42=1,SUM('Final Calculation Sheet'!$A$4:$A$40),IF($BL42=1,SUM('Final Calculation Sheet'!$A$4:$A$40)-SUMIFS('Final Calculation Sheet'!$A$4:$A$40,$AZ$5:$AZ$41,10),SUMIFS('Final Calculation Sheet'!$A$4:$A$40,$AZ$5:$AZ$41,$BH42))),""))</f>
        <v/>
      </c>
      <c r="G43" s="69">
        <f>IF($BJ42&gt;0,IF(INDEX('Final Calculation Sheet'!$E$4:$E$40,$BJ42-3)="","",INDEX('Final Calculation Sheet'!$E$4:$E$40,$BJ42-3)),IF(OR($BI42=1,$BL42=1,$BH42&gt;0),"–",""))</f>
        <v/>
      </c>
      <c r="H43" s="70">
        <f>IF($BJ42&gt;0,IF(INDEX('Final Calculation Sheet'!$C$4:$C$40,$BJ42-3)="","",INDEX('Final Calculation Sheet'!$C$4:$C$40,$BJ42-3)),IF(OR($BI42=1,$BL42=1,$BH42&gt;0),"–",""))</f>
        <v/>
      </c>
      <c r="I43" s="70">
        <f>IF($BJ42&gt;0,IF(INDEX('Final Calculation Sheet'!$H$4:$H$40,$BJ42-3)="","",INDEX('Final Calculation Sheet'!$H$4:$H$40,$BJ42-3)),IF(OR($BI42=1,$BL42=1,$BH42&gt;0),IF($BI42=1,SUM('Final Calculation Sheet'!$H$4:$H$40),IF($BL42=1,SUM('Final Calculation Sheet'!$H$4:$H$40)-SUMIFS('Final Calculation Sheet'!$H$4:$H$40,$AZ$5:$AZ$41,10),SUMIFS('Final Calculation Sheet'!$H$4:$H$40,$AZ$5:$AZ$41,$BH42))),""))</f>
        <v/>
      </c>
      <c r="J43" s="70">
        <f>IF($BJ42&gt;0,IF(INDEX('Final Calculation Sheet'!$I$4:$I$40,$BJ42-3)="","",INDEX('Final Calculation Sheet'!$I$4:$I$40,$BJ42-3)),IF(OR($BI42=1,$BL42=1,$BH42&gt;0),IF($BI42=1,SUM('Final Calculation Sheet'!$I$4:$I$40),IF($BL42=1,SUM('Final Calculation Sheet'!$I$4:$I$40)-SUMIFS('Final Calculation Sheet'!$I$4:$I$40,$AZ$5:$AZ$41,10),SUMIFS('Final Calculation Sheet'!$I$4:$I$40,$AZ$5:$AZ$41,$BH42))),""))</f>
        <v/>
      </c>
      <c r="K43" s="70">
        <f>IF($BJ42&gt;0,IF(INDEX('Final Calculation Sheet'!$J$4:$J$40,$BJ42-3)="","",INDEX('Final Calculation Sheet'!$J$4:$J$40,$BJ42-3)),IF(OR($BI42=1,$BL42=1,$BH42&gt;0),IF($BI42=1,SUM('Final Calculation Sheet'!$J$4:$J$40),IF($BL42=1,SUM('Final Calculation Sheet'!$J$4:$J$40)-SUMIFS('Final Calculation Sheet'!$J$4:$J$40,$AZ$5:$AZ$41,10),SUMIFS('Final Calculation Sheet'!$J$4:$J$40,$AZ$5:$AZ$41,$BH42))),""))</f>
        <v/>
      </c>
      <c r="L43" s="70">
        <f>IF($BJ42&gt;0,IF(INDEX('Final Calculation Sheet'!$K$4:$K$40,$BJ42-3)="","",INDEX('Final Calculation Sheet'!$K$4:$K$40,$BJ42-3)),IF(OR($BI42=1,$BL42=1,$BH42&gt;0),IF($BI42=1,SUM('Final Calculation Sheet'!$K$4:$K$40),IF($BL42=1,SUM('Final Calculation Sheet'!$K$4:$K$40)-SUMIFS('Final Calculation Sheet'!$K$4:$K$40,$AZ$5:$AZ$41,10),SUMIFS('Final Calculation Sheet'!$K$4:$K$40,$AZ$5:$AZ$41,$BH42))),""))</f>
        <v/>
      </c>
      <c r="M43" s="70">
        <f>IF($BJ42&gt;0,IF(INDEX('Final Calculation Sheet'!$L$4:$L$40,$BJ42-3)="","",INDEX('Final Calculation Sheet'!$L$4:$L$40,$BJ42-3)),IF(OR($BI42=1,$BL42=1,$BH42&gt;0),IF($BI42=1,SUM('Final Calculation Sheet'!$L$4:$L$40),IF($BL42=1,SUM('Final Calculation Sheet'!$L$4:$L$40)-SUMIFS('Final Calculation Sheet'!$L$4:$L$40,$AZ$5:$AZ$41,10),SUMIFS('Final Calculation Sheet'!$L$4:$L$40,$AZ$5:$AZ$41,$BH42))),""))</f>
        <v/>
      </c>
      <c r="N43" s="70">
        <f>IF($BJ42&gt;0,IF(INDEX('Final Calculation Sheet'!$M$4:$M$40,$BJ42-3)="","",INDEX('Final Calculation Sheet'!$M$4:$M$40,$BJ42-3)),IF(OR($BI42=1,$BL42=1,$BH42&gt;0),IF($BI42=1,SUM('Final Calculation Sheet'!$M$4:$M$40),IF($BL42=1,SUM('Final Calculation Sheet'!$M$4:$M$40)-SUMIFS('Final Calculation Sheet'!$M$4:$M$40,$AZ$5:$AZ$41,10),SUMIFS('Final Calculation Sheet'!$M$4:$M$40,$AZ$5:$AZ$41,$BH42))),""))</f>
        <v/>
      </c>
      <c r="O43" s="71">
        <f>IF($BJ42&gt;0,IF(INDEX('Final Calculation Sheet'!$N$4:$N$40,$BJ42-3)="","",INDEX('Final Calculation Sheet'!$N$4:$N$40,$BJ42-3)),IF(OR($BI42=1,$BL42=1,$BH42&gt;0),IF($BI42=1,SUM('Final Calculation Sheet'!$N$4:$N$40),IF($BL42=1,SUM('Final Calculation Sheet'!$N$4:$N$40)-SUMIFS('Final Calculation Sheet'!$N$4:$N$40,$AZ$5:$AZ$41,10),SUMIFS('Final Calculation Sheet'!$N$4:$N$40,$AZ$5:$AZ$41,$BH42))),""))</f>
        <v/>
      </c>
      <c r="P43" s="70">
        <f>IF($BJ42&gt;0,IF(INDEX('Final Calculation Sheet'!$O$4:$O$40,$BJ42-3)="","",INDEX('Final Calculation Sheet'!$O$4:$O$40,$BJ42-3)),IF(OR($BI42=1,$BL42=1,$BH42&gt;0),IF($BI42=1,SUM('Final Calculation Sheet'!$O$4:$O$40),IF($BL42=1,SUM('Final Calculation Sheet'!$O$4:$O$40)-SUMIFS('Final Calculation Sheet'!$O$4:$O$40,$AZ$5:$AZ$41,10),SUMIFS('Final Calculation Sheet'!$O$4:$O$40,$AZ$5:$AZ$41,$BH42))),""))</f>
        <v/>
      </c>
      <c r="Q43" s="70">
        <f>IF($BJ42&gt;0,IF(INDEX('Final Calculation Sheet'!$P$4:$P$40,$BJ42-3)="","",INDEX('Final Calculation Sheet'!$P$4:$P$40,$BJ42-3)),IF(OR($BI42=1,$BL42=1,$BH42&gt;0),IF($BI42=1,SUM('Final Calculation Sheet'!$P$4:$P$40),IF($BL42=1,SUM('Final Calculation Sheet'!$P$4:$P$40)-SUMIFS('Final Calculation Sheet'!$P$4:$P$40,$AZ$5:$AZ$41,10),SUMIFS('Final Calculation Sheet'!$P$4:$P$40,$AZ$5:$AZ$41,$BH42))),""))</f>
        <v/>
      </c>
      <c r="R43" s="72">
        <f>IF($BJ42&gt;0,IF(INDEX('Final Calculation Sheet'!$Q$4:$Q$40,$BJ42-3)="","",INDEX('Final Calculation Sheet'!$Q$4:$Q$40,$BJ42-3)),IF(OR($BI42=1,$BL42=1,$BH42&gt;0),"–",""))</f>
        <v/>
      </c>
      <c r="S43" s="70">
        <f>IF($BJ42&gt;0,IF(INDEX('Final Calculation Sheet'!$R$4:$R$40,$BJ42-3)="","",INDEX('Final Calculation Sheet'!$R$4:$R$40,$BJ42-3)),IF(OR($BI42=1,$BL42=1,$BH42&gt;0),IF($BI42=1,SUM('Final Calculation Sheet'!$R$4:$R$40),IF($BL42=1,SUM('Final Calculation Sheet'!$R$4:$R$40)-SUMIFS('Final Calculation Sheet'!$R$4:$R$40,$AZ$5:$AZ$41,10),SUMIFS('Final Calculation Sheet'!$R$4:$R$40,$AZ$5:$AZ$41,$BH42))),""))</f>
        <v/>
      </c>
      <c r="T43" s="70">
        <f>IF($BJ42&gt;0,IF(INDEX('Final Calculation Sheet'!$S$4:$S$40,$BJ42-3)="","",INDEX('Final Calculation Sheet'!$S$4:$S$40,$BJ42-3)),IF(OR($BI42=1,$BL42=1,$BH42&gt;0),IF($BI42=1,SUM('Final Calculation Sheet'!$S$4:$S$40),IF($BL42=1,SUM('Final Calculation Sheet'!$S$4:$S$40)-SUMIFS('Final Calculation Sheet'!$S$4:$S$40,$AZ$5:$AZ$41,10),SUMIFS('Final Calculation Sheet'!$S$4:$S$40,$AZ$5:$AZ$41,$BH42))),""))</f>
        <v/>
      </c>
      <c r="U43" s="70">
        <f>IF($BJ42&gt;0,IF(INDEX('Final Calculation Sheet'!$T$4:$T$40,$BJ42-3)="","",INDEX('Final Calculation Sheet'!$T$4:$T$40,$BJ42-3)),IF(OR($BI42=1,$BL42=1,$BH42&gt;0),IF($BI42=1,SUM('Final Calculation Sheet'!$T$4:$T$40),IF($BL42=1,SUM('Final Calculation Sheet'!$T$4:$T$40)-SUMIFS('Final Calculation Sheet'!$T$4:$T$40,$AZ$5:$AZ$41,10),SUMIFS('Final Calculation Sheet'!$T$4:$T$40,$AZ$5:$AZ$41,$BH42))),""))</f>
        <v/>
      </c>
      <c r="V43" s="73">
        <f>IF($BJ42&gt;0,IF(INDEX('Final Calculation Sheet'!$U$4:$U$40,$BJ42-3)="","",INDEX('Final Calculation Sheet'!$U$4:$U$40,$BJ42-3)),IF(OR($BI42=1,$BL42=1,$BH42&gt;0),IF($BI42=1,SUM('Final Calculation Sheet'!$U$4:$U$40),IF($BL42=1,SUM('Final Calculation Sheet'!$U$4:$U$40)-SUMIFS('Final Calculation Sheet'!$U$4:$U$40,$AZ$5:$AZ$41,10),SUMIFS('Final Calculation Sheet'!$U$4:$U$40,$AZ$5:$AZ$41,$BH42))),""))</f>
        <v/>
      </c>
      <c r="W43" s="70">
        <f>IF($BJ42&gt;0,IF(INDEX('Final Calculation Sheet'!$V$4:$V$40,$BJ42-3)="","",INDEX('Final Calculation Sheet'!$V$4:$V$40,$BJ42-3)),IF(OR($BI42=1,$BL42=1,$BH42&gt;0),"–",""))</f>
        <v/>
      </c>
      <c r="X43" s="70">
        <f>IF($BJ42&gt;0,IF(INDEX('Final Calculation Sheet'!$W$4:$W$40,$BJ42-3)="","",INDEX('Final Calculation Sheet'!$W$4:$W$40,$BJ42-3)),IF(OR($BI42=1,$BL42=1,$BH42&gt;0),IF($BI42=1,SUM('Final Calculation Sheet'!$W$4:$W$40),IF($BL42=1,SUM('Final Calculation Sheet'!$W$4:$W$40)-SUMIFS('Final Calculation Sheet'!$W$4:$W$40,$AZ$5:$AZ$41,10),SUMIFS('Final Calculation Sheet'!$W$4:$W$40,$AZ$5:$AZ$41,$BH42))),""))</f>
        <v/>
      </c>
      <c r="Y43" s="70">
        <f>IF($BJ42&gt;0,IF(INDEX('Final Calculation Sheet'!$X$4:$X$40,$BJ42-3)="","",INDEX('Final Calculation Sheet'!$X$4:$X$40,$BJ42-3)),IF(OR($BI42=1,$BL42=1,$BH42&gt;0),IF($BI42=1,SUM('Final Calculation Sheet'!$X$4:$X$40),IF($BL42=1,SUM('Final Calculation Sheet'!$X$4:$X$40)-SUMIFS('Final Calculation Sheet'!$X$4:$X$40,$AZ$5:$AZ$41,10),SUMIFS('Final Calculation Sheet'!$X$4:$X$40,$AZ$5:$AZ$41,$BH42))),""))</f>
        <v/>
      </c>
      <c r="Z43" s="70">
        <f>IF($BJ42&gt;0,IF(INDEX('Final Calculation Sheet'!$Y$4:$Y$40,$BJ42-3)="","",INDEX('Final Calculation Sheet'!$Y$4:$Y$40,$BJ42-3)),IF(OR($BI42=1,$BL42=1,$BH42&gt;0),"–",""))</f>
        <v/>
      </c>
      <c r="AA43" s="70">
        <f>IF($BJ42&gt;0,IF(INDEX('Final Calculation Sheet'!$Z$4:$Z$40,$BJ42-3)="","",INDEX('Final Calculation Sheet'!$Z$4:$Z$40,$BJ42-3)),IF(OR($BI42=1,$BL42=1,$BH42&gt;0),IF($BI42=1,SUM('Final Calculation Sheet'!$Z$4:$Z$40),IF($BL42=1,SUM('Final Calculation Sheet'!$Z$4:$Z$40)-SUMIFS('Final Calculation Sheet'!$Z$4:$Z$40,$AZ$5:$AZ$41,10),SUMIFS('Final Calculation Sheet'!$Z$4:$Z$40,$AZ$5:$AZ$41,$BH42))),""))</f>
        <v/>
      </c>
      <c r="AB43" s="70">
        <f>IF($BJ42&gt;0,IF(INDEX('Final Calculation Sheet'!$AA$4:$AA$40,$BJ42-3)="","",INDEX('Final Calculation Sheet'!$AA$4:$AA$40,$BJ42-3)),IF(OR($BI42=1,$BL42=1,$BH42&gt;0),IF($BI42=1,SUM('Final Calculation Sheet'!$AA$4:$AA$40),IF($BL42=1,SUM('Final Calculation Sheet'!$AA$4:$AA$40)-SUMIFS('Final Calculation Sheet'!$AA$4:$AA$40,$AZ$5:$AZ$41,10),SUMIFS('Final Calculation Sheet'!$AA$4:$AA$40,$AZ$5:$AZ$41,$BH42))),""))</f>
        <v/>
      </c>
      <c r="AC43" s="70">
        <f>IF($BJ42&gt;0,IF(INDEX('Final Calculation Sheet'!$AB$4:$AB$40,$BJ42-3)="","",INDEX('Final Calculation Sheet'!$AB$4:$AB$40,$BJ42-3)),IF(OR($BI42=1,$BL42=1,$BH42&gt;0),"–",""))</f>
        <v/>
      </c>
      <c r="AD43" s="70">
        <f>IF($BJ42&gt;0,IF(INDEX('Final Calculation Sheet'!$AC$4:$AC$40,$BJ42-3)="","",INDEX('Final Calculation Sheet'!$AC$4:$AC$40,$BJ42-3)),IF(OR($BI42=1,$BL42=1,$BH42&gt;0),IF($BI42=1,SUM('Final Calculation Sheet'!$AC$4:$AC$40),IF($BL42=1,SUM('Final Calculation Sheet'!$AC$4:$AC$40)-SUMIFS('Final Calculation Sheet'!$AC$4:$AC$40,$AZ$5:$AZ$41,10),SUMIFS('Final Calculation Sheet'!$AC$4:$AC$40,$AZ$5:$AZ$41,$BH42))),""))</f>
        <v/>
      </c>
      <c r="AE43" s="70">
        <f>IF($BJ42&gt;0,IF(INDEX('Final Calculation Sheet'!$AD$4:$AD$40,$BJ42-3)="","",INDEX('Final Calculation Sheet'!$AD$4:$AD$40,$BJ42-3)),IF(OR($BI42=1,$BL42=1,$BH42&gt;0),IF($BI42=1,SUM('Final Calculation Sheet'!$AD$4:$AD$40),IF($BL42=1,SUM('Final Calculation Sheet'!$AD$4:$AD$40)-SUMIFS('Final Calculation Sheet'!$AD$4:$AD$40,$AZ$5:$AZ$41,10),SUMIFS('Final Calculation Sheet'!$AD$4:$AD$40,$AZ$5:$AZ$41,$BH42))),""))</f>
        <v/>
      </c>
      <c r="AF43" s="70">
        <f>IF($BJ42&gt;0,IF(INDEX('Final Calculation Sheet'!$AE$4:$AE$40,$BJ42-3)="","",INDEX('Final Calculation Sheet'!$AE$4:$AE$40,$BJ42-3)),IF(OR($BI42=1,$BL42=1,$BH42&gt;0),"–",""))</f>
        <v/>
      </c>
      <c r="AG43" s="74">
        <f>IF($BJ42&gt;0,IF(INDEX('Final Calculation Sheet'!$AF$4:$AF$40,$BJ42-3)="","",INDEX('Final Calculation Sheet'!$AF$4:$AF$40,$BJ42-3)),IF(OR($BI42=1,$BL42=1,$BH42&gt;0),"–",""))</f>
        <v/>
      </c>
      <c r="AH43" s="70">
        <f>IF($BJ42&gt;0,IF(INDEX('Final Calculation Sheet'!$AG$4:$AG$40,$BJ42-3)="","",INDEX('Final Calculation Sheet'!$AG$4:$AG$40,$BJ42-3)),IF(OR($BI42=1,$BL42=1,$BH42&gt;0),"–",""))</f>
        <v/>
      </c>
      <c r="AI43" s="75">
        <f>IF($BJ42&gt;0,IF(INDEX('Final Calculation Sheet'!$AD$4:$AD$40,$BJ42-3)="","",IF(INDEX('Final Calculation Sheet'!$AD$4:$AD$40,$BJ42-3)&lt;=0,"SETTLED","OUTSTANDING")),IF(OR($BI42=1,$BL42=1,$BH42&gt;0),IF(IF($BI42=1,SUM('Final Calculation Sheet'!$AD$4:$AD$40),IF($BL42=1,SUM('Final Calculation Sheet'!$AD$4:$AD$40)-SUMIFS('Final Calculation Sheet'!$AD$4:$AD$40,$AZ$5:$AZ$41,10),SUMIFS('Final Calculation Sheet'!$AD$4:$AD$40,$AZ$5:$AZ$41,$BH42)))&lt;=0,"ALL SETTLED","OUTSTANDING"),""))</f>
        <v/>
      </c>
      <c r="BH43">
        <f>IFERROR(MATCH(43,$BF$4:$BF$13,0),0)</f>
        <v/>
      </c>
      <c r="BI43">
        <f>IF(43=$BG$5,1,0)</f>
        <v/>
      </c>
      <c r="BJ43">
        <f>IF(OR($BH43&gt;0,$BI43=1,$BL43=1),0,IFERROR(INDEX($BC$5:$BC$41,MATCH(43,$BB$5:$BB$41,0)),0))</f>
        <v/>
      </c>
      <c r="BK43">
        <f>IF($BJ43&gt;0,IF(INDEX($AZ$5:$AZ$41,MATCH(43,$BB$5:$BB$41,0))=10,1,0),IF($BH43=10,1,0))</f>
        <v/>
      </c>
      <c r="BL43">
        <f>IF(43=$BG$4,1,0)</f>
        <v/>
      </c>
    </row>
    <row r="44" ht="15" customHeight="1" s="77">
      <c r="A44" s="67">
        <f>IF($BJ43&gt;0,INDEX($BA$5:$BA$41,MATCH(43,$BB$5:$BB$41,0)),IF(OR($BI43=1,$BL43=1,$BH43&gt;0),"∑",""))</f>
        <v/>
      </c>
      <c r="B44" s="68">
        <f>IF($BJ43&gt;0,IF(INDEX('Final Calculation Sheet'!$F$4:$F$40,$BJ43-3)="","",INDEX('Final Calculation Sheet'!$F$4:$F$40,$BJ43-3)),"")</f>
        <v/>
      </c>
      <c r="C44" s="68">
        <f>IF($BJ43&gt;0,IF(INDEX('Final Calculation Sheet'!$G$4:$G$40,$BJ43-3)="","",INDEX('Final Calculation Sheet'!$G$4:$G$40,$BJ43-3)),IF(OR($BI43=1,$BL43=1,$BH43&gt;0),IF($BI43=1,37,IF($BL43=1,37-INDEX($BD$4:$BD$13,10),INDEX($BD$4:$BD$13,$BH43)))&amp;" lot(s)",""))</f>
        <v/>
      </c>
      <c r="D44" s="69">
        <f>IF($BJ43&gt;0,IF(INDEX('Final Calculation Sheet'!$B$4:$B$40,$BJ43-3)="","",INDEX('Final Calculation Sheet'!$B$4:$B$40,$BJ43-3)),IF(OR($BI43=1,$BL43=1,$BH43&gt;0),IF($BI43=1,"GRAND TOTAL  —  matching + remaining",IF($BL43=1,"TOTAL MATCHED  —  every group together",IF($BH43=10,"REMAINING  —  did not match the search",IF($BH43=9,IF(COUNTIF($A$4:$AI$4,"&lt;&gt;")&gt;0,"FILTERED LOTS  —  column fields","ALL LOTS  —  nothing typed in the box"),"GROUP "&amp;$BH43&amp;" TOTAL  —  lots matching  "&amp;INDEX($AR$6:$AY$6,$BH43))))),""))</f>
        <v/>
      </c>
      <c r="E44" s="69">
        <f>IF($BJ43&gt;0,IF(INDEX('Final Calculation Sheet'!$D$4:$D$40,$BJ43-3)="","",INDEX('Final Calculation Sheet'!$D$4:$D$40,$BJ43-3)),IF(OR($BI43=1,$BL43=1,$BH43&gt;0),"–",""))</f>
        <v/>
      </c>
      <c r="F44" s="69">
        <f>IF($BJ43&gt;0,IF(INDEX('Final Calculation Sheet'!$A$4:$A$40,$BJ43-3)="","",INDEX('Final Calculation Sheet'!$A$4:$A$40,$BJ43-3)),IF(OR($BI43=1,$BL43=1,$BH43&gt;0),IF($BI43=1,SUM('Final Calculation Sheet'!$A$4:$A$40),IF($BL43=1,SUM('Final Calculation Sheet'!$A$4:$A$40)-SUMIFS('Final Calculation Sheet'!$A$4:$A$40,$AZ$5:$AZ$41,10),SUMIFS('Final Calculation Sheet'!$A$4:$A$40,$AZ$5:$AZ$41,$BH43))),""))</f>
        <v/>
      </c>
      <c r="G44" s="69">
        <f>IF($BJ43&gt;0,IF(INDEX('Final Calculation Sheet'!$E$4:$E$40,$BJ43-3)="","",INDEX('Final Calculation Sheet'!$E$4:$E$40,$BJ43-3)),IF(OR($BI43=1,$BL43=1,$BH43&gt;0),"–",""))</f>
        <v/>
      </c>
      <c r="H44" s="70">
        <f>IF($BJ43&gt;0,IF(INDEX('Final Calculation Sheet'!$C$4:$C$40,$BJ43-3)="","",INDEX('Final Calculation Sheet'!$C$4:$C$40,$BJ43-3)),IF(OR($BI43=1,$BL43=1,$BH43&gt;0),"–",""))</f>
        <v/>
      </c>
      <c r="I44" s="70">
        <f>IF($BJ43&gt;0,IF(INDEX('Final Calculation Sheet'!$H$4:$H$40,$BJ43-3)="","",INDEX('Final Calculation Sheet'!$H$4:$H$40,$BJ43-3)),IF(OR($BI43=1,$BL43=1,$BH43&gt;0),IF($BI43=1,SUM('Final Calculation Sheet'!$H$4:$H$40),IF($BL43=1,SUM('Final Calculation Sheet'!$H$4:$H$40)-SUMIFS('Final Calculation Sheet'!$H$4:$H$40,$AZ$5:$AZ$41,10),SUMIFS('Final Calculation Sheet'!$H$4:$H$40,$AZ$5:$AZ$41,$BH43))),""))</f>
        <v/>
      </c>
      <c r="J44" s="70">
        <f>IF($BJ43&gt;0,IF(INDEX('Final Calculation Sheet'!$I$4:$I$40,$BJ43-3)="","",INDEX('Final Calculation Sheet'!$I$4:$I$40,$BJ43-3)),IF(OR($BI43=1,$BL43=1,$BH43&gt;0),IF($BI43=1,SUM('Final Calculation Sheet'!$I$4:$I$40),IF($BL43=1,SUM('Final Calculation Sheet'!$I$4:$I$40)-SUMIFS('Final Calculation Sheet'!$I$4:$I$40,$AZ$5:$AZ$41,10),SUMIFS('Final Calculation Sheet'!$I$4:$I$40,$AZ$5:$AZ$41,$BH43))),""))</f>
        <v/>
      </c>
      <c r="K44" s="70">
        <f>IF($BJ43&gt;0,IF(INDEX('Final Calculation Sheet'!$J$4:$J$40,$BJ43-3)="","",INDEX('Final Calculation Sheet'!$J$4:$J$40,$BJ43-3)),IF(OR($BI43=1,$BL43=1,$BH43&gt;0),IF($BI43=1,SUM('Final Calculation Sheet'!$J$4:$J$40),IF($BL43=1,SUM('Final Calculation Sheet'!$J$4:$J$40)-SUMIFS('Final Calculation Sheet'!$J$4:$J$40,$AZ$5:$AZ$41,10),SUMIFS('Final Calculation Sheet'!$J$4:$J$40,$AZ$5:$AZ$41,$BH43))),""))</f>
        <v/>
      </c>
      <c r="L44" s="70">
        <f>IF($BJ43&gt;0,IF(INDEX('Final Calculation Sheet'!$K$4:$K$40,$BJ43-3)="","",INDEX('Final Calculation Sheet'!$K$4:$K$40,$BJ43-3)),IF(OR($BI43=1,$BL43=1,$BH43&gt;0),IF($BI43=1,SUM('Final Calculation Sheet'!$K$4:$K$40),IF($BL43=1,SUM('Final Calculation Sheet'!$K$4:$K$40)-SUMIFS('Final Calculation Sheet'!$K$4:$K$40,$AZ$5:$AZ$41,10),SUMIFS('Final Calculation Sheet'!$K$4:$K$40,$AZ$5:$AZ$41,$BH43))),""))</f>
        <v/>
      </c>
      <c r="M44" s="70">
        <f>IF($BJ43&gt;0,IF(INDEX('Final Calculation Sheet'!$L$4:$L$40,$BJ43-3)="","",INDEX('Final Calculation Sheet'!$L$4:$L$40,$BJ43-3)),IF(OR($BI43=1,$BL43=1,$BH43&gt;0),IF($BI43=1,SUM('Final Calculation Sheet'!$L$4:$L$40),IF($BL43=1,SUM('Final Calculation Sheet'!$L$4:$L$40)-SUMIFS('Final Calculation Sheet'!$L$4:$L$40,$AZ$5:$AZ$41,10),SUMIFS('Final Calculation Sheet'!$L$4:$L$40,$AZ$5:$AZ$41,$BH43))),""))</f>
        <v/>
      </c>
      <c r="N44" s="70">
        <f>IF($BJ43&gt;0,IF(INDEX('Final Calculation Sheet'!$M$4:$M$40,$BJ43-3)="","",INDEX('Final Calculation Sheet'!$M$4:$M$40,$BJ43-3)),IF(OR($BI43=1,$BL43=1,$BH43&gt;0),IF($BI43=1,SUM('Final Calculation Sheet'!$M$4:$M$40),IF($BL43=1,SUM('Final Calculation Sheet'!$M$4:$M$40)-SUMIFS('Final Calculation Sheet'!$M$4:$M$40,$AZ$5:$AZ$41,10),SUMIFS('Final Calculation Sheet'!$M$4:$M$40,$AZ$5:$AZ$41,$BH43))),""))</f>
        <v/>
      </c>
      <c r="O44" s="71">
        <f>IF($BJ43&gt;0,IF(INDEX('Final Calculation Sheet'!$N$4:$N$40,$BJ43-3)="","",INDEX('Final Calculation Sheet'!$N$4:$N$40,$BJ43-3)),IF(OR($BI43=1,$BL43=1,$BH43&gt;0),IF($BI43=1,SUM('Final Calculation Sheet'!$N$4:$N$40),IF($BL43=1,SUM('Final Calculation Sheet'!$N$4:$N$40)-SUMIFS('Final Calculation Sheet'!$N$4:$N$40,$AZ$5:$AZ$41,10),SUMIFS('Final Calculation Sheet'!$N$4:$N$40,$AZ$5:$AZ$41,$BH43))),""))</f>
        <v/>
      </c>
      <c r="P44" s="70">
        <f>IF($BJ43&gt;0,IF(INDEX('Final Calculation Sheet'!$O$4:$O$40,$BJ43-3)="","",INDEX('Final Calculation Sheet'!$O$4:$O$40,$BJ43-3)),IF(OR($BI43=1,$BL43=1,$BH43&gt;0),IF($BI43=1,SUM('Final Calculation Sheet'!$O$4:$O$40),IF($BL43=1,SUM('Final Calculation Sheet'!$O$4:$O$40)-SUMIFS('Final Calculation Sheet'!$O$4:$O$40,$AZ$5:$AZ$41,10),SUMIFS('Final Calculation Sheet'!$O$4:$O$40,$AZ$5:$AZ$41,$BH43))),""))</f>
        <v/>
      </c>
      <c r="Q44" s="70">
        <f>IF($BJ43&gt;0,IF(INDEX('Final Calculation Sheet'!$P$4:$P$40,$BJ43-3)="","",INDEX('Final Calculation Sheet'!$P$4:$P$40,$BJ43-3)),IF(OR($BI43=1,$BL43=1,$BH43&gt;0),IF($BI43=1,SUM('Final Calculation Sheet'!$P$4:$P$40),IF($BL43=1,SUM('Final Calculation Sheet'!$P$4:$P$40)-SUMIFS('Final Calculation Sheet'!$P$4:$P$40,$AZ$5:$AZ$41,10),SUMIFS('Final Calculation Sheet'!$P$4:$P$40,$AZ$5:$AZ$41,$BH43))),""))</f>
        <v/>
      </c>
      <c r="R44" s="72">
        <f>IF($BJ43&gt;0,IF(INDEX('Final Calculation Sheet'!$Q$4:$Q$40,$BJ43-3)="","",INDEX('Final Calculation Sheet'!$Q$4:$Q$40,$BJ43-3)),IF(OR($BI43=1,$BL43=1,$BH43&gt;0),"–",""))</f>
        <v/>
      </c>
      <c r="S44" s="70">
        <f>IF($BJ43&gt;0,IF(INDEX('Final Calculation Sheet'!$R$4:$R$40,$BJ43-3)="","",INDEX('Final Calculation Sheet'!$R$4:$R$40,$BJ43-3)),IF(OR($BI43=1,$BL43=1,$BH43&gt;0),IF($BI43=1,SUM('Final Calculation Sheet'!$R$4:$R$40),IF($BL43=1,SUM('Final Calculation Sheet'!$R$4:$R$40)-SUMIFS('Final Calculation Sheet'!$R$4:$R$40,$AZ$5:$AZ$41,10),SUMIFS('Final Calculation Sheet'!$R$4:$R$40,$AZ$5:$AZ$41,$BH43))),""))</f>
        <v/>
      </c>
      <c r="T44" s="70">
        <f>IF($BJ43&gt;0,IF(INDEX('Final Calculation Sheet'!$S$4:$S$40,$BJ43-3)="","",INDEX('Final Calculation Sheet'!$S$4:$S$40,$BJ43-3)),IF(OR($BI43=1,$BL43=1,$BH43&gt;0),IF($BI43=1,SUM('Final Calculation Sheet'!$S$4:$S$40),IF($BL43=1,SUM('Final Calculation Sheet'!$S$4:$S$40)-SUMIFS('Final Calculation Sheet'!$S$4:$S$40,$AZ$5:$AZ$41,10),SUMIFS('Final Calculation Sheet'!$S$4:$S$40,$AZ$5:$AZ$41,$BH43))),""))</f>
        <v/>
      </c>
      <c r="U44" s="70">
        <f>IF($BJ43&gt;0,IF(INDEX('Final Calculation Sheet'!$T$4:$T$40,$BJ43-3)="","",INDEX('Final Calculation Sheet'!$T$4:$T$40,$BJ43-3)),IF(OR($BI43=1,$BL43=1,$BH43&gt;0),IF($BI43=1,SUM('Final Calculation Sheet'!$T$4:$T$40),IF($BL43=1,SUM('Final Calculation Sheet'!$T$4:$T$40)-SUMIFS('Final Calculation Sheet'!$T$4:$T$40,$AZ$5:$AZ$41,10),SUMIFS('Final Calculation Sheet'!$T$4:$T$40,$AZ$5:$AZ$41,$BH43))),""))</f>
        <v/>
      </c>
      <c r="V44" s="73">
        <f>IF($BJ43&gt;0,IF(INDEX('Final Calculation Sheet'!$U$4:$U$40,$BJ43-3)="","",INDEX('Final Calculation Sheet'!$U$4:$U$40,$BJ43-3)),IF(OR($BI43=1,$BL43=1,$BH43&gt;0),IF($BI43=1,SUM('Final Calculation Sheet'!$U$4:$U$40),IF($BL43=1,SUM('Final Calculation Sheet'!$U$4:$U$40)-SUMIFS('Final Calculation Sheet'!$U$4:$U$40,$AZ$5:$AZ$41,10),SUMIFS('Final Calculation Sheet'!$U$4:$U$40,$AZ$5:$AZ$41,$BH43))),""))</f>
        <v/>
      </c>
      <c r="W44" s="70">
        <f>IF($BJ43&gt;0,IF(INDEX('Final Calculation Sheet'!$V$4:$V$40,$BJ43-3)="","",INDEX('Final Calculation Sheet'!$V$4:$V$40,$BJ43-3)),IF(OR($BI43=1,$BL43=1,$BH43&gt;0),"–",""))</f>
        <v/>
      </c>
      <c r="X44" s="70">
        <f>IF($BJ43&gt;0,IF(INDEX('Final Calculation Sheet'!$W$4:$W$40,$BJ43-3)="","",INDEX('Final Calculation Sheet'!$W$4:$W$40,$BJ43-3)),IF(OR($BI43=1,$BL43=1,$BH43&gt;0),IF($BI43=1,SUM('Final Calculation Sheet'!$W$4:$W$40),IF($BL43=1,SUM('Final Calculation Sheet'!$W$4:$W$40)-SUMIFS('Final Calculation Sheet'!$W$4:$W$40,$AZ$5:$AZ$41,10),SUMIFS('Final Calculation Sheet'!$W$4:$W$40,$AZ$5:$AZ$41,$BH43))),""))</f>
        <v/>
      </c>
      <c r="Y44" s="70">
        <f>IF($BJ43&gt;0,IF(INDEX('Final Calculation Sheet'!$X$4:$X$40,$BJ43-3)="","",INDEX('Final Calculation Sheet'!$X$4:$X$40,$BJ43-3)),IF(OR($BI43=1,$BL43=1,$BH43&gt;0),IF($BI43=1,SUM('Final Calculation Sheet'!$X$4:$X$40),IF($BL43=1,SUM('Final Calculation Sheet'!$X$4:$X$40)-SUMIFS('Final Calculation Sheet'!$X$4:$X$40,$AZ$5:$AZ$41,10),SUMIFS('Final Calculation Sheet'!$X$4:$X$40,$AZ$5:$AZ$41,$BH43))),""))</f>
        <v/>
      </c>
      <c r="Z44" s="70">
        <f>IF($BJ43&gt;0,IF(INDEX('Final Calculation Sheet'!$Y$4:$Y$40,$BJ43-3)="","",INDEX('Final Calculation Sheet'!$Y$4:$Y$40,$BJ43-3)),IF(OR($BI43=1,$BL43=1,$BH43&gt;0),"–",""))</f>
        <v/>
      </c>
      <c r="AA44" s="70">
        <f>IF($BJ43&gt;0,IF(INDEX('Final Calculation Sheet'!$Z$4:$Z$40,$BJ43-3)="","",INDEX('Final Calculation Sheet'!$Z$4:$Z$40,$BJ43-3)),IF(OR($BI43=1,$BL43=1,$BH43&gt;0),IF($BI43=1,SUM('Final Calculation Sheet'!$Z$4:$Z$40),IF($BL43=1,SUM('Final Calculation Sheet'!$Z$4:$Z$40)-SUMIFS('Final Calculation Sheet'!$Z$4:$Z$40,$AZ$5:$AZ$41,10),SUMIFS('Final Calculation Sheet'!$Z$4:$Z$40,$AZ$5:$AZ$41,$BH43))),""))</f>
        <v/>
      </c>
      <c r="AB44" s="70">
        <f>IF($BJ43&gt;0,IF(INDEX('Final Calculation Sheet'!$AA$4:$AA$40,$BJ43-3)="","",INDEX('Final Calculation Sheet'!$AA$4:$AA$40,$BJ43-3)),IF(OR($BI43=1,$BL43=1,$BH43&gt;0),IF($BI43=1,SUM('Final Calculation Sheet'!$AA$4:$AA$40),IF($BL43=1,SUM('Final Calculation Sheet'!$AA$4:$AA$40)-SUMIFS('Final Calculation Sheet'!$AA$4:$AA$40,$AZ$5:$AZ$41,10),SUMIFS('Final Calculation Sheet'!$AA$4:$AA$40,$AZ$5:$AZ$41,$BH43))),""))</f>
        <v/>
      </c>
      <c r="AC44" s="70">
        <f>IF($BJ43&gt;0,IF(INDEX('Final Calculation Sheet'!$AB$4:$AB$40,$BJ43-3)="","",INDEX('Final Calculation Sheet'!$AB$4:$AB$40,$BJ43-3)),IF(OR($BI43=1,$BL43=1,$BH43&gt;0),"–",""))</f>
        <v/>
      </c>
      <c r="AD44" s="70">
        <f>IF($BJ43&gt;0,IF(INDEX('Final Calculation Sheet'!$AC$4:$AC$40,$BJ43-3)="","",INDEX('Final Calculation Sheet'!$AC$4:$AC$40,$BJ43-3)),IF(OR($BI43=1,$BL43=1,$BH43&gt;0),IF($BI43=1,SUM('Final Calculation Sheet'!$AC$4:$AC$40),IF($BL43=1,SUM('Final Calculation Sheet'!$AC$4:$AC$40)-SUMIFS('Final Calculation Sheet'!$AC$4:$AC$40,$AZ$5:$AZ$41,10),SUMIFS('Final Calculation Sheet'!$AC$4:$AC$40,$AZ$5:$AZ$41,$BH43))),""))</f>
        <v/>
      </c>
      <c r="AE44" s="70">
        <f>IF($BJ43&gt;0,IF(INDEX('Final Calculation Sheet'!$AD$4:$AD$40,$BJ43-3)="","",INDEX('Final Calculation Sheet'!$AD$4:$AD$40,$BJ43-3)),IF(OR($BI43=1,$BL43=1,$BH43&gt;0),IF($BI43=1,SUM('Final Calculation Sheet'!$AD$4:$AD$40),IF($BL43=1,SUM('Final Calculation Sheet'!$AD$4:$AD$40)-SUMIFS('Final Calculation Sheet'!$AD$4:$AD$40,$AZ$5:$AZ$41,10),SUMIFS('Final Calculation Sheet'!$AD$4:$AD$40,$AZ$5:$AZ$41,$BH43))),""))</f>
        <v/>
      </c>
      <c r="AF44" s="70">
        <f>IF($BJ43&gt;0,IF(INDEX('Final Calculation Sheet'!$AE$4:$AE$40,$BJ43-3)="","",INDEX('Final Calculation Sheet'!$AE$4:$AE$40,$BJ43-3)),IF(OR($BI43=1,$BL43=1,$BH43&gt;0),"–",""))</f>
        <v/>
      </c>
      <c r="AG44" s="74">
        <f>IF($BJ43&gt;0,IF(INDEX('Final Calculation Sheet'!$AF$4:$AF$40,$BJ43-3)="","",INDEX('Final Calculation Sheet'!$AF$4:$AF$40,$BJ43-3)),IF(OR($BI43=1,$BL43=1,$BH43&gt;0),"–",""))</f>
        <v/>
      </c>
      <c r="AH44" s="70">
        <f>IF($BJ43&gt;0,IF(INDEX('Final Calculation Sheet'!$AG$4:$AG$40,$BJ43-3)="","",INDEX('Final Calculation Sheet'!$AG$4:$AG$40,$BJ43-3)),IF(OR($BI43=1,$BL43=1,$BH43&gt;0),"–",""))</f>
        <v/>
      </c>
      <c r="AI44" s="75">
        <f>IF($BJ43&gt;0,IF(INDEX('Final Calculation Sheet'!$AD$4:$AD$40,$BJ43-3)="","",IF(INDEX('Final Calculation Sheet'!$AD$4:$AD$40,$BJ43-3)&lt;=0,"SETTLED","OUTSTANDING")),IF(OR($BI43=1,$BL43=1,$BH43&gt;0),IF(IF($BI43=1,SUM('Final Calculation Sheet'!$AD$4:$AD$40),IF($BL43=1,SUM('Final Calculation Sheet'!$AD$4:$AD$40)-SUMIFS('Final Calculation Sheet'!$AD$4:$AD$40,$AZ$5:$AZ$41,10),SUMIFS('Final Calculation Sheet'!$AD$4:$AD$40,$AZ$5:$AZ$41,$BH43)))&lt;=0,"ALL SETTLED","OUTSTANDING"),""))</f>
        <v/>
      </c>
      <c r="BH44">
        <f>IFERROR(MATCH(44,$BF$4:$BF$13,0),0)</f>
        <v/>
      </c>
      <c r="BI44">
        <f>IF(44=$BG$5,1,0)</f>
        <v/>
      </c>
      <c r="BJ44">
        <f>IF(OR($BH44&gt;0,$BI44=1,$BL44=1),0,IFERROR(INDEX($BC$5:$BC$41,MATCH(44,$BB$5:$BB$41,0)),0))</f>
        <v/>
      </c>
      <c r="BK44">
        <f>IF($BJ44&gt;0,IF(INDEX($AZ$5:$AZ$41,MATCH(44,$BB$5:$BB$41,0))=10,1,0),IF($BH44=10,1,0))</f>
        <v/>
      </c>
      <c r="BL44">
        <f>IF(44=$BG$4,1,0)</f>
        <v/>
      </c>
    </row>
    <row r="45" ht="15" customHeight="1" s="77">
      <c r="A45" s="67">
        <f>IF($BJ44&gt;0,INDEX($BA$5:$BA$41,MATCH(44,$BB$5:$BB$41,0)),IF(OR($BI44=1,$BL44=1,$BH44&gt;0),"∑",""))</f>
        <v/>
      </c>
      <c r="B45" s="68">
        <f>IF($BJ44&gt;0,IF(INDEX('Final Calculation Sheet'!$F$4:$F$40,$BJ44-3)="","",INDEX('Final Calculation Sheet'!$F$4:$F$40,$BJ44-3)),"")</f>
        <v/>
      </c>
      <c r="C45" s="68">
        <f>IF($BJ44&gt;0,IF(INDEX('Final Calculation Sheet'!$G$4:$G$40,$BJ44-3)="","",INDEX('Final Calculation Sheet'!$G$4:$G$40,$BJ44-3)),IF(OR($BI44=1,$BL44=1,$BH44&gt;0),IF($BI44=1,37,IF($BL44=1,37-INDEX($BD$4:$BD$13,10),INDEX($BD$4:$BD$13,$BH44)))&amp;" lot(s)",""))</f>
        <v/>
      </c>
      <c r="D45" s="69">
        <f>IF($BJ44&gt;0,IF(INDEX('Final Calculation Sheet'!$B$4:$B$40,$BJ44-3)="","",INDEX('Final Calculation Sheet'!$B$4:$B$40,$BJ44-3)),IF(OR($BI44=1,$BL44=1,$BH44&gt;0),IF($BI44=1,"GRAND TOTAL  —  matching + remaining",IF($BL44=1,"TOTAL MATCHED  —  every group together",IF($BH44=10,"REMAINING  —  did not match the search",IF($BH44=9,IF(COUNTIF($A$4:$AI$4,"&lt;&gt;")&gt;0,"FILTERED LOTS  —  column fields","ALL LOTS  —  nothing typed in the box"),"GROUP "&amp;$BH44&amp;" TOTAL  —  lots matching  "&amp;INDEX($AR$6:$AY$6,$BH44))))),""))</f>
        <v/>
      </c>
      <c r="E45" s="69">
        <f>IF($BJ44&gt;0,IF(INDEX('Final Calculation Sheet'!$D$4:$D$40,$BJ44-3)="","",INDEX('Final Calculation Sheet'!$D$4:$D$40,$BJ44-3)),IF(OR($BI44=1,$BL44=1,$BH44&gt;0),"–",""))</f>
        <v/>
      </c>
      <c r="F45" s="69">
        <f>IF($BJ44&gt;0,IF(INDEX('Final Calculation Sheet'!$A$4:$A$40,$BJ44-3)="","",INDEX('Final Calculation Sheet'!$A$4:$A$40,$BJ44-3)),IF(OR($BI44=1,$BL44=1,$BH44&gt;0),IF($BI44=1,SUM('Final Calculation Sheet'!$A$4:$A$40),IF($BL44=1,SUM('Final Calculation Sheet'!$A$4:$A$40)-SUMIFS('Final Calculation Sheet'!$A$4:$A$40,$AZ$5:$AZ$41,10),SUMIFS('Final Calculation Sheet'!$A$4:$A$40,$AZ$5:$AZ$41,$BH44))),""))</f>
        <v/>
      </c>
      <c r="G45" s="69">
        <f>IF($BJ44&gt;0,IF(INDEX('Final Calculation Sheet'!$E$4:$E$40,$BJ44-3)="","",INDEX('Final Calculation Sheet'!$E$4:$E$40,$BJ44-3)),IF(OR($BI44=1,$BL44=1,$BH44&gt;0),"–",""))</f>
        <v/>
      </c>
      <c r="H45" s="70">
        <f>IF($BJ44&gt;0,IF(INDEX('Final Calculation Sheet'!$C$4:$C$40,$BJ44-3)="","",INDEX('Final Calculation Sheet'!$C$4:$C$40,$BJ44-3)),IF(OR($BI44=1,$BL44=1,$BH44&gt;0),"–",""))</f>
        <v/>
      </c>
      <c r="I45" s="70">
        <f>IF($BJ44&gt;0,IF(INDEX('Final Calculation Sheet'!$H$4:$H$40,$BJ44-3)="","",INDEX('Final Calculation Sheet'!$H$4:$H$40,$BJ44-3)),IF(OR($BI44=1,$BL44=1,$BH44&gt;0),IF($BI44=1,SUM('Final Calculation Sheet'!$H$4:$H$40),IF($BL44=1,SUM('Final Calculation Sheet'!$H$4:$H$40)-SUMIFS('Final Calculation Sheet'!$H$4:$H$40,$AZ$5:$AZ$41,10),SUMIFS('Final Calculation Sheet'!$H$4:$H$40,$AZ$5:$AZ$41,$BH44))),""))</f>
        <v/>
      </c>
      <c r="J45" s="70">
        <f>IF($BJ44&gt;0,IF(INDEX('Final Calculation Sheet'!$I$4:$I$40,$BJ44-3)="","",INDEX('Final Calculation Sheet'!$I$4:$I$40,$BJ44-3)),IF(OR($BI44=1,$BL44=1,$BH44&gt;0),IF($BI44=1,SUM('Final Calculation Sheet'!$I$4:$I$40),IF($BL44=1,SUM('Final Calculation Sheet'!$I$4:$I$40)-SUMIFS('Final Calculation Sheet'!$I$4:$I$40,$AZ$5:$AZ$41,10),SUMIFS('Final Calculation Sheet'!$I$4:$I$40,$AZ$5:$AZ$41,$BH44))),""))</f>
        <v/>
      </c>
      <c r="K45" s="70">
        <f>IF($BJ44&gt;0,IF(INDEX('Final Calculation Sheet'!$J$4:$J$40,$BJ44-3)="","",INDEX('Final Calculation Sheet'!$J$4:$J$40,$BJ44-3)),IF(OR($BI44=1,$BL44=1,$BH44&gt;0),IF($BI44=1,SUM('Final Calculation Sheet'!$J$4:$J$40),IF($BL44=1,SUM('Final Calculation Sheet'!$J$4:$J$40)-SUMIFS('Final Calculation Sheet'!$J$4:$J$40,$AZ$5:$AZ$41,10),SUMIFS('Final Calculation Sheet'!$J$4:$J$40,$AZ$5:$AZ$41,$BH44))),""))</f>
        <v/>
      </c>
      <c r="L45" s="70">
        <f>IF($BJ44&gt;0,IF(INDEX('Final Calculation Sheet'!$K$4:$K$40,$BJ44-3)="","",INDEX('Final Calculation Sheet'!$K$4:$K$40,$BJ44-3)),IF(OR($BI44=1,$BL44=1,$BH44&gt;0),IF($BI44=1,SUM('Final Calculation Sheet'!$K$4:$K$40),IF($BL44=1,SUM('Final Calculation Sheet'!$K$4:$K$40)-SUMIFS('Final Calculation Sheet'!$K$4:$K$40,$AZ$5:$AZ$41,10),SUMIFS('Final Calculation Sheet'!$K$4:$K$40,$AZ$5:$AZ$41,$BH44))),""))</f>
        <v/>
      </c>
      <c r="M45" s="70">
        <f>IF($BJ44&gt;0,IF(INDEX('Final Calculation Sheet'!$L$4:$L$40,$BJ44-3)="","",INDEX('Final Calculation Sheet'!$L$4:$L$40,$BJ44-3)),IF(OR($BI44=1,$BL44=1,$BH44&gt;0),IF($BI44=1,SUM('Final Calculation Sheet'!$L$4:$L$40),IF($BL44=1,SUM('Final Calculation Sheet'!$L$4:$L$40)-SUMIFS('Final Calculation Sheet'!$L$4:$L$40,$AZ$5:$AZ$41,10),SUMIFS('Final Calculation Sheet'!$L$4:$L$40,$AZ$5:$AZ$41,$BH44))),""))</f>
        <v/>
      </c>
      <c r="N45" s="70">
        <f>IF($BJ44&gt;0,IF(INDEX('Final Calculation Sheet'!$M$4:$M$40,$BJ44-3)="","",INDEX('Final Calculation Sheet'!$M$4:$M$40,$BJ44-3)),IF(OR($BI44=1,$BL44=1,$BH44&gt;0),IF($BI44=1,SUM('Final Calculation Sheet'!$M$4:$M$40),IF($BL44=1,SUM('Final Calculation Sheet'!$M$4:$M$40)-SUMIFS('Final Calculation Sheet'!$M$4:$M$40,$AZ$5:$AZ$41,10),SUMIFS('Final Calculation Sheet'!$M$4:$M$40,$AZ$5:$AZ$41,$BH44))),""))</f>
        <v/>
      </c>
      <c r="O45" s="71">
        <f>IF($BJ44&gt;0,IF(INDEX('Final Calculation Sheet'!$N$4:$N$40,$BJ44-3)="","",INDEX('Final Calculation Sheet'!$N$4:$N$40,$BJ44-3)),IF(OR($BI44=1,$BL44=1,$BH44&gt;0),IF($BI44=1,SUM('Final Calculation Sheet'!$N$4:$N$40),IF($BL44=1,SUM('Final Calculation Sheet'!$N$4:$N$40)-SUMIFS('Final Calculation Sheet'!$N$4:$N$40,$AZ$5:$AZ$41,10),SUMIFS('Final Calculation Sheet'!$N$4:$N$40,$AZ$5:$AZ$41,$BH44))),""))</f>
        <v/>
      </c>
      <c r="P45" s="70">
        <f>IF($BJ44&gt;0,IF(INDEX('Final Calculation Sheet'!$O$4:$O$40,$BJ44-3)="","",INDEX('Final Calculation Sheet'!$O$4:$O$40,$BJ44-3)),IF(OR($BI44=1,$BL44=1,$BH44&gt;0),IF($BI44=1,SUM('Final Calculation Sheet'!$O$4:$O$40),IF($BL44=1,SUM('Final Calculation Sheet'!$O$4:$O$40)-SUMIFS('Final Calculation Sheet'!$O$4:$O$40,$AZ$5:$AZ$41,10),SUMIFS('Final Calculation Sheet'!$O$4:$O$40,$AZ$5:$AZ$41,$BH44))),""))</f>
        <v/>
      </c>
      <c r="Q45" s="70">
        <f>IF($BJ44&gt;0,IF(INDEX('Final Calculation Sheet'!$P$4:$P$40,$BJ44-3)="","",INDEX('Final Calculation Sheet'!$P$4:$P$40,$BJ44-3)),IF(OR($BI44=1,$BL44=1,$BH44&gt;0),IF($BI44=1,SUM('Final Calculation Sheet'!$P$4:$P$40),IF($BL44=1,SUM('Final Calculation Sheet'!$P$4:$P$40)-SUMIFS('Final Calculation Sheet'!$P$4:$P$40,$AZ$5:$AZ$41,10),SUMIFS('Final Calculation Sheet'!$P$4:$P$40,$AZ$5:$AZ$41,$BH44))),""))</f>
        <v/>
      </c>
      <c r="R45" s="72">
        <f>IF($BJ44&gt;0,IF(INDEX('Final Calculation Sheet'!$Q$4:$Q$40,$BJ44-3)="","",INDEX('Final Calculation Sheet'!$Q$4:$Q$40,$BJ44-3)),IF(OR($BI44=1,$BL44=1,$BH44&gt;0),"–",""))</f>
        <v/>
      </c>
      <c r="S45" s="70">
        <f>IF($BJ44&gt;0,IF(INDEX('Final Calculation Sheet'!$R$4:$R$40,$BJ44-3)="","",INDEX('Final Calculation Sheet'!$R$4:$R$40,$BJ44-3)),IF(OR($BI44=1,$BL44=1,$BH44&gt;0),IF($BI44=1,SUM('Final Calculation Sheet'!$R$4:$R$40),IF($BL44=1,SUM('Final Calculation Sheet'!$R$4:$R$40)-SUMIFS('Final Calculation Sheet'!$R$4:$R$40,$AZ$5:$AZ$41,10),SUMIFS('Final Calculation Sheet'!$R$4:$R$40,$AZ$5:$AZ$41,$BH44))),""))</f>
        <v/>
      </c>
      <c r="T45" s="70">
        <f>IF($BJ44&gt;0,IF(INDEX('Final Calculation Sheet'!$S$4:$S$40,$BJ44-3)="","",INDEX('Final Calculation Sheet'!$S$4:$S$40,$BJ44-3)),IF(OR($BI44=1,$BL44=1,$BH44&gt;0),IF($BI44=1,SUM('Final Calculation Sheet'!$S$4:$S$40),IF($BL44=1,SUM('Final Calculation Sheet'!$S$4:$S$40)-SUMIFS('Final Calculation Sheet'!$S$4:$S$40,$AZ$5:$AZ$41,10),SUMIFS('Final Calculation Sheet'!$S$4:$S$40,$AZ$5:$AZ$41,$BH44))),""))</f>
        <v/>
      </c>
      <c r="U45" s="70">
        <f>IF($BJ44&gt;0,IF(INDEX('Final Calculation Sheet'!$T$4:$T$40,$BJ44-3)="","",INDEX('Final Calculation Sheet'!$T$4:$T$40,$BJ44-3)),IF(OR($BI44=1,$BL44=1,$BH44&gt;0),IF($BI44=1,SUM('Final Calculation Sheet'!$T$4:$T$40),IF($BL44=1,SUM('Final Calculation Sheet'!$T$4:$T$40)-SUMIFS('Final Calculation Sheet'!$T$4:$T$40,$AZ$5:$AZ$41,10),SUMIFS('Final Calculation Sheet'!$T$4:$T$40,$AZ$5:$AZ$41,$BH44))),""))</f>
        <v/>
      </c>
      <c r="V45" s="73">
        <f>IF($BJ44&gt;0,IF(INDEX('Final Calculation Sheet'!$U$4:$U$40,$BJ44-3)="","",INDEX('Final Calculation Sheet'!$U$4:$U$40,$BJ44-3)),IF(OR($BI44=1,$BL44=1,$BH44&gt;0),IF($BI44=1,SUM('Final Calculation Sheet'!$U$4:$U$40),IF($BL44=1,SUM('Final Calculation Sheet'!$U$4:$U$40)-SUMIFS('Final Calculation Sheet'!$U$4:$U$40,$AZ$5:$AZ$41,10),SUMIFS('Final Calculation Sheet'!$U$4:$U$40,$AZ$5:$AZ$41,$BH44))),""))</f>
        <v/>
      </c>
      <c r="W45" s="70">
        <f>IF($BJ44&gt;0,IF(INDEX('Final Calculation Sheet'!$V$4:$V$40,$BJ44-3)="","",INDEX('Final Calculation Sheet'!$V$4:$V$40,$BJ44-3)),IF(OR($BI44=1,$BL44=1,$BH44&gt;0),"–",""))</f>
        <v/>
      </c>
      <c r="X45" s="70">
        <f>IF($BJ44&gt;0,IF(INDEX('Final Calculation Sheet'!$W$4:$W$40,$BJ44-3)="","",INDEX('Final Calculation Sheet'!$W$4:$W$40,$BJ44-3)),IF(OR($BI44=1,$BL44=1,$BH44&gt;0),IF($BI44=1,SUM('Final Calculation Sheet'!$W$4:$W$40),IF($BL44=1,SUM('Final Calculation Sheet'!$W$4:$W$40)-SUMIFS('Final Calculation Sheet'!$W$4:$W$40,$AZ$5:$AZ$41,10),SUMIFS('Final Calculation Sheet'!$W$4:$W$40,$AZ$5:$AZ$41,$BH44))),""))</f>
        <v/>
      </c>
      <c r="Y45" s="70">
        <f>IF($BJ44&gt;0,IF(INDEX('Final Calculation Sheet'!$X$4:$X$40,$BJ44-3)="","",INDEX('Final Calculation Sheet'!$X$4:$X$40,$BJ44-3)),IF(OR($BI44=1,$BL44=1,$BH44&gt;0),IF($BI44=1,SUM('Final Calculation Sheet'!$X$4:$X$40),IF($BL44=1,SUM('Final Calculation Sheet'!$X$4:$X$40)-SUMIFS('Final Calculation Sheet'!$X$4:$X$40,$AZ$5:$AZ$41,10),SUMIFS('Final Calculation Sheet'!$X$4:$X$40,$AZ$5:$AZ$41,$BH44))),""))</f>
        <v/>
      </c>
      <c r="Z45" s="70">
        <f>IF($BJ44&gt;0,IF(INDEX('Final Calculation Sheet'!$Y$4:$Y$40,$BJ44-3)="","",INDEX('Final Calculation Sheet'!$Y$4:$Y$40,$BJ44-3)),IF(OR($BI44=1,$BL44=1,$BH44&gt;0),"–",""))</f>
        <v/>
      </c>
      <c r="AA45" s="70">
        <f>IF($BJ44&gt;0,IF(INDEX('Final Calculation Sheet'!$Z$4:$Z$40,$BJ44-3)="","",INDEX('Final Calculation Sheet'!$Z$4:$Z$40,$BJ44-3)),IF(OR($BI44=1,$BL44=1,$BH44&gt;0),IF($BI44=1,SUM('Final Calculation Sheet'!$Z$4:$Z$40),IF($BL44=1,SUM('Final Calculation Sheet'!$Z$4:$Z$40)-SUMIFS('Final Calculation Sheet'!$Z$4:$Z$40,$AZ$5:$AZ$41,10),SUMIFS('Final Calculation Sheet'!$Z$4:$Z$40,$AZ$5:$AZ$41,$BH44))),""))</f>
        <v/>
      </c>
      <c r="AB45" s="70">
        <f>IF($BJ44&gt;0,IF(INDEX('Final Calculation Sheet'!$AA$4:$AA$40,$BJ44-3)="","",INDEX('Final Calculation Sheet'!$AA$4:$AA$40,$BJ44-3)),IF(OR($BI44=1,$BL44=1,$BH44&gt;0),IF($BI44=1,SUM('Final Calculation Sheet'!$AA$4:$AA$40),IF($BL44=1,SUM('Final Calculation Sheet'!$AA$4:$AA$40)-SUMIFS('Final Calculation Sheet'!$AA$4:$AA$40,$AZ$5:$AZ$41,10),SUMIFS('Final Calculation Sheet'!$AA$4:$AA$40,$AZ$5:$AZ$41,$BH44))),""))</f>
        <v/>
      </c>
      <c r="AC45" s="70">
        <f>IF($BJ44&gt;0,IF(INDEX('Final Calculation Sheet'!$AB$4:$AB$40,$BJ44-3)="","",INDEX('Final Calculation Sheet'!$AB$4:$AB$40,$BJ44-3)),IF(OR($BI44=1,$BL44=1,$BH44&gt;0),"–",""))</f>
        <v/>
      </c>
      <c r="AD45" s="70">
        <f>IF($BJ44&gt;0,IF(INDEX('Final Calculation Sheet'!$AC$4:$AC$40,$BJ44-3)="","",INDEX('Final Calculation Sheet'!$AC$4:$AC$40,$BJ44-3)),IF(OR($BI44=1,$BL44=1,$BH44&gt;0),IF($BI44=1,SUM('Final Calculation Sheet'!$AC$4:$AC$40),IF($BL44=1,SUM('Final Calculation Sheet'!$AC$4:$AC$40)-SUMIFS('Final Calculation Sheet'!$AC$4:$AC$40,$AZ$5:$AZ$41,10),SUMIFS('Final Calculation Sheet'!$AC$4:$AC$40,$AZ$5:$AZ$41,$BH44))),""))</f>
        <v/>
      </c>
      <c r="AE45" s="70">
        <f>IF($BJ44&gt;0,IF(INDEX('Final Calculation Sheet'!$AD$4:$AD$40,$BJ44-3)="","",INDEX('Final Calculation Sheet'!$AD$4:$AD$40,$BJ44-3)),IF(OR($BI44=1,$BL44=1,$BH44&gt;0),IF($BI44=1,SUM('Final Calculation Sheet'!$AD$4:$AD$40),IF($BL44=1,SUM('Final Calculation Sheet'!$AD$4:$AD$40)-SUMIFS('Final Calculation Sheet'!$AD$4:$AD$40,$AZ$5:$AZ$41,10),SUMIFS('Final Calculation Sheet'!$AD$4:$AD$40,$AZ$5:$AZ$41,$BH44))),""))</f>
        <v/>
      </c>
      <c r="AF45" s="70">
        <f>IF($BJ44&gt;0,IF(INDEX('Final Calculation Sheet'!$AE$4:$AE$40,$BJ44-3)="","",INDEX('Final Calculation Sheet'!$AE$4:$AE$40,$BJ44-3)),IF(OR($BI44=1,$BL44=1,$BH44&gt;0),"–",""))</f>
        <v/>
      </c>
      <c r="AG45" s="74">
        <f>IF($BJ44&gt;0,IF(INDEX('Final Calculation Sheet'!$AF$4:$AF$40,$BJ44-3)="","",INDEX('Final Calculation Sheet'!$AF$4:$AF$40,$BJ44-3)),IF(OR($BI44=1,$BL44=1,$BH44&gt;0),"–",""))</f>
        <v/>
      </c>
      <c r="AH45" s="70">
        <f>IF($BJ44&gt;0,IF(INDEX('Final Calculation Sheet'!$AG$4:$AG$40,$BJ44-3)="","",INDEX('Final Calculation Sheet'!$AG$4:$AG$40,$BJ44-3)),IF(OR($BI44=1,$BL44=1,$BH44&gt;0),"–",""))</f>
        <v/>
      </c>
      <c r="AI45" s="75">
        <f>IF($BJ44&gt;0,IF(INDEX('Final Calculation Sheet'!$AD$4:$AD$40,$BJ44-3)="","",IF(INDEX('Final Calculation Sheet'!$AD$4:$AD$40,$BJ44-3)&lt;=0,"SETTLED","OUTSTANDING")),IF(OR($BI44=1,$BL44=1,$BH44&gt;0),IF(IF($BI44=1,SUM('Final Calculation Sheet'!$AD$4:$AD$40),IF($BL44=1,SUM('Final Calculation Sheet'!$AD$4:$AD$40)-SUMIFS('Final Calculation Sheet'!$AD$4:$AD$40,$AZ$5:$AZ$41,10),SUMIFS('Final Calculation Sheet'!$AD$4:$AD$40,$AZ$5:$AZ$41,$BH44)))&lt;=0,"ALL SETTLED","OUTSTANDING"),""))</f>
        <v/>
      </c>
      <c r="BH45">
        <f>IFERROR(MATCH(45,$BF$4:$BF$13,0),0)</f>
        <v/>
      </c>
      <c r="BI45">
        <f>IF(45=$BG$5,1,0)</f>
        <v/>
      </c>
      <c r="BJ45">
        <f>IF(OR($BH45&gt;0,$BI45=1,$BL45=1),0,IFERROR(INDEX($BC$5:$BC$41,MATCH(45,$BB$5:$BB$41,0)),0))</f>
        <v/>
      </c>
      <c r="BK45">
        <f>IF($BJ45&gt;0,IF(INDEX($AZ$5:$AZ$41,MATCH(45,$BB$5:$BB$41,0))=10,1,0),IF($BH45=10,1,0))</f>
        <v/>
      </c>
      <c r="BL45">
        <f>IF(45=$BG$4,1,0)</f>
        <v/>
      </c>
    </row>
    <row r="46" ht="15" customHeight="1" s="77">
      <c r="A46" s="67">
        <f>IF($BJ45&gt;0,INDEX($BA$5:$BA$41,MATCH(45,$BB$5:$BB$41,0)),IF(OR($BI45=1,$BL45=1,$BH45&gt;0),"∑",""))</f>
        <v/>
      </c>
      <c r="B46" s="68">
        <f>IF($BJ45&gt;0,IF(INDEX('Final Calculation Sheet'!$F$4:$F$40,$BJ45-3)="","",INDEX('Final Calculation Sheet'!$F$4:$F$40,$BJ45-3)),"")</f>
        <v/>
      </c>
      <c r="C46" s="68">
        <f>IF($BJ45&gt;0,IF(INDEX('Final Calculation Sheet'!$G$4:$G$40,$BJ45-3)="","",INDEX('Final Calculation Sheet'!$G$4:$G$40,$BJ45-3)),IF(OR($BI45=1,$BL45=1,$BH45&gt;0),IF($BI45=1,37,IF($BL45=1,37-INDEX($BD$4:$BD$13,10),INDEX($BD$4:$BD$13,$BH45)))&amp;" lot(s)",""))</f>
        <v/>
      </c>
      <c r="D46" s="69">
        <f>IF($BJ45&gt;0,IF(INDEX('Final Calculation Sheet'!$B$4:$B$40,$BJ45-3)="","",INDEX('Final Calculation Sheet'!$B$4:$B$40,$BJ45-3)),IF(OR($BI45=1,$BL45=1,$BH45&gt;0),IF($BI45=1,"GRAND TOTAL  —  matching + remaining",IF($BL45=1,"TOTAL MATCHED  —  every group together",IF($BH45=10,"REMAINING  —  did not match the search",IF($BH45=9,IF(COUNTIF($A$4:$AI$4,"&lt;&gt;")&gt;0,"FILTERED LOTS  —  column fields","ALL LOTS  —  nothing typed in the box"),"GROUP "&amp;$BH45&amp;" TOTAL  —  lots matching  "&amp;INDEX($AR$6:$AY$6,$BH45))))),""))</f>
        <v/>
      </c>
      <c r="E46" s="69">
        <f>IF($BJ45&gt;0,IF(INDEX('Final Calculation Sheet'!$D$4:$D$40,$BJ45-3)="","",INDEX('Final Calculation Sheet'!$D$4:$D$40,$BJ45-3)),IF(OR($BI45=1,$BL45=1,$BH45&gt;0),"–",""))</f>
        <v/>
      </c>
      <c r="F46" s="69">
        <f>IF($BJ45&gt;0,IF(INDEX('Final Calculation Sheet'!$A$4:$A$40,$BJ45-3)="","",INDEX('Final Calculation Sheet'!$A$4:$A$40,$BJ45-3)),IF(OR($BI45=1,$BL45=1,$BH45&gt;0),IF($BI45=1,SUM('Final Calculation Sheet'!$A$4:$A$40),IF($BL45=1,SUM('Final Calculation Sheet'!$A$4:$A$40)-SUMIFS('Final Calculation Sheet'!$A$4:$A$40,$AZ$5:$AZ$41,10),SUMIFS('Final Calculation Sheet'!$A$4:$A$40,$AZ$5:$AZ$41,$BH45))),""))</f>
        <v/>
      </c>
      <c r="G46" s="69">
        <f>IF($BJ45&gt;0,IF(INDEX('Final Calculation Sheet'!$E$4:$E$40,$BJ45-3)="","",INDEX('Final Calculation Sheet'!$E$4:$E$40,$BJ45-3)),IF(OR($BI45=1,$BL45=1,$BH45&gt;0),"–",""))</f>
        <v/>
      </c>
      <c r="H46" s="70">
        <f>IF($BJ45&gt;0,IF(INDEX('Final Calculation Sheet'!$C$4:$C$40,$BJ45-3)="","",INDEX('Final Calculation Sheet'!$C$4:$C$40,$BJ45-3)),IF(OR($BI45=1,$BL45=1,$BH45&gt;0),"–",""))</f>
        <v/>
      </c>
      <c r="I46" s="70">
        <f>IF($BJ45&gt;0,IF(INDEX('Final Calculation Sheet'!$H$4:$H$40,$BJ45-3)="","",INDEX('Final Calculation Sheet'!$H$4:$H$40,$BJ45-3)),IF(OR($BI45=1,$BL45=1,$BH45&gt;0),IF($BI45=1,SUM('Final Calculation Sheet'!$H$4:$H$40),IF($BL45=1,SUM('Final Calculation Sheet'!$H$4:$H$40)-SUMIFS('Final Calculation Sheet'!$H$4:$H$40,$AZ$5:$AZ$41,10),SUMIFS('Final Calculation Sheet'!$H$4:$H$40,$AZ$5:$AZ$41,$BH45))),""))</f>
        <v/>
      </c>
      <c r="J46" s="70">
        <f>IF($BJ45&gt;0,IF(INDEX('Final Calculation Sheet'!$I$4:$I$40,$BJ45-3)="","",INDEX('Final Calculation Sheet'!$I$4:$I$40,$BJ45-3)),IF(OR($BI45=1,$BL45=1,$BH45&gt;0),IF($BI45=1,SUM('Final Calculation Sheet'!$I$4:$I$40),IF($BL45=1,SUM('Final Calculation Sheet'!$I$4:$I$40)-SUMIFS('Final Calculation Sheet'!$I$4:$I$40,$AZ$5:$AZ$41,10),SUMIFS('Final Calculation Sheet'!$I$4:$I$40,$AZ$5:$AZ$41,$BH45))),""))</f>
        <v/>
      </c>
      <c r="K46" s="70">
        <f>IF($BJ45&gt;0,IF(INDEX('Final Calculation Sheet'!$J$4:$J$40,$BJ45-3)="","",INDEX('Final Calculation Sheet'!$J$4:$J$40,$BJ45-3)),IF(OR($BI45=1,$BL45=1,$BH45&gt;0),IF($BI45=1,SUM('Final Calculation Sheet'!$J$4:$J$40),IF($BL45=1,SUM('Final Calculation Sheet'!$J$4:$J$40)-SUMIFS('Final Calculation Sheet'!$J$4:$J$40,$AZ$5:$AZ$41,10),SUMIFS('Final Calculation Sheet'!$J$4:$J$40,$AZ$5:$AZ$41,$BH45))),""))</f>
        <v/>
      </c>
      <c r="L46" s="70">
        <f>IF($BJ45&gt;0,IF(INDEX('Final Calculation Sheet'!$K$4:$K$40,$BJ45-3)="","",INDEX('Final Calculation Sheet'!$K$4:$K$40,$BJ45-3)),IF(OR($BI45=1,$BL45=1,$BH45&gt;0),IF($BI45=1,SUM('Final Calculation Sheet'!$K$4:$K$40),IF($BL45=1,SUM('Final Calculation Sheet'!$K$4:$K$40)-SUMIFS('Final Calculation Sheet'!$K$4:$K$40,$AZ$5:$AZ$41,10),SUMIFS('Final Calculation Sheet'!$K$4:$K$40,$AZ$5:$AZ$41,$BH45))),""))</f>
        <v/>
      </c>
      <c r="M46" s="70">
        <f>IF($BJ45&gt;0,IF(INDEX('Final Calculation Sheet'!$L$4:$L$40,$BJ45-3)="","",INDEX('Final Calculation Sheet'!$L$4:$L$40,$BJ45-3)),IF(OR($BI45=1,$BL45=1,$BH45&gt;0),IF($BI45=1,SUM('Final Calculation Sheet'!$L$4:$L$40),IF($BL45=1,SUM('Final Calculation Sheet'!$L$4:$L$40)-SUMIFS('Final Calculation Sheet'!$L$4:$L$40,$AZ$5:$AZ$41,10),SUMIFS('Final Calculation Sheet'!$L$4:$L$40,$AZ$5:$AZ$41,$BH45))),""))</f>
        <v/>
      </c>
      <c r="N46" s="70">
        <f>IF($BJ45&gt;0,IF(INDEX('Final Calculation Sheet'!$M$4:$M$40,$BJ45-3)="","",INDEX('Final Calculation Sheet'!$M$4:$M$40,$BJ45-3)),IF(OR($BI45=1,$BL45=1,$BH45&gt;0),IF($BI45=1,SUM('Final Calculation Sheet'!$M$4:$M$40),IF($BL45=1,SUM('Final Calculation Sheet'!$M$4:$M$40)-SUMIFS('Final Calculation Sheet'!$M$4:$M$40,$AZ$5:$AZ$41,10),SUMIFS('Final Calculation Sheet'!$M$4:$M$40,$AZ$5:$AZ$41,$BH45))),""))</f>
        <v/>
      </c>
      <c r="O46" s="71">
        <f>IF($BJ45&gt;0,IF(INDEX('Final Calculation Sheet'!$N$4:$N$40,$BJ45-3)="","",INDEX('Final Calculation Sheet'!$N$4:$N$40,$BJ45-3)),IF(OR($BI45=1,$BL45=1,$BH45&gt;0),IF($BI45=1,SUM('Final Calculation Sheet'!$N$4:$N$40),IF($BL45=1,SUM('Final Calculation Sheet'!$N$4:$N$40)-SUMIFS('Final Calculation Sheet'!$N$4:$N$40,$AZ$5:$AZ$41,10),SUMIFS('Final Calculation Sheet'!$N$4:$N$40,$AZ$5:$AZ$41,$BH45))),""))</f>
        <v/>
      </c>
      <c r="P46" s="70">
        <f>IF($BJ45&gt;0,IF(INDEX('Final Calculation Sheet'!$O$4:$O$40,$BJ45-3)="","",INDEX('Final Calculation Sheet'!$O$4:$O$40,$BJ45-3)),IF(OR($BI45=1,$BL45=1,$BH45&gt;0),IF($BI45=1,SUM('Final Calculation Sheet'!$O$4:$O$40),IF($BL45=1,SUM('Final Calculation Sheet'!$O$4:$O$40)-SUMIFS('Final Calculation Sheet'!$O$4:$O$40,$AZ$5:$AZ$41,10),SUMIFS('Final Calculation Sheet'!$O$4:$O$40,$AZ$5:$AZ$41,$BH45))),""))</f>
        <v/>
      </c>
      <c r="Q46" s="70">
        <f>IF($BJ45&gt;0,IF(INDEX('Final Calculation Sheet'!$P$4:$P$40,$BJ45-3)="","",INDEX('Final Calculation Sheet'!$P$4:$P$40,$BJ45-3)),IF(OR($BI45=1,$BL45=1,$BH45&gt;0),IF($BI45=1,SUM('Final Calculation Sheet'!$P$4:$P$40),IF($BL45=1,SUM('Final Calculation Sheet'!$P$4:$P$40)-SUMIFS('Final Calculation Sheet'!$P$4:$P$40,$AZ$5:$AZ$41,10),SUMIFS('Final Calculation Sheet'!$P$4:$P$40,$AZ$5:$AZ$41,$BH45))),""))</f>
        <v/>
      </c>
      <c r="R46" s="72">
        <f>IF($BJ45&gt;0,IF(INDEX('Final Calculation Sheet'!$Q$4:$Q$40,$BJ45-3)="","",INDEX('Final Calculation Sheet'!$Q$4:$Q$40,$BJ45-3)),IF(OR($BI45=1,$BL45=1,$BH45&gt;0),"–",""))</f>
        <v/>
      </c>
      <c r="S46" s="70">
        <f>IF($BJ45&gt;0,IF(INDEX('Final Calculation Sheet'!$R$4:$R$40,$BJ45-3)="","",INDEX('Final Calculation Sheet'!$R$4:$R$40,$BJ45-3)),IF(OR($BI45=1,$BL45=1,$BH45&gt;0),IF($BI45=1,SUM('Final Calculation Sheet'!$R$4:$R$40),IF($BL45=1,SUM('Final Calculation Sheet'!$R$4:$R$40)-SUMIFS('Final Calculation Sheet'!$R$4:$R$40,$AZ$5:$AZ$41,10),SUMIFS('Final Calculation Sheet'!$R$4:$R$40,$AZ$5:$AZ$41,$BH45))),""))</f>
        <v/>
      </c>
      <c r="T46" s="70">
        <f>IF($BJ45&gt;0,IF(INDEX('Final Calculation Sheet'!$S$4:$S$40,$BJ45-3)="","",INDEX('Final Calculation Sheet'!$S$4:$S$40,$BJ45-3)),IF(OR($BI45=1,$BL45=1,$BH45&gt;0),IF($BI45=1,SUM('Final Calculation Sheet'!$S$4:$S$40),IF($BL45=1,SUM('Final Calculation Sheet'!$S$4:$S$40)-SUMIFS('Final Calculation Sheet'!$S$4:$S$40,$AZ$5:$AZ$41,10),SUMIFS('Final Calculation Sheet'!$S$4:$S$40,$AZ$5:$AZ$41,$BH45))),""))</f>
        <v/>
      </c>
      <c r="U46" s="70">
        <f>IF($BJ45&gt;0,IF(INDEX('Final Calculation Sheet'!$T$4:$T$40,$BJ45-3)="","",INDEX('Final Calculation Sheet'!$T$4:$T$40,$BJ45-3)),IF(OR($BI45=1,$BL45=1,$BH45&gt;0),IF($BI45=1,SUM('Final Calculation Sheet'!$T$4:$T$40),IF($BL45=1,SUM('Final Calculation Sheet'!$T$4:$T$40)-SUMIFS('Final Calculation Sheet'!$T$4:$T$40,$AZ$5:$AZ$41,10),SUMIFS('Final Calculation Sheet'!$T$4:$T$40,$AZ$5:$AZ$41,$BH45))),""))</f>
        <v/>
      </c>
      <c r="V46" s="73">
        <f>IF($BJ45&gt;0,IF(INDEX('Final Calculation Sheet'!$U$4:$U$40,$BJ45-3)="","",INDEX('Final Calculation Sheet'!$U$4:$U$40,$BJ45-3)),IF(OR($BI45=1,$BL45=1,$BH45&gt;0),IF($BI45=1,SUM('Final Calculation Sheet'!$U$4:$U$40),IF($BL45=1,SUM('Final Calculation Sheet'!$U$4:$U$40)-SUMIFS('Final Calculation Sheet'!$U$4:$U$40,$AZ$5:$AZ$41,10),SUMIFS('Final Calculation Sheet'!$U$4:$U$40,$AZ$5:$AZ$41,$BH45))),""))</f>
        <v/>
      </c>
      <c r="W46" s="70">
        <f>IF($BJ45&gt;0,IF(INDEX('Final Calculation Sheet'!$V$4:$V$40,$BJ45-3)="","",INDEX('Final Calculation Sheet'!$V$4:$V$40,$BJ45-3)),IF(OR($BI45=1,$BL45=1,$BH45&gt;0),"–",""))</f>
        <v/>
      </c>
      <c r="X46" s="70">
        <f>IF($BJ45&gt;0,IF(INDEX('Final Calculation Sheet'!$W$4:$W$40,$BJ45-3)="","",INDEX('Final Calculation Sheet'!$W$4:$W$40,$BJ45-3)),IF(OR($BI45=1,$BL45=1,$BH45&gt;0),IF($BI45=1,SUM('Final Calculation Sheet'!$W$4:$W$40),IF($BL45=1,SUM('Final Calculation Sheet'!$W$4:$W$40)-SUMIFS('Final Calculation Sheet'!$W$4:$W$40,$AZ$5:$AZ$41,10),SUMIFS('Final Calculation Sheet'!$W$4:$W$40,$AZ$5:$AZ$41,$BH45))),""))</f>
        <v/>
      </c>
      <c r="Y46" s="70">
        <f>IF($BJ45&gt;0,IF(INDEX('Final Calculation Sheet'!$X$4:$X$40,$BJ45-3)="","",INDEX('Final Calculation Sheet'!$X$4:$X$40,$BJ45-3)),IF(OR($BI45=1,$BL45=1,$BH45&gt;0),IF($BI45=1,SUM('Final Calculation Sheet'!$X$4:$X$40),IF($BL45=1,SUM('Final Calculation Sheet'!$X$4:$X$40)-SUMIFS('Final Calculation Sheet'!$X$4:$X$40,$AZ$5:$AZ$41,10),SUMIFS('Final Calculation Sheet'!$X$4:$X$40,$AZ$5:$AZ$41,$BH45))),""))</f>
        <v/>
      </c>
      <c r="Z46" s="70">
        <f>IF($BJ45&gt;0,IF(INDEX('Final Calculation Sheet'!$Y$4:$Y$40,$BJ45-3)="","",INDEX('Final Calculation Sheet'!$Y$4:$Y$40,$BJ45-3)),IF(OR($BI45=1,$BL45=1,$BH45&gt;0),"–",""))</f>
        <v/>
      </c>
      <c r="AA46" s="70">
        <f>IF($BJ45&gt;0,IF(INDEX('Final Calculation Sheet'!$Z$4:$Z$40,$BJ45-3)="","",INDEX('Final Calculation Sheet'!$Z$4:$Z$40,$BJ45-3)),IF(OR($BI45=1,$BL45=1,$BH45&gt;0),IF($BI45=1,SUM('Final Calculation Sheet'!$Z$4:$Z$40),IF($BL45=1,SUM('Final Calculation Sheet'!$Z$4:$Z$40)-SUMIFS('Final Calculation Sheet'!$Z$4:$Z$40,$AZ$5:$AZ$41,10),SUMIFS('Final Calculation Sheet'!$Z$4:$Z$40,$AZ$5:$AZ$41,$BH45))),""))</f>
        <v/>
      </c>
      <c r="AB46" s="70">
        <f>IF($BJ45&gt;0,IF(INDEX('Final Calculation Sheet'!$AA$4:$AA$40,$BJ45-3)="","",INDEX('Final Calculation Sheet'!$AA$4:$AA$40,$BJ45-3)),IF(OR($BI45=1,$BL45=1,$BH45&gt;0),IF($BI45=1,SUM('Final Calculation Sheet'!$AA$4:$AA$40),IF($BL45=1,SUM('Final Calculation Sheet'!$AA$4:$AA$40)-SUMIFS('Final Calculation Sheet'!$AA$4:$AA$40,$AZ$5:$AZ$41,10),SUMIFS('Final Calculation Sheet'!$AA$4:$AA$40,$AZ$5:$AZ$41,$BH45))),""))</f>
        <v/>
      </c>
      <c r="AC46" s="70">
        <f>IF($BJ45&gt;0,IF(INDEX('Final Calculation Sheet'!$AB$4:$AB$40,$BJ45-3)="","",INDEX('Final Calculation Sheet'!$AB$4:$AB$40,$BJ45-3)),IF(OR($BI45=1,$BL45=1,$BH45&gt;0),"–",""))</f>
        <v/>
      </c>
      <c r="AD46" s="70">
        <f>IF($BJ45&gt;0,IF(INDEX('Final Calculation Sheet'!$AC$4:$AC$40,$BJ45-3)="","",INDEX('Final Calculation Sheet'!$AC$4:$AC$40,$BJ45-3)),IF(OR($BI45=1,$BL45=1,$BH45&gt;0),IF($BI45=1,SUM('Final Calculation Sheet'!$AC$4:$AC$40),IF($BL45=1,SUM('Final Calculation Sheet'!$AC$4:$AC$40)-SUMIFS('Final Calculation Sheet'!$AC$4:$AC$40,$AZ$5:$AZ$41,10),SUMIFS('Final Calculation Sheet'!$AC$4:$AC$40,$AZ$5:$AZ$41,$BH45))),""))</f>
        <v/>
      </c>
      <c r="AE46" s="70">
        <f>IF($BJ45&gt;0,IF(INDEX('Final Calculation Sheet'!$AD$4:$AD$40,$BJ45-3)="","",INDEX('Final Calculation Sheet'!$AD$4:$AD$40,$BJ45-3)),IF(OR($BI45=1,$BL45=1,$BH45&gt;0),IF($BI45=1,SUM('Final Calculation Sheet'!$AD$4:$AD$40),IF($BL45=1,SUM('Final Calculation Sheet'!$AD$4:$AD$40)-SUMIFS('Final Calculation Sheet'!$AD$4:$AD$40,$AZ$5:$AZ$41,10),SUMIFS('Final Calculation Sheet'!$AD$4:$AD$40,$AZ$5:$AZ$41,$BH45))),""))</f>
        <v/>
      </c>
      <c r="AF46" s="70">
        <f>IF($BJ45&gt;0,IF(INDEX('Final Calculation Sheet'!$AE$4:$AE$40,$BJ45-3)="","",INDEX('Final Calculation Sheet'!$AE$4:$AE$40,$BJ45-3)),IF(OR($BI45=1,$BL45=1,$BH45&gt;0),"–",""))</f>
        <v/>
      </c>
      <c r="AG46" s="74">
        <f>IF($BJ45&gt;0,IF(INDEX('Final Calculation Sheet'!$AF$4:$AF$40,$BJ45-3)="","",INDEX('Final Calculation Sheet'!$AF$4:$AF$40,$BJ45-3)),IF(OR($BI45=1,$BL45=1,$BH45&gt;0),"–",""))</f>
        <v/>
      </c>
      <c r="AH46" s="70">
        <f>IF($BJ45&gt;0,IF(INDEX('Final Calculation Sheet'!$AG$4:$AG$40,$BJ45-3)="","",INDEX('Final Calculation Sheet'!$AG$4:$AG$40,$BJ45-3)),IF(OR($BI45=1,$BL45=1,$BH45&gt;0),"–",""))</f>
        <v/>
      </c>
      <c r="AI46" s="75">
        <f>IF($BJ45&gt;0,IF(INDEX('Final Calculation Sheet'!$AD$4:$AD$40,$BJ45-3)="","",IF(INDEX('Final Calculation Sheet'!$AD$4:$AD$40,$BJ45-3)&lt;=0,"SETTLED","OUTSTANDING")),IF(OR($BI45=1,$BL45=1,$BH45&gt;0),IF(IF($BI45=1,SUM('Final Calculation Sheet'!$AD$4:$AD$40),IF($BL45=1,SUM('Final Calculation Sheet'!$AD$4:$AD$40)-SUMIFS('Final Calculation Sheet'!$AD$4:$AD$40,$AZ$5:$AZ$41,10),SUMIFS('Final Calculation Sheet'!$AD$4:$AD$40,$AZ$5:$AZ$41,$BH45)))&lt;=0,"ALL SETTLED","OUTSTANDING"),""))</f>
        <v/>
      </c>
      <c r="BH46">
        <f>IFERROR(MATCH(46,$BF$4:$BF$13,0),0)</f>
        <v/>
      </c>
      <c r="BI46">
        <f>IF(46=$BG$5,1,0)</f>
        <v/>
      </c>
      <c r="BJ46">
        <f>IF(OR($BH46&gt;0,$BI46=1,$BL46=1),0,IFERROR(INDEX($BC$5:$BC$41,MATCH(46,$BB$5:$BB$41,0)),0))</f>
        <v/>
      </c>
      <c r="BK46">
        <f>IF($BJ46&gt;0,IF(INDEX($AZ$5:$AZ$41,MATCH(46,$BB$5:$BB$41,0))=10,1,0),IF($BH46=10,1,0))</f>
        <v/>
      </c>
      <c r="BL46">
        <f>IF(46=$BG$4,1,0)</f>
        <v/>
      </c>
    </row>
    <row r="47" ht="15" customHeight="1" s="77">
      <c r="A47" s="67">
        <f>IF($BJ46&gt;0,INDEX($BA$5:$BA$41,MATCH(46,$BB$5:$BB$41,0)),IF(OR($BI46=1,$BL46=1,$BH46&gt;0),"∑",""))</f>
        <v/>
      </c>
      <c r="B47" s="68">
        <f>IF($BJ46&gt;0,IF(INDEX('Final Calculation Sheet'!$F$4:$F$40,$BJ46-3)="","",INDEX('Final Calculation Sheet'!$F$4:$F$40,$BJ46-3)),"")</f>
        <v/>
      </c>
      <c r="C47" s="68">
        <f>IF($BJ46&gt;0,IF(INDEX('Final Calculation Sheet'!$G$4:$G$40,$BJ46-3)="","",INDEX('Final Calculation Sheet'!$G$4:$G$40,$BJ46-3)),IF(OR($BI46=1,$BL46=1,$BH46&gt;0),IF($BI46=1,37,IF($BL46=1,37-INDEX($BD$4:$BD$13,10),INDEX($BD$4:$BD$13,$BH46)))&amp;" lot(s)",""))</f>
        <v/>
      </c>
      <c r="D47" s="69">
        <f>IF($BJ46&gt;0,IF(INDEX('Final Calculation Sheet'!$B$4:$B$40,$BJ46-3)="","",INDEX('Final Calculation Sheet'!$B$4:$B$40,$BJ46-3)),IF(OR($BI46=1,$BL46=1,$BH46&gt;0),IF($BI46=1,"GRAND TOTAL  —  matching + remaining",IF($BL46=1,"TOTAL MATCHED  —  every group together",IF($BH46=10,"REMAINING  —  did not match the search",IF($BH46=9,IF(COUNTIF($A$4:$AI$4,"&lt;&gt;")&gt;0,"FILTERED LOTS  —  column fields","ALL LOTS  —  nothing typed in the box"),"GROUP "&amp;$BH46&amp;" TOTAL  —  lots matching  "&amp;INDEX($AR$6:$AY$6,$BH46))))),""))</f>
        <v/>
      </c>
      <c r="E47" s="69">
        <f>IF($BJ46&gt;0,IF(INDEX('Final Calculation Sheet'!$D$4:$D$40,$BJ46-3)="","",INDEX('Final Calculation Sheet'!$D$4:$D$40,$BJ46-3)),IF(OR($BI46=1,$BL46=1,$BH46&gt;0),"–",""))</f>
        <v/>
      </c>
      <c r="F47" s="69">
        <f>IF($BJ46&gt;0,IF(INDEX('Final Calculation Sheet'!$A$4:$A$40,$BJ46-3)="","",INDEX('Final Calculation Sheet'!$A$4:$A$40,$BJ46-3)),IF(OR($BI46=1,$BL46=1,$BH46&gt;0),IF($BI46=1,SUM('Final Calculation Sheet'!$A$4:$A$40),IF($BL46=1,SUM('Final Calculation Sheet'!$A$4:$A$40)-SUMIFS('Final Calculation Sheet'!$A$4:$A$40,$AZ$5:$AZ$41,10),SUMIFS('Final Calculation Sheet'!$A$4:$A$40,$AZ$5:$AZ$41,$BH46))),""))</f>
        <v/>
      </c>
      <c r="G47" s="69">
        <f>IF($BJ46&gt;0,IF(INDEX('Final Calculation Sheet'!$E$4:$E$40,$BJ46-3)="","",INDEX('Final Calculation Sheet'!$E$4:$E$40,$BJ46-3)),IF(OR($BI46=1,$BL46=1,$BH46&gt;0),"–",""))</f>
        <v/>
      </c>
      <c r="H47" s="70">
        <f>IF($BJ46&gt;0,IF(INDEX('Final Calculation Sheet'!$C$4:$C$40,$BJ46-3)="","",INDEX('Final Calculation Sheet'!$C$4:$C$40,$BJ46-3)),IF(OR($BI46=1,$BL46=1,$BH46&gt;0),"–",""))</f>
        <v/>
      </c>
      <c r="I47" s="70">
        <f>IF($BJ46&gt;0,IF(INDEX('Final Calculation Sheet'!$H$4:$H$40,$BJ46-3)="","",INDEX('Final Calculation Sheet'!$H$4:$H$40,$BJ46-3)),IF(OR($BI46=1,$BL46=1,$BH46&gt;0),IF($BI46=1,SUM('Final Calculation Sheet'!$H$4:$H$40),IF($BL46=1,SUM('Final Calculation Sheet'!$H$4:$H$40)-SUMIFS('Final Calculation Sheet'!$H$4:$H$40,$AZ$5:$AZ$41,10),SUMIFS('Final Calculation Sheet'!$H$4:$H$40,$AZ$5:$AZ$41,$BH46))),""))</f>
        <v/>
      </c>
      <c r="J47" s="70">
        <f>IF($BJ46&gt;0,IF(INDEX('Final Calculation Sheet'!$I$4:$I$40,$BJ46-3)="","",INDEX('Final Calculation Sheet'!$I$4:$I$40,$BJ46-3)),IF(OR($BI46=1,$BL46=1,$BH46&gt;0),IF($BI46=1,SUM('Final Calculation Sheet'!$I$4:$I$40),IF($BL46=1,SUM('Final Calculation Sheet'!$I$4:$I$40)-SUMIFS('Final Calculation Sheet'!$I$4:$I$40,$AZ$5:$AZ$41,10),SUMIFS('Final Calculation Sheet'!$I$4:$I$40,$AZ$5:$AZ$41,$BH46))),""))</f>
        <v/>
      </c>
      <c r="K47" s="70">
        <f>IF($BJ46&gt;0,IF(INDEX('Final Calculation Sheet'!$J$4:$J$40,$BJ46-3)="","",INDEX('Final Calculation Sheet'!$J$4:$J$40,$BJ46-3)),IF(OR($BI46=1,$BL46=1,$BH46&gt;0),IF($BI46=1,SUM('Final Calculation Sheet'!$J$4:$J$40),IF($BL46=1,SUM('Final Calculation Sheet'!$J$4:$J$40)-SUMIFS('Final Calculation Sheet'!$J$4:$J$40,$AZ$5:$AZ$41,10),SUMIFS('Final Calculation Sheet'!$J$4:$J$40,$AZ$5:$AZ$41,$BH46))),""))</f>
        <v/>
      </c>
      <c r="L47" s="70">
        <f>IF($BJ46&gt;0,IF(INDEX('Final Calculation Sheet'!$K$4:$K$40,$BJ46-3)="","",INDEX('Final Calculation Sheet'!$K$4:$K$40,$BJ46-3)),IF(OR($BI46=1,$BL46=1,$BH46&gt;0),IF($BI46=1,SUM('Final Calculation Sheet'!$K$4:$K$40),IF($BL46=1,SUM('Final Calculation Sheet'!$K$4:$K$40)-SUMIFS('Final Calculation Sheet'!$K$4:$K$40,$AZ$5:$AZ$41,10),SUMIFS('Final Calculation Sheet'!$K$4:$K$40,$AZ$5:$AZ$41,$BH46))),""))</f>
        <v/>
      </c>
      <c r="M47" s="70">
        <f>IF($BJ46&gt;0,IF(INDEX('Final Calculation Sheet'!$L$4:$L$40,$BJ46-3)="","",INDEX('Final Calculation Sheet'!$L$4:$L$40,$BJ46-3)),IF(OR($BI46=1,$BL46=1,$BH46&gt;0),IF($BI46=1,SUM('Final Calculation Sheet'!$L$4:$L$40),IF($BL46=1,SUM('Final Calculation Sheet'!$L$4:$L$40)-SUMIFS('Final Calculation Sheet'!$L$4:$L$40,$AZ$5:$AZ$41,10),SUMIFS('Final Calculation Sheet'!$L$4:$L$40,$AZ$5:$AZ$41,$BH46))),""))</f>
        <v/>
      </c>
      <c r="N47" s="70">
        <f>IF($BJ46&gt;0,IF(INDEX('Final Calculation Sheet'!$M$4:$M$40,$BJ46-3)="","",INDEX('Final Calculation Sheet'!$M$4:$M$40,$BJ46-3)),IF(OR($BI46=1,$BL46=1,$BH46&gt;0),IF($BI46=1,SUM('Final Calculation Sheet'!$M$4:$M$40),IF($BL46=1,SUM('Final Calculation Sheet'!$M$4:$M$40)-SUMIFS('Final Calculation Sheet'!$M$4:$M$40,$AZ$5:$AZ$41,10),SUMIFS('Final Calculation Sheet'!$M$4:$M$40,$AZ$5:$AZ$41,$BH46))),""))</f>
        <v/>
      </c>
      <c r="O47" s="71">
        <f>IF($BJ46&gt;0,IF(INDEX('Final Calculation Sheet'!$N$4:$N$40,$BJ46-3)="","",INDEX('Final Calculation Sheet'!$N$4:$N$40,$BJ46-3)),IF(OR($BI46=1,$BL46=1,$BH46&gt;0),IF($BI46=1,SUM('Final Calculation Sheet'!$N$4:$N$40),IF($BL46=1,SUM('Final Calculation Sheet'!$N$4:$N$40)-SUMIFS('Final Calculation Sheet'!$N$4:$N$40,$AZ$5:$AZ$41,10),SUMIFS('Final Calculation Sheet'!$N$4:$N$40,$AZ$5:$AZ$41,$BH46))),""))</f>
        <v/>
      </c>
      <c r="P47" s="70">
        <f>IF($BJ46&gt;0,IF(INDEX('Final Calculation Sheet'!$O$4:$O$40,$BJ46-3)="","",INDEX('Final Calculation Sheet'!$O$4:$O$40,$BJ46-3)),IF(OR($BI46=1,$BL46=1,$BH46&gt;0),IF($BI46=1,SUM('Final Calculation Sheet'!$O$4:$O$40),IF($BL46=1,SUM('Final Calculation Sheet'!$O$4:$O$40)-SUMIFS('Final Calculation Sheet'!$O$4:$O$40,$AZ$5:$AZ$41,10),SUMIFS('Final Calculation Sheet'!$O$4:$O$40,$AZ$5:$AZ$41,$BH46))),""))</f>
        <v/>
      </c>
      <c r="Q47" s="70">
        <f>IF($BJ46&gt;0,IF(INDEX('Final Calculation Sheet'!$P$4:$P$40,$BJ46-3)="","",INDEX('Final Calculation Sheet'!$P$4:$P$40,$BJ46-3)),IF(OR($BI46=1,$BL46=1,$BH46&gt;0),IF($BI46=1,SUM('Final Calculation Sheet'!$P$4:$P$40),IF($BL46=1,SUM('Final Calculation Sheet'!$P$4:$P$40)-SUMIFS('Final Calculation Sheet'!$P$4:$P$40,$AZ$5:$AZ$41,10),SUMIFS('Final Calculation Sheet'!$P$4:$P$40,$AZ$5:$AZ$41,$BH46))),""))</f>
        <v/>
      </c>
      <c r="R47" s="72">
        <f>IF($BJ46&gt;0,IF(INDEX('Final Calculation Sheet'!$Q$4:$Q$40,$BJ46-3)="","",INDEX('Final Calculation Sheet'!$Q$4:$Q$40,$BJ46-3)),IF(OR($BI46=1,$BL46=1,$BH46&gt;0),"–",""))</f>
        <v/>
      </c>
      <c r="S47" s="70">
        <f>IF($BJ46&gt;0,IF(INDEX('Final Calculation Sheet'!$R$4:$R$40,$BJ46-3)="","",INDEX('Final Calculation Sheet'!$R$4:$R$40,$BJ46-3)),IF(OR($BI46=1,$BL46=1,$BH46&gt;0),IF($BI46=1,SUM('Final Calculation Sheet'!$R$4:$R$40),IF($BL46=1,SUM('Final Calculation Sheet'!$R$4:$R$40)-SUMIFS('Final Calculation Sheet'!$R$4:$R$40,$AZ$5:$AZ$41,10),SUMIFS('Final Calculation Sheet'!$R$4:$R$40,$AZ$5:$AZ$41,$BH46))),""))</f>
        <v/>
      </c>
      <c r="T47" s="70">
        <f>IF($BJ46&gt;0,IF(INDEX('Final Calculation Sheet'!$S$4:$S$40,$BJ46-3)="","",INDEX('Final Calculation Sheet'!$S$4:$S$40,$BJ46-3)),IF(OR($BI46=1,$BL46=1,$BH46&gt;0),IF($BI46=1,SUM('Final Calculation Sheet'!$S$4:$S$40),IF($BL46=1,SUM('Final Calculation Sheet'!$S$4:$S$40)-SUMIFS('Final Calculation Sheet'!$S$4:$S$40,$AZ$5:$AZ$41,10),SUMIFS('Final Calculation Sheet'!$S$4:$S$40,$AZ$5:$AZ$41,$BH46))),""))</f>
        <v/>
      </c>
      <c r="U47" s="70">
        <f>IF($BJ46&gt;0,IF(INDEX('Final Calculation Sheet'!$T$4:$T$40,$BJ46-3)="","",INDEX('Final Calculation Sheet'!$T$4:$T$40,$BJ46-3)),IF(OR($BI46=1,$BL46=1,$BH46&gt;0),IF($BI46=1,SUM('Final Calculation Sheet'!$T$4:$T$40),IF($BL46=1,SUM('Final Calculation Sheet'!$T$4:$T$40)-SUMIFS('Final Calculation Sheet'!$T$4:$T$40,$AZ$5:$AZ$41,10),SUMIFS('Final Calculation Sheet'!$T$4:$T$40,$AZ$5:$AZ$41,$BH46))),""))</f>
        <v/>
      </c>
      <c r="V47" s="73">
        <f>IF($BJ46&gt;0,IF(INDEX('Final Calculation Sheet'!$U$4:$U$40,$BJ46-3)="","",INDEX('Final Calculation Sheet'!$U$4:$U$40,$BJ46-3)),IF(OR($BI46=1,$BL46=1,$BH46&gt;0),IF($BI46=1,SUM('Final Calculation Sheet'!$U$4:$U$40),IF($BL46=1,SUM('Final Calculation Sheet'!$U$4:$U$40)-SUMIFS('Final Calculation Sheet'!$U$4:$U$40,$AZ$5:$AZ$41,10),SUMIFS('Final Calculation Sheet'!$U$4:$U$40,$AZ$5:$AZ$41,$BH46))),""))</f>
        <v/>
      </c>
      <c r="W47" s="70">
        <f>IF($BJ46&gt;0,IF(INDEX('Final Calculation Sheet'!$V$4:$V$40,$BJ46-3)="","",INDEX('Final Calculation Sheet'!$V$4:$V$40,$BJ46-3)),IF(OR($BI46=1,$BL46=1,$BH46&gt;0),"–",""))</f>
        <v/>
      </c>
      <c r="X47" s="70">
        <f>IF($BJ46&gt;0,IF(INDEX('Final Calculation Sheet'!$W$4:$W$40,$BJ46-3)="","",INDEX('Final Calculation Sheet'!$W$4:$W$40,$BJ46-3)),IF(OR($BI46=1,$BL46=1,$BH46&gt;0),IF($BI46=1,SUM('Final Calculation Sheet'!$W$4:$W$40),IF($BL46=1,SUM('Final Calculation Sheet'!$W$4:$W$40)-SUMIFS('Final Calculation Sheet'!$W$4:$W$40,$AZ$5:$AZ$41,10),SUMIFS('Final Calculation Sheet'!$W$4:$W$40,$AZ$5:$AZ$41,$BH46))),""))</f>
        <v/>
      </c>
      <c r="Y47" s="70">
        <f>IF($BJ46&gt;0,IF(INDEX('Final Calculation Sheet'!$X$4:$X$40,$BJ46-3)="","",INDEX('Final Calculation Sheet'!$X$4:$X$40,$BJ46-3)),IF(OR($BI46=1,$BL46=1,$BH46&gt;0),IF($BI46=1,SUM('Final Calculation Sheet'!$X$4:$X$40),IF($BL46=1,SUM('Final Calculation Sheet'!$X$4:$X$40)-SUMIFS('Final Calculation Sheet'!$X$4:$X$40,$AZ$5:$AZ$41,10),SUMIFS('Final Calculation Sheet'!$X$4:$X$40,$AZ$5:$AZ$41,$BH46))),""))</f>
        <v/>
      </c>
      <c r="Z47" s="70">
        <f>IF($BJ46&gt;0,IF(INDEX('Final Calculation Sheet'!$Y$4:$Y$40,$BJ46-3)="","",INDEX('Final Calculation Sheet'!$Y$4:$Y$40,$BJ46-3)),IF(OR($BI46=1,$BL46=1,$BH46&gt;0),"–",""))</f>
        <v/>
      </c>
      <c r="AA47" s="70">
        <f>IF($BJ46&gt;0,IF(INDEX('Final Calculation Sheet'!$Z$4:$Z$40,$BJ46-3)="","",INDEX('Final Calculation Sheet'!$Z$4:$Z$40,$BJ46-3)),IF(OR($BI46=1,$BL46=1,$BH46&gt;0),IF($BI46=1,SUM('Final Calculation Sheet'!$Z$4:$Z$40),IF($BL46=1,SUM('Final Calculation Sheet'!$Z$4:$Z$40)-SUMIFS('Final Calculation Sheet'!$Z$4:$Z$40,$AZ$5:$AZ$41,10),SUMIFS('Final Calculation Sheet'!$Z$4:$Z$40,$AZ$5:$AZ$41,$BH46))),""))</f>
        <v/>
      </c>
      <c r="AB47" s="70">
        <f>IF($BJ46&gt;0,IF(INDEX('Final Calculation Sheet'!$AA$4:$AA$40,$BJ46-3)="","",INDEX('Final Calculation Sheet'!$AA$4:$AA$40,$BJ46-3)),IF(OR($BI46=1,$BL46=1,$BH46&gt;0),IF($BI46=1,SUM('Final Calculation Sheet'!$AA$4:$AA$40),IF($BL46=1,SUM('Final Calculation Sheet'!$AA$4:$AA$40)-SUMIFS('Final Calculation Sheet'!$AA$4:$AA$40,$AZ$5:$AZ$41,10),SUMIFS('Final Calculation Sheet'!$AA$4:$AA$40,$AZ$5:$AZ$41,$BH46))),""))</f>
        <v/>
      </c>
      <c r="AC47" s="70">
        <f>IF($BJ46&gt;0,IF(INDEX('Final Calculation Sheet'!$AB$4:$AB$40,$BJ46-3)="","",INDEX('Final Calculation Sheet'!$AB$4:$AB$40,$BJ46-3)),IF(OR($BI46=1,$BL46=1,$BH46&gt;0),"–",""))</f>
        <v/>
      </c>
      <c r="AD47" s="70">
        <f>IF($BJ46&gt;0,IF(INDEX('Final Calculation Sheet'!$AC$4:$AC$40,$BJ46-3)="","",INDEX('Final Calculation Sheet'!$AC$4:$AC$40,$BJ46-3)),IF(OR($BI46=1,$BL46=1,$BH46&gt;0),IF($BI46=1,SUM('Final Calculation Sheet'!$AC$4:$AC$40),IF($BL46=1,SUM('Final Calculation Sheet'!$AC$4:$AC$40)-SUMIFS('Final Calculation Sheet'!$AC$4:$AC$40,$AZ$5:$AZ$41,10),SUMIFS('Final Calculation Sheet'!$AC$4:$AC$40,$AZ$5:$AZ$41,$BH46))),""))</f>
        <v/>
      </c>
      <c r="AE47" s="70">
        <f>IF($BJ46&gt;0,IF(INDEX('Final Calculation Sheet'!$AD$4:$AD$40,$BJ46-3)="","",INDEX('Final Calculation Sheet'!$AD$4:$AD$40,$BJ46-3)),IF(OR($BI46=1,$BL46=1,$BH46&gt;0),IF($BI46=1,SUM('Final Calculation Sheet'!$AD$4:$AD$40),IF($BL46=1,SUM('Final Calculation Sheet'!$AD$4:$AD$40)-SUMIFS('Final Calculation Sheet'!$AD$4:$AD$40,$AZ$5:$AZ$41,10),SUMIFS('Final Calculation Sheet'!$AD$4:$AD$40,$AZ$5:$AZ$41,$BH46))),""))</f>
        <v/>
      </c>
      <c r="AF47" s="70">
        <f>IF($BJ46&gt;0,IF(INDEX('Final Calculation Sheet'!$AE$4:$AE$40,$BJ46-3)="","",INDEX('Final Calculation Sheet'!$AE$4:$AE$40,$BJ46-3)),IF(OR($BI46=1,$BL46=1,$BH46&gt;0),"–",""))</f>
        <v/>
      </c>
      <c r="AG47" s="74">
        <f>IF($BJ46&gt;0,IF(INDEX('Final Calculation Sheet'!$AF$4:$AF$40,$BJ46-3)="","",INDEX('Final Calculation Sheet'!$AF$4:$AF$40,$BJ46-3)),IF(OR($BI46=1,$BL46=1,$BH46&gt;0),"–",""))</f>
        <v/>
      </c>
      <c r="AH47" s="70">
        <f>IF($BJ46&gt;0,IF(INDEX('Final Calculation Sheet'!$AG$4:$AG$40,$BJ46-3)="","",INDEX('Final Calculation Sheet'!$AG$4:$AG$40,$BJ46-3)),IF(OR($BI46=1,$BL46=1,$BH46&gt;0),"–",""))</f>
        <v/>
      </c>
      <c r="AI47" s="75">
        <f>IF($BJ46&gt;0,IF(INDEX('Final Calculation Sheet'!$AD$4:$AD$40,$BJ46-3)="","",IF(INDEX('Final Calculation Sheet'!$AD$4:$AD$40,$BJ46-3)&lt;=0,"SETTLED","OUTSTANDING")),IF(OR($BI46=1,$BL46=1,$BH46&gt;0),IF(IF($BI46=1,SUM('Final Calculation Sheet'!$AD$4:$AD$40),IF($BL46=1,SUM('Final Calculation Sheet'!$AD$4:$AD$40)-SUMIFS('Final Calculation Sheet'!$AD$4:$AD$40,$AZ$5:$AZ$41,10),SUMIFS('Final Calculation Sheet'!$AD$4:$AD$40,$AZ$5:$AZ$41,$BH46)))&lt;=0,"ALL SETTLED","OUTSTANDING"),""))</f>
        <v/>
      </c>
      <c r="BH47">
        <f>IFERROR(MATCH(47,$BF$4:$BF$13,0),0)</f>
        <v/>
      </c>
      <c r="BI47">
        <f>IF(47=$BG$5,1,0)</f>
        <v/>
      </c>
      <c r="BJ47">
        <f>IF(OR($BH47&gt;0,$BI47=1,$BL47=1),0,IFERROR(INDEX($BC$5:$BC$41,MATCH(47,$BB$5:$BB$41,0)),0))</f>
        <v/>
      </c>
      <c r="BK47">
        <f>IF($BJ47&gt;0,IF(INDEX($AZ$5:$AZ$41,MATCH(47,$BB$5:$BB$41,0))=10,1,0),IF($BH47=10,1,0))</f>
        <v/>
      </c>
      <c r="BL47">
        <f>IF(47=$BG$4,1,0)</f>
        <v/>
      </c>
    </row>
    <row r="48" ht="15" customHeight="1" s="77">
      <c r="A48" s="67">
        <f>IF($BJ47&gt;0,INDEX($BA$5:$BA$41,MATCH(47,$BB$5:$BB$41,0)),IF(OR($BI47=1,$BL47=1,$BH47&gt;0),"∑",""))</f>
        <v/>
      </c>
      <c r="B48" s="68">
        <f>IF($BJ47&gt;0,IF(INDEX('Final Calculation Sheet'!$F$4:$F$40,$BJ47-3)="","",INDEX('Final Calculation Sheet'!$F$4:$F$40,$BJ47-3)),"")</f>
        <v/>
      </c>
      <c r="C48" s="68">
        <f>IF($BJ47&gt;0,IF(INDEX('Final Calculation Sheet'!$G$4:$G$40,$BJ47-3)="","",INDEX('Final Calculation Sheet'!$G$4:$G$40,$BJ47-3)),IF(OR($BI47=1,$BL47=1,$BH47&gt;0),IF($BI47=1,37,IF($BL47=1,37-INDEX($BD$4:$BD$13,10),INDEX($BD$4:$BD$13,$BH47)))&amp;" lot(s)",""))</f>
        <v/>
      </c>
      <c r="D48" s="69">
        <f>IF($BJ47&gt;0,IF(INDEX('Final Calculation Sheet'!$B$4:$B$40,$BJ47-3)="","",INDEX('Final Calculation Sheet'!$B$4:$B$40,$BJ47-3)),IF(OR($BI47=1,$BL47=1,$BH47&gt;0),IF($BI47=1,"GRAND TOTAL  —  matching + remaining",IF($BL47=1,"TOTAL MATCHED  —  every group together",IF($BH47=10,"REMAINING  —  did not match the search",IF($BH47=9,IF(COUNTIF($A$4:$AI$4,"&lt;&gt;")&gt;0,"FILTERED LOTS  —  column fields","ALL LOTS  —  nothing typed in the box"),"GROUP "&amp;$BH47&amp;" TOTAL  —  lots matching  "&amp;INDEX($AR$6:$AY$6,$BH47))))),""))</f>
        <v/>
      </c>
      <c r="E48" s="69">
        <f>IF($BJ47&gt;0,IF(INDEX('Final Calculation Sheet'!$D$4:$D$40,$BJ47-3)="","",INDEX('Final Calculation Sheet'!$D$4:$D$40,$BJ47-3)),IF(OR($BI47=1,$BL47=1,$BH47&gt;0),"–",""))</f>
        <v/>
      </c>
      <c r="F48" s="69">
        <f>IF($BJ47&gt;0,IF(INDEX('Final Calculation Sheet'!$A$4:$A$40,$BJ47-3)="","",INDEX('Final Calculation Sheet'!$A$4:$A$40,$BJ47-3)),IF(OR($BI47=1,$BL47=1,$BH47&gt;0),IF($BI47=1,SUM('Final Calculation Sheet'!$A$4:$A$40),IF($BL47=1,SUM('Final Calculation Sheet'!$A$4:$A$40)-SUMIFS('Final Calculation Sheet'!$A$4:$A$40,$AZ$5:$AZ$41,10),SUMIFS('Final Calculation Sheet'!$A$4:$A$40,$AZ$5:$AZ$41,$BH47))),""))</f>
        <v/>
      </c>
      <c r="G48" s="69">
        <f>IF($BJ47&gt;0,IF(INDEX('Final Calculation Sheet'!$E$4:$E$40,$BJ47-3)="","",INDEX('Final Calculation Sheet'!$E$4:$E$40,$BJ47-3)),IF(OR($BI47=1,$BL47=1,$BH47&gt;0),"–",""))</f>
        <v/>
      </c>
      <c r="H48" s="70">
        <f>IF($BJ47&gt;0,IF(INDEX('Final Calculation Sheet'!$C$4:$C$40,$BJ47-3)="","",INDEX('Final Calculation Sheet'!$C$4:$C$40,$BJ47-3)),IF(OR($BI47=1,$BL47=1,$BH47&gt;0),"–",""))</f>
        <v/>
      </c>
      <c r="I48" s="70">
        <f>IF($BJ47&gt;0,IF(INDEX('Final Calculation Sheet'!$H$4:$H$40,$BJ47-3)="","",INDEX('Final Calculation Sheet'!$H$4:$H$40,$BJ47-3)),IF(OR($BI47=1,$BL47=1,$BH47&gt;0),IF($BI47=1,SUM('Final Calculation Sheet'!$H$4:$H$40),IF($BL47=1,SUM('Final Calculation Sheet'!$H$4:$H$40)-SUMIFS('Final Calculation Sheet'!$H$4:$H$40,$AZ$5:$AZ$41,10),SUMIFS('Final Calculation Sheet'!$H$4:$H$40,$AZ$5:$AZ$41,$BH47))),""))</f>
        <v/>
      </c>
      <c r="J48" s="70">
        <f>IF($BJ47&gt;0,IF(INDEX('Final Calculation Sheet'!$I$4:$I$40,$BJ47-3)="","",INDEX('Final Calculation Sheet'!$I$4:$I$40,$BJ47-3)),IF(OR($BI47=1,$BL47=1,$BH47&gt;0),IF($BI47=1,SUM('Final Calculation Sheet'!$I$4:$I$40),IF($BL47=1,SUM('Final Calculation Sheet'!$I$4:$I$40)-SUMIFS('Final Calculation Sheet'!$I$4:$I$40,$AZ$5:$AZ$41,10),SUMIFS('Final Calculation Sheet'!$I$4:$I$40,$AZ$5:$AZ$41,$BH47))),""))</f>
        <v/>
      </c>
      <c r="K48" s="70">
        <f>IF($BJ47&gt;0,IF(INDEX('Final Calculation Sheet'!$J$4:$J$40,$BJ47-3)="","",INDEX('Final Calculation Sheet'!$J$4:$J$40,$BJ47-3)),IF(OR($BI47=1,$BL47=1,$BH47&gt;0),IF($BI47=1,SUM('Final Calculation Sheet'!$J$4:$J$40),IF($BL47=1,SUM('Final Calculation Sheet'!$J$4:$J$40)-SUMIFS('Final Calculation Sheet'!$J$4:$J$40,$AZ$5:$AZ$41,10),SUMIFS('Final Calculation Sheet'!$J$4:$J$40,$AZ$5:$AZ$41,$BH47))),""))</f>
        <v/>
      </c>
      <c r="L48" s="70">
        <f>IF($BJ47&gt;0,IF(INDEX('Final Calculation Sheet'!$K$4:$K$40,$BJ47-3)="","",INDEX('Final Calculation Sheet'!$K$4:$K$40,$BJ47-3)),IF(OR($BI47=1,$BL47=1,$BH47&gt;0),IF($BI47=1,SUM('Final Calculation Sheet'!$K$4:$K$40),IF($BL47=1,SUM('Final Calculation Sheet'!$K$4:$K$40)-SUMIFS('Final Calculation Sheet'!$K$4:$K$40,$AZ$5:$AZ$41,10),SUMIFS('Final Calculation Sheet'!$K$4:$K$40,$AZ$5:$AZ$41,$BH47))),""))</f>
        <v/>
      </c>
      <c r="M48" s="70">
        <f>IF($BJ47&gt;0,IF(INDEX('Final Calculation Sheet'!$L$4:$L$40,$BJ47-3)="","",INDEX('Final Calculation Sheet'!$L$4:$L$40,$BJ47-3)),IF(OR($BI47=1,$BL47=1,$BH47&gt;0),IF($BI47=1,SUM('Final Calculation Sheet'!$L$4:$L$40),IF($BL47=1,SUM('Final Calculation Sheet'!$L$4:$L$40)-SUMIFS('Final Calculation Sheet'!$L$4:$L$40,$AZ$5:$AZ$41,10),SUMIFS('Final Calculation Sheet'!$L$4:$L$40,$AZ$5:$AZ$41,$BH47))),""))</f>
        <v/>
      </c>
      <c r="N48" s="70">
        <f>IF($BJ47&gt;0,IF(INDEX('Final Calculation Sheet'!$M$4:$M$40,$BJ47-3)="","",INDEX('Final Calculation Sheet'!$M$4:$M$40,$BJ47-3)),IF(OR($BI47=1,$BL47=1,$BH47&gt;0),IF($BI47=1,SUM('Final Calculation Sheet'!$M$4:$M$40),IF($BL47=1,SUM('Final Calculation Sheet'!$M$4:$M$40)-SUMIFS('Final Calculation Sheet'!$M$4:$M$40,$AZ$5:$AZ$41,10),SUMIFS('Final Calculation Sheet'!$M$4:$M$40,$AZ$5:$AZ$41,$BH47))),""))</f>
        <v/>
      </c>
      <c r="O48" s="71">
        <f>IF($BJ47&gt;0,IF(INDEX('Final Calculation Sheet'!$N$4:$N$40,$BJ47-3)="","",INDEX('Final Calculation Sheet'!$N$4:$N$40,$BJ47-3)),IF(OR($BI47=1,$BL47=1,$BH47&gt;0),IF($BI47=1,SUM('Final Calculation Sheet'!$N$4:$N$40),IF($BL47=1,SUM('Final Calculation Sheet'!$N$4:$N$40)-SUMIFS('Final Calculation Sheet'!$N$4:$N$40,$AZ$5:$AZ$41,10),SUMIFS('Final Calculation Sheet'!$N$4:$N$40,$AZ$5:$AZ$41,$BH47))),""))</f>
        <v/>
      </c>
      <c r="P48" s="70">
        <f>IF($BJ47&gt;0,IF(INDEX('Final Calculation Sheet'!$O$4:$O$40,$BJ47-3)="","",INDEX('Final Calculation Sheet'!$O$4:$O$40,$BJ47-3)),IF(OR($BI47=1,$BL47=1,$BH47&gt;0),IF($BI47=1,SUM('Final Calculation Sheet'!$O$4:$O$40),IF($BL47=1,SUM('Final Calculation Sheet'!$O$4:$O$40)-SUMIFS('Final Calculation Sheet'!$O$4:$O$40,$AZ$5:$AZ$41,10),SUMIFS('Final Calculation Sheet'!$O$4:$O$40,$AZ$5:$AZ$41,$BH47))),""))</f>
        <v/>
      </c>
      <c r="Q48" s="70">
        <f>IF($BJ47&gt;0,IF(INDEX('Final Calculation Sheet'!$P$4:$P$40,$BJ47-3)="","",INDEX('Final Calculation Sheet'!$P$4:$P$40,$BJ47-3)),IF(OR($BI47=1,$BL47=1,$BH47&gt;0),IF($BI47=1,SUM('Final Calculation Sheet'!$P$4:$P$40),IF($BL47=1,SUM('Final Calculation Sheet'!$P$4:$P$40)-SUMIFS('Final Calculation Sheet'!$P$4:$P$40,$AZ$5:$AZ$41,10),SUMIFS('Final Calculation Sheet'!$P$4:$P$40,$AZ$5:$AZ$41,$BH47))),""))</f>
        <v/>
      </c>
      <c r="R48" s="72">
        <f>IF($BJ47&gt;0,IF(INDEX('Final Calculation Sheet'!$Q$4:$Q$40,$BJ47-3)="","",INDEX('Final Calculation Sheet'!$Q$4:$Q$40,$BJ47-3)),IF(OR($BI47=1,$BL47=1,$BH47&gt;0),"–",""))</f>
        <v/>
      </c>
      <c r="S48" s="70">
        <f>IF($BJ47&gt;0,IF(INDEX('Final Calculation Sheet'!$R$4:$R$40,$BJ47-3)="","",INDEX('Final Calculation Sheet'!$R$4:$R$40,$BJ47-3)),IF(OR($BI47=1,$BL47=1,$BH47&gt;0),IF($BI47=1,SUM('Final Calculation Sheet'!$R$4:$R$40),IF($BL47=1,SUM('Final Calculation Sheet'!$R$4:$R$40)-SUMIFS('Final Calculation Sheet'!$R$4:$R$40,$AZ$5:$AZ$41,10),SUMIFS('Final Calculation Sheet'!$R$4:$R$40,$AZ$5:$AZ$41,$BH47))),""))</f>
        <v/>
      </c>
      <c r="T48" s="70">
        <f>IF($BJ47&gt;0,IF(INDEX('Final Calculation Sheet'!$S$4:$S$40,$BJ47-3)="","",INDEX('Final Calculation Sheet'!$S$4:$S$40,$BJ47-3)),IF(OR($BI47=1,$BL47=1,$BH47&gt;0),IF($BI47=1,SUM('Final Calculation Sheet'!$S$4:$S$40),IF($BL47=1,SUM('Final Calculation Sheet'!$S$4:$S$40)-SUMIFS('Final Calculation Sheet'!$S$4:$S$40,$AZ$5:$AZ$41,10),SUMIFS('Final Calculation Sheet'!$S$4:$S$40,$AZ$5:$AZ$41,$BH47))),""))</f>
        <v/>
      </c>
      <c r="U48" s="70">
        <f>IF($BJ47&gt;0,IF(INDEX('Final Calculation Sheet'!$T$4:$T$40,$BJ47-3)="","",INDEX('Final Calculation Sheet'!$T$4:$T$40,$BJ47-3)),IF(OR($BI47=1,$BL47=1,$BH47&gt;0),IF($BI47=1,SUM('Final Calculation Sheet'!$T$4:$T$40),IF($BL47=1,SUM('Final Calculation Sheet'!$T$4:$T$40)-SUMIFS('Final Calculation Sheet'!$T$4:$T$40,$AZ$5:$AZ$41,10),SUMIFS('Final Calculation Sheet'!$T$4:$T$40,$AZ$5:$AZ$41,$BH47))),""))</f>
        <v/>
      </c>
      <c r="V48" s="73">
        <f>IF($BJ47&gt;0,IF(INDEX('Final Calculation Sheet'!$U$4:$U$40,$BJ47-3)="","",INDEX('Final Calculation Sheet'!$U$4:$U$40,$BJ47-3)),IF(OR($BI47=1,$BL47=1,$BH47&gt;0),IF($BI47=1,SUM('Final Calculation Sheet'!$U$4:$U$40),IF($BL47=1,SUM('Final Calculation Sheet'!$U$4:$U$40)-SUMIFS('Final Calculation Sheet'!$U$4:$U$40,$AZ$5:$AZ$41,10),SUMIFS('Final Calculation Sheet'!$U$4:$U$40,$AZ$5:$AZ$41,$BH47))),""))</f>
        <v/>
      </c>
      <c r="W48" s="70">
        <f>IF($BJ47&gt;0,IF(INDEX('Final Calculation Sheet'!$V$4:$V$40,$BJ47-3)="","",INDEX('Final Calculation Sheet'!$V$4:$V$40,$BJ47-3)),IF(OR($BI47=1,$BL47=1,$BH47&gt;0),"–",""))</f>
        <v/>
      </c>
      <c r="X48" s="70">
        <f>IF($BJ47&gt;0,IF(INDEX('Final Calculation Sheet'!$W$4:$W$40,$BJ47-3)="","",INDEX('Final Calculation Sheet'!$W$4:$W$40,$BJ47-3)),IF(OR($BI47=1,$BL47=1,$BH47&gt;0),IF($BI47=1,SUM('Final Calculation Sheet'!$W$4:$W$40),IF($BL47=1,SUM('Final Calculation Sheet'!$W$4:$W$40)-SUMIFS('Final Calculation Sheet'!$W$4:$W$40,$AZ$5:$AZ$41,10),SUMIFS('Final Calculation Sheet'!$W$4:$W$40,$AZ$5:$AZ$41,$BH47))),""))</f>
        <v/>
      </c>
      <c r="Y48" s="70">
        <f>IF($BJ47&gt;0,IF(INDEX('Final Calculation Sheet'!$X$4:$X$40,$BJ47-3)="","",INDEX('Final Calculation Sheet'!$X$4:$X$40,$BJ47-3)),IF(OR($BI47=1,$BL47=1,$BH47&gt;0),IF($BI47=1,SUM('Final Calculation Sheet'!$X$4:$X$40),IF($BL47=1,SUM('Final Calculation Sheet'!$X$4:$X$40)-SUMIFS('Final Calculation Sheet'!$X$4:$X$40,$AZ$5:$AZ$41,10),SUMIFS('Final Calculation Sheet'!$X$4:$X$40,$AZ$5:$AZ$41,$BH47))),""))</f>
        <v/>
      </c>
      <c r="Z48" s="70">
        <f>IF($BJ47&gt;0,IF(INDEX('Final Calculation Sheet'!$Y$4:$Y$40,$BJ47-3)="","",INDEX('Final Calculation Sheet'!$Y$4:$Y$40,$BJ47-3)),IF(OR($BI47=1,$BL47=1,$BH47&gt;0),"–",""))</f>
        <v/>
      </c>
      <c r="AA48" s="70">
        <f>IF($BJ47&gt;0,IF(INDEX('Final Calculation Sheet'!$Z$4:$Z$40,$BJ47-3)="","",INDEX('Final Calculation Sheet'!$Z$4:$Z$40,$BJ47-3)),IF(OR($BI47=1,$BL47=1,$BH47&gt;0),IF($BI47=1,SUM('Final Calculation Sheet'!$Z$4:$Z$40),IF($BL47=1,SUM('Final Calculation Sheet'!$Z$4:$Z$40)-SUMIFS('Final Calculation Sheet'!$Z$4:$Z$40,$AZ$5:$AZ$41,10),SUMIFS('Final Calculation Sheet'!$Z$4:$Z$40,$AZ$5:$AZ$41,$BH47))),""))</f>
        <v/>
      </c>
      <c r="AB48" s="70">
        <f>IF($BJ47&gt;0,IF(INDEX('Final Calculation Sheet'!$AA$4:$AA$40,$BJ47-3)="","",INDEX('Final Calculation Sheet'!$AA$4:$AA$40,$BJ47-3)),IF(OR($BI47=1,$BL47=1,$BH47&gt;0),IF($BI47=1,SUM('Final Calculation Sheet'!$AA$4:$AA$40),IF($BL47=1,SUM('Final Calculation Sheet'!$AA$4:$AA$40)-SUMIFS('Final Calculation Sheet'!$AA$4:$AA$40,$AZ$5:$AZ$41,10),SUMIFS('Final Calculation Sheet'!$AA$4:$AA$40,$AZ$5:$AZ$41,$BH47))),""))</f>
        <v/>
      </c>
      <c r="AC48" s="70">
        <f>IF($BJ47&gt;0,IF(INDEX('Final Calculation Sheet'!$AB$4:$AB$40,$BJ47-3)="","",INDEX('Final Calculation Sheet'!$AB$4:$AB$40,$BJ47-3)),IF(OR($BI47=1,$BL47=1,$BH47&gt;0),"–",""))</f>
        <v/>
      </c>
      <c r="AD48" s="70">
        <f>IF($BJ47&gt;0,IF(INDEX('Final Calculation Sheet'!$AC$4:$AC$40,$BJ47-3)="","",INDEX('Final Calculation Sheet'!$AC$4:$AC$40,$BJ47-3)),IF(OR($BI47=1,$BL47=1,$BH47&gt;0),IF($BI47=1,SUM('Final Calculation Sheet'!$AC$4:$AC$40),IF($BL47=1,SUM('Final Calculation Sheet'!$AC$4:$AC$40)-SUMIFS('Final Calculation Sheet'!$AC$4:$AC$40,$AZ$5:$AZ$41,10),SUMIFS('Final Calculation Sheet'!$AC$4:$AC$40,$AZ$5:$AZ$41,$BH47))),""))</f>
        <v/>
      </c>
      <c r="AE48" s="70">
        <f>IF($BJ47&gt;0,IF(INDEX('Final Calculation Sheet'!$AD$4:$AD$40,$BJ47-3)="","",INDEX('Final Calculation Sheet'!$AD$4:$AD$40,$BJ47-3)),IF(OR($BI47=1,$BL47=1,$BH47&gt;0),IF($BI47=1,SUM('Final Calculation Sheet'!$AD$4:$AD$40),IF($BL47=1,SUM('Final Calculation Sheet'!$AD$4:$AD$40)-SUMIFS('Final Calculation Sheet'!$AD$4:$AD$40,$AZ$5:$AZ$41,10),SUMIFS('Final Calculation Sheet'!$AD$4:$AD$40,$AZ$5:$AZ$41,$BH47))),""))</f>
        <v/>
      </c>
      <c r="AF48" s="70">
        <f>IF($BJ47&gt;0,IF(INDEX('Final Calculation Sheet'!$AE$4:$AE$40,$BJ47-3)="","",INDEX('Final Calculation Sheet'!$AE$4:$AE$40,$BJ47-3)),IF(OR($BI47=1,$BL47=1,$BH47&gt;0),"–",""))</f>
        <v/>
      </c>
      <c r="AG48" s="74">
        <f>IF($BJ47&gt;0,IF(INDEX('Final Calculation Sheet'!$AF$4:$AF$40,$BJ47-3)="","",INDEX('Final Calculation Sheet'!$AF$4:$AF$40,$BJ47-3)),IF(OR($BI47=1,$BL47=1,$BH47&gt;0),"–",""))</f>
        <v/>
      </c>
      <c r="AH48" s="70">
        <f>IF($BJ47&gt;0,IF(INDEX('Final Calculation Sheet'!$AG$4:$AG$40,$BJ47-3)="","",INDEX('Final Calculation Sheet'!$AG$4:$AG$40,$BJ47-3)),IF(OR($BI47=1,$BL47=1,$BH47&gt;0),"–",""))</f>
        <v/>
      </c>
      <c r="AI48" s="75">
        <f>IF($BJ47&gt;0,IF(INDEX('Final Calculation Sheet'!$AD$4:$AD$40,$BJ47-3)="","",IF(INDEX('Final Calculation Sheet'!$AD$4:$AD$40,$BJ47-3)&lt;=0,"SETTLED","OUTSTANDING")),IF(OR($BI47=1,$BL47=1,$BH47&gt;0),IF(IF($BI47=1,SUM('Final Calculation Sheet'!$AD$4:$AD$40),IF($BL47=1,SUM('Final Calculation Sheet'!$AD$4:$AD$40)-SUMIFS('Final Calculation Sheet'!$AD$4:$AD$40,$AZ$5:$AZ$41,10),SUMIFS('Final Calculation Sheet'!$AD$4:$AD$40,$AZ$5:$AZ$41,$BH47)))&lt;=0,"ALL SETTLED","OUTSTANDING"),""))</f>
        <v/>
      </c>
      <c r="BH48">
        <f>IFERROR(MATCH(48,$BF$4:$BF$13,0),0)</f>
        <v/>
      </c>
      <c r="BI48">
        <f>IF(48=$BG$5,1,0)</f>
        <v/>
      </c>
      <c r="BJ48">
        <f>IF(OR($BH48&gt;0,$BI48=1,$BL48=1),0,IFERROR(INDEX($BC$5:$BC$41,MATCH(48,$BB$5:$BB$41,0)),0))</f>
        <v/>
      </c>
      <c r="BK48">
        <f>IF($BJ48&gt;0,IF(INDEX($AZ$5:$AZ$41,MATCH(48,$BB$5:$BB$41,0))=10,1,0),IF($BH48=10,1,0))</f>
        <v/>
      </c>
      <c r="BL48">
        <f>IF(48=$BG$4,1,0)</f>
        <v/>
      </c>
    </row>
    <row r="49" ht="15" customHeight="1" s="77">
      <c r="A49" s="67">
        <f>IF($BJ48&gt;0,INDEX($BA$5:$BA$41,MATCH(48,$BB$5:$BB$41,0)),IF(OR($BI48=1,$BL48=1,$BH48&gt;0),"∑",""))</f>
        <v/>
      </c>
      <c r="B49" s="68">
        <f>IF($BJ48&gt;0,IF(INDEX('Final Calculation Sheet'!$F$4:$F$40,$BJ48-3)="","",INDEX('Final Calculation Sheet'!$F$4:$F$40,$BJ48-3)),"")</f>
        <v/>
      </c>
      <c r="C49" s="68">
        <f>IF($BJ48&gt;0,IF(INDEX('Final Calculation Sheet'!$G$4:$G$40,$BJ48-3)="","",INDEX('Final Calculation Sheet'!$G$4:$G$40,$BJ48-3)),IF(OR($BI48=1,$BL48=1,$BH48&gt;0),IF($BI48=1,37,IF($BL48=1,37-INDEX($BD$4:$BD$13,10),INDEX($BD$4:$BD$13,$BH48)))&amp;" lot(s)",""))</f>
        <v/>
      </c>
      <c r="D49" s="69">
        <f>IF($BJ48&gt;0,IF(INDEX('Final Calculation Sheet'!$B$4:$B$40,$BJ48-3)="","",INDEX('Final Calculation Sheet'!$B$4:$B$40,$BJ48-3)),IF(OR($BI48=1,$BL48=1,$BH48&gt;0),IF($BI48=1,"GRAND TOTAL  —  matching + remaining",IF($BL48=1,"TOTAL MATCHED  —  every group together",IF($BH48=10,"REMAINING  —  did not match the search",IF($BH48=9,IF(COUNTIF($A$4:$AI$4,"&lt;&gt;")&gt;0,"FILTERED LOTS  —  column fields","ALL LOTS  —  nothing typed in the box"),"GROUP "&amp;$BH48&amp;" TOTAL  —  lots matching  "&amp;INDEX($AR$6:$AY$6,$BH48))))),""))</f>
        <v/>
      </c>
      <c r="E49" s="69">
        <f>IF($BJ48&gt;0,IF(INDEX('Final Calculation Sheet'!$D$4:$D$40,$BJ48-3)="","",INDEX('Final Calculation Sheet'!$D$4:$D$40,$BJ48-3)),IF(OR($BI48=1,$BL48=1,$BH48&gt;0),"–",""))</f>
        <v/>
      </c>
      <c r="F49" s="69">
        <f>IF($BJ48&gt;0,IF(INDEX('Final Calculation Sheet'!$A$4:$A$40,$BJ48-3)="","",INDEX('Final Calculation Sheet'!$A$4:$A$40,$BJ48-3)),IF(OR($BI48=1,$BL48=1,$BH48&gt;0),IF($BI48=1,SUM('Final Calculation Sheet'!$A$4:$A$40),IF($BL48=1,SUM('Final Calculation Sheet'!$A$4:$A$40)-SUMIFS('Final Calculation Sheet'!$A$4:$A$40,$AZ$5:$AZ$41,10),SUMIFS('Final Calculation Sheet'!$A$4:$A$40,$AZ$5:$AZ$41,$BH48))),""))</f>
        <v/>
      </c>
      <c r="G49" s="69">
        <f>IF($BJ48&gt;0,IF(INDEX('Final Calculation Sheet'!$E$4:$E$40,$BJ48-3)="","",INDEX('Final Calculation Sheet'!$E$4:$E$40,$BJ48-3)),IF(OR($BI48=1,$BL48=1,$BH48&gt;0),"–",""))</f>
        <v/>
      </c>
      <c r="H49" s="70">
        <f>IF($BJ48&gt;0,IF(INDEX('Final Calculation Sheet'!$C$4:$C$40,$BJ48-3)="","",INDEX('Final Calculation Sheet'!$C$4:$C$40,$BJ48-3)),IF(OR($BI48=1,$BL48=1,$BH48&gt;0),"–",""))</f>
        <v/>
      </c>
      <c r="I49" s="70">
        <f>IF($BJ48&gt;0,IF(INDEX('Final Calculation Sheet'!$H$4:$H$40,$BJ48-3)="","",INDEX('Final Calculation Sheet'!$H$4:$H$40,$BJ48-3)),IF(OR($BI48=1,$BL48=1,$BH48&gt;0),IF($BI48=1,SUM('Final Calculation Sheet'!$H$4:$H$40),IF($BL48=1,SUM('Final Calculation Sheet'!$H$4:$H$40)-SUMIFS('Final Calculation Sheet'!$H$4:$H$40,$AZ$5:$AZ$41,10),SUMIFS('Final Calculation Sheet'!$H$4:$H$40,$AZ$5:$AZ$41,$BH48))),""))</f>
        <v/>
      </c>
      <c r="J49" s="70">
        <f>IF($BJ48&gt;0,IF(INDEX('Final Calculation Sheet'!$I$4:$I$40,$BJ48-3)="","",INDEX('Final Calculation Sheet'!$I$4:$I$40,$BJ48-3)),IF(OR($BI48=1,$BL48=1,$BH48&gt;0),IF($BI48=1,SUM('Final Calculation Sheet'!$I$4:$I$40),IF($BL48=1,SUM('Final Calculation Sheet'!$I$4:$I$40)-SUMIFS('Final Calculation Sheet'!$I$4:$I$40,$AZ$5:$AZ$41,10),SUMIFS('Final Calculation Sheet'!$I$4:$I$40,$AZ$5:$AZ$41,$BH48))),""))</f>
        <v/>
      </c>
      <c r="K49" s="70">
        <f>IF($BJ48&gt;0,IF(INDEX('Final Calculation Sheet'!$J$4:$J$40,$BJ48-3)="","",INDEX('Final Calculation Sheet'!$J$4:$J$40,$BJ48-3)),IF(OR($BI48=1,$BL48=1,$BH48&gt;0),IF($BI48=1,SUM('Final Calculation Sheet'!$J$4:$J$40),IF($BL48=1,SUM('Final Calculation Sheet'!$J$4:$J$40)-SUMIFS('Final Calculation Sheet'!$J$4:$J$40,$AZ$5:$AZ$41,10),SUMIFS('Final Calculation Sheet'!$J$4:$J$40,$AZ$5:$AZ$41,$BH48))),""))</f>
        <v/>
      </c>
      <c r="L49" s="70">
        <f>IF($BJ48&gt;0,IF(INDEX('Final Calculation Sheet'!$K$4:$K$40,$BJ48-3)="","",INDEX('Final Calculation Sheet'!$K$4:$K$40,$BJ48-3)),IF(OR($BI48=1,$BL48=1,$BH48&gt;0),IF($BI48=1,SUM('Final Calculation Sheet'!$K$4:$K$40),IF($BL48=1,SUM('Final Calculation Sheet'!$K$4:$K$40)-SUMIFS('Final Calculation Sheet'!$K$4:$K$40,$AZ$5:$AZ$41,10),SUMIFS('Final Calculation Sheet'!$K$4:$K$40,$AZ$5:$AZ$41,$BH48))),""))</f>
        <v/>
      </c>
      <c r="M49" s="70">
        <f>IF($BJ48&gt;0,IF(INDEX('Final Calculation Sheet'!$L$4:$L$40,$BJ48-3)="","",INDEX('Final Calculation Sheet'!$L$4:$L$40,$BJ48-3)),IF(OR($BI48=1,$BL48=1,$BH48&gt;0),IF($BI48=1,SUM('Final Calculation Sheet'!$L$4:$L$40),IF($BL48=1,SUM('Final Calculation Sheet'!$L$4:$L$40)-SUMIFS('Final Calculation Sheet'!$L$4:$L$40,$AZ$5:$AZ$41,10),SUMIFS('Final Calculation Sheet'!$L$4:$L$40,$AZ$5:$AZ$41,$BH48))),""))</f>
        <v/>
      </c>
      <c r="N49" s="70">
        <f>IF($BJ48&gt;0,IF(INDEX('Final Calculation Sheet'!$M$4:$M$40,$BJ48-3)="","",INDEX('Final Calculation Sheet'!$M$4:$M$40,$BJ48-3)),IF(OR($BI48=1,$BL48=1,$BH48&gt;0),IF($BI48=1,SUM('Final Calculation Sheet'!$M$4:$M$40),IF($BL48=1,SUM('Final Calculation Sheet'!$M$4:$M$40)-SUMIFS('Final Calculation Sheet'!$M$4:$M$40,$AZ$5:$AZ$41,10),SUMIFS('Final Calculation Sheet'!$M$4:$M$40,$AZ$5:$AZ$41,$BH48))),""))</f>
        <v/>
      </c>
      <c r="O49" s="71">
        <f>IF($BJ48&gt;0,IF(INDEX('Final Calculation Sheet'!$N$4:$N$40,$BJ48-3)="","",INDEX('Final Calculation Sheet'!$N$4:$N$40,$BJ48-3)),IF(OR($BI48=1,$BL48=1,$BH48&gt;0),IF($BI48=1,SUM('Final Calculation Sheet'!$N$4:$N$40),IF($BL48=1,SUM('Final Calculation Sheet'!$N$4:$N$40)-SUMIFS('Final Calculation Sheet'!$N$4:$N$40,$AZ$5:$AZ$41,10),SUMIFS('Final Calculation Sheet'!$N$4:$N$40,$AZ$5:$AZ$41,$BH48))),""))</f>
        <v/>
      </c>
      <c r="P49" s="70">
        <f>IF($BJ48&gt;0,IF(INDEX('Final Calculation Sheet'!$O$4:$O$40,$BJ48-3)="","",INDEX('Final Calculation Sheet'!$O$4:$O$40,$BJ48-3)),IF(OR($BI48=1,$BL48=1,$BH48&gt;0),IF($BI48=1,SUM('Final Calculation Sheet'!$O$4:$O$40),IF($BL48=1,SUM('Final Calculation Sheet'!$O$4:$O$40)-SUMIFS('Final Calculation Sheet'!$O$4:$O$40,$AZ$5:$AZ$41,10),SUMIFS('Final Calculation Sheet'!$O$4:$O$40,$AZ$5:$AZ$41,$BH48))),""))</f>
        <v/>
      </c>
      <c r="Q49" s="70">
        <f>IF($BJ48&gt;0,IF(INDEX('Final Calculation Sheet'!$P$4:$P$40,$BJ48-3)="","",INDEX('Final Calculation Sheet'!$P$4:$P$40,$BJ48-3)),IF(OR($BI48=1,$BL48=1,$BH48&gt;0),IF($BI48=1,SUM('Final Calculation Sheet'!$P$4:$P$40),IF($BL48=1,SUM('Final Calculation Sheet'!$P$4:$P$40)-SUMIFS('Final Calculation Sheet'!$P$4:$P$40,$AZ$5:$AZ$41,10),SUMIFS('Final Calculation Sheet'!$P$4:$P$40,$AZ$5:$AZ$41,$BH48))),""))</f>
        <v/>
      </c>
      <c r="R49" s="72">
        <f>IF($BJ48&gt;0,IF(INDEX('Final Calculation Sheet'!$Q$4:$Q$40,$BJ48-3)="","",INDEX('Final Calculation Sheet'!$Q$4:$Q$40,$BJ48-3)),IF(OR($BI48=1,$BL48=1,$BH48&gt;0),"–",""))</f>
        <v/>
      </c>
      <c r="S49" s="70">
        <f>IF($BJ48&gt;0,IF(INDEX('Final Calculation Sheet'!$R$4:$R$40,$BJ48-3)="","",INDEX('Final Calculation Sheet'!$R$4:$R$40,$BJ48-3)),IF(OR($BI48=1,$BL48=1,$BH48&gt;0),IF($BI48=1,SUM('Final Calculation Sheet'!$R$4:$R$40),IF($BL48=1,SUM('Final Calculation Sheet'!$R$4:$R$40)-SUMIFS('Final Calculation Sheet'!$R$4:$R$40,$AZ$5:$AZ$41,10),SUMIFS('Final Calculation Sheet'!$R$4:$R$40,$AZ$5:$AZ$41,$BH48))),""))</f>
        <v/>
      </c>
      <c r="T49" s="70">
        <f>IF($BJ48&gt;0,IF(INDEX('Final Calculation Sheet'!$S$4:$S$40,$BJ48-3)="","",INDEX('Final Calculation Sheet'!$S$4:$S$40,$BJ48-3)),IF(OR($BI48=1,$BL48=1,$BH48&gt;0),IF($BI48=1,SUM('Final Calculation Sheet'!$S$4:$S$40),IF($BL48=1,SUM('Final Calculation Sheet'!$S$4:$S$40)-SUMIFS('Final Calculation Sheet'!$S$4:$S$40,$AZ$5:$AZ$41,10),SUMIFS('Final Calculation Sheet'!$S$4:$S$40,$AZ$5:$AZ$41,$BH48))),""))</f>
        <v/>
      </c>
      <c r="U49" s="70">
        <f>IF($BJ48&gt;0,IF(INDEX('Final Calculation Sheet'!$T$4:$T$40,$BJ48-3)="","",INDEX('Final Calculation Sheet'!$T$4:$T$40,$BJ48-3)),IF(OR($BI48=1,$BL48=1,$BH48&gt;0),IF($BI48=1,SUM('Final Calculation Sheet'!$T$4:$T$40),IF($BL48=1,SUM('Final Calculation Sheet'!$T$4:$T$40)-SUMIFS('Final Calculation Sheet'!$T$4:$T$40,$AZ$5:$AZ$41,10),SUMIFS('Final Calculation Sheet'!$T$4:$T$40,$AZ$5:$AZ$41,$BH48))),""))</f>
        <v/>
      </c>
      <c r="V49" s="73">
        <f>IF($BJ48&gt;0,IF(INDEX('Final Calculation Sheet'!$U$4:$U$40,$BJ48-3)="","",INDEX('Final Calculation Sheet'!$U$4:$U$40,$BJ48-3)),IF(OR($BI48=1,$BL48=1,$BH48&gt;0),IF($BI48=1,SUM('Final Calculation Sheet'!$U$4:$U$40),IF($BL48=1,SUM('Final Calculation Sheet'!$U$4:$U$40)-SUMIFS('Final Calculation Sheet'!$U$4:$U$40,$AZ$5:$AZ$41,10),SUMIFS('Final Calculation Sheet'!$U$4:$U$40,$AZ$5:$AZ$41,$BH48))),""))</f>
        <v/>
      </c>
      <c r="W49" s="70">
        <f>IF($BJ48&gt;0,IF(INDEX('Final Calculation Sheet'!$V$4:$V$40,$BJ48-3)="","",INDEX('Final Calculation Sheet'!$V$4:$V$40,$BJ48-3)),IF(OR($BI48=1,$BL48=1,$BH48&gt;0),"–",""))</f>
        <v/>
      </c>
      <c r="X49" s="70">
        <f>IF($BJ48&gt;0,IF(INDEX('Final Calculation Sheet'!$W$4:$W$40,$BJ48-3)="","",INDEX('Final Calculation Sheet'!$W$4:$W$40,$BJ48-3)),IF(OR($BI48=1,$BL48=1,$BH48&gt;0),IF($BI48=1,SUM('Final Calculation Sheet'!$W$4:$W$40),IF($BL48=1,SUM('Final Calculation Sheet'!$W$4:$W$40)-SUMIFS('Final Calculation Sheet'!$W$4:$W$40,$AZ$5:$AZ$41,10),SUMIFS('Final Calculation Sheet'!$W$4:$W$40,$AZ$5:$AZ$41,$BH48))),""))</f>
        <v/>
      </c>
      <c r="Y49" s="70">
        <f>IF($BJ48&gt;0,IF(INDEX('Final Calculation Sheet'!$X$4:$X$40,$BJ48-3)="","",INDEX('Final Calculation Sheet'!$X$4:$X$40,$BJ48-3)),IF(OR($BI48=1,$BL48=1,$BH48&gt;0),IF($BI48=1,SUM('Final Calculation Sheet'!$X$4:$X$40),IF($BL48=1,SUM('Final Calculation Sheet'!$X$4:$X$40)-SUMIFS('Final Calculation Sheet'!$X$4:$X$40,$AZ$5:$AZ$41,10),SUMIFS('Final Calculation Sheet'!$X$4:$X$40,$AZ$5:$AZ$41,$BH48))),""))</f>
        <v/>
      </c>
      <c r="Z49" s="70">
        <f>IF($BJ48&gt;0,IF(INDEX('Final Calculation Sheet'!$Y$4:$Y$40,$BJ48-3)="","",INDEX('Final Calculation Sheet'!$Y$4:$Y$40,$BJ48-3)),IF(OR($BI48=1,$BL48=1,$BH48&gt;0),"–",""))</f>
        <v/>
      </c>
      <c r="AA49" s="70">
        <f>IF($BJ48&gt;0,IF(INDEX('Final Calculation Sheet'!$Z$4:$Z$40,$BJ48-3)="","",INDEX('Final Calculation Sheet'!$Z$4:$Z$40,$BJ48-3)),IF(OR($BI48=1,$BL48=1,$BH48&gt;0),IF($BI48=1,SUM('Final Calculation Sheet'!$Z$4:$Z$40),IF($BL48=1,SUM('Final Calculation Sheet'!$Z$4:$Z$40)-SUMIFS('Final Calculation Sheet'!$Z$4:$Z$40,$AZ$5:$AZ$41,10),SUMIFS('Final Calculation Sheet'!$Z$4:$Z$40,$AZ$5:$AZ$41,$BH48))),""))</f>
        <v/>
      </c>
      <c r="AB49" s="70">
        <f>IF($BJ48&gt;0,IF(INDEX('Final Calculation Sheet'!$AA$4:$AA$40,$BJ48-3)="","",INDEX('Final Calculation Sheet'!$AA$4:$AA$40,$BJ48-3)),IF(OR($BI48=1,$BL48=1,$BH48&gt;0),IF($BI48=1,SUM('Final Calculation Sheet'!$AA$4:$AA$40),IF($BL48=1,SUM('Final Calculation Sheet'!$AA$4:$AA$40)-SUMIFS('Final Calculation Sheet'!$AA$4:$AA$40,$AZ$5:$AZ$41,10),SUMIFS('Final Calculation Sheet'!$AA$4:$AA$40,$AZ$5:$AZ$41,$BH48))),""))</f>
        <v/>
      </c>
      <c r="AC49" s="70">
        <f>IF($BJ48&gt;0,IF(INDEX('Final Calculation Sheet'!$AB$4:$AB$40,$BJ48-3)="","",INDEX('Final Calculation Sheet'!$AB$4:$AB$40,$BJ48-3)),IF(OR($BI48=1,$BL48=1,$BH48&gt;0),"–",""))</f>
        <v/>
      </c>
      <c r="AD49" s="70">
        <f>IF($BJ48&gt;0,IF(INDEX('Final Calculation Sheet'!$AC$4:$AC$40,$BJ48-3)="","",INDEX('Final Calculation Sheet'!$AC$4:$AC$40,$BJ48-3)),IF(OR($BI48=1,$BL48=1,$BH48&gt;0),IF($BI48=1,SUM('Final Calculation Sheet'!$AC$4:$AC$40),IF($BL48=1,SUM('Final Calculation Sheet'!$AC$4:$AC$40)-SUMIFS('Final Calculation Sheet'!$AC$4:$AC$40,$AZ$5:$AZ$41,10),SUMIFS('Final Calculation Sheet'!$AC$4:$AC$40,$AZ$5:$AZ$41,$BH48))),""))</f>
        <v/>
      </c>
      <c r="AE49" s="70">
        <f>IF($BJ48&gt;0,IF(INDEX('Final Calculation Sheet'!$AD$4:$AD$40,$BJ48-3)="","",INDEX('Final Calculation Sheet'!$AD$4:$AD$40,$BJ48-3)),IF(OR($BI48=1,$BL48=1,$BH48&gt;0),IF($BI48=1,SUM('Final Calculation Sheet'!$AD$4:$AD$40),IF($BL48=1,SUM('Final Calculation Sheet'!$AD$4:$AD$40)-SUMIFS('Final Calculation Sheet'!$AD$4:$AD$40,$AZ$5:$AZ$41,10),SUMIFS('Final Calculation Sheet'!$AD$4:$AD$40,$AZ$5:$AZ$41,$BH48))),""))</f>
        <v/>
      </c>
      <c r="AF49" s="70">
        <f>IF($BJ48&gt;0,IF(INDEX('Final Calculation Sheet'!$AE$4:$AE$40,$BJ48-3)="","",INDEX('Final Calculation Sheet'!$AE$4:$AE$40,$BJ48-3)),IF(OR($BI48=1,$BL48=1,$BH48&gt;0),"–",""))</f>
        <v/>
      </c>
      <c r="AG49" s="74">
        <f>IF($BJ48&gt;0,IF(INDEX('Final Calculation Sheet'!$AF$4:$AF$40,$BJ48-3)="","",INDEX('Final Calculation Sheet'!$AF$4:$AF$40,$BJ48-3)),IF(OR($BI48=1,$BL48=1,$BH48&gt;0),"–",""))</f>
        <v/>
      </c>
      <c r="AH49" s="70">
        <f>IF($BJ48&gt;0,IF(INDEX('Final Calculation Sheet'!$AG$4:$AG$40,$BJ48-3)="","",INDEX('Final Calculation Sheet'!$AG$4:$AG$40,$BJ48-3)),IF(OR($BI48=1,$BL48=1,$BH48&gt;0),"–",""))</f>
        <v/>
      </c>
      <c r="AI49" s="75">
        <f>IF($BJ48&gt;0,IF(INDEX('Final Calculation Sheet'!$AD$4:$AD$40,$BJ48-3)="","",IF(INDEX('Final Calculation Sheet'!$AD$4:$AD$40,$BJ48-3)&lt;=0,"SETTLED","OUTSTANDING")),IF(OR($BI48=1,$BL48=1,$BH48&gt;0),IF(IF($BI48=1,SUM('Final Calculation Sheet'!$AD$4:$AD$40),IF($BL48=1,SUM('Final Calculation Sheet'!$AD$4:$AD$40)-SUMIFS('Final Calculation Sheet'!$AD$4:$AD$40,$AZ$5:$AZ$41,10),SUMIFS('Final Calculation Sheet'!$AD$4:$AD$40,$AZ$5:$AZ$41,$BH48)))&lt;=0,"ALL SETTLED","OUTSTANDING"),""))</f>
        <v/>
      </c>
      <c r="BH49">
        <f>IFERROR(MATCH(49,$BF$4:$BF$13,0),0)</f>
        <v/>
      </c>
      <c r="BI49">
        <f>IF(49=$BG$5,1,0)</f>
        <v/>
      </c>
      <c r="BJ49">
        <f>IF(OR($BH49&gt;0,$BI49=1,$BL49=1),0,IFERROR(INDEX($BC$5:$BC$41,MATCH(49,$BB$5:$BB$41,0)),0))</f>
        <v/>
      </c>
      <c r="BK49">
        <f>IF($BJ49&gt;0,IF(INDEX($AZ$5:$AZ$41,MATCH(49,$BB$5:$BB$41,0))=10,1,0),IF($BH49=10,1,0))</f>
        <v/>
      </c>
      <c r="BL49">
        <f>IF(49=$BG$4,1,0)</f>
        <v/>
      </c>
    </row>
    <row r="50" ht="15" customHeight="1" s="77">
      <c r="A50" s="67">
        <f>IF($BJ49&gt;0,INDEX($BA$5:$BA$41,MATCH(49,$BB$5:$BB$41,0)),IF(OR($BI49=1,$BL49=1,$BH49&gt;0),"∑",""))</f>
        <v/>
      </c>
      <c r="B50" s="68">
        <f>IF($BJ49&gt;0,IF(INDEX('Final Calculation Sheet'!$F$4:$F$40,$BJ49-3)="","",INDEX('Final Calculation Sheet'!$F$4:$F$40,$BJ49-3)),"")</f>
        <v/>
      </c>
      <c r="C50" s="68">
        <f>IF($BJ49&gt;0,IF(INDEX('Final Calculation Sheet'!$G$4:$G$40,$BJ49-3)="","",INDEX('Final Calculation Sheet'!$G$4:$G$40,$BJ49-3)),IF(OR($BI49=1,$BL49=1,$BH49&gt;0),IF($BI49=1,37,IF($BL49=1,37-INDEX($BD$4:$BD$13,10),INDEX($BD$4:$BD$13,$BH49)))&amp;" lot(s)",""))</f>
        <v/>
      </c>
      <c r="D50" s="69">
        <f>IF($BJ49&gt;0,IF(INDEX('Final Calculation Sheet'!$B$4:$B$40,$BJ49-3)="","",INDEX('Final Calculation Sheet'!$B$4:$B$40,$BJ49-3)),IF(OR($BI49=1,$BL49=1,$BH49&gt;0),IF($BI49=1,"GRAND TOTAL  —  matching + remaining",IF($BL49=1,"TOTAL MATCHED  —  every group together",IF($BH49=10,"REMAINING  —  did not match the search",IF($BH49=9,IF(COUNTIF($A$4:$AI$4,"&lt;&gt;")&gt;0,"FILTERED LOTS  —  column fields","ALL LOTS  —  nothing typed in the box"),"GROUP "&amp;$BH49&amp;" TOTAL  —  lots matching  "&amp;INDEX($AR$6:$AY$6,$BH49))))),""))</f>
        <v/>
      </c>
      <c r="E50" s="69">
        <f>IF($BJ49&gt;0,IF(INDEX('Final Calculation Sheet'!$D$4:$D$40,$BJ49-3)="","",INDEX('Final Calculation Sheet'!$D$4:$D$40,$BJ49-3)),IF(OR($BI49=1,$BL49=1,$BH49&gt;0),"–",""))</f>
        <v/>
      </c>
      <c r="F50" s="69">
        <f>IF($BJ49&gt;0,IF(INDEX('Final Calculation Sheet'!$A$4:$A$40,$BJ49-3)="","",INDEX('Final Calculation Sheet'!$A$4:$A$40,$BJ49-3)),IF(OR($BI49=1,$BL49=1,$BH49&gt;0),IF($BI49=1,SUM('Final Calculation Sheet'!$A$4:$A$40),IF($BL49=1,SUM('Final Calculation Sheet'!$A$4:$A$40)-SUMIFS('Final Calculation Sheet'!$A$4:$A$40,$AZ$5:$AZ$41,10),SUMIFS('Final Calculation Sheet'!$A$4:$A$40,$AZ$5:$AZ$41,$BH49))),""))</f>
        <v/>
      </c>
      <c r="G50" s="69">
        <f>IF($BJ49&gt;0,IF(INDEX('Final Calculation Sheet'!$E$4:$E$40,$BJ49-3)="","",INDEX('Final Calculation Sheet'!$E$4:$E$40,$BJ49-3)),IF(OR($BI49=1,$BL49=1,$BH49&gt;0),"–",""))</f>
        <v/>
      </c>
      <c r="H50" s="70">
        <f>IF($BJ49&gt;0,IF(INDEX('Final Calculation Sheet'!$C$4:$C$40,$BJ49-3)="","",INDEX('Final Calculation Sheet'!$C$4:$C$40,$BJ49-3)),IF(OR($BI49=1,$BL49=1,$BH49&gt;0),"–",""))</f>
        <v/>
      </c>
      <c r="I50" s="70">
        <f>IF($BJ49&gt;0,IF(INDEX('Final Calculation Sheet'!$H$4:$H$40,$BJ49-3)="","",INDEX('Final Calculation Sheet'!$H$4:$H$40,$BJ49-3)),IF(OR($BI49=1,$BL49=1,$BH49&gt;0),IF($BI49=1,SUM('Final Calculation Sheet'!$H$4:$H$40),IF($BL49=1,SUM('Final Calculation Sheet'!$H$4:$H$40)-SUMIFS('Final Calculation Sheet'!$H$4:$H$40,$AZ$5:$AZ$41,10),SUMIFS('Final Calculation Sheet'!$H$4:$H$40,$AZ$5:$AZ$41,$BH49))),""))</f>
        <v/>
      </c>
      <c r="J50" s="70">
        <f>IF($BJ49&gt;0,IF(INDEX('Final Calculation Sheet'!$I$4:$I$40,$BJ49-3)="","",INDEX('Final Calculation Sheet'!$I$4:$I$40,$BJ49-3)),IF(OR($BI49=1,$BL49=1,$BH49&gt;0),IF($BI49=1,SUM('Final Calculation Sheet'!$I$4:$I$40),IF($BL49=1,SUM('Final Calculation Sheet'!$I$4:$I$40)-SUMIFS('Final Calculation Sheet'!$I$4:$I$40,$AZ$5:$AZ$41,10),SUMIFS('Final Calculation Sheet'!$I$4:$I$40,$AZ$5:$AZ$41,$BH49))),""))</f>
        <v/>
      </c>
      <c r="K50" s="70">
        <f>IF($BJ49&gt;0,IF(INDEX('Final Calculation Sheet'!$J$4:$J$40,$BJ49-3)="","",INDEX('Final Calculation Sheet'!$J$4:$J$40,$BJ49-3)),IF(OR($BI49=1,$BL49=1,$BH49&gt;0),IF($BI49=1,SUM('Final Calculation Sheet'!$J$4:$J$40),IF($BL49=1,SUM('Final Calculation Sheet'!$J$4:$J$40)-SUMIFS('Final Calculation Sheet'!$J$4:$J$40,$AZ$5:$AZ$41,10),SUMIFS('Final Calculation Sheet'!$J$4:$J$40,$AZ$5:$AZ$41,$BH49))),""))</f>
        <v/>
      </c>
      <c r="L50" s="70">
        <f>IF($BJ49&gt;0,IF(INDEX('Final Calculation Sheet'!$K$4:$K$40,$BJ49-3)="","",INDEX('Final Calculation Sheet'!$K$4:$K$40,$BJ49-3)),IF(OR($BI49=1,$BL49=1,$BH49&gt;0),IF($BI49=1,SUM('Final Calculation Sheet'!$K$4:$K$40),IF($BL49=1,SUM('Final Calculation Sheet'!$K$4:$K$40)-SUMIFS('Final Calculation Sheet'!$K$4:$K$40,$AZ$5:$AZ$41,10),SUMIFS('Final Calculation Sheet'!$K$4:$K$40,$AZ$5:$AZ$41,$BH49))),""))</f>
        <v/>
      </c>
      <c r="M50" s="70">
        <f>IF($BJ49&gt;0,IF(INDEX('Final Calculation Sheet'!$L$4:$L$40,$BJ49-3)="","",INDEX('Final Calculation Sheet'!$L$4:$L$40,$BJ49-3)),IF(OR($BI49=1,$BL49=1,$BH49&gt;0),IF($BI49=1,SUM('Final Calculation Sheet'!$L$4:$L$40),IF($BL49=1,SUM('Final Calculation Sheet'!$L$4:$L$40)-SUMIFS('Final Calculation Sheet'!$L$4:$L$40,$AZ$5:$AZ$41,10),SUMIFS('Final Calculation Sheet'!$L$4:$L$40,$AZ$5:$AZ$41,$BH49))),""))</f>
        <v/>
      </c>
      <c r="N50" s="70">
        <f>IF($BJ49&gt;0,IF(INDEX('Final Calculation Sheet'!$M$4:$M$40,$BJ49-3)="","",INDEX('Final Calculation Sheet'!$M$4:$M$40,$BJ49-3)),IF(OR($BI49=1,$BL49=1,$BH49&gt;0),IF($BI49=1,SUM('Final Calculation Sheet'!$M$4:$M$40),IF($BL49=1,SUM('Final Calculation Sheet'!$M$4:$M$40)-SUMIFS('Final Calculation Sheet'!$M$4:$M$40,$AZ$5:$AZ$41,10),SUMIFS('Final Calculation Sheet'!$M$4:$M$40,$AZ$5:$AZ$41,$BH49))),""))</f>
        <v/>
      </c>
      <c r="O50" s="71">
        <f>IF($BJ49&gt;0,IF(INDEX('Final Calculation Sheet'!$N$4:$N$40,$BJ49-3)="","",INDEX('Final Calculation Sheet'!$N$4:$N$40,$BJ49-3)),IF(OR($BI49=1,$BL49=1,$BH49&gt;0),IF($BI49=1,SUM('Final Calculation Sheet'!$N$4:$N$40),IF($BL49=1,SUM('Final Calculation Sheet'!$N$4:$N$40)-SUMIFS('Final Calculation Sheet'!$N$4:$N$40,$AZ$5:$AZ$41,10),SUMIFS('Final Calculation Sheet'!$N$4:$N$40,$AZ$5:$AZ$41,$BH49))),""))</f>
        <v/>
      </c>
      <c r="P50" s="70">
        <f>IF($BJ49&gt;0,IF(INDEX('Final Calculation Sheet'!$O$4:$O$40,$BJ49-3)="","",INDEX('Final Calculation Sheet'!$O$4:$O$40,$BJ49-3)),IF(OR($BI49=1,$BL49=1,$BH49&gt;0),IF($BI49=1,SUM('Final Calculation Sheet'!$O$4:$O$40),IF($BL49=1,SUM('Final Calculation Sheet'!$O$4:$O$40)-SUMIFS('Final Calculation Sheet'!$O$4:$O$40,$AZ$5:$AZ$41,10),SUMIFS('Final Calculation Sheet'!$O$4:$O$40,$AZ$5:$AZ$41,$BH49))),""))</f>
        <v/>
      </c>
      <c r="Q50" s="70">
        <f>IF($BJ49&gt;0,IF(INDEX('Final Calculation Sheet'!$P$4:$P$40,$BJ49-3)="","",INDEX('Final Calculation Sheet'!$P$4:$P$40,$BJ49-3)),IF(OR($BI49=1,$BL49=1,$BH49&gt;0),IF($BI49=1,SUM('Final Calculation Sheet'!$P$4:$P$40),IF($BL49=1,SUM('Final Calculation Sheet'!$P$4:$P$40)-SUMIFS('Final Calculation Sheet'!$P$4:$P$40,$AZ$5:$AZ$41,10),SUMIFS('Final Calculation Sheet'!$P$4:$P$40,$AZ$5:$AZ$41,$BH49))),""))</f>
        <v/>
      </c>
      <c r="R50" s="72">
        <f>IF($BJ49&gt;0,IF(INDEX('Final Calculation Sheet'!$Q$4:$Q$40,$BJ49-3)="","",INDEX('Final Calculation Sheet'!$Q$4:$Q$40,$BJ49-3)),IF(OR($BI49=1,$BL49=1,$BH49&gt;0),"–",""))</f>
        <v/>
      </c>
      <c r="S50" s="70">
        <f>IF($BJ49&gt;0,IF(INDEX('Final Calculation Sheet'!$R$4:$R$40,$BJ49-3)="","",INDEX('Final Calculation Sheet'!$R$4:$R$40,$BJ49-3)),IF(OR($BI49=1,$BL49=1,$BH49&gt;0),IF($BI49=1,SUM('Final Calculation Sheet'!$R$4:$R$40),IF($BL49=1,SUM('Final Calculation Sheet'!$R$4:$R$40)-SUMIFS('Final Calculation Sheet'!$R$4:$R$40,$AZ$5:$AZ$41,10),SUMIFS('Final Calculation Sheet'!$R$4:$R$40,$AZ$5:$AZ$41,$BH49))),""))</f>
        <v/>
      </c>
      <c r="T50" s="70">
        <f>IF($BJ49&gt;0,IF(INDEX('Final Calculation Sheet'!$S$4:$S$40,$BJ49-3)="","",INDEX('Final Calculation Sheet'!$S$4:$S$40,$BJ49-3)),IF(OR($BI49=1,$BL49=1,$BH49&gt;0),IF($BI49=1,SUM('Final Calculation Sheet'!$S$4:$S$40),IF($BL49=1,SUM('Final Calculation Sheet'!$S$4:$S$40)-SUMIFS('Final Calculation Sheet'!$S$4:$S$40,$AZ$5:$AZ$41,10),SUMIFS('Final Calculation Sheet'!$S$4:$S$40,$AZ$5:$AZ$41,$BH49))),""))</f>
        <v/>
      </c>
      <c r="U50" s="70">
        <f>IF($BJ49&gt;0,IF(INDEX('Final Calculation Sheet'!$T$4:$T$40,$BJ49-3)="","",INDEX('Final Calculation Sheet'!$T$4:$T$40,$BJ49-3)),IF(OR($BI49=1,$BL49=1,$BH49&gt;0),IF($BI49=1,SUM('Final Calculation Sheet'!$T$4:$T$40),IF($BL49=1,SUM('Final Calculation Sheet'!$T$4:$T$40)-SUMIFS('Final Calculation Sheet'!$T$4:$T$40,$AZ$5:$AZ$41,10),SUMIFS('Final Calculation Sheet'!$T$4:$T$40,$AZ$5:$AZ$41,$BH49))),""))</f>
        <v/>
      </c>
      <c r="V50" s="73">
        <f>IF($BJ49&gt;0,IF(INDEX('Final Calculation Sheet'!$U$4:$U$40,$BJ49-3)="","",INDEX('Final Calculation Sheet'!$U$4:$U$40,$BJ49-3)),IF(OR($BI49=1,$BL49=1,$BH49&gt;0),IF($BI49=1,SUM('Final Calculation Sheet'!$U$4:$U$40),IF($BL49=1,SUM('Final Calculation Sheet'!$U$4:$U$40)-SUMIFS('Final Calculation Sheet'!$U$4:$U$40,$AZ$5:$AZ$41,10),SUMIFS('Final Calculation Sheet'!$U$4:$U$40,$AZ$5:$AZ$41,$BH49))),""))</f>
        <v/>
      </c>
      <c r="W50" s="70">
        <f>IF($BJ49&gt;0,IF(INDEX('Final Calculation Sheet'!$V$4:$V$40,$BJ49-3)="","",INDEX('Final Calculation Sheet'!$V$4:$V$40,$BJ49-3)),IF(OR($BI49=1,$BL49=1,$BH49&gt;0),"–",""))</f>
        <v/>
      </c>
      <c r="X50" s="70">
        <f>IF($BJ49&gt;0,IF(INDEX('Final Calculation Sheet'!$W$4:$W$40,$BJ49-3)="","",INDEX('Final Calculation Sheet'!$W$4:$W$40,$BJ49-3)),IF(OR($BI49=1,$BL49=1,$BH49&gt;0),IF($BI49=1,SUM('Final Calculation Sheet'!$W$4:$W$40),IF($BL49=1,SUM('Final Calculation Sheet'!$W$4:$W$40)-SUMIFS('Final Calculation Sheet'!$W$4:$W$40,$AZ$5:$AZ$41,10),SUMIFS('Final Calculation Sheet'!$W$4:$W$40,$AZ$5:$AZ$41,$BH49))),""))</f>
        <v/>
      </c>
      <c r="Y50" s="70">
        <f>IF($BJ49&gt;0,IF(INDEX('Final Calculation Sheet'!$X$4:$X$40,$BJ49-3)="","",INDEX('Final Calculation Sheet'!$X$4:$X$40,$BJ49-3)),IF(OR($BI49=1,$BL49=1,$BH49&gt;0),IF($BI49=1,SUM('Final Calculation Sheet'!$X$4:$X$40),IF($BL49=1,SUM('Final Calculation Sheet'!$X$4:$X$40)-SUMIFS('Final Calculation Sheet'!$X$4:$X$40,$AZ$5:$AZ$41,10),SUMIFS('Final Calculation Sheet'!$X$4:$X$40,$AZ$5:$AZ$41,$BH49))),""))</f>
        <v/>
      </c>
      <c r="Z50" s="70">
        <f>IF($BJ49&gt;0,IF(INDEX('Final Calculation Sheet'!$Y$4:$Y$40,$BJ49-3)="","",INDEX('Final Calculation Sheet'!$Y$4:$Y$40,$BJ49-3)),IF(OR($BI49=1,$BL49=1,$BH49&gt;0),"–",""))</f>
        <v/>
      </c>
      <c r="AA50" s="70">
        <f>IF($BJ49&gt;0,IF(INDEX('Final Calculation Sheet'!$Z$4:$Z$40,$BJ49-3)="","",INDEX('Final Calculation Sheet'!$Z$4:$Z$40,$BJ49-3)),IF(OR($BI49=1,$BL49=1,$BH49&gt;0),IF($BI49=1,SUM('Final Calculation Sheet'!$Z$4:$Z$40),IF($BL49=1,SUM('Final Calculation Sheet'!$Z$4:$Z$40)-SUMIFS('Final Calculation Sheet'!$Z$4:$Z$40,$AZ$5:$AZ$41,10),SUMIFS('Final Calculation Sheet'!$Z$4:$Z$40,$AZ$5:$AZ$41,$BH49))),""))</f>
        <v/>
      </c>
      <c r="AB50" s="70">
        <f>IF($BJ49&gt;0,IF(INDEX('Final Calculation Sheet'!$AA$4:$AA$40,$BJ49-3)="","",INDEX('Final Calculation Sheet'!$AA$4:$AA$40,$BJ49-3)),IF(OR($BI49=1,$BL49=1,$BH49&gt;0),IF($BI49=1,SUM('Final Calculation Sheet'!$AA$4:$AA$40),IF($BL49=1,SUM('Final Calculation Sheet'!$AA$4:$AA$40)-SUMIFS('Final Calculation Sheet'!$AA$4:$AA$40,$AZ$5:$AZ$41,10),SUMIFS('Final Calculation Sheet'!$AA$4:$AA$40,$AZ$5:$AZ$41,$BH49))),""))</f>
        <v/>
      </c>
      <c r="AC50" s="70">
        <f>IF($BJ49&gt;0,IF(INDEX('Final Calculation Sheet'!$AB$4:$AB$40,$BJ49-3)="","",INDEX('Final Calculation Sheet'!$AB$4:$AB$40,$BJ49-3)),IF(OR($BI49=1,$BL49=1,$BH49&gt;0),"–",""))</f>
        <v/>
      </c>
      <c r="AD50" s="70">
        <f>IF($BJ49&gt;0,IF(INDEX('Final Calculation Sheet'!$AC$4:$AC$40,$BJ49-3)="","",INDEX('Final Calculation Sheet'!$AC$4:$AC$40,$BJ49-3)),IF(OR($BI49=1,$BL49=1,$BH49&gt;0),IF($BI49=1,SUM('Final Calculation Sheet'!$AC$4:$AC$40),IF($BL49=1,SUM('Final Calculation Sheet'!$AC$4:$AC$40)-SUMIFS('Final Calculation Sheet'!$AC$4:$AC$40,$AZ$5:$AZ$41,10),SUMIFS('Final Calculation Sheet'!$AC$4:$AC$40,$AZ$5:$AZ$41,$BH49))),""))</f>
        <v/>
      </c>
      <c r="AE50" s="70">
        <f>IF($BJ49&gt;0,IF(INDEX('Final Calculation Sheet'!$AD$4:$AD$40,$BJ49-3)="","",INDEX('Final Calculation Sheet'!$AD$4:$AD$40,$BJ49-3)),IF(OR($BI49=1,$BL49=1,$BH49&gt;0),IF($BI49=1,SUM('Final Calculation Sheet'!$AD$4:$AD$40),IF($BL49=1,SUM('Final Calculation Sheet'!$AD$4:$AD$40)-SUMIFS('Final Calculation Sheet'!$AD$4:$AD$40,$AZ$5:$AZ$41,10),SUMIFS('Final Calculation Sheet'!$AD$4:$AD$40,$AZ$5:$AZ$41,$BH49))),""))</f>
        <v/>
      </c>
      <c r="AF50" s="70">
        <f>IF($BJ49&gt;0,IF(INDEX('Final Calculation Sheet'!$AE$4:$AE$40,$BJ49-3)="","",INDEX('Final Calculation Sheet'!$AE$4:$AE$40,$BJ49-3)),IF(OR($BI49=1,$BL49=1,$BH49&gt;0),"–",""))</f>
        <v/>
      </c>
      <c r="AG50" s="74">
        <f>IF($BJ49&gt;0,IF(INDEX('Final Calculation Sheet'!$AF$4:$AF$40,$BJ49-3)="","",INDEX('Final Calculation Sheet'!$AF$4:$AF$40,$BJ49-3)),IF(OR($BI49=1,$BL49=1,$BH49&gt;0),"–",""))</f>
        <v/>
      </c>
      <c r="AH50" s="70">
        <f>IF($BJ49&gt;0,IF(INDEX('Final Calculation Sheet'!$AG$4:$AG$40,$BJ49-3)="","",INDEX('Final Calculation Sheet'!$AG$4:$AG$40,$BJ49-3)),IF(OR($BI49=1,$BL49=1,$BH49&gt;0),"–",""))</f>
        <v/>
      </c>
      <c r="AI50" s="75">
        <f>IF($BJ49&gt;0,IF(INDEX('Final Calculation Sheet'!$AD$4:$AD$40,$BJ49-3)="","",IF(INDEX('Final Calculation Sheet'!$AD$4:$AD$40,$BJ49-3)&lt;=0,"SETTLED","OUTSTANDING")),IF(OR($BI49=1,$BL49=1,$BH49&gt;0),IF(IF($BI49=1,SUM('Final Calculation Sheet'!$AD$4:$AD$40),IF($BL49=1,SUM('Final Calculation Sheet'!$AD$4:$AD$40)-SUMIFS('Final Calculation Sheet'!$AD$4:$AD$40,$AZ$5:$AZ$41,10),SUMIFS('Final Calculation Sheet'!$AD$4:$AD$40,$AZ$5:$AZ$41,$BH49)))&lt;=0,"ALL SETTLED","OUTSTANDING"),""))</f>
        <v/>
      </c>
      <c r="BH50">
        <f>IFERROR(MATCH(50,$BF$4:$BF$13,0),0)</f>
        <v/>
      </c>
      <c r="BI50">
        <f>IF(50=$BG$5,1,0)</f>
        <v/>
      </c>
      <c r="BJ50">
        <f>IF(OR($BH50&gt;0,$BI50=1,$BL50=1),0,IFERROR(INDEX($BC$5:$BC$41,MATCH(50,$BB$5:$BB$41,0)),0))</f>
        <v/>
      </c>
      <c r="BK50">
        <f>IF($BJ50&gt;0,IF(INDEX($AZ$5:$AZ$41,MATCH(50,$BB$5:$BB$41,0))=10,1,0),IF($BH50=10,1,0))</f>
        <v/>
      </c>
      <c r="BL50">
        <f>IF(50=$BG$4,1,0)</f>
        <v/>
      </c>
    </row>
    <row r="51" ht="15" customHeight="1" s="77">
      <c r="A51" s="67">
        <f>IF($BJ50&gt;0,INDEX($BA$5:$BA$41,MATCH(50,$BB$5:$BB$41,0)),IF(OR($BI50=1,$BL50=1,$BH50&gt;0),"∑",""))</f>
        <v/>
      </c>
      <c r="B51" s="68">
        <f>IF($BJ50&gt;0,IF(INDEX('Final Calculation Sheet'!$F$4:$F$40,$BJ50-3)="","",INDEX('Final Calculation Sheet'!$F$4:$F$40,$BJ50-3)),"")</f>
        <v/>
      </c>
      <c r="C51" s="68">
        <f>IF($BJ50&gt;0,IF(INDEX('Final Calculation Sheet'!$G$4:$G$40,$BJ50-3)="","",INDEX('Final Calculation Sheet'!$G$4:$G$40,$BJ50-3)),IF(OR($BI50=1,$BL50=1,$BH50&gt;0),IF($BI50=1,37,IF($BL50=1,37-INDEX($BD$4:$BD$13,10),INDEX($BD$4:$BD$13,$BH50)))&amp;" lot(s)",""))</f>
        <v/>
      </c>
      <c r="D51" s="69">
        <f>IF($BJ50&gt;0,IF(INDEX('Final Calculation Sheet'!$B$4:$B$40,$BJ50-3)="","",INDEX('Final Calculation Sheet'!$B$4:$B$40,$BJ50-3)),IF(OR($BI50=1,$BL50=1,$BH50&gt;0),IF($BI50=1,"GRAND TOTAL  —  matching + remaining",IF($BL50=1,"TOTAL MATCHED  —  every group together",IF($BH50=10,"REMAINING  —  did not match the search",IF($BH50=9,IF(COUNTIF($A$4:$AI$4,"&lt;&gt;")&gt;0,"FILTERED LOTS  —  column fields","ALL LOTS  —  nothing typed in the box"),"GROUP "&amp;$BH50&amp;" TOTAL  —  lots matching  "&amp;INDEX($AR$6:$AY$6,$BH50))))),""))</f>
        <v/>
      </c>
      <c r="E51" s="69">
        <f>IF($BJ50&gt;0,IF(INDEX('Final Calculation Sheet'!$D$4:$D$40,$BJ50-3)="","",INDEX('Final Calculation Sheet'!$D$4:$D$40,$BJ50-3)),IF(OR($BI50=1,$BL50=1,$BH50&gt;0),"–",""))</f>
        <v/>
      </c>
      <c r="F51" s="69">
        <f>IF($BJ50&gt;0,IF(INDEX('Final Calculation Sheet'!$A$4:$A$40,$BJ50-3)="","",INDEX('Final Calculation Sheet'!$A$4:$A$40,$BJ50-3)),IF(OR($BI50=1,$BL50=1,$BH50&gt;0),IF($BI50=1,SUM('Final Calculation Sheet'!$A$4:$A$40),IF($BL50=1,SUM('Final Calculation Sheet'!$A$4:$A$40)-SUMIFS('Final Calculation Sheet'!$A$4:$A$40,$AZ$5:$AZ$41,10),SUMIFS('Final Calculation Sheet'!$A$4:$A$40,$AZ$5:$AZ$41,$BH50))),""))</f>
        <v/>
      </c>
      <c r="G51" s="69">
        <f>IF($BJ50&gt;0,IF(INDEX('Final Calculation Sheet'!$E$4:$E$40,$BJ50-3)="","",INDEX('Final Calculation Sheet'!$E$4:$E$40,$BJ50-3)),IF(OR($BI50=1,$BL50=1,$BH50&gt;0),"–",""))</f>
        <v/>
      </c>
      <c r="H51" s="70">
        <f>IF($BJ50&gt;0,IF(INDEX('Final Calculation Sheet'!$C$4:$C$40,$BJ50-3)="","",INDEX('Final Calculation Sheet'!$C$4:$C$40,$BJ50-3)),IF(OR($BI50=1,$BL50=1,$BH50&gt;0),"–",""))</f>
        <v/>
      </c>
      <c r="I51" s="70">
        <f>IF($BJ50&gt;0,IF(INDEX('Final Calculation Sheet'!$H$4:$H$40,$BJ50-3)="","",INDEX('Final Calculation Sheet'!$H$4:$H$40,$BJ50-3)),IF(OR($BI50=1,$BL50=1,$BH50&gt;0),IF($BI50=1,SUM('Final Calculation Sheet'!$H$4:$H$40),IF($BL50=1,SUM('Final Calculation Sheet'!$H$4:$H$40)-SUMIFS('Final Calculation Sheet'!$H$4:$H$40,$AZ$5:$AZ$41,10),SUMIFS('Final Calculation Sheet'!$H$4:$H$40,$AZ$5:$AZ$41,$BH50))),""))</f>
        <v/>
      </c>
      <c r="J51" s="70">
        <f>IF($BJ50&gt;0,IF(INDEX('Final Calculation Sheet'!$I$4:$I$40,$BJ50-3)="","",INDEX('Final Calculation Sheet'!$I$4:$I$40,$BJ50-3)),IF(OR($BI50=1,$BL50=1,$BH50&gt;0),IF($BI50=1,SUM('Final Calculation Sheet'!$I$4:$I$40),IF($BL50=1,SUM('Final Calculation Sheet'!$I$4:$I$40)-SUMIFS('Final Calculation Sheet'!$I$4:$I$40,$AZ$5:$AZ$41,10),SUMIFS('Final Calculation Sheet'!$I$4:$I$40,$AZ$5:$AZ$41,$BH50))),""))</f>
        <v/>
      </c>
      <c r="K51" s="70">
        <f>IF($BJ50&gt;0,IF(INDEX('Final Calculation Sheet'!$J$4:$J$40,$BJ50-3)="","",INDEX('Final Calculation Sheet'!$J$4:$J$40,$BJ50-3)),IF(OR($BI50=1,$BL50=1,$BH50&gt;0),IF($BI50=1,SUM('Final Calculation Sheet'!$J$4:$J$40),IF($BL50=1,SUM('Final Calculation Sheet'!$J$4:$J$40)-SUMIFS('Final Calculation Sheet'!$J$4:$J$40,$AZ$5:$AZ$41,10),SUMIFS('Final Calculation Sheet'!$J$4:$J$40,$AZ$5:$AZ$41,$BH50))),""))</f>
        <v/>
      </c>
      <c r="L51" s="70">
        <f>IF($BJ50&gt;0,IF(INDEX('Final Calculation Sheet'!$K$4:$K$40,$BJ50-3)="","",INDEX('Final Calculation Sheet'!$K$4:$K$40,$BJ50-3)),IF(OR($BI50=1,$BL50=1,$BH50&gt;0),IF($BI50=1,SUM('Final Calculation Sheet'!$K$4:$K$40),IF($BL50=1,SUM('Final Calculation Sheet'!$K$4:$K$40)-SUMIFS('Final Calculation Sheet'!$K$4:$K$40,$AZ$5:$AZ$41,10),SUMIFS('Final Calculation Sheet'!$K$4:$K$40,$AZ$5:$AZ$41,$BH50))),""))</f>
        <v/>
      </c>
      <c r="M51" s="70">
        <f>IF($BJ50&gt;0,IF(INDEX('Final Calculation Sheet'!$L$4:$L$40,$BJ50-3)="","",INDEX('Final Calculation Sheet'!$L$4:$L$40,$BJ50-3)),IF(OR($BI50=1,$BL50=1,$BH50&gt;0),IF($BI50=1,SUM('Final Calculation Sheet'!$L$4:$L$40),IF($BL50=1,SUM('Final Calculation Sheet'!$L$4:$L$40)-SUMIFS('Final Calculation Sheet'!$L$4:$L$40,$AZ$5:$AZ$41,10),SUMIFS('Final Calculation Sheet'!$L$4:$L$40,$AZ$5:$AZ$41,$BH50))),""))</f>
        <v/>
      </c>
      <c r="N51" s="70">
        <f>IF($BJ50&gt;0,IF(INDEX('Final Calculation Sheet'!$M$4:$M$40,$BJ50-3)="","",INDEX('Final Calculation Sheet'!$M$4:$M$40,$BJ50-3)),IF(OR($BI50=1,$BL50=1,$BH50&gt;0),IF($BI50=1,SUM('Final Calculation Sheet'!$M$4:$M$40),IF($BL50=1,SUM('Final Calculation Sheet'!$M$4:$M$40)-SUMIFS('Final Calculation Sheet'!$M$4:$M$40,$AZ$5:$AZ$41,10),SUMIFS('Final Calculation Sheet'!$M$4:$M$40,$AZ$5:$AZ$41,$BH50))),""))</f>
        <v/>
      </c>
      <c r="O51" s="71">
        <f>IF($BJ50&gt;0,IF(INDEX('Final Calculation Sheet'!$N$4:$N$40,$BJ50-3)="","",INDEX('Final Calculation Sheet'!$N$4:$N$40,$BJ50-3)),IF(OR($BI50=1,$BL50=1,$BH50&gt;0),IF($BI50=1,SUM('Final Calculation Sheet'!$N$4:$N$40),IF($BL50=1,SUM('Final Calculation Sheet'!$N$4:$N$40)-SUMIFS('Final Calculation Sheet'!$N$4:$N$40,$AZ$5:$AZ$41,10),SUMIFS('Final Calculation Sheet'!$N$4:$N$40,$AZ$5:$AZ$41,$BH50))),""))</f>
        <v/>
      </c>
      <c r="P51" s="70">
        <f>IF($BJ50&gt;0,IF(INDEX('Final Calculation Sheet'!$O$4:$O$40,$BJ50-3)="","",INDEX('Final Calculation Sheet'!$O$4:$O$40,$BJ50-3)),IF(OR($BI50=1,$BL50=1,$BH50&gt;0),IF($BI50=1,SUM('Final Calculation Sheet'!$O$4:$O$40),IF($BL50=1,SUM('Final Calculation Sheet'!$O$4:$O$40)-SUMIFS('Final Calculation Sheet'!$O$4:$O$40,$AZ$5:$AZ$41,10),SUMIFS('Final Calculation Sheet'!$O$4:$O$40,$AZ$5:$AZ$41,$BH50))),""))</f>
        <v/>
      </c>
      <c r="Q51" s="70">
        <f>IF($BJ50&gt;0,IF(INDEX('Final Calculation Sheet'!$P$4:$P$40,$BJ50-3)="","",INDEX('Final Calculation Sheet'!$P$4:$P$40,$BJ50-3)),IF(OR($BI50=1,$BL50=1,$BH50&gt;0),IF($BI50=1,SUM('Final Calculation Sheet'!$P$4:$P$40),IF($BL50=1,SUM('Final Calculation Sheet'!$P$4:$P$40)-SUMIFS('Final Calculation Sheet'!$P$4:$P$40,$AZ$5:$AZ$41,10),SUMIFS('Final Calculation Sheet'!$P$4:$P$40,$AZ$5:$AZ$41,$BH50))),""))</f>
        <v/>
      </c>
      <c r="R51" s="72">
        <f>IF($BJ50&gt;0,IF(INDEX('Final Calculation Sheet'!$Q$4:$Q$40,$BJ50-3)="","",INDEX('Final Calculation Sheet'!$Q$4:$Q$40,$BJ50-3)),IF(OR($BI50=1,$BL50=1,$BH50&gt;0),"–",""))</f>
        <v/>
      </c>
      <c r="S51" s="70">
        <f>IF($BJ50&gt;0,IF(INDEX('Final Calculation Sheet'!$R$4:$R$40,$BJ50-3)="","",INDEX('Final Calculation Sheet'!$R$4:$R$40,$BJ50-3)),IF(OR($BI50=1,$BL50=1,$BH50&gt;0),IF($BI50=1,SUM('Final Calculation Sheet'!$R$4:$R$40),IF($BL50=1,SUM('Final Calculation Sheet'!$R$4:$R$40)-SUMIFS('Final Calculation Sheet'!$R$4:$R$40,$AZ$5:$AZ$41,10),SUMIFS('Final Calculation Sheet'!$R$4:$R$40,$AZ$5:$AZ$41,$BH50))),""))</f>
        <v/>
      </c>
      <c r="T51" s="70">
        <f>IF($BJ50&gt;0,IF(INDEX('Final Calculation Sheet'!$S$4:$S$40,$BJ50-3)="","",INDEX('Final Calculation Sheet'!$S$4:$S$40,$BJ50-3)),IF(OR($BI50=1,$BL50=1,$BH50&gt;0),IF($BI50=1,SUM('Final Calculation Sheet'!$S$4:$S$40),IF($BL50=1,SUM('Final Calculation Sheet'!$S$4:$S$40)-SUMIFS('Final Calculation Sheet'!$S$4:$S$40,$AZ$5:$AZ$41,10),SUMIFS('Final Calculation Sheet'!$S$4:$S$40,$AZ$5:$AZ$41,$BH50))),""))</f>
        <v/>
      </c>
      <c r="U51" s="70">
        <f>IF($BJ50&gt;0,IF(INDEX('Final Calculation Sheet'!$T$4:$T$40,$BJ50-3)="","",INDEX('Final Calculation Sheet'!$T$4:$T$40,$BJ50-3)),IF(OR($BI50=1,$BL50=1,$BH50&gt;0),IF($BI50=1,SUM('Final Calculation Sheet'!$T$4:$T$40),IF($BL50=1,SUM('Final Calculation Sheet'!$T$4:$T$40)-SUMIFS('Final Calculation Sheet'!$T$4:$T$40,$AZ$5:$AZ$41,10),SUMIFS('Final Calculation Sheet'!$T$4:$T$40,$AZ$5:$AZ$41,$BH50))),""))</f>
        <v/>
      </c>
      <c r="V51" s="73">
        <f>IF($BJ50&gt;0,IF(INDEX('Final Calculation Sheet'!$U$4:$U$40,$BJ50-3)="","",INDEX('Final Calculation Sheet'!$U$4:$U$40,$BJ50-3)),IF(OR($BI50=1,$BL50=1,$BH50&gt;0),IF($BI50=1,SUM('Final Calculation Sheet'!$U$4:$U$40),IF($BL50=1,SUM('Final Calculation Sheet'!$U$4:$U$40)-SUMIFS('Final Calculation Sheet'!$U$4:$U$40,$AZ$5:$AZ$41,10),SUMIFS('Final Calculation Sheet'!$U$4:$U$40,$AZ$5:$AZ$41,$BH50))),""))</f>
        <v/>
      </c>
      <c r="W51" s="70">
        <f>IF($BJ50&gt;0,IF(INDEX('Final Calculation Sheet'!$V$4:$V$40,$BJ50-3)="","",INDEX('Final Calculation Sheet'!$V$4:$V$40,$BJ50-3)),IF(OR($BI50=1,$BL50=1,$BH50&gt;0),"–",""))</f>
        <v/>
      </c>
      <c r="X51" s="70">
        <f>IF($BJ50&gt;0,IF(INDEX('Final Calculation Sheet'!$W$4:$W$40,$BJ50-3)="","",INDEX('Final Calculation Sheet'!$W$4:$W$40,$BJ50-3)),IF(OR($BI50=1,$BL50=1,$BH50&gt;0),IF($BI50=1,SUM('Final Calculation Sheet'!$W$4:$W$40),IF($BL50=1,SUM('Final Calculation Sheet'!$W$4:$W$40)-SUMIFS('Final Calculation Sheet'!$W$4:$W$40,$AZ$5:$AZ$41,10),SUMIFS('Final Calculation Sheet'!$W$4:$W$40,$AZ$5:$AZ$41,$BH50))),""))</f>
        <v/>
      </c>
      <c r="Y51" s="70">
        <f>IF($BJ50&gt;0,IF(INDEX('Final Calculation Sheet'!$X$4:$X$40,$BJ50-3)="","",INDEX('Final Calculation Sheet'!$X$4:$X$40,$BJ50-3)),IF(OR($BI50=1,$BL50=1,$BH50&gt;0),IF($BI50=1,SUM('Final Calculation Sheet'!$X$4:$X$40),IF($BL50=1,SUM('Final Calculation Sheet'!$X$4:$X$40)-SUMIFS('Final Calculation Sheet'!$X$4:$X$40,$AZ$5:$AZ$41,10),SUMIFS('Final Calculation Sheet'!$X$4:$X$40,$AZ$5:$AZ$41,$BH50))),""))</f>
        <v/>
      </c>
      <c r="Z51" s="70">
        <f>IF($BJ50&gt;0,IF(INDEX('Final Calculation Sheet'!$Y$4:$Y$40,$BJ50-3)="","",INDEX('Final Calculation Sheet'!$Y$4:$Y$40,$BJ50-3)),IF(OR($BI50=1,$BL50=1,$BH50&gt;0),"–",""))</f>
        <v/>
      </c>
      <c r="AA51" s="70">
        <f>IF($BJ50&gt;0,IF(INDEX('Final Calculation Sheet'!$Z$4:$Z$40,$BJ50-3)="","",INDEX('Final Calculation Sheet'!$Z$4:$Z$40,$BJ50-3)),IF(OR($BI50=1,$BL50=1,$BH50&gt;0),IF($BI50=1,SUM('Final Calculation Sheet'!$Z$4:$Z$40),IF($BL50=1,SUM('Final Calculation Sheet'!$Z$4:$Z$40)-SUMIFS('Final Calculation Sheet'!$Z$4:$Z$40,$AZ$5:$AZ$41,10),SUMIFS('Final Calculation Sheet'!$Z$4:$Z$40,$AZ$5:$AZ$41,$BH50))),""))</f>
        <v/>
      </c>
      <c r="AB51" s="70">
        <f>IF($BJ50&gt;0,IF(INDEX('Final Calculation Sheet'!$AA$4:$AA$40,$BJ50-3)="","",INDEX('Final Calculation Sheet'!$AA$4:$AA$40,$BJ50-3)),IF(OR($BI50=1,$BL50=1,$BH50&gt;0),IF($BI50=1,SUM('Final Calculation Sheet'!$AA$4:$AA$40),IF($BL50=1,SUM('Final Calculation Sheet'!$AA$4:$AA$40)-SUMIFS('Final Calculation Sheet'!$AA$4:$AA$40,$AZ$5:$AZ$41,10),SUMIFS('Final Calculation Sheet'!$AA$4:$AA$40,$AZ$5:$AZ$41,$BH50))),""))</f>
        <v/>
      </c>
      <c r="AC51" s="70">
        <f>IF($BJ50&gt;0,IF(INDEX('Final Calculation Sheet'!$AB$4:$AB$40,$BJ50-3)="","",INDEX('Final Calculation Sheet'!$AB$4:$AB$40,$BJ50-3)),IF(OR($BI50=1,$BL50=1,$BH50&gt;0),"–",""))</f>
        <v/>
      </c>
      <c r="AD51" s="70">
        <f>IF($BJ50&gt;0,IF(INDEX('Final Calculation Sheet'!$AC$4:$AC$40,$BJ50-3)="","",INDEX('Final Calculation Sheet'!$AC$4:$AC$40,$BJ50-3)),IF(OR($BI50=1,$BL50=1,$BH50&gt;0),IF($BI50=1,SUM('Final Calculation Sheet'!$AC$4:$AC$40),IF($BL50=1,SUM('Final Calculation Sheet'!$AC$4:$AC$40)-SUMIFS('Final Calculation Sheet'!$AC$4:$AC$40,$AZ$5:$AZ$41,10),SUMIFS('Final Calculation Sheet'!$AC$4:$AC$40,$AZ$5:$AZ$41,$BH50))),""))</f>
        <v/>
      </c>
      <c r="AE51" s="70">
        <f>IF($BJ50&gt;0,IF(INDEX('Final Calculation Sheet'!$AD$4:$AD$40,$BJ50-3)="","",INDEX('Final Calculation Sheet'!$AD$4:$AD$40,$BJ50-3)),IF(OR($BI50=1,$BL50=1,$BH50&gt;0),IF($BI50=1,SUM('Final Calculation Sheet'!$AD$4:$AD$40),IF($BL50=1,SUM('Final Calculation Sheet'!$AD$4:$AD$40)-SUMIFS('Final Calculation Sheet'!$AD$4:$AD$40,$AZ$5:$AZ$41,10),SUMIFS('Final Calculation Sheet'!$AD$4:$AD$40,$AZ$5:$AZ$41,$BH50))),""))</f>
        <v/>
      </c>
      <c r="AF51" s="70">
        <f>IF($BJ50&gt;0,IF(INDEX('Final Calculation Sheet'!$AE$4:$AE$40,$BJ50-3)="","",INDEX('Final Calculation Sheet'!$AE$4:$AE$40,$BJ50-3)),IF(OR($BI50=1,$BL50=1,$BH50&gt;0),"–",""))</f>
        <v/>
      </c>
      <c r="AG51" s="74">
        <f>IF($BJ50&gt;0,IF(INDEX('Final Calculation Sheet'!$AF$4:$AF$40,$BJ50-3)="","",INDEX('Final Calculation Sheet'!$AF$4:$AF$40,$BJ50-3)),IF(OR($BI50=1,$BL50=1,$BH50&gt;0),"–",""))</f>
        <v/>
      </c>
      <c r="AH51" s="70">
        <f>IF($BJ50&gt;0,IF(INDEX('Final Calculation Sheet'!$AG$4:$AG$40,$BJ50-3)="","",INDEX('Final Calculation Sheet'!$AG$4:$AG$40,$BJ50-3)),IF(OR($BI50=1,$BL50=1,$BH50&gt;0),"–",""))</f>
        <v/>
      </c>
      <c r="AI51" s="75">
        <f>IF($BJ50&gt;0,IF(INDEX('Final Calculation Sheet'!$AD$4:$AD$40,$BJ50-3)="","",IF(INDEX('Final Calculation Sheet'!$AD$4:$AD$40,$BJ50-3)&lt;=0,"SETTLED","OUTSTANDING")),IF(OR($BI50=1,$BL50=1,$BH50&gt;0),IF(IF($BI50=1,SUM('Final Calculation Sheet'!$AD$4:$AD$40),IF($BL50=1,SUM('Final Calculation Sheet'!$AD$4:$AD$40)-SUMIFS('Final Calculation Sheet'!$AD$4:$AD$40,$AZ$5:$AZ$41,10),SUMIFS('Final Calculation Sheet'!$AD$4:$AD$40,$AZ$5:$AZ$41,$BH50)))&lt;=0,"ALL SETTLED","OUTSTANDING"),""))</f>
        <v/>
      </c>
      <c r="BH51">
        <f>IFERROR(MATCH(51,$BF$4:$BF$13,0),0)</f>
        <v/>
      </c>
      <c r="BI51">
        <f>IF(51=$BG$5,1,0)</f>
        <v/>
      </c>
      <c r="BJ51">
        <f>IF(OR($BH51&gt;0,$BI51=1,$BL51=1),0,IFERROR(INDEX($BC$5:$BC$41,MATCH(51,$BB$5:$BB$41,0)),0))</f>
        <v/>
      </c>
      <c r="BK51">
        <f>IF($BJ51&gt;0,IF(INDEX($AZ$5:$AZ$41,MATCH(51,$BB$5:$BB$41,0))=10,1,0),IF($BH51=10,1,0))</f>
        <v/>
      </c>
      <c r="BL51">
        <f>IF(51=$BG$4,1,0)</f>
        <v/>
      </c>
    </row>
    <row r="52" ht="15" customHeight="1" s="77">
      <c r="A52" s="67">
        <f>IF($BJ51&gt;0,INDEX($BA$5:$BA$41,MATCH(51,$BB$5:$BB$41,0)),IF(OR($BI51=1,$BL51=1,$BH51&gt;0),"∑",""))</f>
        <v/>
      </c>
      <c r="B52" s="68">
        <f>IF($BJ51&gt;0,IF(INDEX('Final Calculation Sheet'!$F$4:$F$40,$BJ51-3)="","",INDEX('Final Calculation Sheet'!$F$4:$F$40,$BJ51-3)),"")</f>
        <v/>
      </c>
      <c r="C52" s="68">
        <f>IF($BJ51&gt;0,IF(INDEX('Final Calculation Sheet'!$G$4:$G$40,$BJ51-3)="","",INDEX('Final Calculation Sheet'!$G$4:$G$40,$BJ51-3)),IF(OR($BI51=1,$BL51=1,$BH51&gt;0),IF($BI51=1,37,IF($BL51=1,37-INDEX($BD$4:$BD$13,10),INDEX($BD$4:$BD$13,$BH51)))&amp;" lot(s)",""))</f>
        <v/>
      </c>
      <c r="D52" s="69">
        <f>IF($BJ51&gt;0,IF(INDEX('Final Calculation Sheet'!$B$4:$B$40,$BJ51-3)="","",INDEX('Final Calculation Sheet'!$B$4:$B$40,$BJ51-3)),IF(OR($BI51=1,$BL51=1,$BH51&gt;0),IF($BI51=1,"GRAND TOTAL  —  matching + remaining",IF($BL51=1,"TOTAL MATCHED  —  every group together",IF($BH51=10,"REMAINING  —  did not match the search",IF($BH51=9,IF(COUNTIF($A$4:$AI$4,"&lt;&gt;")&gt;0,"FILTERED LOTS  —  column fields","ALL LOTS  —  nothing typed in the box"),"GROUP "&amp;$BH51&amp;" TOTAL  —  lots matching  "&amp;INDEX($AR$6:$AY$6,$BH51))))),""))</f>
        <v/>
      </c>
      <c r="E52" s="69">
        <f>IF($BJ51&gt;0,IF(INDEX('Final Calculation Sheet'!$D$4:$D$40,$BJ51-3)="","",INDEX('Final Calculation Sheet'!$D$4:$D$40,$BJ51-3)),IF(OR($BI51=1,$BL51=1,$BH51&gt;0),"–",""))</f>
        <v/>
      </c>
      <c r="F52" s="69">
        <f>IF($BJ51&gt;0,IF(INDEX('Final Calculation Sheet'!$A$4:$A$40,$BJ51-3)="","",INDEX('Final Calculation Sheet'!$A$4:$A$40,$BJ51-3)),IF(OR($BI51=1,$BL51=1,$BH51&gt;0),IF($BI51=1,SUM('Final Calculation Sheet'!$A$4:$A$40),IF($BL51=1,SUM('Final Calculation Sheet'!$A$4:$A$40)-SUMIFS('Final Calculation Sheet'!$A$4:$A$40,$AZ$5:$AZ$41,10),SUMIFS('Final Calculation Sheet'!$A$4:$A$40,$AZ$5:$AZ$41,$BH51))),""))</f>
        <v/>
      </c>
      <c r="G52" s="69">
        <f>IF($BJ51&gt;0,IF(INDEX('Final Calculation Sheet'!$E$4:$E$40,$BJ51-3)="","",INDEX('Final Calculation Sheet'!$E$4:$E$40,$BJ51-3)),IF(OR($BI51=1,$BL51=1,$BH51&gt;0),"–",""))</f>
        <v/>
      </c>
      <c r="H52" s="70">
        <f>IF($BJ51&gt;0,IF(INDEX('Final Calculation Sheet'!$C$4:$C$40,$BJ51-3)="","",INDEX('Final Calculation Sheet'!$C$4:$C$40,$BJ51-3)),IF(OR($BI51=1,$BL51=1,$BH51&gt;0),"–",""))</f>
        <v/>
      </c>
      <c r="I52" s="70">
        <f>IF($BJ51&gt;0,IF(INDEX('Final Calculation Sheet'!$H$4:$H$40,$BJ51-3)="","",INDEX('Final Calculation Sheet'!$H$4:$H$40,$BJ51-3)),IF(OR($BI51=1,$BL51=1,$BH51&gt;0),IF($BI51=1,SUM('Final Calculation Sheet'!$H$4:$H$40),IF($BL51=1,SUM('Final Calculation Sheet'!$H$4:$H$40)-SUMIFS('Final Calculation Sheet'!$H$4:$H$40,$AZ$5:$AZ$41,10),SUMIFS('Final Calculation Sheet'!$H$4:$H$40,$AZ$5:$AZ$41,$BH51))),""))</f>
        <v/>
      </c>
      <c r="J52" s="70">
        <f>IF($BJ51&gt;0,IF(INDEX('Final Calculation Sheet'!$I$4:$I$40,$BJ51-3)="","",INDEX('Final Calculation Sheet'!$I$4:$I$40,$BJ51-3)),IF(OR($BI51=1,$BL51=1,$BH51&gt;0),IF($BI51=1,SUM('Final Calculation Sheet'!$I$4:$I$40),IF($BL51=1,SUM('Final Calculation Sheet'!$I$4:$I$40)-SUMIFS('Final Calculation Sheet'!$I$4:$I$40,$AZ$5:$AZ$41,10),SUMIFS('Final Calculation Sheet'!$I$4:$I$40,$AZ$5:$AZ$41,$BH51))),""))</f>
        <v/>
      </c>
      <c r="K52" s="70">
        <f>IF($BJ51&gt;0,IF(INDEX('Final Calculation Sheet'!$J$4:$J$40,$BJ51-3)="","",INDEX('Final Calculation Sheet'!$J$4:$J$40,$BJ51-3)),IF(OR($BI51=1,$BL51=1,$BH51&gt;0),IF($BI51=1,SUM('Final Calculation Sheet'!$J$4:$J$40),IF($BL51=1,SUM('Final Calculation Sheet'!$J$4:$J$40)-SUMIFS('Final Calculation Sheet'!$J$4:$J$40,$AZ$5:$AZ$41,10),SUMIFS('Final Calculation Sheet'!$J$4:$J$40,$AZ$5:$AZ$41,$BH51))),""))</f>
        <v/>
      </c>
      <c r="L52" s="70">
        <f>IF($BJ51&gt;0,IF(INDEX('Final Calculation Sheet'!$K$4:$K$40,$BJ51-3)="","",INDEX('Final Calculation Sheet'!$K$4:$K$40,$BJ51-3)),IF(OR($BI51=1,$BL51=1,$BH51&gt;0),IF($BI51=1,SUM('Final Calculation Sheet'!$K$4:$K$40),IF($BL51=1,SUM('Final Calculation Sheet'!$K$4:$K$40)-SUMIFS('Final Calculation Sheet'!$K$4:$K$40,$AZ$5:$AZ$41,10),SUMIFS('Final Calculation Sheet'!$K$4:$K$40,$AZ$5:$AZ$41,$BH51))),""))</f>
        <v/>
      </c>
      <c r="M52" s="70">
        <f>IF($BJ51&gt;0,IF(INDEX('Final Calculation Sheet'!$L$4:$L$40,$BJ51-3)="","",INDEX('Final Calculation Sheet'!$L$4:$L$40,$BJ51-3)),IF(OR($BI51=1,$BL51=1,$BH51&gt;0),IF($BI51=1,SUM('Final Calculation Sheet'!$L$4:$L$40),IF($BL51=1,SUM('Final Calculation Sheet'!$L$4:$L$40)-SUMIFS('Final Calculation Sheet'!$L$4:$L$40,$AZ$5:$AZ$41,10),SUMIFS('Final Calculation Sheet'!$L$4:$L$40,$AZ$5:$AZ$41,$BH51))),""))</f>
        <v/>
      </c>
      <c r="N52" s="70">
        <f>IF($BJ51&gt;0,IF(INDEX('Final Calculation Sheet'!$M$4:$M$40,$BJ51-3)="","",INDEX('Final Calculation Sheet'!$M$4:$M$40,$BJ51-3)),IF(OR($BI51=1,$BL51=1,$BH51&gt;0),IF($BI51=1,SUM('Final Calculation Sheet'!$M$4:$M$40),IF($BL51=1,SUM('Final Calculation Sheet'!$M$4:$M$40)-SUMIFS('Final Calculation Sheet'!$M$4:$M$40,$AZ$5:$AZ$41,10),SUMIFS('Final Calculation Sheet'!$M$4:$M$40,$AZ$5:$AZ$41,$BH51))),""))</f>
        <v/>
      </c>
      <c r="O52" s="71">
        <f>IF($BJ51&gt;0,IF(INDEX('Final Calculation Sheet'!$N$4:$N$40,$BJ51-3)="","",INDEX('Final Calculation Sheet'!$N$4:$N$40,$BJ51-3)),IF(OR($BI51=1,$BL51=1,$BH51&gt;0),IF($BI51=1,SUM('Final Calculation Sheet'!$N$4:$N$40),IF($BL51=1,SUM('Final Calculation Sheet'!$N$4:$N$40)-SUMIFS('Final Calculation Sheet'!$N$4:$N$40,$AZ$5:$AZ$41,10),SUMIFS('Final Calculation Sheet'!$N$4:$N$40,$AZ$5:$AZ$41,$BH51))),""))</f>
        <v/>
      </c>
      <c r="P52" s="70">
        <f>IF($BJ51&gt;0,IF(INDEX('Final Calculation Sheet'!$O$4:$O$40,$BJ51-3)="","",INDEX('Final Calculation Sheet'!$O$4:$O$40,$BJ51-3)),IF(OR($BI51=1,$BL51=1,$BH51&gt;0),IF($BI51=1,SUM('Final Calculation Sheet'!$O$4:$O$40),IF($BL51=1,SUM('Final Calculation Sheet'!$O$4:$O$40)-SUMIFS('Final Calculation Sheet'!$O$4:$O$40,$AZ$5:$AZ$41,10),SUMIFS('Final Calculation Sheet'!$O$4:$O$40,$AZ$5:$AZ$41,$BH51))),""))</f>
        <v/>
      </c>
      <c r="Q52" s="70">
        <f>IF($BJ51&gt;0,IF(INDEX('Final Calculation Sheet'!$P$4:$P$40,$BJ51-3)="","",INDEX('Final Calculation Sheet'!$P$4:$P$40,$BJ51-3)),IF(OR($BI51=1,$BL51=1,$BH51&gt;0),IF($BI51=1,SUM('Final Calculation Sheet'!$P$4:$P$40),IF($BL51=1,SUM('Final Calculation Sheet'!$P$4:$P$40)-SUMIFS('Final Calculation Sheet'!$P$4:$P$40,$AZ$5:$AZ$41,10),SUMIFS('Final Calculation Sheet'!$P$4:$P$40,$AZ$5:$AZ$41,$BH51))),""))</f>
        <v/>
      </c>
      <c r="R52" s="72">
        <f>IF($BJ51&gt;0,IF(INDEX('Final Calculation Sheet'!$Q$4:$Q$40,$BJ51-3)="","",INDEX('Final Calculation Sheet'!$Q$4:$Q$40,$BJ51-3)),IF(OR($BI51=1,$BL51=1,$BH51&gt;0),"–",""))</f>
        <v/>
      </c>
      <c r="S52" s="70">
        <f>IF($BJ51&gt;0,IF(INDEX('Final Calculation Sheet'!$R$4:$R$40,$BJ51-3)="","",INDEX('Final Calculation Sheet'!$R$4:$R$40,$BJ51-3)),IF(OR($BI51=1,$BL51=1,$BH51&gt;0),IF($BI51=1,SUM('Final Calculation Sheet'!$R$4:$R$40),IF($BL51=1,SUM('Final Calculation Sheet'!$R$4:$R$40)-SUMIFS('Final Calculation Sheet'!$R$4:$R$40,$AZ$5:$AZ$41,10),SUMIFS('Final Calculation Sheet'!$R$4:$R$40,$AZ$5:$AZ$41,$BH51))),""))</f>
        <v/>
      </c>
      <c r="T52" s="70">
        <f>IF($BJ51&gt;0,IF(INDEX('Final Calculation Sheet'!$S$4:$S$40,$BJ51-3)="","",INDEX('Final Calculation Sheet'!$S$4:$S$40,$BJ51-3)),IF(OR($BI51=1,$BL51=1,$BH51&gt;0),IF($BI51=1,SUM('Final Calculation Sheet'!$S$4:$S$40),IF($BL51=1,SUM('Final Calculation Sheet'!$S$4:$S$40)-SUMIFS('Final Calculation Sheet'!$S$4:$S$40,$AZ$5:$AZ$41,10),SUMIFS('Final Calculation Sheet'!$S$4:$S$40,$AZ$5:$AZ$41,$BH51))),""))</f>
        <v/>
      </c>
      <c r="U52" s="70">
        <f>IF($BJ51&gt;0,IF(INDEX('Final Calculation Sheet'!$T$4:$T$40,$BJ51-3)="","",INDEX('Final Calculation Sheet'!$T$4:$T$40,$BJ51-3)),IF(OR($BI51=1,$BL51=1,$BH51&gt;0),IF($BI51=1,SUM('Final Calculation Sheet'!$T$4:$T$40),IF($BL51=1,SUM('Final Calculation Sheet'!$T$4:$T$40)-SUMIFS('Final Calculation Sheet'!$T$4:$T$40,$AZ$5:$AZ$41,10),SUMIFS('Final Calculation Sheet'!$T$4:$T$40,$AZ$5:$AZ$41,$BH51))),""))</f>
        <v/>
      </c>
      <c r="V52" s="73">
        <f>IF($BJ51&gt;0,IF(INDEX('Final Calculation Sheet'!$U$4:$U$40,$BJ51-3)="","",INDEX('Final Calculation Sheet'!$U$4:$U$40,$BJ51-3)),IF(OR($BI51=1,$BL51=1,$BH51&gt;0),IF($BI51=1,SUM('Final Calculation Sheet'!$U$4:$U$40),IF($BL51=1,SUM('Final Calculation Sheet'!$U$4:$U$40)-SUMIFS('Final Calculation Sheet'!$U$4:$U$40,$AZ$5:$AZ$41,10),SUMIFS('Final Calculation Sheet'!$U$4:$U$40,$AZ$5:$AZ$41,$BH51))),""))</f>
        <v/>
      </c>
      <c r="W52" s="70">
        <f>IF($BJ51&gt;0,IF(INDEX('Final Calculation Sheet'!$V$4:$V$40,$BJ51-3)="","",INDEX('Final Calculation Sheet'!$V$4:$V$40,$BJ51-3)),IF(OR($BI51=1,$BL51=1,$BH51&gt;0),"–",""))</f>
        <v/>
      </c>
      <c r="X52" s="70">
        <f>IF($BJ51&gt;0,IF(INDEX('Final Calculation Sheet'!$W$4:$W$40,$BJ51-3)="","",INDEX('Final Calculation Sheet'!$W$4:$W$40,$BJ51-3)),IF(OR($BI51=1,$BL51=1,$BH51&gt;0),IF($BI51=1,SUM('Final Calculation Sheet'!$W$4:$W$40),IF($BL51=1,SUM('Final Calculation Sheet'!$W$4:$W$40)-SUMIFS('Final Calculation Sheet'!$W$4:$W$40,$AZ$5:$AZ$41,10),SUMIFS('Final Calculation Sheet'!$W$4:$W$40,$AZ$5:$AZ$41,$BH51))),""))</f>
        <v/>
      </c>
      <c r="Y52" s="70">
        <f>IF($BJ51&gt;0,IF(INDEX('Final Calculation Sheet'!$X$4:$X$40,$BJ51-3)="","",INDEX('Final Calculation Sheet'!$X$4:$X$40,$BJ51-3)),IF(OR($BI51=1,$BL51=1,$BH51&gt;0),IF($BI51=1,SUM('Final Calculation Sheet'!$X$4:$X$40),IF($BL51=1,SUM('Final Calculation Sheet'!$X$4:$X$40)-SUMIFS('Final Calculation Sheet'!$X$4:$X$40,$AZ$5:$AZ$41,10),SUMIFS('Final Calculation Sheet'!$X$4:$X$40,$AZ$5:$AZ$41,$BH51))),""))</f>
        <v/>
      </c>
      <c r="Z52" s="70">
        <f>IF($BJ51&gt;0,IF(INDEX('Final Calculation Sheet'!$Y$4:$Y$40,$BJ51-3)="","",INDEX('Final Calculation Sheet'!$Y$4:$Y$40,$BJ51-3)),IF(OR($BI51=1,$BL51=1,$BH51&gt;0),"–",""))</f>
        <v/>
      </c>
      <c r="AA52" s="70">
        <f>IF($BJ51&gt;0,IF(INDEX('Final Calculation Sheet'!$Z$4:$Z$40,$BJ51-3)="","",INDEX('Final Calculation Sheet'!$Z$4:$Z$40,$BJ51-3)),IF(OR($BI51=1,$BL51=1,$BH51&gt;0),IF($BI51=1,SUM('Final Calculation Sheet'!$Z$4:$Z$40),IF($BL51=1,SUM('Final Calculation Sheet'!$Z$4:$Z$40)-SUMIFS('Final Calculation Sheet'!$Z$4:$Z$40,$AZ$5:$AZ$41,10),SUMIFS('Final Calculation Sheet'!$Z$4:$Z$40,$AZ$5:$AZ$41,$BH51))),""))</f>
        <v/>
      </c>
      <c r="AB52" s="70">
        <f>IF($BJ51&gt;0,IF(INDEX('Final Calculation Sheet'!$AA$4:$AA$40,$BJ51-3)="","",INDEX('Final Calculation Sheet'!$AA$4:$AA$40,$BJ51-3)),IF(OR($BI51=1,$BL51=1,$BH51&gt;0),IF($BI51=1,SUM('Final Calculation Sheet'!$AA$4:$AA$40),IF($BL51=1,SUM('Final Calculation Sheet'!$AA$4:$AA$40)-SUMIFS('Final Calculation Sheet'!$AA$4:$AA$40,$AZ$5:$AZ$41,10),SUMIFS('Final Calculation Sheet'!$AA$4:$AA$40,$AZ$5:$AZ$41,$BH51))),""))</f>
        <v/>
      </c>
      <c r="AC52" s="70">
        <f>IF($BJ51&gt;0,IF(INDEX('Final Calculation Sheet'!$AB$4:$AB$40,$BJ51-3)="","",INDEX('Final Calculation Sheet'!$AB$4:$AB$40,$BJ51-3)),IF(OR($BI51=1,$BL51=1,$BH51&gt;0),"–",""))</f>
        <v/>
      </c>
      <c r="AD52" s="70">
        <f>IF($BJ51&gt;0,IF(INDEX('Final Calculation Sheet'!$AC$4:$AC$40,$BJ51-3)="","",INDEX('Final Calculation Sheet'!$AC$4:$AC$40,$BJ51-3)),IF(OR($BI51=1,$BL51=1,$BH51&gt;0),IF($BI51=1,SUM('Final Calculation Sheet'!$AC$4:$AC$40),IF($BL51=1,SUM('Final Calculation Sheet'!$AC$4:$AC$40)-SUMIFS('Final Calculation Sheet'!$AC$4:$AC$40,$AZ$5:$AZ$41,10),SUMIFS('Final Calculation Sheet'!$AC$4:$AC$40,$AZ$5:$AZ$41,$BH51))),""))</f>
        <v/>
      </c>
      <c r="AE52" s="70">
        <f>IF($BJ51&gt;0,IF(INDEX('Final Calculation Sheet'!$AD$4:$AD$40,$BJ51-3)="","",INDEX('Final Calculation Sheet'!$AD$4:$AD$40,$BJ51-3)),IF(OR($BI51=1,$BL51=1,$BH51&gt;0),IF($BI51=1,SUM('Final Calculation Sheet'!$AD$4:$AD$40),IF($BL51=1,SUM('Final Calculation Sheet'!$AD$4:$AD$40)-SUMIFS('Final Calculation Sheet'!$AD$4:$AD$40,$AZ$5:$AZ$41,10),SUMIFS('Final Calculation Sheet'!$AD$4:$AD$40,$AZ$5:$AZ$41,$BH51))),""))</f>
        <v/>
      </c>
      <c r="AF52" s="70">
        <f>IF($BJ51&gt;0,IF(INDEX('Final Calculation Sheet'!$AE$4:$AE$40,$BJ51-3)="","",INDEX('Final Calculation Sheet'!$AE$4:$AE$40,$BJ51-3)),IF(OR($BI51=1,$BL51=1,$BH51&gt;0),"–",""))</f>
        <v/>
      </c>
      <c r="AG52" s="74">
        <f>IF($BJ51&gt;0,IF(INDEX('Final Calculation Sheet'!$AF$4:$AF$40,$BJ51-3)="","",INDEX('Final Calculation Sheet'!$AF$4:$AF$40,$BJ51-3)),IF(OR($BI51=1,$BL51=1,$BH51&gt;0),"–",""))</f>
        <v/>
      </c>
      <c r="AH52" s="70">
        <f>IF($BJ51&gt;0,IF(INDEX('Final Calculation Sheet'!$AG$4:$AG$40,$BJ51-3)="","",INDEX('Final Calculation Sheet'!$AG$4:$AG$40,$BJ51-3)),IF(OR($BI51=1,$BL51=1,$BH51&gt;0),"–",""))</f>
        <v/>
      </c>
      <c r="AI52" s="75">
        <f>IF($BJ51&gt;0,IF(INDEX('Final Calculation Sheet'!$AD$4:$AD$40,$BJ51-3)="","",IF(INDEX('Final Calculation Sheet'!$AD$4:$AD$40,$BJ51-3)&lt;=0,"SETTLED","OUTSTANDING")),IF(OR($BI51=1,$BL51=1,$BH51&gt;0),IF(IF($BI51=1,SUM('Final Calculation Sheet'!$AD$4:$AD$40),IF($BL51=1,SUM('Final Calculation Sheet'!$AD$4:$AD$40)-SUMIFS('Final Calculation Sheet'!$AD$4:$AD$40,$AZ$5:$AZ$41,10),SUMIFS('Final Calculation Sheet'!$AD$4:$AD$40,$AZ$5:$AZ$41,$BH51)))&lt;=0,"ALL SETTLED","OUTSTANDING"),""))</f>
        <v/>
      </c>
      <c r="BH52">
        <f>IFERROR(MATCH(52,$BF$4:$BF$13,0),0)</f>
        <v/>
      </c>
      <c r="BI52">
        <f>IF(52=$BG$5,1,0)</f>
        <v/>
      </c>
      <c r="BJ52">
        <f>IF(OR($BH52&gt;0,$BI52=1,$BL52=1),0,IFERROR(INDEX($BC$5:$BC$41,MATCH(52,$BB$5:$BB$41,0)),0))</f>
        <v/>
      </c>
      <c r="BK52">
        <f>IF($BJ52&gt;0,IF(INDEX($AZ$5:$AZ$41,MATCH(52,$BB$5:$BB$41,0))=10,1,0),IF($BH52=10,1,0))</f>
        <v/>
      </c>
      <c r="BL52">
        <f>IF(52=$BG$4,1,0)</f>
        <v/>
      </c>
    </row>
    <row r="53" ht="15" customHeight="1" s="77">
      <c r="A53" s="67">
        <f>IF($BJ52&gt;0,INDEX($BA$5:$BA$41,MATCH(52,$BB$5:$BB$41,0)),IF(OR($BI52=1,$BL52=1,$BH52&gt;0),"∑",""))</f>
        <v/>
      </c>
      <c r="B53" s="68">
        <f>IF($BJ52&gt;0,IF(INDEX('Final Calculation Sheet'!$F$4:$F$40,$BJ52-3)="","",INDEX('Final Calculation Sheet'!$F$4:$F$40,$BJ52-3)),"")</f>
        <v/>
      </c>
      <c r="C53" s="68">
        <f>IF($BJ52&gt;0,IF(INDEX('Final Calculation Sheet'!$G$4:$G$40,$BJ52-3)="","",INDEX('Final Calculation Sheet'!$G$4:$G$40,$BJ52-3)),IF(OR($BI52=1,$BL52=1,$BH52&gt;0),IF($BI52=1,37,IF($BL52=1,37-INDEX($BD$4:$BD$13,10),INDEX($BD$4:$BD$13,$BH52)))&amp;" lot(s)",""))</f>
        <v/>
      </c>
      <c r="D53" s="69">
        <f>IF($BJ52&gt;0,IF(INDEX('Final Calculation Sheet'!$B$4:$B$40,$BJ52-3)="","",INDEX('Final Calculation Sheet'!$B$4:$B$40,$BJ52-3)),IF(OR($BI52=1,$BL52=1,$BH52&gt;0),IF($BI52=1,"GRAND TOTAL  —  matching + remaining",IF($BL52=1,"TOTAL MATCHED  —  every group together",IF($BH52=10,"REMAINING  —  did not match the search",IF($BH52=9,IF(COUNTIF($A$4:$AI$4,"&lt;&gt;")&gt;0,"FILTERED LOTS  —  column fields","ALL LOTS  —  nothing typed in the box"),"GROUP "&amp;$BH52&amp;" TOTAL  —  lots matching  "&amp;INDEX($AR$6:$AY$6,$BH52))))),""))</f>
        <v/>
      </c>
      <c r="E53" s="69">
        <f>IF($BJ52&gt;0,IF(INDEX('Final Calculation Sheet'!$D$4:$D$40,$BJ52-3)="","",INDEX('Final Calculation Sheet'!$D$4:$D$40,$BJ52-3)),IF(OR($BI52=1,$BL52=1,$BH52&gt;0),"–",""))</f>
        <v/>
      </c>
      <c r="F53" s="69">
        <f>IF($BJ52&gt;0,IF(INDEX('Final Calculation Sheet'!$A$4:$A$40,$BJ52-3)="","",INDEX('Final Calculation Sheet'!$A$4:$A$40,$BJ52-3)),IF(OR($BI52=1,$BL52=1,$BH52&gt;0),IF($BI52=1,SUM('Final Calculation Sheet'!$A$4:$A$40),IF($BL52=1,SUM('Final Calculation Sheet'!$A$4:$A$40)-SUMIFS('Final Calculation Sheet'!$A$4:$A$40,$AZ$5:$AZ$41,10),SUMIFS('Final Calculation Sheet'!$A$4:$A$40,$AZ$5:$AZ$41,$BH52))),""))</f>
        <v/>
      </c>
      <c r="G53" s="69">
        <f>IF($BJ52&gt;0,IF(INDEX('Final Calculation Sheet'!$E$4:$E$40,$BJ52-3)="","",INDEX('Final Calculation Sheet'!$E$4:$E$40,$BJ52-3)),IF(OR($BI52=1,$BL52=1,$BH52&gt;0),"–",""))</f>
        <v/>
      </c>
      <c r="H53" s="70">
        <f>IF($BJ52&gt;0,IF(INDEX('Final Calculation Sheet'!$C$4:$C$40,$BJ52-3)="","",INDEX('Final Calculation Sheet'!$C$4:$C$40,$BJ52-3)),IF(OR($BI52=1,$BL52=1,$BH52&gt;0),"–",""))</f>
        <v/>
      </c>
      <c r="I53" s="70">
        <f>IF($BJ52&gt;0,IF(INDEX('Final Calculation Sheet'!$H$4:$H$40,$BJ52-3)="","",INDEX('Final Calculation Sheet'!$H$4:$H$40,$BJ52-3)),IF(OR($BI52=1,$BL52=1,$BH52&gt;0),IF($BI52=1,SUM('Final Calculation Sheet'!$H$4:$H$40),IF($BL52=1,SUM('Final Calculation Sheet'!$H$4:$H$40)-SUMIFS('Final Calculation Sheet'!$H$4:$H$40,$AZ$5:$AZ$41,10),SUMIFS('Final Calculation Sheet'!$H$4:$H$40,$AZ$5:$AZ$41,$BH52))),""))</f>
        <v/>
      </c>
      <c r="J53" s="70">
        <f>IF($BJ52&gt;0,IF(INDEX('Final Calculation Sheet'!$I$4:$I$40,$BJ52-3)="","",INDEX('Final Calculation Sheet'!$I$4:$I$40,$BJ52-3)),IF(OR($BI52=1,$BL52=1,$BH52&gt;0),IF($BI52=1,SUM('Final Calculation Sheet'!$I$4:$I$40),IF($BL52=1,SUM('Final Calculation Sheet'!$I$4:$I$40)-SUMIFS('Final Calculation Sheet'!$I$4:$I$40,$AZ$5:$AZ$41,10),SUMIFS('Final Calculation Sheet'!$I$4:$I$40,$AZ$5:$AZ$41,$BH52))),""))</f>
        <v/>
      </c>
      <c r="K53" s="70">
        <f>IF($BJ52&gt;0,IF(INDEX('Final Calculation Sheet'!$J$4:$J$40,$BJ52-3)="","",INDEX('Final Calculation Sheet'!$J$4:$J$40,$BJ52-3)),IF(OR($BI52=1,$BL52=1,$BH52&gt;0),IF($BI52=1,SUM('Final Calculation Sheet'!$J$4:$J$40),IF($BL52=1,SUM('Final Calculation Sheet'!$J$4:$J$40)-SUMIFS('Final Calculation Sheet'!$J$4:$J$40,$AZ$5:$AZ$41,10),SUMIFS('Final Calculation Sheet'!$J$4:$J$40,$AZ$5:$AZ$41,$BH52))),""))</f>
        <v/>
      </c>
      <c r="L53" s="70">
        <f>IF($BJ52&gt;0,IF(INDEX('Final Calculation Sheet'!$K$4:$K$40,$BJ52-3)="","",INDEX('Final Calculation Sheet'!$K$4:$K$40,$BJ52-3)),IF(OR($BI52=1,$BL52=1,$BH52&gt;0),IF($BI52=1,SUM('Final Calculation Sheet'!$K$4:$K$40),IF($BL52=1,SUM('Final Calculation Sheet'!$K$4:$K$40)-SUMIFS('Final Calculation Sheet'!$K$4:$K$40,$AZ$5:$AZ$41,10),SUMIFS('Final Calculation Sheet'!$K$4:$K$40,$AZ$5:$AZ$41,$BH52))),""))</f>
        <v/>
      </c>
      <c r="M53" s="70">
        <f>IF($BJ52&gt;0,IF(INDEX('Final Calculation Sheet'!$L$4:$L$40,$BJ52-3)="","",INDEX('Final Calculation Sheet'!$L$4:$L$40,$BJ52-3)),IF(OR($BI52=1,$BL52=1,$BH52&gt;0),IF($BI52=1,SUM('Final Calculation Sheet'!$L$4:$L$40),IF($BL52=1,SUM('Final Calculation Sheet'!$L$4:$L$40)-SUMIFS('Final Calculation Sheet'!$L$4:$L$40,$AZ$5:$AZ$41,10),SUMIFS('Final Calculation Sheet'!$L$4:$L$40,$AZ$5:$AZ$41,$BH52))),""))</f>
        <v/>
      </c>
      <c r="N53" s="70">
        <f>IF($BJ52&gt;0,IF(INDEX('Final Calculation Sheet'!$M$4:$M$40,$BJ52-3)="","",INDEX('Final Calculation Sheet'!$M$4:$M$40,$BJ52-3)),IF(OR($BI52=1,$BL52=1,$BH52&gt;0),IF($BI52=1,SUM('Final Calculation Sheet'!$M$4:$M$40),IF($BL52=1,SUM('Final Calculation Sheet'!$M$4:$M$40)-SUMIFS('Final Calculation Sheet'!$M$4:$M$40,$AZ$5:$AZ$41,10),SUMIFS('Final Calculation Sheet'!$M$4:$M$40,$AZ$5:$AZ$41,$BH52))),""))</f>
        <v/>
      </c>
      <c r="O53" s="71">
        <f>IF($BJ52&gt;0,IF(INDEX('Final Calculation Sheet'!$N$4:$N$40,$BJ52-3)="","",INDEX('Final Calculation Sheet'!$N$4:$N$40,$BJ52-3)),IF(OR($BI52=1,$BL52=1,$BH52&gt;0),IF($BI52=1,SUM('Final Calculation Sheet'!$N$4:$N$40),IF($BL52=1,SUM('Final Calculation Sheet'!$N$4:$N$40)-SUMIFS('Final Calculation Sheet'!$N$4:$N$40,$AZ$5:$AZ$41,10),SUMIFS('Final Calculation Sheet'!$N$4:$N$40,$AZ$5:$AZ$41,$BH52))),""))</f>
        <v/>
      </c>
      <c r="P53" s="70">
        <f>IF($BJ52&gt;0,IF(INDEX('Final Calculation Sheet'!$O$4:$O$40,$BJ52-3)="","",INDEX('Final Calculation Sheet'!$O$4:$O$40,$BJ52-3)),IF(OR($BI52=1,$BL52=1,$BH52&gt;0),IF($BI52=1,SUM('Final Calculation Sheet'!$O$4:$O$40),IF($BL52=1,SUM('Final Calculation Sheet'!$O$4:$O$40)-SUMIFS('Final Calculation Sheet'!$O$4:$O$40,$AZ$5:$AZ$41,10),SUMIFS('Final Calculation Sheet'!$O$4:$O$40,$AZ$5:$AZ$41,$BH52))),""))</f>
        <v/>
      </c>
      <c r="Q53" s="70">
        <f>IF($BJ52&gt;0,IF(INDEX('Final Calculation Sheet'!$P$4:$P$40,$BJ52-3)="","",INDEX('Final Calculation Sheet'!$P$4:$P$40,$BJ52-3)),IF(OR($BI52=1,$BL52=1,$BH52&gt;0),IF($BI52=1,SUM('Final Calculation Sheet'!$P$4:$P$40),IF($BL52=1,SUM('Final Calculation Sheet'!$P$4:$P$40)-SUMIFS('Final Calculation Sheet'!$P$4:$P$40,$AZ$5:$AZ$41,10),SUMIFS('Final Calculation Sheet'!$P$4:$P$40,$AZ$5:$AZ$41,$BH52))),""))</f>
        <v/>
      </c>
      <c r="R53" s="72">
        <f>IF($BJ52&gt;0,IF(INDEX('Final Calculation Sheet'!$Q$4:$Q$40,$BJ52-3)="","",INDEX('Final Calculation Sheet'!$Q$4:$Q$40,$BJ52-3)),IF(OR($BI52=1,$BL52=1,$BH52&gt;0),"–",""))</f>
        <v/>
      </c>
      <c r="S53" s="70">
        <f>IF($BJ52&gt;0,IF(INDEX('Final Calculation Sheet'!$R$4:$R$40,$BJ52-3)="","",INDEX('Final Calculation Sheet'!$R$4:$R$40,$BJ52-3)),IF(OR($BI52=1,$BL52=1,$BH52&gt;0),IF($BI52=1,SUM('Final Calculation Sheet'!$R$4:$R$40),IF($BL52=1,SUM('Final Calculation Sheet'!$R$4:$R$40)-SUMIFS('Final Calculation Sheet'!$R$4:$R$40,$AZ$5:$AZ$41,10),SUMIFS('Final Calculation Sheet'!$R$4:$R$40,$AZ$5:$AZ$41,$BH52))),""))</f>
        <v/>
      </c>
      <c r="T53" s="70">
        <f>IF($BJ52&gt;0,IF(INDEX('Final Calculation Sheet'!$S$4:$S$40,$BJ52-3)="","",INDEX('Final Calculation Sheet'!$S$4:$S$40,$BJ52-3)),IF(OR($BI52=1,$BL52=1,$BH52&gt;0),IF($BI52=1,SUM('Final Calculation Sheet'!$S$4:$S$40),IF($BL52=1,SUM('Final Calculation Sheet'!$S$4:$S$40)-SUMIFS('Final Calculation Sheet'!$S$4:$S$40,$AZ$5:$AZ$41,10),SUMIFS('Final Calculation Sheet'!$S$4:$S$40,$AZ$5:$AZ$41,$BH52))),""))</f>
        <v/>
      </c>
      <c r="U53" s="70">
        <f>IF($BJ52&gt;0,IF(INDEX('Final Calculation Sheet'!$T$4:$T$40,$BJ52-3)="","",INDEX('Final Calculation Sheet'!$T$4:$T$40,$BJ52-3)),IF(OR($BI52=1,$BL52=1,$BH52&gt;0),IF($BI52=1,SUM('Final Calculation Sheet'!$T$4:$T$40),IF($BL52=1,SUM('Final Calculation Sheet'!$T$4:$T$40)-SUMIFS('Final Calculation Sheet'!$T$4:$T$40,$AZ$5:$AZ$41,10),SUMIFS('Final Calculation Sheet'!$T$4:$T$40,$AZ$5:$AZ$41,$BH52))),""))</f>
        <v/>
      </c>
      <c r="V53" s="73">
        <f>IF($BJ52&gt;0,IF(INDEX('Final Calculation Sheet'!$U$4:$U$40,$BJ52-3)="","",INDEX('Final Calculation Sheet'!$U$4:$U$40,$BJ52-3)),IF(OR($BI52=1,$BL52=1,$BH52&gt;0),IF($BI52=1,SUM('Final Calculation Sheet'!$U$4:$U$40),IF($BL52=1,SUM('Final Calculation Sheet'!$U$4:$U$40)-SUMIFS('Final Calculation Sheet'!$U$4:$U$40,$AZ$5:$AZ$41,10),SUMIFS('Final Calculation Sheet'!$U$4:$U$40,$AZ$5:$AZ$41,$BH52))),""))</f>
        <v/>
      </c>
      <c r="W53" s="70">
        <f>IF($BJ52&gt;0,IF(INDEX('Final Calculation Sheet'!$V$4:$V$40,$BJ52-3)="","",INDEX('Final Calculation Sheet'!$V$4:$V$40,$BJ52-3)),IF(OR($BI52=1,$BL52=1,$BH52&gt;0),"–",""))</f>
        <v/>
      </c>
      <c r="X53" s="70">
        <f>IF($BJ52&gt;0,IF(INDEX('Final Calculation Sheet'!$W$4:$W$40,$BJ52-3)="","",INDEX('Final Calculation Sheet'!$W$4:$W$40,$BJ52-3)),IF(OR($BI52=1,$BL52=1,$BH52&gt;0),IF($BI52=1,SUM('Final Calculation Sheet'!$W$4:$W$40),IF($BL52=1,SUM('Final Calculation Sheet'!$W$4:$W$40)-SUMIFS('Final Calculation Sheet'!$W$4:$W$40,$AZ$5:$AZ$41,10),SUMIFS('Final Calculation Sheet'!$W$4:$W$40,$AZ$5:$AZ$41,$BH52))),""))</f>
        <v/>
      </c>
      <c r="Y53" s="70">
        <f>IF($BJ52&gt;0,IF(INDEX('Final Calculation Sheet'!$X$4:$X$40,$BJ52-3)="","",INDEX('Final Calculation Sheet'!$X$4:$X$40,$BJ52-3)),IF(OR($BI52=1,$BL52=1,$BH52&gt;0),IF($BI52=1,SUM('Final Calculation Sheet'!$X$4:$X$40),IF($BL52=1,SUM('Final Calculation Sheet'!$X$4:$X$40)-SUMIFS('Final Calculation Sheet'!$X$4:$X$40,$AZ$5:$AZ$41,10),SUMIFS('Final Calculation Sheet'!$X$4:$X$40,$AZ$5:$AZ$41,$BH52))),""))</f>
        <v/>
      </c>
      <c r="Z53" s="70">
        <f>IF($BJ52&gt;0,IF(INDEX('Final Calculation Sheet'!$Y$4:$Y$40,$BJ52-3)="","",INDEX('Final Calculation Sheet'!$Y$4:$Y$40,$BJ52-3)),IF(OR($BI52=1,$BL52=1,$BH52&gt;0),"–",""))</f>
        <v/>
      </c>
      <c r="AA53" s="70">
        <f>IF($BJ52&gt;0,IF(INDEX('Final Calculation Sheet'!$Z$4:$Z$40,$BJ52-3)="","",INDEX('Final Calculation Sheet'!$Z$4:$Z$40,$BJ52-3)),IF(OR($BI52=1,$BL52=1,$BH52&gt;0),IF($BI52=1,SUM('Final Calculation Sheet'!$Z$4:$Z$40),IF($BL52=1,SUM('Final Calculation Sheet'!$Z$4:$Z$40)-SUMIFS('Final Calculation Sheet'!$Z$4:$Z$40,$AZ$5:$AZ$41,10),SUMIFS('Final Calculation Sheet'!$Z$4:$Z$40,$AZ$5:$AZ$41,$BH52))),""))</f>
        <v/>
      </c>
      <c r="AB53" s="70">
        <f>IF($BJ52&gt;0,IF(INDEX('Final Calculation Sheet'!$AA$4:$AA$40,$BJ52-3)="","",INDEX('Final Calculation Sheet'!$AA$4:$AA$40,$BJ52-3)),IF(OR($BI52=1,$BL52=1,$BH52&gt;0),IF($BI52=1,SUM('Final Calculation Sheet'!$AA$4:$AA$40),IF($BL52=1,SUM('Final Calculation Sheet'!$AA$4:$AA$40)-SUMIFS('Final Calculation Sheet'!$AA$4:$AA$40,$AZ$5:$AZ$41,10),SUMIFS('Final Calculation Sheet'!$AA$4:$AA$40,$AZ$5:$AZ$41,$BH52))),""))</f>
        <v/>
      </c>
      <c r="AC53" s="70">
        <f>IF($BJ52&gt;0,IF(INDEX('Final Calculation Sheet'!$AB$4:$AB$40,$BJ52-3)="","",INDEX('Final Calculation Sheet'!$AB$4:$AB$40,$BJ52-3)),IF(OR($BI52=1,$BL52=1,$BH52&gt;0),"–",""))</f>
        <v/>
      </c>
      <c r="AD53" s="70">
        <f>IF($BJ52&gt;0,IF(INDEX('Final Calculation Sheet'!$AC$4:$AC$40,$BJ52-3)="","",INDEX('Final Calculation Sheet'!$AC$4:$AC$40,$BJ52-3)),IF(OR($BI52=1,$BL52=1,$BH52&gt;0),IF($BI52=1,SUM('Final Calculation Sheet'!$AC$4:$AC$40),IF($BL52=1,SUM('Final Calculation Sheet'!$AC$4:$AC$40)-SUMIFS('Final Calculation Sheet'!$AC$4:$AC$40,$AZ$5:$AZ$41,10),SUMIFS('Final Calculation Sheet'!$AC$4:$AC$40,$AZ$5:$AZ$41,$BH52))),""))</f>
        <v/>
      </c>
      <c r="AE53" s="70">
        <f>IF($BJ52&gt;0,IF(INDEX('Final Calculation Sheet'!$AD$4:$AD$40,$BJ52-3)="","",INDEX('Final Calculation Sheet'!$AD$4:$AD$40,$BJ52-3)),IF(OR($BI52=1,$BL52=1,$BH52&gt;0),IF($BI52=1,SUM('Final Calculation Sheet'!$AD$4:$AD$40),IF($BL52=1,SUM('Final Calculation Sheet'!$AD$4:$AD$40)-SUMIFS('Final Calculation Sheet'!$AD$4:$AD$40,$AZ$5:$AZ$41,10),SUMIFS('Final Calculation Sheet'!$AD$4:$AD$40,$AZ$5:$AZ$41,$BH52))),""))</f>
        <v/>
      </c>
      <c r="AF53" s="70">
        <f>IF($BJ52&gt;0,IF(INDEX('Final Calculation Sheet'!$AE$4:$AE$40,$BJ52-3)="","",INDEX('Final Calculation Sheet'!$AE$4:$AE$40,$BJ52-3)),IF(OR($BI52=1,$BL52=1,$BH52&gt;0),"–",""))</f>
        <v/>
      </c>
      <c r="AG53" s="74">
        <f>IF($BJ52&gt;0,IF(INDEX('Final Calculation Sheet'!$AF$4:$AF$40,$BJ52-3)="","",INDEX('Final Calculation Sheet'!$AF$4:$AF$40,$BJ52-3)),IF(OR($BI52=1,$BL52=1,$BH52&gt;0),"–",""))</f>
        <v/>
      </c>
      <c r="AH53" s="70">
        <f>IF($BJ52&gt;0,IF(INDEX('Final Calculation Sheet'!$AG$4:$AG$40,$BJ52-3)="","",INDEX('Final Calculation Sheet'!$AG$4:$AG$40,$BJ52-3)),IF(OR($BI52=1,$BL52=1,$BH52&gt;0),"–",""))</f>
        <v/>
      </c>
      <c r="AI53" s="75">
        <f>IF($BJ52&gt;0,IF(INDEX('Final Calculation Sheet'!$AD$4:$AD$40,$BJ52-3)="","",IF(INDEX('Final Calculation Sheet'!$AD$4:$AD$40,$BJ52-3)&lt;=0,"SETTLED","OUTSTANDING")),IF(OR($BI52=1,$BL52=1,$BH52&gt;0),IF(IF($BI52=1,SUM('Final Calculation Sheet'!$AD$4:$AD$40),IF($BL52=1,SUM('Final Calculation Sheet'!$AD$4:$AD$40)-SUMIFS('Final Calculation Sheet'!$AD$4:$AD$40,$AZ$5:$AZ$41,10),SUMIFS('Final Calculation Sheet'!$AD$4:$AD$40,$AZ$5:$AZ$41,$BH52)))&lt;=0,"ALL SETTLED","OUTSTANDING"),""))</f>
        <v/>
      </c>
      <c r="BH53">
        <f>IFERROR(MATCH(53,$BF$4:$BF$13,0),0)</f>
        <v/>
      </c>
      <c r="BI53">
        <f>IF(53=$BG$5,1,0)</f>
        <v/>
      </c>
      <c r="BJ53">
        <f>IF(OR($BH53&gt;0,$BI53=1,$BL53=1),0,IFERROR(INDEX($BC$5:$BC$41,MATCH(53,$BB$5:$BB$41,0)),0))</f>
        <v/>
      </c>
      <c r="BK53">
        <f>IF($BJ53&gt;0,IF(INDEX($AZ$5:$AZ$41,MATCH(53,$BB$5:$BB$41,0))=10,1,0),IF($BH53=10,1,0))</f>
        <v/>
      </c>
      <c r="BL53">
        <f>IF(53=$BG$4,1,0)</f>
        <v/>
      </c>
    </row>
    <row r="54" ht="15" customHeight="1" s="77">
      <c r="A54" s="67">
        <f>IF($BJ53&gt;0,INDEX($BA$5:$BA$41,MATCH(53,$BB$5:$BB$41,0)),IF(OR($BI53=1,$BL53=1,$BH53&gt;0),"∑",""))</f>
        <v/>
      </c>
      <c r="B54" s="68">
        <f>IF($BJ53&gt;0,IF(INDEX('Final Calculation Sheet'!$F$4:$F$40,$BJ53-3)="","",INDEX('Final Calculation Sheet'!$F$4:$F$40,$BJ53-3)),"")</f>
        <v/>
      </c>
      <c r="C54" s="68">
        <f>IF($BJ53&gt;0,IF(INDEX('Final Calculation Sheet'!$G$4:$G$40,$BJ53-3)="","",INDEX('Final Calculation Sheet'!$G$4:$G$40,$BJ53-3)),IF(OR($BI53=1,$BL53=1,$BH53&gt;0),IF($BI53=1,37,IF($BL53=1,37-INDEX($BD$4:$BD$13,10),INDEX($BD$4:$BD$13,$BH53)))&amp;" lot(s)",""))</f>
        <v/>
      </c>
      <c r="D54" s="69">
        <f>IF($BJ53&gt;0,IF(INDEX('Final Calculation Sheet'!$B$4:$B$40,$BJ53-3)="","",INDEX('Final Calculation Sheet'!$B$4:$B$40,$BJ53-3)),IF(OR($BI53=1,$BL53=1,$BH53&gt;0),IF($BI53=1,"GRAND TOTAL  —  matching + remaining",IF($BL53=1,"TOTAL MATCHED  —  every group together",IF($BH53=10,"REMAINING  —  did not match the search",IF($BH53=9,IF(COUNTIF($A$4:$AI$4,"&lt;&gt;")&gt;0,"FILTERED LOTS  —  column fields","ALL LOTS  —  nothing typed in the box"),"GROUP "&amp;$BH53&amp;" TOTAL  —  lots matching  "&amp;INDEX($AR$6:$AY$6,$BH53))))),""))</f>
        <v/>
      </c>
      <c r="E54" s="69">
        <f>IF($BJ53&gt;0,IF(INDEX('Final Calculation Sheet'!$D$4:$D$40,$BJ53-3)="","",INDEX('Final Calculation Sheet'!$D$4:$D$40,$BJ53-3)),IF(OR($BI53=1,$BL53=1,$BH53&gt;0),"–",""))</f>
        <v/>
      </c>
      <c r="F54" s="69">
        <f>IF($BJ53&gt;0,IF(INDEX('Final Calculation Sheet'!$A$4:$A$40,$BJ53-3)="","",INDEX('Final Calculation Sheet'!$A$4:$A$40,$BJ53-3)),IF(OR($BI53=1,$BL53=1,$BH53&gt;0),IF($BI53=1,SUM('Final Calculation Sheet'!$A$4:$A$40),IF($BL53=1,SUM('Final Calculation Sheet'!$A$4:$A$40)-SUMIFS('Final Calculation Sheet'!$A$4:$A$40,$AZ$5:$AZ$41,10),SUMIFS('Final Calculation Sheet'!$A$4:$A$40,$AZ$5:$AZ$41,$BH53))),""))</f>
        <v/>
      </c>
      <c r="G54" s="69">
        <f>IF($BJ53&gt;0,IF(INDEX('Final Calculation Sheet'!$E$4:$E$40,$BJ53-3)="","",INDEX('Final Calculation Sheet'!$E$4:$E$40,$BJ53-3)),IF(OR($BI53=1,$BL53=1,$BH53&gt;0),"–",""))</f>
        <v/>
      </c>
      <c r="H54" s="70">
        <f>IF($BJ53&gt;0,IF(INDEX('Final Calculation Sheet'!$C$4:$C$40,$BJ53-3)="","",INDEX('Final Calculation Sheet'!$C$4:$C$40,$BJ53-3)),IF(OR($BI53=1,$BL53=1,$BH53&gt;0),"–",""))</f>
        <v/>
      </c>
      <c r="I54" s="70">
        <f>IF($BJ53&gt;0,IF(INDEX('Final Calculation Sheet'!$H$4:$H$40,$BJ53-3)="","",INDEX('Final Calculation Sheet'!$H$4:$H$40,$BJ53-3)),IF(OR($BI53=1,$BL53=1,$BH53&gt;0),IF($BI53=1,SUM('Final Calculation Sheet'!$H$4:$H$40),IF($BL53=1,SUM('Final Calculation Sheet'!$H$4:$H$40)-SUMIFS('Final Calculation Sheet'!$H$4:$H$40,$AZ$5:$AZ$41,10),SUMIFS('Final Calculation Sheet'!$H$4:$H$40,$AZ$5:$AZ$41,$BH53))),""))</f>
        <v/>
      </c>
      <c r="J54" s="70">
        <f>IF($BJ53&gt;0,IF(INDEX('Final Calculation Sheet'!$I$4:$I$40,$BJ53-3)="","",INDEX('Final Calculation Sheet'!$I$4:$I$40,$BJ53-3)),IF(OR($BI53=1,$BL53=1,$BH53&gt;0),IF($BI53=1,SUM('Final Calculation Sheet'!$I$4:$I$40),IF($BL53=1,SUM('Final Calculation Sheet'!$I$4:$I$40)-SUMIFS('Final Calculation Sheet'!$I$4:$I$40,$AZ$5:$AZ$41,10),SUMIFS('Final Calculation Sheet'!$I$4:$I$40,$AZ$5:$AZ$41,$BH53))),""))</f>
        <v/>
      </c>
      <c r="K54" s="70">
        <f>IF($BJ53&gt;0,IF(INDEX('Final Calculation Sheet'!$J$4:$J$40,$BJ53-3)="","",INDEX('Final Calculation Sheet'!$J$4:$J$40,$BJ53-3)),IF(OR($BI53=1,$BL53=1,$BH53&gt;0),IF($BI53=1,SUM('Final Calculation Sheet'!$J$4:$J$40),IF($BL53=1,SUM('Final Calculation Sheet'!$J$4:$J$40)-SUMIFS('Final Calculation Sheet'!$J$4:$J$40,$AZ$5:$AZ$41,10),SUMIFS('Final Calculation Sheet'!$J$4:$J$40,$AZ$5:$AZ$41,$BH53))),""))</f>
        <v/>
      </c>
      <c r="L54" s="70">
        <f>IF($BJ53&gt;0,IF(INDEX('Final Calculation Sheet'!$K$4:$K$40,$BJ53-3)="","",INDEX('Final Calculation Sheet'!$K$4:$K$40,$BJ53-3)),IF(OR($BI53=1,$BL53=1,$BH53&gt;0),IF($BI53=1,SUM('Final Calculation Sheet'!$K$4:$K$40),IF($BL53=1,SUM('Final Calculation Sheet'!$K$4:$K$40)-SUMIFS('Final Calculation Sheet'!$K$4:$K$40,$AZ$5:$AZ$41,10),SUMIFS('Final Calculation Sheet'!$K$4:$K$40,$AZ$5:$AZ$41,$BH53))),""))</f>
        <v/>
      </c>
      <c r="M54" s="70">
        <f>IF($BJ53&gt;0,IF(INDEX('Final Calculation Sheet'!$L$4:$L$40,$BJ53-3)="","",INDEX('Final Calculation Sheet'!$L$4:$L$40,$BJ53-3)),IF(OR($BI53=1,$BL53=1,$BH53&gt;0),IF($BI53=1,SUM('Final Calculation Sheet'!$L$4:$L$40),IF($BL53=1,SUM('Final Calculation Sheet'!$L$4:$L$40)-SUMIFS('Final Calculation Sheet'!$L$4:$L$40,$AZ$5:$AZ$41,10),SUMIFS('Final Calculation Sheet'!$L$4:$L$40,$AZ$5:$AZ$41,$BH53))),""))</f>
        <v/>
      </c>
      <c r="N54" s="70">
        <f>IF($BJ53&gt;0,IF(INDEX('Final Calculation Sheet'!$M$4:$M$40,$BJ53-3)="","",INDEX('Final Calculation Sheet'!$M$4:$M$40,$BJ53-3)),IF(OR($BI53=1,$BL53=1,$BH53&gt;0),IF($BI53=1,SUM('Final Calculation Sheet'!$M$4:$M$40),IF($BL53=1,SUM('Final Calculation Sheet'!$M$4:$M$40)-SUMIFS('Final Calculation Sheet'!$M$4:$M$40,$AZ$5:$AZ$41,10),SUMIFS('Final Calculation Sheet'!$M$4:$M$40,$AZ$5:$AZ$41,$BH53))),""))</f>
        <v/>
      </c>
      <c r="O54" s="71">
        <f>IF($BJ53&gt;0,IF(INDEX('Final Calculation Sheet'!$N$4:$N$40,$BJ53-3)="","",INDEX('Final Calculation Sheet'!$N$4:$N$40,$BJ53-3)),IF(OR($BI53=1,$BL53=1,$BH53&gt;0),IF($BI53=1,SUM('Final Calculation Sheet'!$N$4:$N$40),IF($BL53=1,SUM('Final Calculation Sheet'!$N$4:$N$40)-SUMIFS('Final Calculation Sheet'!$N$4:$N$40,$AZ$5:$AZ$41,10),SUMIFS('Final Calculation Sheet'!$N$4:$N$40,$AZ$5:$AZ$41,$BH53))),""))</f>
        <v/>
      </c>
      <c r="P54" s="70">
        <f>IF($BJ53&gt;0,IF(INDEX('Final Calculation Sheet'!$O$4:$O$40,$BJ53-3)="","",INDEX('Final Calculation Sheet'!$O$4:$O$40,$BJ53-3)),IF(OR($BI53=1,$BL53=1,$BH53&gt;0),IF($BI53=1,SUM('Final Calculation Sheet'!$O$4:$O$40),IF($BL53=1,SUM('Final Calculation Sheet'!$O$4:$O$40)-SUMIFS('Final Calculation Sheet'!$O$4:$O$40,$AZ$5:$AZ$41,10),SUMIFS('Final Calculation Sheet'!$O$4:$O$40,$AZ$5:$AZ$41,$BH53))),""))</f>
        <v/>
      </c>
      <c r="Q54" s="70">
        <f>IF($BJ53&gt;0,IF(INDEX('Final Calculation Sheet'!$P$4:$P$40,$BJ53-3)="","",INDEX('Final Calculation Sheet'!$P$4:$P$40,$BJ53-3)),IF(OR($BI53=1,$BL53=1,$BH53&gt;0),IF($BI53=1,SUM('Final Calculation Sheet'!$P$4:$P$40),IF($BL53=1,SUM('Final Calculation Sheet'!$P$4:$P$40)-SUMIFS('Final Calculation Sheet'!$P$4:$P$40,$AZ$5:$AZ$41,10),SUMIFS('Final Calculation Sheet'!$P$4:$P$40,$AZ$5:$AZ$41,$BH53))),""))</f>
        <v/>
      </c>
      <c r="R54" s="72">
        <f>IF($BJ53&gt;0,IF(INDEX('Final Calculation Sheet'!$Q$4:$Q$40,$BJ53-3)="","",INDEX('Final Calculation Sheet'!$Q$4:$Q$40,$BJ53-3)),IF(OR($BI53=1,$BL53=1,$BH53&gt;0),"–",""))</f>
        <v/>
      </c>
      <c r="S54" s="70">
        <f>IF($BJ53&gt;0,IF(INDEX('Final Calculation Sheet'!$R$4:$R$40,$BJ53-3)="","",INDEX('Final Calculation Sheet'!$R$4:$R$40,$BJ53-3)),IF(OR($BI53=1,$BL53=1,$BH53&gt;0),IF($BI53=1,SUM('Final Calculation Sheet'!$R$4:$R$40),IF($BL53=1,SUM('Final Calculation Sheet'!$R$4:$R$40)-SUMIFS('Final Calculation Sheet'!$R$4:$R$40,$AZ$5:$AZ$41,10),SUMIFS('Final Calculation Sheet'!$R$4:$R$40,$AZ$5:$AZ$41,$BH53))),""))</f>
        <v/>
      </c>
      <c r="T54" s="70">
        <f>IF($BJ53&gt;0,IF(INDEX('Final Calculation Sheet'!$S$4:$S$40,$BJ53-3)="","",INDEX('Final Calculation Sheet'!$S$4:$S$40,$BJ53-3)),IF(OR($BI53=1,$BL53=1,$BH53&gt;0),IF($BI53=1,SUM('Final Calculation Sheet'!$S$4:$S$40),IF($BL53=1,SUM('Final Calculation Sheet'!$S$4:$S$40)-SUMIFS('Final Calculation Sheet'!$S$4:$S$40,$AZ$5:$AZ$41,10),SUMIFS('Final Calculation Sheet'!$S$4:$S$40,$AZ$5:$AZ$41,$BH53))),""))</f>
        <v/>
      </c>
      <c r="U54" s="70">
        <f>IF($BJ53&gt;0,IF(INDEX('Final Calculation Sheet'!$T$4:$T$40,$BJ53-3)="","",INDEX('Final Calculation Sheet'!$T$4:$T$40,$BJ53-3)),IF(OR($BI53=1,$BL53=1,$BH53&gt;0),IF($BI53=1,SUM('Final Calculation Sheet'!$T$4:$T$40),IF($BL53=1,SUM('Final Calculation Sheet'!$T$4:$T$40)-SUMIFS('Final Calculation Sheet'!$T$4:$T$40,$AZ$5:$AZ$41,10),SUMIFS('Final Calculation Sheet'!$T$4:$T$40,$AZ$5:$AZ$41,$BH53))),""))</f>
        <v/>
      </c>
      <c r="V54" s="73">
        <f>IF($BJ53&gt;0,IF(INDEX('Final Calculation Sheet'!$U$4:$U$40,$BJ53-3)="","",INDEX('Final Calculation Sheet'!$U$4:$U$40,$BJ53-3)),IF(OR($BI53=1,$BL53=1,$BH53&gt;0),IF($BI53=1,SUM('Final Calculation Sheet'!$U$4:$U$40),IF($BL53=1,SUM('Final Calculation Sheet'!$U$4:$U$40)-SUMIFS('Final Calculation Sheet'!$U$4:$U$40,$AZ$5:$AZ$41,10),SUMIFS('Final Calculation Sheet'!$U$4:$U$40,$AZ$5:$AZ$41,$BH53))),""))</f>
        <v/>
      </c>
      <c r="W54" s="70">
        <f>IF($BJ53&gt;0,IF(INDEX('Final Calculation Sheet'!$V$4:$V$40,$BJ53-3)="","",INDEX('Final Calculation Sheet'!$V$4:$V$40,$BJ53-3)),IF(OR($BI53=1,$BL53=1,$BH53&gt;0),"–",""))</f>
        <v/>
      </c>
      <c r="X54" s="70">
        <f>IF($BJ53&gt;0,IF(INDEX('Final Calculation Sheet'!$W$4:$W$40,$BJ53-3)="","",INDEX('Final Calculation Sheet'!$W$4:$W$40,$BJ53-3)),IF(OR($BI53=1,$BL53=1,$BH53&gt;0),IF($BI53=1,SUM('Final Calculation Sheet'!$W$4:$W$40),IF($BL53=1,SUM('Final Calculation Sheet'!$W$4:$W$40)-SUMIFS('Final Calculation Sheet'!$W$4:$W$40,$AZ$5:$AZ$41,10),SUMIFS('Final Calculation Sheet'!$W$4:$W$40,$AZ$5:$AZ$41,$BH53))),""))</f>
        <v/>
      </c>
      <c r="Y54" s="70">
        <f>IF($BJ53&gt;0,IF(INDEX('Final Calculation Sheet'!$X$4:$X$40,$BJ53-3)="","",INDEX('Final Calculation Sheet'!$X$4:$X$40,$BJ53-3)),IF(OR($BI53=1,$BL53=1,$BH53&gt;0),IF($BI53=1,SUM('Final Calculation Sheet'!$X$4:$X$40),IF($BL53=1,SUM('Final Calculation Sheet'!$X$4:$X$40)-SUMIFS('Final Calculation Sheet'!$X$4:$X$40,$AZ$5:$AZ$41,10),SUMIFS('Final Calculation Sheet'!$X$4:$X$40,$AZ$5:$AZ$41,$BH53))),""))</f>
        <v/>
      </c>
      <c r="Z54" s="70">
        <f>IF($BJ53&gt;0,IF(INDEX('Final Calculation Sheet'!$Y$4:$Y$40,$BJ53-3)="","",INDEX('Final Calculation Sheet'!$Y$4:$Y$40,$BJ53-3)),IF(OR($BI53=1,$BL53=1,$BH53&gt;0),"–",""))</f>
        <v/>
      </c>
      <c r="AA54" s="70">
        <f>IF($BJ53&gt;0,IF(INDEX('Final Calculation Sheet'!$Z$4:$Z$40,$BJ53-3)="","",INDEX('Final Calculation Sheet'!$Z$4:$Z$40,$BJ53-3)),IF(OR($BI53=1,$BL53=1,$BH53&gt;0),IF($BI53=1,SUM('Final Calculation Sheet'!$Z$4:$Z$40),IF($BL53=1,SUM('Final Calculation Sheet'!$Z$4:$Z$40)-SUMIFS('Final Calculation Sheet'!$Z$4:$Z$40,$AZ$5:$AZ$41,10),SUMIFS('Final Calculation Sheet'!$Z$4:$Z$40,$AZ$5:$AZ$41,$BH53))),""))</f>
        <v/>
      </c>
      <c r="AB54" s="70">
        <f>IF($BJ53&gt;0,IF(INDEX('Final Calculation Sheet'!$AA$4:$AA$40,$BJ53-3)="","",INDEX('Final Calculation Sheet'!$AA$4:$AA$40,$BJ53-3)),IF(OR($BI53=1,$BL53=1,$BH53&gt;0),IF($BI53=1,SUM('Final Calculation Sheet'!$AA$4:$AA$40),IF($BL53=1,SUM('Final Calculation Sheet'!$AA$4:$AA$40)-SUMIFS('Final Calculation Sheet'!$AA$4:$AA$40,$AZ$5:$AZ$41,10),SUMIFS('Final Calculation Sheet'!$AA$4:$AA$40,$AZ$5:$AZ$41,$BH53))),""))</f>
        <v/>
      </c>
      <c r="AC54" s="70">
        <f>IF($BJ53&gt;0,IF(INDEX('Final Calculation Sheet'!$AB$4:$AB$40,$BJ53-3)="","",INDEX('Final Calculation Sheet'!$AB$4:$AB$40,$BJ53-3)),IF(OR($BI53=1,$BL53=1,$BH53&gt;0),"–",""))</f>
        <v/>
      </c>
      <c r="AD54" s="70">
        <f>IF($BJ53&gt;0,IF(INDEX('Final Calculation Sheet'!$AC$4:$AC$40,$BJ53-3)="","",INDEX('Final Calculation Sheet'!$AC$4:$AC$40,$BJ53-3)),IF(OR($BI53=1,$BL53=1,$BH53&gt;0),IF($BI53=1,SUM('Final Calculation Sheet'!$AC$4:$AC$40),IF($BL53=1,SUM('Final Calculation Sheet'!$AC$4:$AC$40)-SUMIFS('Final Calculation Sheet'!$AC$4:$AC$40,$AZ$5:$AZ$41,10),SUMIFS('Final Calculation Sheet'!$AC$4:$AC$40,$AZ$5:$AZ$41,$BH53))),""))</f>
        <v/>
      </c>
      <c r="AE54" s="70">
        <f>IF($BJ53&gt;0,IF(INDEX('Final Calculation Sheet'!$AD$4:$AD$40,$BJ53-3)="","",INDEX('Final Calculation Sheet'!$AD$4:$AD$40,$BJ53-3)),IF(OR($BI53=1,$BL53=1,$BH53&gt;0),IF($BI53=1,SUM('Final Calculation Sheet'!$AD$4:$AD$40),IF($BL53=1,SUM('Final Calculation Sheet'!$AD$4:$AD$40)-SUMIFS('Final Calculation Sheet'!$AD$4:$AD$40,$AZ$5:$AZ$41,10),SUMIFS('Final Calculation Sheet'!$AD$4:$AD$40,$AZ$5:$AZ$41,$BH53))),""))</f>
        <v/>
      </c>
      <c r="AF54" s="70">
        <f>IF($BJ53&gt;0,IF(INDEX('Final Calculation Sheet'!$AE$4:$AE$40,$BJ53-3)="","",INDEX('Final Calculation Sheet'!$AE$4:$AE$40,$BJ53-3)),IF(OR($BI53=1,$BL53=1,$BH53&gt;0),"–",""))</f>
        <v/>
      </c>
      <c r="AG54" s="74">
        <f>IF($BJ53&gt;0,IF(INDEX('Final Calculation Sheet'!$AF$4:$AF$40,$BJ53-3)="","",INDEX('Final Calculation Sheet'!$AF$4:$AF$40,$BJ53-3)),IF(OR($BI53=1,$BL53=1,$BH53&gt;0),"–",""))</f>
        <v/>
      </c>
      <c r="AH54" s="70">
        <f>IF($BJ53&gt;0,IF(INDEX('Final Calculation Sheet'!$AG$4:$AG$40,$BJ53-3)="","",INDEX('Final Calculation Sheet'!$AG$4:$AG$40,$BJ53-3)),IF(OR($BI53=1,$BL53=1,$BH53&gt;0),"–",""))</f>
        <v/>
      </c>
      <c r="AI54" s="75">
        <f>IF($BJ53&gt;0,IF(INDEX('Final Calculation Sheet'!$AD$4:$AD$40,$BJ53-3)="","",IF(INDEX('Final Calculation Sheet'!$AD$4:$AD$40,$BJ53-3)&lt;=0,"SETTLED","OUTSTANDING")),IF(OR($BI53=1,$BL53=1,$BH53&gt;0),IF(IF($BI53=1,SUM('Final Calculation Sheet'!$AD$4:$AD$40),IF($BL53=1,SUM('Final Calculation Sheet'!$AD$4:$AD$40)-SUMIFS('Final Calculation Sheet'!$AD$4:$AD$40,$AZ$5:$AZ$41,10),SUMIFS('Final Calculation Sheet'!$AD$4:$AD$40,$AZ$5:$AZ$41,$BH53)))&lt;=0,"ALL SETTLED","OUTSTANDING"),""))</f>
        <v/>
      </c>
    </row>
  </sheetData>
  <mergeCells count="4">
    <mergeCell ref="A2:AI2"/>
    <mergeCell ref="B3:D3"/>
    <mergeCell ref="I3:AI3"/>
    <mergeCell ref="A1:AI1"/>
  </mergeCells>
  <conditionalFormatting sqref="A6:AH54">
    <cfRule type="expression" priority="1" dxfId="10">
      <formula>AND($B$3&lt;&gt;"",$BK5=1,$BH5=0,$BI5=0)</formula>
    </cfRule>
    <cfRule type="expression" priority="2" dxfId="9">
      <formula>$BH5=10</formula>
    </cfRule>
    <cfRule type="expression" priority="3" dxfId="8">
      <formula>$BI5=1</formula>
    </cfRule>
    <cfRule type="expression" priority="4" dxfId="7">
      <formula>$BL5=1</formula>
    </cfRule>
    <cfRule type="expression" priority="5" dxfId="6">
      <formula>$BH5&gt;0</formula>
    </cfRule>
    <cfRule type="expression" priority="6" dxfId="5">
      <formula>AND($B$3&lt;&gt;"",$BJ5&gt;0,$BK5=0)</formula>
    </cfRule>
    <cfRule type="expression" priority="7" dxfId="4">
      <formula>AND($BJ5&gt;0,MOD($BJ5,2)=0)</formula>
    </cfRule>
  </conditionalFormatting>
  <conditionalFormatting sqref="A6:AI54">
    <cfRule type="expression" priority="11" dxfId="3">
      <formula>OR($BJ5&gt;0,$BH5&gt;0,$BI5=1,$BL5=1)</formula>
    </cfRule>
  </conditionalFormatting>
  <conditionalFormatting sqref="AE6:AE54">
    <cfRule type="cellIs" priority="8" operator="greaterThan" dxfId="2">
      <formula>0</formula>
    </cfRule>
  </conditionalFormatting>
  <conditionalFormatting sqref="AI6:AI54">
    <cfRule type="cellIs" priority="9" operator="equal" dxfId="1">
      <formula>"SETTLED"</formula>
    </cfRule>
    <cfRule type="cellIs" priority="10" operator="equal" dxfId="0">
      <formula>"OUTSTANDING"</formula>
    </cfRule>
  </conditionalFormatting>
  <dataValidations count="2">
    <dataValidation sqref="F3" showDropDown="0" showInputMessage="0" showErrorMessage="0" allowBlank="0" type="list">
      <formula1>$AO$4:$AO$9</formula1>
    </dataValidation>
    <dataValidation sqref="A4:AI4" showDropDown="0" showInputMessage="1" showErrorMessage="0" allowBlank="1" promptTitle="Column wildcard search" prompt="Type text; comma or / means ANY. Use * for any text or ? for one character." type="custom">
      <formula1>1=1</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tabColor rgb="FF2E75B6"/>
    <outlinePr summaryBelow="1" summaryRight="1"/>
    <pageSetUpPr/>
  </sheetPr>
  <dimension ref="A1:AI57"/>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4.85546875" customWidth="1" style="77" min="1" max="1"/>
    <col width="10" customWidth="1" style="77" min="2" max="2"/>
    <col width="30" customWidth="1" style="77" min="3" max="3"/>
    <col outlineLevel="1" width="42" customWidth="1" style="77" min="4" max="4"/>
    <col outlineLevel="1" width="11.7109375" customWidth="1" style="77" min="5" max="5"/>
    <col outlineLevel="1" width="12" customWidth="1" style="77" min="6" max="6"/>
    <col outlineLevel="1" width="11" customWidth="1" style="77" min="7" max="7"/>
    <col outlineLevel="1" width="8.85546875" customWidth="1" style="77" min="8" max="8"/>
    <col width="10.28515625" customWidth="1" style="77" min="9" max="9"/>
    <col width="8.85546875" customWidth="1" style="77" min="10" max="10"/>
    <col width="13.42578125" customWidth="1" style="77" min="11" max="11"/>
    <col width="13" customWidth="1" style="77" min="12" max="12"/>
    <col width="13" customWidth="1" style="77" min="13" max="13"/>
    <col width="13" customWidth="1" style="77" min="14" max="14"/>
    <col width="13" customWidth="1" style="77" min="15" max="15"/>
    <col width="13" customWidth="1" style="77" min="16" max="16"/>
    <col width="13.42578125" customWidth="1" style="77" min="17" max="17"/>
    <col width="13.42578125" customWidth="1" style="77" min="18" max="18"/>
    <col width="13.42578125" customWidth="1" style="77" min="19" max="19"/>
    <col width="13" customWidth="1" style="77" min="20" max="20"/>
    <col width="13.42578125" customWidth="1" style="77" min="21" max="21"/>
    <col width="13.42578125" customWidth="1" style="77" min="22" max="22"/>
    <col width="13" customWidth="1" style="77" min="23" max="23"/>
    <col width="13" customWidth="1" style="77" min="24" max="24"/>
    <col width="13" customWidth="1" style="77" min="25" max="25"/>
    <col width="13" customWidth="1" style="77" min="26" max="26"/>
    <col width="13" customWidth="1" style="77" min="27" max="27"/>
    <col width="13" customWidth="1" style="77" min="28" max="28"/>
    <col width="13" customWidth="1" style="77" min="29" max="29"/>
    <col width="13" customWidth="1" style="77" min="30" max="30"/>
    <col width="13" customWidth="1" style="77" min="31" max="31"/>
    <col width="13" customWidth="1" style="77" min="32" max="32"/>
    <col width="13" customWidth="1" style="77" min="33" max="33"/>
    <col width="13" customWidth="1" style="77" min="34" max="34"/>
    <col width="13" customWidth="1" style="77" min="35" max="35"/>
  </cols>
  <sheetData>
    <row r="1" ht="30" customHeight="1" s="77">
      <c r="A1" s="81" t="inlineStr">
        <is>
          <t>MSTC LIMITED  •  BUYER-WISE GROUPS   (each buyer’s lots in one block with a shaded ∑ subtotal beneath it, a blue TOTAL of every buyer and a green GRAND TOTAL cross-checked to the source at the foot)</t>
        </is>
      </c>
    </row>
    <row r="2" ht="44.1" customHeight="1" s="77">
      <c r="A2" s="76" t="inlineStr">
        <is>
          <t>HOW TO READ  ▶  lots are grouped alphabetically by buyer; the navy ∑ row beneath each block subtotals that buyer only.  •  TOTAL adds the buyer subtotals; GRAND TOTAL sums Final Calculation Sheet directly — the two must always agree.  •  nothing here is typed in: every figure is a live link to Final Calculation Sheet.  •  use the +/- outline control above columns D:H to expand/collapse Lot Name through Rate.</t>
        </is>
      </c>
    </row>
    <row r="3" ht="22" customHeight="1" s="77">
      <c r="A3" s="59" t="inlineStr">
        <is>
          <t>BUYERS  ▸</t>
        </is>
      </c>
      <c r="B3" s="62">
        <f>SUMPRODUCT(1/COUNTIF('Final Calculation Sheet'!$G$4:$G$40,'Final Calculation Sheet'!$G$4:$G$40))</f>
        <v/>
      </c>
      <c r="C3" s="59" t="inlineStr">
        <is>
          <t>LOTS  ▸</t>
        </is>
      </c>
      <c r="D3" s="62">
        <f>COUNTA('Final Calculation Sheet'!$G$4:$G$40)</f>
        <v/>
      </c>
    </row>
    <row r="4" ht="6" customHeight="1" s="77"/>
    <row r="5" ht="44.1" customHeight="1" s="77">
      <c r="A5" s="64" t="inlineStr">
        <is>
          <t>#</t>
        </is>
      </c>
      <c r="B5" s="65" t="inlineStr">
        <is>
          <t>Lot No.</t>
        </is>
      </c>
      <c r="C5" s="65" t="inlineStr">
        <is>
          <t>Buyer</t>
        </is>
      </c>
      <c r="D5" s="65" t="inlineStr">
        <is>
          <t>Lot Name</t>
        </is>
      </c>
      <c r="E5" s="65" t="inlineStr">
        <is>
          <t>Bid Sheet</t>
        </is>
      </c>
      <c r="F5" s="65" t="inlineStr">
        <is>
          <t>Quantity</t>
        </is>
      </c>
      <c r="G5" s="65" t="inlineStr">
        <is>
          <t>Unit</t>
        </is>
      </c>
      <c r="H5" s="65" t="inlineStr">
        <is>
          <t>Rate</t>
        </is>
      </c>
      <c r="I5" s="65" t="inlineStr">
        <is>
          <t>Mat. Value</t>
        </is>
      </c>
      <c r="J5" s="65" t="inlineStr">
        <is>
          <t>GST</t>
        </is>
      </c>
      <c r="K5" s="65" t="inlineStr">
        <is>
          <t>Mat. Value + GST</t>
        </is>
      </c>
      <c r="L5" s="65" t="inlineStr">
        <is>
          <t>TCS</t>
        </is>
      </c>
      <c r="M5" s="65" t="inlineStr">
        <is>
          <t>TDS u/s 194(O)</t>
        </is>
      </c>
      <c r="N5" s="65" t="inlineStr">
        <is>
          <t>Service Charge to MSTC</t>
        </is>
      </c>
      <c r="O5" s="65" t="inlineStr">
        <is>
          <t>TDS u/s 194(H)</t>
        </is>
      </c>
      <c r="P5" s="65" t="inlineStr">
        <is>
          <t>Net Service Charge (post TDS 194H)</t>
        </is>
      </c>
      <c r="Q5" s="65" t="inlineStr">
        <is>
          <t>Service charge to MSTC</t>
        </is>
      </c>
      <c r="R5" s="65" t="inlineStr">
        <is>
          <t>GST TDS Rate</t>
        </is>
      </c>
      <c r="S5" s="65" t="inlineStr">
        <is>
          <t>GST TDS</t>
        </is>
      </c>
      <c r="T5" s="65" t="inlineStr">
        <is>
          <t>Total Receivables in Cash</t>
        </is>
      </c>
      <c r="U5" s="65" t="inlineStr">
        <is>
          <t>Security Deposit (Expected)</t>
        </is>
      </c>
      <c r="V5" s="65" t="inlineStr">
        <is>
          <t>Security Deposit (Received)</t>
        </is>
      </c>
      <c r="W5" s="65" t="inlineStr">
        <is>
          <t>Date of Receipt (col V)</t>
        </is>
      </c>
      <c r="X5" s="65" t="inlineStr">
        <is>
          <t>Final Payment (Expected)</t>
        </is>
      </c>
      <c r="Y5" s="65" t="inlineStr">
        <is>
          <t>Final Payment (Received)</t>
        </is>
      </c>
      <c r="Z5" s="65" t="inlineStr">
        <is>
          <t>Date of Receipt (col Y)</t>
        </is>
      </c>
      <c r="AA5" s="65" t="inlineStr">
        <is>
          <t>LPP Expected</t>
        </is>
      </c>
      <c r="AB5" s="65" t="inlineStr">
        <is>
          <t>LPP Received</t>
        </is>
      </c>
      <c r="AC5" s="65" t="inlineStr">
        <is>
          <t>Date of Recepit of LPP</t>
        </is>
      </c>
      <c r="AD5" s="65" t="inlineStr">
        <is>
          <t>Total Received</t>
        </is>
      </c>
      <c r="AE5" s="65" t="inlineStr">
        <is>
          <t>Outstanding</t>
        </is>
      </c>
      <c r="AF5" s="65" t="inlineStr">
        <is>
          <t>Invoice No.</t>
        </is>
      </c>
      <c r="AG5" s="65" t="inlineStr">
        <is>
          <t>SAP Document</t>
        </is>
      </c>
      <c r="AH5" s="65" t="inlineStr">
        <is>
          <t>Doc./Invoice Date</t>
        </is>
      </c>
      <c r="AI5" s="66" t="inlineStr">
        <is>
          <t>Payment Status</t>
        </is>
      </c>
    </row>
    <row r="6" ht="15" customHeight="1" s="77">
      <c r="A6" s="67" t="n">
        <v>1</v>
      </c>
      <c r="B6" s="68">
        <f>IF('Final Calculation Sheet'!$F$4="","",'Final Calculation Sheet'!$F$4)</f>
        <v/>
      </c>
      <c r="C6" s="68">
        <f>IF('Final Calculation Sheet'!$G$4="","",'Final Calculation Sheet'!$G$4)</f>
        <v/>
      </c>
      <c r="D6" s="69">
        <f>IF('Final Calculation Sheet'!$B$4="","",'Final Calculation Sheet'!$B$4)</f>
        <v/>
      </c>
      <c r="E6" s="69">
        <f>IF('Final Calculation Sheet'!$D$4="","",'Final Calculation Sheet'!$D$4)</f>
        <v/>
      </c>
      <c r="F6" s="69">
        <f>IF('Final Calculation Sheet'!$A$4="","",'Final Calculation Sheet'!$A$4)</f>
        <v/>
      </c>
      <c r="G6" s="69">
        <f>IF('Final Calculation Sheet'!$E$4="","",'Final Calculation Sheet'!$E$4)</f>
        <v/>
      </c>
      <c r="H6" s="70">
        <f>IF('Final Calculation Sheet'!$C$4="","",'Final Calculation Sheet'!$C$4)</f>
        <v/>
      </c>
      <c r="I6" s="70">
        <f>IF('Final Calculation Sheet'!$H$4="","",'Final Calculation Sheet'!$H$4)</f>
        <v/>
      </c>
      <c r="J6" s="70">
        <f>IF('Final Calculation Sheet'!$I$4="","",'Final Calculation Sheet'!$I$4)</f>
        <v/>
      </c>
      <c r="K6" s="70">
        <f>IF('Final Calculation Sheet'!$J$4="","",'Final Calculation Sheet'!$J$4)</f>
        <v/>
      </c>
      <c r="L6" s="70">
        <f>IF('Final Calculation Sheet'!$K$4="","",'Final Calculation Sheet'!$K$4)</f>
        <v/>
      </c>
      <c r="M6" s="70">
        <f>IF('Final Calculation Sheet'!$L$4="","",'Final Calculation Sheet'!$L$4)</f>
        <v/>
      </c>
      <c r="N6" s="70">
        <f>IF('Final Calculation Sheet'!$M$4="","",'Final Calculation Sheet'!$M$4)</f>
        <v/>
      </c>
      <c r="O6" s="71">
        <f>IF('Final Calculation Sheet'!$N$4="","",'Final Calculation Sheet'!$N$4)</f>
        <v/>
      </c>
      <c r="P6" s="70">
        <f>IF('Final Calculation Sheet'!$O$4="","",'Final Calculation Sheet'!$O$4)</f>
        <v/>
      </c>
      <c r="Q6" s="70">
        <f>IF('Final Calculation Sheet'!$P$4="","",'Final Calculation Sheet'!$P$4)</f>
        <v/>
      </c>
      <c r="R6" s="72">
        <f>IF('Final Calculation Sheet'!$Q$4="","",'Final Calculation Sheet'!$Q$4)</f>
        <v/>
      </c>
      <c r="S6" s="70">
        <f>IF('Final Calculation Sheet'!$R$4="","",'Final Calculation Sheet'!$R$4)</f>
        <v/>
      </c>
      <c r="T6" s="70">
        <f>IF('Final Calculation Sheet'!$S$4="","",'Final Calculation Sheet'!$S$4)</f>
        <v/>
      </c>
      <c r="U6" s="70">
        <f>IF('Final Calculation Sheet'!$T$4="","",'Final Calculation Sheet'!$T$4)</f>
        <v/>
      </c>
      <c r="V6" s="73">
        <f>IF('Final Calculation Sheet'!$U$4="","",'Final Calculation Sheet'!$U$4)</f>
        <v/>
      </c>
      <c r="W6" s="70">
        <f>IF('Final Calculation Sheet'!$V$4="","",'Final Calculation Sheet'!$V$4)</f>
        <v/>
      </c>
      <c r="X6" s="70">
        <f>IF('Final Calculation Sheet'!$W$4="","",'Final Calculation Sheet'!$W$4)</f>
        <v/>
      </c>
      <c r="Y6" s="70">
        <f>IF('Final Calculation Sheet'!$X$4="","",'Final Calculation Sheet'!$X$4)</f>
        <v/>
      </c>
      <c r="Z6" s="70">
        <f>IF('Final Calculation Sheet'!$Y$4="","",'Final Calculation Sheet'!$Y$4)</f>
        <v/>
      </c>
      <c r="AA6" s="70">
        <f>IF('Final Calculation Sheet'!$Z$4="","",'Final Calculation Sheet'!$Z$4)</f>
        <v/>
      </c>
      <c r="AB6" s="70">
        <f>IF('Final Calculation Sheet'!$AA$4="","",'Final Calculation Sheet'!$AA$4)</f>
        <v/>
      </c>
      <c r="AC6" s="70">
        <f>IF('Final Calculation Sheet'!$AB$4="","",'Final Calculation Sheet'!$AB$4)</f>
        <v/>
      </c>
      <c r="AD6" s="70">
        <f>IF('Final Calculation Sheet'!$AC$4="","",'Final Calculation Sheet'!$AC$4)</f>
        <v/>
      </c>
      <c r="AE6" s="70">
        <f>IF('Final Calculation Sheet'!$AD$4="","",'Final Calculation Sheet'!$AD$4)</f>
        <v/>
      </c>
      <c r="AF6" s="70">
        <f>IF('Final Calculation Sheet'!$AE$4="","",'Final Calculation Sheet'!$AE$4)</f>
        <v/>
      </c>
      <c r="AG6" s="74">
        <f>IF('Final Calculation Sheet'!$AF$4="","",'Final Calculation Sheet'!$AF$4)</f>
        <v/>
      </c>
      <c r="AH6" s="70">
        <f>IF('Final Calculation Sheet'!$AG$4="","",'Final Calculation Sheet'!$AG$4)</f>
        <v/>
      </c>
      <c r="AI6" s="75">
        <f>IF('Final Calculation Sheet'!$AD$4="","",IF('Final Calculation Sheet'!$AD$4&lt;=0,"SETTLED","OUTSTANDING"))</f>
        <v/>
      </c>
    </row>
    <row r="7" ht="15" customHeight="1" s="77">
      <c r="A7" s="84" t="inlineStr">
        <is>
          <t>∑</t>
        </is>
      </c>
      <c r="B7" s="85" t="n"/>
      <c r="C7" s="85">
        <f>ROWS($C$6:$C$6)&amp;" lot(s)"</f>
        <v/>
      </c>
      <c r="D7" s="85" t="inlineStr">
        <is>
          <t>SUBTOTAL — AL HAMD TRADE CORPORATION</t>
        </is>
      </c>
      <c r="E7" s="85" t="inlineStr">
        <is>
          <t>–</t>
        </is>
      </c>
      <c r="F7" s="85">
        <f>SUM(F6:F6)</f>
        <v/>
      </c>
      <c r="G7" s="85" t="inlineStr">
        <is>
          <t>–</t>
        </is>
      </c>
      <c r="H7" s="86" t="inlineStr">
        <is>
          <t>–</t>
        </is>
      </c>
      <c r="I7" s="86">
        <f>SUM(I6:I6)</f>
        <v/>
      </c>
      <c r="J7" s="86">
        <f>SUM(J6:J6)</f>
        <v/>
      </c>
      <c r="K7" s="86">
        <f>SUM(K6:K6)</f>
        <v/>
      </c>
      <c r="L7" s="86">
        <f>SUM(L6:L6)</f>
        <v/>
      </c>
      <c r="M7" s="86">
        <f>SUM(M6:M6)</f>
        <v/>
      </c>
      <c r="N7" s="86">
        <f>SUM(N6:N6)</f>
        <v/>
      </c>
      <c r="O7" s="87">
        <f>SUM(O6:O6)</f>
        <v/>
      </c>
      <c r="P7" s="86">
        <f>SUM(P6:P6)</f>
        <v/>
      </c>
      <c r="Q7" s="86">
        <f>SUM(Q6:Q6)</f>
        <v/>
      </c>
      <c r="R7" s="88" t="inlineStr">
        <is>
          <t>–</t>
        </is>
      </c>
      <c r="S7" s="86">
        <f>SUM(S6:S6)</f>
        <v/>
      </c>
      <c r="T7" s="86">
        <f>SUM(T6:T6)</f>
        <v/>
      </c>
      <c r="U7" s="86">
        <f>SUM(U6:U6)</f>
        <v/>
      </c>
      <c r="V7" s="89">
        <f>SUM(V6:V6)</f>
        <v/>
      </c>
      <c r="W7" s="86" t="inlineStr">
        <is>
          <t>–</t>
        </is>
      </c>
      <c r="X7" s="86">
        <f>SUM(X6:X6)</f>
        <v/>
      </c>
      <c r="Y7" s="86">
        <f>SUM(Y6:Y6)</f>
        <v/>
      </c>
      <c r="Z7" s="86" t="inlineStr">
        <is>
          <t>–</t>
        </is>
      </c>
      <c r="AA7" s="86">
        <f>SUM(AA6:AA6)</f>
        <v/>
      </c>
      <c r="AB7" s="86">
        <f>SUM(AB6:AB6)</f>
        <v/>
      </c>
      <c r="AC7" s="86" t="inlineStr">
        <is>
          <t>–</t>
        </is>
      </c>
      <c r="AD7" s="86">
        <f>SUM(AD6:AD6)</f>
        <v/>
      </c>
      <c r="AE7" s="86">
        <f>SUM(AE6:AE6)</f>
        <v/>
      </c>
      <c r="AF7" s="86" t="inlineStr">
        <is>
          <t>–</t>
        </is>
      </c>
      <c r="AG7" s="90" t="inlineStr">
        <is>
          <t>–</t>
        </is>
      </c>
      <c r="AH7" s="86" t="inlineStr">
        <is>
          <t>–</t>
        </is>
      </c>
      <c r="AI7" s="91">
        <f>IF(AE7&lt;=0,"SETTLED","OUTSTANDING")</f>
        <v/>
      </c>
    </row>
    <row r="8" ht="15" customHeight="1" s="77">
      <c r="A8" s="67" t="n">
        <v>1</v>
      </c>
      <c r="B8" s="68">
        <f>IF('Final Calculation Sheet'!$F$6="","",'Final Calculation Sheet'!$F$6)</f>
        <v/>
      </c>
      <c r="C8" s="68">
        <f>IF('Final Calculation Sheet'!$G$6="","",'Final Calculation Sheet'!$G$6)</f>
        <v/>
      </c>
      <c r="D8" s="69">
        <f>IF('Final Calculation Sheet'!$B$6="","",'Final Calculation Sheet'!$B$6)</f>
        <v/>
      </c>
      <c r="E8" s="69">
        <f>IF('Final Calculation Sheet'!$D$6="","",'Final Calculation Sheet'!$D$6)</f>
        <v/>
      </c>
      <c r="F8" s="69">
        <f>IF('Final Calculation Sheet'!$A$6="","",'Final Calculation Sheet'!$A$6)</f>
        <v/>
      </c>
      <c r="G8" s="69">
        <f>IF('Final Calculation Sheet'!$E$6="","",'Final Calculation Sheet'!$E$6)</f>
        <v/>
      </c>
      <c r="H8" s="70">
        <f>IF('Final Calculation Sheet'!$C$6="","",'Final Calculation Sheet'!$C$6)</f>
        <v/>
      </c>
      <c r="I8" s="70">
        <f>IF('Final Calculation Sheet'!$H$6="","",'Final Calculation Sheet'!$H$6)</f>
        <v/>
      </c>
      <c r="J8" s="70">
        <f>IF('Final Calculation Sheet'!$I$6="","",'Final Calculation Sheet'!$I$6)</f>
        <v/>
      </c>
      <c r="K8" s="70">
        <f>IF('Final Calculation Sheet'!$J$6="","",'Final Calculation Sheet'!$J$6)</f>
        <v/>
      </c>
      <c r="L8" s="70">
        <f>IF('Final Calculation Sheet'!$K$6="","",'Final Calculation Sheet'!$K$6)</f>
        <v/>
      </c>
      <c r="M8" s="70">
        <f>IF('Final Calculation Sheet'!$L$6="","",'Final Calculation Sheet'!$L$6)</f>
        <v/>
      </c>
      <c r="N8" s="70">
        <f>IF('Final Calculation Sheet'!$M$6="","",'Final Calculation Sheet'!$M$6)</f>
        <v/>
      </c>
      <c r="O8" s="71">
        <f>IF('Final Calculation Sheet'!$N$6="","",'Final Calculation Sheet'!$N$6)</f>
        <v/>
      </c>
      <c r="P8" s="70">
        <f>IF('Final Calculation Sheet'!$O$6="","",'Final Calculation Sheet'!$O$6)</f>
        <v/>
      </c>
      <c r="Q8" s="70">
        <f>IF('Final Calculation Sheet'!$P$6="","",'Final Calculation Sheet'!$P$6)</f>
        <v/>
      </c>
      <c r="R8" s="72">
        <f>IF('Final Calculation Sheet'!$Q$6="","",'Final Calculation Sheet'!$Q$6)</f>
        <v/>
      </c>
      <c r="S8" s="70">
        <f>IF('Final Calculation Sheet'!$R$6="","",'Final Calculation Sheet'!$R$6)</f>
        <v/>
      </c>
      <c r="T8" s="70">
        <f>IF('Final Calculation Sheet'!$S$6="","",'Final Calculation Sheet'!$S$6)</f>
        <v/>
      </c>
      <c r="U8" s="70">
        <f>IF('Final Calculation Sheet'!$T$6="","",'Final Calculation Sheet'!$T$6)</f>
        <v/>
      </c>
      <c r="V8" s="73">
        <f>IF('Final Calculation Sheet'!$U$6="","",'Final Calculation Sheet'!$U$6)</f>
        <v/>
      </c>
      <c r="W8" s="70">
        <f>IF('Final Calculation Sheet'!$V$6="","",'Final Calculation Sheet'!$V$6)</f>
        <v/>
      </c>
      <c r="X8" s="70">
        <f>IF('Final Calculation Sheet'!$W$6="","",'Final Calculation Sheet'!$W$6)</f>
        <v/>
      </c>
      <c r="Y8" s="70">
        <f>IF('Final Calculation Sheet'!$X$6="","",'Final Calculation Sheet'!$X$6)</f>
        <v/>
      </c>
      <c r="Z8" s="70">
        <f>IF('Final Calculation Sheet'!$Y$6="","",'Final Calculation Sheet'!$Y$6)</f>
        <v/>
      </c>
      <c r="AA8" s="70">
        <f>IF('Final Calculation Sheet'!$Z$6="","",'Final Calculation Sheet'!$Z$6)</f>
        <v/>
      </c>
      <c r="AB8" s="70">
        <f>IF('Final Calculation Sheet'!$AA$6="","",'Final Calculation Sheet'!$AA$6)</f>
        <v/>
      </c>
      <c r="AC8" s="70">
        <f>IF('Final Calculation Sheet'!$AB$6="","",'Final Calculation Sheet'!$AB$6)</f>
        <v/>
      </c>
      <c r="AD8" s="70">
        <f>IF('Final Calculation Sheet'!$AC$6="","",'Final Calculation Sheet'!$AC$6)</f>
        <v/>
      </c>
      <c r="AE8" s="70">
        <f>IF('Final Calculation Sheet'!$AD$6="","",'Final Calculation Sheet'!$AD$6)</f>
        <v/>
      </c>
      <c r="AF8" s="70">
        <f>IF('Final Calculation Sheet'!$AE$6="","",'Final Calculation Sheet'!$AE$6)</f>
        <v/>
      </c>
      <c r="AG8" s="74">
        <f>IF('Final Calculation Sheet'!$AF$6="","",'Final Calculation Sheet'!$AF$6)</f>
        <v/>
      </c>
      <c r="AH8" s="70">
        <f>IF('Final Calculation Sheet'!$AG$6="","",'Final Calculation Sheet'!$AG$6)</f>
        <v/>
      </c>
      <c r="AI8" s="75">
        <f>IF('Final Calculation Sheet'!$AD$6="","",IF('Final Calculation Sheet'!$AD$6&lt;=0,"SETTLED","OUTSTANDING"))</f>
        <v/>
      </c>
    </row>
    <row r="9" ht="15" customHeight="1" s="77">
      <c r="A9" s="67" t="n">
        <v>2</v>
      </c>
      <c r="B9" s="68">
        <f>IF('Final Calculation Sheet'!$F$7="","",'Final Calculation Sheet'!$F$7)</f>
        <v/>
      </c>
      <c r="C9" s="68">
        <f>IF('Final Calculation Sheet'!$G$7="","",'Final Calculation Sheet'!$G$7)</f>
        <v/>
      </c>
      <c r="D9" s="69">
        <f>IF('Final Calculation Sheet'!$B$7="","",'Final Calculation Sheet'!$B$7)</f>
        <v/>
      </c>
      <c r="E9" s="69">
        <f>IF('Final Calculation Sheet'!$D$7="","",'Final Calculation Sheet'!$D$7)</f>
        <v/>
      </c>
      <c r="F9" s="69">
        <f>IF('Final Calculation Sheet'!$A$7="","",'Final Calculation Sheet'!$A$7)</f>
        <v/>
      </c>
      <c r="G9" s="69">
        <f>IF('Final Calculation Sheet'!$E$7="","",'Final Calculation Sheet'!$E$7)</f>
        <v/>
      </c>
      <c r="H9" s="70">
        <f>IF('Final Calculation Sheet'!$C$7="","",'Final Calculation Sheet'!$C$7)</f>
        <v/>
      </c>
      <c r="I9" s="70">
        <f>IF('Final Calculation Sheet'!$H$7="","",'Final Calculation Sheet'!$H$7)</f>
        <v/>
      </c>
      <c r="J9" s="70">
        <f>IF('Final Calculation Sheet'!$I$7="","",'Final Calculation Sheet'!$I$7)</f>
        <v/>
      </c>
      <c r="K9" s="70">
        <f>IF('Final Calculation Sheet'!$J$7="","",'Final Calculation Sheet'!$J$7)</f>
        <v/>
      </c>
      <c r="L9" s="70">
        <f>IF('Final Calculation Sheet'!$K$7="","",'Final Calculation Sheet'!$K$7)</f>
        <v/>
      </c>
      <c r="M9" s="70">
        <f>IF('Final Calculation Sheet'!$L$7="","",'Final Calculation Sheet'!$L$7)</f>
        <v/>
      </c>
      <c r="N9" s="70">
        <f>IF('Final Calculation Sheet'!$M$7="","",'Final Calculation Sheet'!$M$7)</f>
        <v/>
      </c>
      <c r="O9" s="71">
        <f>IF('Final Calculation Sheet'!$N$7="","",'Final Calculation Sheet'!$N$7)</f>
        <v/>
      </c>
      <c r="P9" s="70">
        <f>IF('Final Calculation Sheet'!$O$7="","",'Final Calculation Sheet'!$O$7)</f>
        <v/>
      </c>
      <c r="Q9" s="70">
        <f>IF('Final Calculation Sheet'!$P$7="","",'Final Calculation Sheet'!$P$7)</f>
        <v/>
      </c>
      <c r="R9" s="72">
        <f>IF('Final Calculation Sheet'!$Q$7="","",'Final Calculation Sheet'!$Q$7)</f>
        <v/>
      </c>
      <c r="S9" s="70">
        <f>IF('Final Calculation Sheet'!$R$7="","",'Final Calculation Sheet'!$R$7)</f>
        <v/>
      </c>
      <c r="T9" s="70">
        <f>IF('Final Calculation Sheet'!$S$7="","",'Final Calculation Sheet'!$S$7)</f>
        <v/>
      </c>
      <c r="U9" s="70">
        <f>IF('Final Calculation Sheet'!$T$7="","",'Final Calculation Sheet'!$T$7)</f>
        <v/>
      </c>
      <c r="V9" s="73">
        <f>IF('Final Calculation Sheet'!$U$7="","",'Final Calculation Sheet'!$U$7)</f>
        <v/>
      </c>
      <c r="W9" s="70">
        <f>IF('Final Calculation Sheet'!$V$7="","",'Final Calculation Sheet'!$V$7)</f>
        <v/>
      </c>
      <c r="X9" s="70">
        <f>IF('Final Calculation Sheet'!$W$7="","",'Final Calculation Sheet'!$W$7)</f>
        <v/>
      </c>
      <c r="Y9" s="70">
        <f>IF('Final Calculation Sheet'!$X$7="","",'Final Calculation Sheet'!$X$7)</f>
        <v/>
      </c>
      <c r="Z9" s="70">
        <f>IF('Final Calculation Sheet'!$Y$7="","",'Final Calculation Sheet'!$Y$7)</f>
        <v/>
      </c>
      <c r="AA9" s="70">
        <f>IF('Final Calculation Sheet'!$Z$7="","",'Final Calculation Sheet'!$Z$7)</f>
        <v/>
      </c>
      <c r="AB9" s="70">
        <f>IF('Final Calculation Sheet'!$AA$7="","",'Final Calculation Sheet'!$AA$7)</f>
        <v/>
      </c>
      <c r="AC9" s="70">
        <f>IF('Final Calculation Sheet'!$AB$7="","",'Final Calculation Sheet'!$AB$7)</f>
        <v/>
      </c>
      <c r="AD9" s="70">
        <f>IF('Final Calculation Sheet'!$AC$7="","",'Final Calculation Sheet'!$AC$7)</f>
        <v/>
      </c>
      <c r="AE9" s="70">
        <f>IF('Final Calculation Sheet'!$AD$7="","",'Final Calculation Sheet'!$AD$7)</f>
        <v/>
      </c>
      <c r="AF9" s="70">
        <f>IF('Final Calculation Sheet'!$AE$7="","",'Final Calculation Sheet'!$AE$7)</f>
        <v/>
      </c>
      <c r="AG9" s="74">
        <f>IF('Final Calculation Sheet'!$AF$7="","",'Final Calculation Sheet'!$AF$7)</f>
        <v/>
      </c>
      <c r="AH9" s="70">
        <f>IF('Final Calculation Sheet'!$AG$7="","",'Final Calculation Sheet'!$AG$7)</f>
        <v/>
      </c>
      <c r="AI9" s="75">
        <f>IF('Final Calculation Sheet'!$AD$7="","",IF('Final Calculation Sheet'!$AD$7&lt;=0,"SETTLED","OUTSTANDING"))</f>
        <v/>
      </c>
    </row>
    <row r="10" ht="15" customHeight="1" s="77">
      <c r="A10" s="84" t="inlineStr">
        <is>
          <t>∑</t>
        </is>
      </c>
      <c r="B10" s="85" t="n"/>
      <c r="C10" s="85">
        <f>ROWS($C$8:$C$9)&amp;" lot(s)"</f>
        <v/>
      </c>
      <c r="D10" s="85" t="inlineStr">
        <is>
          <t>SUBTOTAL — F R KHANS ENTERPRISES</t>
        </is>
      </c>
      <c r="E10" s="85" t="inlineStr">
        <is>
          <t>–</t>
        </is>
      </c>
      <c r="F10" s="85">
        <f>SUM(F8:F9)</f>
        <v/>
      </c>
      <c r="G10" s="85" t="inlineStr">
        <is>
          <t>–</t>
        </is>
      </c>
      <c r="H10" s="86" t="inlineStr">
        <is>
          <t>–</t>
        </is>
      </c>
      <c r="I10" s="86">
        <f>SUM(I8:I9)</f>
        <v/>
      </c>
      <c r="J10" s="86">
        <f>SUM(J8:J9)</f>
        <v/>
      </c>
      <c r="K10" s="86">
        <f>SUM(K8:K9)</f>
        <v/>
      </c>
      <c r="L10" s="86">
        <f>SUM(L8:L9)</f>
        <v/>
      </c>
      <c r="M10" s="86">
        <f>SUM(M8:M9)</f>
        <v/>
      </c>
      <c r="N10" s="86">
        <f>SUM(N8:N9)</f>
        <v/>
      </c>
      <c r="O10" s="87">
        <f>SUM(O8:O9)</f>
        <v/>
      </c>
      <c r="P10" s="86">
        <f>SUM(P8:P9)</f>
        <v/>
      </c>
      <c r="Q10" s="86">
        <f>SUM(Q8:Q9)</f>
        <v/>
      </c>
      <c r="R10" s="88" t="inlineStr">
        <is>
          <t>–</t>
        </is>
      </c>
      <c r="S10" s="86">
        <f>SUM(S8:S9)</f>
        <v/>
      </c>
      <c r="T10" s="86">
        <f>SUM(T8:T9)</f>
        <v/>
      </c>
      <c r="U10" s="86">
        <f>SUM(U8:U9)</f>
        <v/>
      </c>
      <c r="V10" s="89">
        <f>SUM(V8:V9)</f>
        <v/>
      </c>
      <c r="W10" s="86" t="inlineStr">
        <is>
          <t>–</t>
        </is>
      </c>
      <c r="X10" s="86">
        <f>SUM(X8:X9)</f>
        <v/>
      </c>
      <c r="Y10" s="86">
        <f>SUM(Y8:Y9)</f>
        <v/>
      </c>
      <c r="Z10" s="86" t="inlineStr">
        <is>
          <t>–</t>
        </is>
      </c>
      <c r="AA10" s="86">
        <f>SUM(AA8:AA9)</f>
        <v/>
      </c>
      <c r="AB10" s="86">
        <f>SUM(AB8:AB9)</f>
        <v/>
      </c>
      <c r="AC10" s="86" t="inlineStr">
        <is>
          <t>–</t>
        </is>
      </c>
      <c r="AD10" s="86">
        <f>SUM(AD8:AD9)</f>
        <v/>
      </c>
      <c r="AE10" s="86">
        <f>SUM(AE8:AE9)</f>
        <v/>
      </c>
      <c r="AF10" s="86" t="inlineStr">
        <is>
          <t>–</t>
        </is>
      </c>
      <c r="AG10" s="90" t="inlineStr">
        <is>
          <t>–</t>
        </is>
      </c>
      <c r="AH10" s="86" t="inlineStr">
        <is>
          <t>–</t>
        </is>
      </c>
      <c r="AI10" s="91">
        <f>IF(AE10&lt;=0,"SETTLED","OUTSTANDING")</f>
        <v/>
      </c>
    </row>
    <row r="11" ht="15" customHeight="1" s="77">
      <c r="A11" s="67" t="n">
        <v>1</v>
      </c>
      <c r="B11" s="68">
        <f>IF('Final Calculation Sheet'!$F$15="","",'Final Calculation Sheet'!$F$15)</f>
        <v/>
      </c>
      <c r="C11" s="68">
        <f>IF('Final Calculation Sheet'!$G$15="","",'Final Calculation Sheet'!$G$15)</f>
        <v/>
      </c>
      <c r="D11" s="69">
        <f>IF('Final Calculation Sheet'!$B$15="","",'Final Calculation Sheet'!$B$15)</f>
        <v/>
      </c>
      <c r="E11" s="69">
        <f>IF('Final Calculation Sheet'!$D$15="","",'Final Calculation Sheet'!$D$15)</f>
        <v/>
      </c>
      <c r="F11" s="69">
        <f>IF('Final Calculation Sheet'!$A$15="","",'Final Calculation Sheet'!$A$15)</f>
        <v/>
      </c>
      <c r="G11" s="69">
        <f>IF('Final Calculation Sheet'!$E$15="","",'Final Calculation Sheet'!$E$15)</f>
        <v/>
      </c>
      <c r="H11" s="70">
        <f>IF('Final Calculation Sheet'!$C$15="","",'Final Calculation Sheet'!$C$15)</f>
        <v/>
      </c>
      <c r="I11" s="70">
        <f>IF('Final Calculation Sheet'!$H$15="","",'Final Calculation Sheet'!$H$15)</f>
        <v/>
      </c>
      <c r="J11" s="70">
        <f>IF('Final Calculation Sheet'!$I$15="","",'Final Calculation Sheet'!$I$15)</f>
        <v/>
      </c>
      <c r="K11" s="70">
        <f>IF('Final Calculation Sheet'!$J$15="","",'Final Calculation Sheet'!$J$15)</f>
        <v/>
      </c>
      <c r="L11" s="70">
        <f>IF('Final Calculation Sheet'!$K$15="","",'Final Calculation Sheet'!$K$15)</f>
        <v/>
      </c>
      <c r="M11" s="70">
        <f>IF('Final Calculation Sheet'!$L$15="","",'Final Calculation Sheet'!$L$15)</f>
        <v/>
      </c>
      <c r="N11" s="70">
        <f>IF('Final Calculation Sheet'!$M$15="","",'Final Calculation Sheet'!$M$15)</f>
        <v/>
      </c>
      <c r="O11" s="71">
        <f>IF('Final Calculation Sheet'!$N$15="","",'Final Calculation Sheet'!$N$15)</f>
        <v/>
      </c>
      <c r="P11" s="70">
        <f>IF('Final Calculation Sheet'!$O$15="","",'Final Calculation Sheet'!$O$15)</f>
        <v/>
      </c>
      <c r="Q11" s="70">
        <f>IF('Final Calculation Sheet'!$P$15="","",'Final Calculation Sheet'!$P$15)</f>
        <v/>
      </c>
      <c r="R11" s="72">
        <f>IF('Final Calculation Sheet'!$Q$15="","",'Final Calculation Sheet'!$Q$15)</f>
        <v/>
      </c>
      <c r="S11" s="70">
        <f>IF('Final Calculation Sheet'!$R$15="","",'Final Calculation Sheet'!$R$15)</f>
        <v/>
      </c>
      <c r="T11" s="70">
        <f>IF('Final Calculation Sheet'!$S$15="","",'Final Calculation Sheet'!$S$15)</f>
        <v/>
      </c>
      <c r="U11" s="70">
        <f>IF('Final Calculation Sheet'!$T$15="","",'Final Calculation Sheet'!$T$15)</f>
        <v/>
      </c>
      <c r="V11" s="73">
        <f>IF('Final Calculation Sheet'!$U$15="","",'Final Calculation Sheet'!$U$15)</f>
        <v/>
      </c>
      <c r="W11" s="70">
        <f>IF('Final Calculation Sheet'!$V$15="","",'Final Calculation Sheet'!$V$15)</f>
        <v/>
      </c>
      <c r="X11" s="70">
        <f>IF('Final Calculation Sheet'!$W$15="","",'Final Calculation Sheet'!$W$15)</f>
        <v/>
      </c>
      <c r="Y11" s="70">
        <f>IF('Final Calculation Sheet'!$X$15="","",'Final Calculation Sheet'!$X$15)</f>
        <v/>
      </c>
      <c r="Z11" s="70">
        <f>IF('Final Calculation Sheet'!$Y$15="","",'Final Calculation Sheet'!$Y$15)</f>
        <v/>
      </c>
      <c r="AA11" s="70">
        <f>IF('Final Calculation Sheet'!$Z$15="","",'Final Calculation Sheet'!$Z$15)</f>
        <v/>
      </c>
      <c r="AB11" s="70">
        <f>IF('Final Calculation Sheet'!$AA$15="","",'Final Calculation Sheet'!$AA$15)</f>
        <v/>
      </c>
      <c r="AC11" s="70">
        <f>IF('Final Calculation Sheet'!$AB$15="","",'Final Calculation Sheet'!$AB$15)</f>
        <v/>
      </c>
      <c r="AD11" s="70">
        <f>IF('Final Calculation Sheet'!$AC$15="","",'Final Calculation Sheet'!$AC$15)</f>
        <v/>
      </c>
      <c r="AE11" s="70">
        <f>IF('Final Calculation Sheet'!$AD$15="","",'Final Calculation Sheet'!$AD$15)</f>
        <v/>
      </c>
      <c r="AF11" s="70">
        <f>IF('Final Calculation Sheet'!$AE$15="","",'Final Calculation Sheet'!$AE$15)</f>
        <v/>
      </c>
      <c r="AG11" s="74">
        <f>IF('Final Calculation Sheet'!$AF$15="","",'Final Calculation Sheet'!$AF$15)</f>
        <v/>
      </c>
      <c r="AH11" s="70">
        <f>IF('Final Calculation Sheet'!$AG$15="","",'Final Calculation Sheet'!$AG$15)</f>
        <v/>
      </c>
      <c r="AI11" s="75">
        <f>IF('Final Calculation Sheet'!$AD$15="","",IF('Final Calculation Sheet'!$AD$15&lt;=0,"SETTLED","OUTSTANDING"))</f>
        <v/>
      </c>
    </row>
    <row r="12" ht="15" customHeight="1" s="77">
      <c r="A12" s="84" t="inlineStr">
        <is>
          <t>∑</t>
        </is>
      </c>
      <c r="B12" s="85" t="n"/>
      <c r="C12" s="85">
        <f>ROWS($C$11:$C$11)&amp;" lot(s)"</f>
        <v/>
      </c>
      <c r="D12" s="85" t="inlineStr">
        <is>
          <t>SUBTOTAL — HIND TRADERS</t>
        </is>
      </c>
      <c r="E12" s="85" t="inlineStr">
        <is>
          <t>–</t>
        </is>
      </c>
      <c r="F12" s="85">
        <f>SUM(F11:F11)</f>
        <v/>
      </c>
      <c r="G12" s="85" t="inlineStr">
        <is>
          <t>–</t>
        </is>
      </c>
      <c r="H12" s="86" t="inlineStr">
        <is>
          <t>–</t>
        </is>
      </c>
      <c r="I12" s="86">
        <f>SUM(I11:I11)</f>
        <v/>
      </c>
      <c r="J12" s="86">
        <f>SUM(J11:J11)</f>
        <v/>
      </c>
      <c r="K12" s="86">
        <f>SUM(K11:K11)</f>
        <v/>
      </c>
      <c r="L12" s="86">
        <f>SUM(L11:L11)</f>
        <v/>
      </c>
      <c r="M12" s="86">
        <f>SUM(M11:M11)</f>
        <v/>
      </c>
      <c r="N12" s="86">
        <f>SUM(N11:N11)</f>
        <v/>
      </c>
      <c r="O12" s="87">
        <f>SUM(O11:O11)</f>
        <v/>
      </c>
      <c r="P12" s="86">
        <f>SUM(P11:P11)</f>
        <v/>
      </c>
      <c r="Q12" s="86">
        <f>SUM(Q11:Q11)</f>
        <v/>
      </c>
      <c r="R12" s="88" t="inlineStr">
        <is>
          <t>–</t>
        </is>
      </c>
      <c r="S12" s="86">
        <f>SUM(S11:S11)</f>
        <v/>
      </c>
      <c r="T12" s="86">
        <f>SUM(T11:T11)</f>
        <v/>
      </c>
      <c r="U12" s="86">
        <f>SUM(U11:U11)</f>
        <v/>
      </c>
      <c r="V12" s="89">
        <f>SUM(V11:V11)</f>
        <v/>
      </c>
      <c r="W12" s="86" t="inlineStr">
        <is>
          <t>–</t>
        </is>
      </c>
      <c r="X12" s="86">
        <f>SUM(X11:X11)</f>
        <v/>
      </c>
      <c r="Y12" s="86">
        <f>SUM(Y11:Y11)</f>
        <v/>
      </c>
      <c r="Z12" s="86" t="inlineStr">
        <is>
          <t>–</t>
        </is>
      </c>
      <c r="AA12" s="86">
        <f>SUM(AA11:AA11)</f>
        <v/>
      </c>
      <c r="AB12" s="86">
        <f>SUM(AB11:AB11)</f>
        <v/>
      </c>
      <c r="AC12" s="86" t="inlineStr">
        <is>
          <t>–</t>
        </is>
      </c>
      <c r="AD12" s="86">
        <f>SUM(AD11:AD11)</f>
        <v/>
      </c>
      <c r="AE12" s="86">
        <f>SUM(AE11:AE11)</f>
        <v/>
      </c>
      <c r="AF12" s="86" t="inlineStr">
        <is>
          <t>–</t>
        </is>
      </c>
      <c r="AG12" s="90" t="inlineStr">
        <is>
          <t>–</t>
        </is>
      </c>
      <c r="AH12" s="86" t="inlineStr">
        <is>
          <t>–</t>
        </is>
      </c>
      <c r="AI12" s="91">
        <f>IF(AE12&lt;=0,"SETTLED","OUTSTANDING")</f>
        <v/>
      </c>
    </row>
    <row r="13" ht="15" customHeight="1" s="77">
      <c r="A13" s="67" t="n">
        <v>1</v>
      </c>
      <c r="B13" s="68">
        <f>IF('Final Calculation Sheet'!$F$38="","",'Final Calculation Sheet'!$F$38)</f>
        <v/>
      </c>
      <c r="C13" s="68">
        <f>IF('Final Calculation Sheet'!$G$38="","",'Final Calculation Sheet'!$G$38)</f>
        <v/>
      </c>
      <c r="D13" s="69">
        <f>IF('Final Calculation Sheet'!$B$38="","",'Final Calculation Sheet'!$B$38)</f>
        <v/>
      </c>
      <c r="E13" s="69">
        <f>IF('Final Calculation Sheet'!$D$38="","",'Final Calculation Sheet'!$D$38)</f>
        <v/>
      </c>
      <c r="F13" s="69">
        <f>IF('Final Calculation Sheet'!$A$38="","",'Final Calculation Sheet'!$A$38)</f>
        <v/>
      </c>
      <c r="G13" s="69">
        <f>IF('Final Calculation Sheet'!$E$38="","",'Final Calculation Sheet'!$E$38)</f>
        <v/>
      </c>
      <c r="H13" s="70">
        <f>IF('Final Calculation Sheet'!$C$38="","",'Final Calculation Sheet'!$C$38)</f>
        <v/>
      </c>
      <c r="I13" s="70">
        <f>IF('Final Calculation Sheet'!$H$38="","",'Final Calculation Sheet'!$H$38)</f>
        <v/>
      </c>
      <c r="J13" s="70">
        <f>IF('Final Calculation Sheet'!$I$38="","",'Final Calculation Sheet'!$I$38)</f>
        <v/>
      </c>
      <c r="K13" s="70">
        <f>IF('Final Calculation Sheet'!$J$38="","",'Final Calculation Sheet'!$J$38)</f>
        <v/>
      </c>
      <c r="L13" s="70">
        <f>IF('Final Calculation Sheet'!$K$38="","",'Final Calculation Sheet'!$K$38)</f>
        <v/>
      </c>
      <c r="M13" s="70">
        <f>IF('Final Calculation Sheet'!$L$38="","",'Final Calculation Sheet'!$L$38)</f>
        <v/>
      </c>
      <c r="N13" s="70">
        <f>IF('Final Calculation Sheet'!$M$38="","",'Final Calculation Sheet'!$M$38)</f>
        <v/>
      </c>
      <c r="O13" s="71">
        <f>IF('Final Calculation Sheet'!$N$38="","",'Final Calculation Sheet'!$N$38)</f>
        <v/>
      </c>
      <c r="P13" s="70">
        <f>IF('Final Calculation Sheet'!$O$38="","",'Final Calculation Sheet'!$O$38)</f>
        <v/>
      </c>
      <c r="Q13" s="70">
        <f>IF('Final Calculation Sheet'!$P$38="","",'Final Calculation Sheet'!$P$38)</f>
        <v/>
      </c>
      <c r="R13" s="72">
        <f>IF('Final Calculation Sheet'!$Q$38="","",'Final Calculation Sheet'!$Q$38)</f>
        <v/>
      </c>
      <c r="S13" s="70">
        <f>IF('Final Calculation Sheet'!$R$38="","",'Final Calculation Sheet'!$R$38)</f>
        <v/>
      </c>
      <c r="T13" s="70">
        <f>IF('Final Calculation Sheet'!$S$38="","",'Final Calculation Sheet'!$S$38)</f>
        <v/>
      </c>
      <c r="U13" s="70">
        <f>IF('Final Calculation Sheet'!$T$38="","",'Final Calculation Sheet'!$T$38)</f>
        <v/>
      </c>
      <c r="V13" s="73">
        <f>IF('Final Calculation Sheet'!$U$38="","",'Final Calculation Sheet'!$U$38)</f>
        <v/>
      </c>
      <c r="W13" s="70">
        <f>IF('Final Calculation Sheet'!$V$38="","",'Final Calculation Sheet'!$V$38)</f>
        <v/>
      </c>
      <c r="X13" s="70">
        <f>IF('Final Calculation Sheet'!$W$38="","",'Final Calculation Sheet'!$W$38)</f>
        <v/>
      </c>
      <c r="Y13" s="70">
        <f>IF('Final Calculation Sheet'!$X$38="","",'Final Calculation Sheet'!$X$38)</f>
        <v/>
      </c>
      <c r="Z13" s="70">
        <f>IF('Final Calculation Sheet'!$Y$38="","",'Final Calculation Sheet'!$Y$38)</f>
        <v/>
      </c>
      <c r="AA13" s="70">
        <f>IF('Final Calculation Sheet'!$Z$38="","",'Final Calculation Sheet'!$Z$38)</f>
        <v/>
      </c>
      <c r="AB13" s="70">
        <f>IF('Final Calculation Sheet'!$AA$38="","",'Final Calculation Sheet'!$AA$38)</f>
        <v/>
      </c>
      <c r="AC13" s="70">
        <f>IF('Final Calculation Sheet'!$AB$38="","",'Final Calculation Sheet'!$AB$38)</f>
        <v/>
      </c>
      <c r="AD13" s="70">
        <f>IF('Final Calculation Sheet'!$AC$38="","",'Final Calculation Sheet'!$AC$38)</f>
        <v/>
      </c>
      <c r="AE13" s="70">
        <f>IF('Final Calculation Sheet'!$AD$38="","",'Final Calculation Sheet'!$AD$38)</f>
        <v/>
      </c>
      <c r="AF13" s="70">
        <f>IF('Final Calculation Sheet'!$AE$38="","",'Final Calculation Sheet'!$AE$38)</f>
        <v/>
      </c>
      <c r="AG13" s="74">
        <f>IF('Final Calculation Sheet'!$AF$38="","",'Final Calculation Sheet'!$AF$38)</f>
        <v/>
      </c>
      <c r="AH13" s="70">
        <f>IF('Final Calculation Sheet'!$AG$38="","",'Final Calculation Sheet'!$AG$38)</f>
        <v/>
      </c>
      <c r="AI13" s="75">
        <f>IF('Final Calculation Sheet'!$AD$38="","",IF('Final Calculation Sheet'!$AD$38&lt;=0,"SETTLED","OUTSTANDING"))</f>
        <v/>
      </c>
    </row>
    <row r="14" ht="15" customHeight="1" s="77">
      <c r="A14" s="84" t="inlineStr">
        <is>
          <t>∑</t>
        </is>
      </c>
      <c r="B14" s="85" t="n"/>
      <c r="C14" s="85">
        <f>ROWS($C$13:$C$13)&amp;" lot(s)"</f>
        <v/>
      </c>
      <c r="D14" s="85" t="inlineStr">
        <is>
          <t>SUBTOTAL — KASHYAP TRADING CO</t>
        </is>
      </c>
      <c r="E14" s="85" t="inlineStr">
        <is>
          <t>–</t>
        </is>
      </c>
      <c r="F14" s="85">
        <f>SUM(F13:F13)</f>
        <v/>
      </c>
      <c r="G14" s="85" t="inlineStr">
        <is>
          <t>–</t>
        </is>
      </c>
      <c r="H14" s="86" t="inlineStr">
        <is>
          <t>–</t>
        </is>
      </c>
      <c r="I14" s="86">
        <f>SUM(I13:I13)</f>
        <v/>
      </c>
      <c r="J14" s="86">
        <f>SUM(J13:J13)</f>
        <v/>
      </c>
      <c r="K14" s="86">
        <f>SUM(K13:K13)</f>
        <v/>
      </c>
      <c r="L14" s="86">
        <f>SUM(L13:L13)</f>
        <v/>
      </c>
      <c r="M14" s="86">
        <f>SUM(M13:M13)</f>
        <v/>
      </c>
      <c r="N14" s="86">
        <f>SUM(N13:N13)</f>
        <v/>
      </c>
      <c r="O14" s="87">
        <f>SUM(O13:O13)</f>
        <v/>
      </c>
      <c r="P14" s="86">
        <f>SUM(P13:P13)</f>
        <v/>
      </c>
      <c r="Q14" s="86">
        <f>SUM(Q13:Q13)</f>
        <v/>
      </c>
      <c r="R14" s="88" t="inlineStr">
        <is>
          <t>–</t>
        </is>
      </c>
      <c r="S14" s="86">
        <f>SUM(S13:S13)</f>
        <v/>
      </c>
      <c r="T14" s="86">
        <f>SUM(T13:T13)</f>
        <v/>
      </c>
      <c r="U14" s="86">
        <f>SUM(U13:U13)</f>
        <v/>
      </c>
      <c r="V14" s="89">
        <f>SUM(V13:V13)</f>
        <v/>
      </c>
      <c r="W14" s="86" t="inlineStr">
        <is>
          <t>–</t>
        </is>
      </c>
      <c r="X14" s="86">
        <f>SUM(X13:X13)</f>
        <v/>
      </c>
      <c r="Y14" s="86">
        <f>SUM(Y13:Y13)</f>
        <v/>
      </c>
      <c r="Z14" s="86" t="inlineStr">
        <is>
          <t>–</t>
        </is>
      </c>
      <c r="AA14" s="86">
        <f>SUM(AA13:AA13)</f>
        <v/>
      </c>
      <c r="AB14" s="86">
        <f>SUM(AB13:AB13)</f>
        <v/>
      </c>
      <c r="AC14" s="86" t="inlineStr">
        <is>
          <t>–</t>
        </is>
      </c>
      <c r="AD14" s="86">
        <f>SUM(AD13:AD13)</f>
        <v/>
      </c>
      <c r="AE14" s="86">
        <f>SUM(AE13:AE13)</f>
        <v/>
      </c>
      <c r="AF14" s="86" t="inlineStr">
        <is>
          <t>–</t>
        </is>
      </c>
      <c r="AG14" s="90" t="inlineStr">
        <is>
          <t>–</t>
        </is>
      </c>
      <c r="AH14" s="86" t="inlineStr">
        <is>
          <t>–</t>
        </is>
      </c>
      <c r="AI14" s="91">
        <f>IF(AE14&lt;=0,"SETTLED","OUTSTANDING")</f>
        <v/>
      </c>
    </row>
    <row r="15" ht="15" customHeight="1" s="77">
      <c r="A15" s="67" t="n">
        <v>1</v>
      </c>
      <c r="B15" s="68">
        <f>IF('Final Calculation Sheet'!$F$27="","",'Final Calculation Sheet'!$F$27)</f>
        <v/>
      </c>
      <c r="C15" s="68">
        <f>IF('Final Calculation Sheet'!$G$27="","",'Final Calculation Sheet'!$G$27)</f>
        <v/>
      </c>
      <c r="D15" s="69">
        <f>IF('Final Calculation Sheet'!$B$27="","",'Final Calculation Sheet'!$B$27)</f>
        <v/>
      </c>
      <c r="E15" s="69">
        <f>IF('Final Calculation Sheet'!$D$27="","",'Final Calculation Sheet'!$D$27)</f>
        <v/>
      </c>
      <c r="F15" s="69">
        <f>IF('Final Calculation Sheet'!$A$27="","",'Final Calculation Sheet'!$A$27)</f>
        <v/>
      </c>
      <c r="G15" s="69">
        <f>IF('Final Calculation Sheet'!$E$27="","",'Final Calculation Sheet'!$E$27)</f>
        <v/>
      </c>
      <c r="H15" s="70">
        <f>IF('Final Calculation Sheet'!$C$27="","",'Final Calculation Sheet'!$C$27)</f>
        <v/>
      </c>
      <c r="I15" s="70">
        <f>IF('Final Calculation Sheet'!$H$27="","",'Final Calculation Sheet'!$H$27)</f>
        <v/>
      </c>
      <c r="J15" s="70">
        <f>IF('Final Calculation Sheet'!$I$27="","",'Final Calculation Sheet'!$I$27)</f>
        <v/>
      </c>
      <c r="K15" s="70">
        <f>IF('Final Calculation Sheet'!$J$27="","",'Final Calculation Sheet'!$J$27)</f>
        <v/>
      </c>
      <c r="L15" s="70">
        <f>IF('Final Calculation Sheet'!$K$27="","",'Final Calculation Sheet'!$K$27)</f>
        <v/>
      </c>
      <c r="M15" s="70">
        <f>IF('Final Calculation Sheet'!$L$27="","",'Final Calculation Sheet'!$L$27)</f>
        <v/>
      </c>
      <c r="N15" s="70">
        <f>IF('Final Calculation Sheet'!$M$27="","",'Final Calculation Sheet'!$M$27)</f>
        <v/>
      </c>
      <c r="O15" s="71">
        <f>IF('Final Calculation Sheet'!$N$27="","",'Final Calculation Sheet'!$N$27)</f>
        <v/>
      </c>
      <c r="P15" s="70">
        <f>IF('Final Calculation Sheet'!$O$27="","",'Final Calculation Sheet'!$O$27)</f>
        <v/>
      </c>
      <c r="Q15" s="70">
        <f>IF('Final Calculation Sheet'!$P$27="","",'Final Calculation Sheet'!$P$27)</f>
        <v/>
      </c>
      <c r="R15" s="72">
        <f>IF('Final Calculation Sheet'!$Q$27="","",'Final Calculation Sheet'!$Q$27)</f>
        <v/>
      </c>
      <c r="S15" s="70">
        <f>IF('Final Calculation Sheet'!$R$27="","",'Final Calculation Sheet'!$R$27)</f>
        <v/>
      </c>
      <c r="T15" s="70">
        <f>IF('Final Calculation Sheet'!$S$27="","",'Final Calculation Sheet'!$S$27)</f>
        <v/>
      </c>
      <c r="U15" s="70">
        <f>IF('Final Calculation Sheet'!$T$27="","",'Final Calculation Sheet'!$T$27)</f>
        <v/>
      </c>
      <c r="V15" s="73">
        <f>IF('Final Calculation Sheet'!$U$27="","",'Final Calculation Sheet'!$U$27)</f>
        <v/>
      </c>
      <c r="W15" s="70">
        <f>IF('Final Calculation Sheet'!$V$27="","",'Final Calculation Sheet'!$V$27)</f>
        <v/>
      </c>
      <c r="X15" s="70">
        <f>IF('Final Calculation Sheet'!$W$27="","",'Final Calculation Sheet'!$W$27)</f>
        <v/>
      </c>
      <c r="Y15" s="70">
        <f>IF('Final Calculation Sheet'!$X$27="","",'Final Calculation Sheet'!$X$27)</f>
        <v/>
      </c>
      <c r="Z15" s="70">
        <f>IF('Final Calculation Sheet'!$Y$27="","",'Final Calculation Sheet'!$Y$27)</f>
        <v/>
      </c>
      <c r="AA15" s="70">
        <f>IF('Final Calculation Sheet'!$Z$27="","",'Final Calculation Sheet'!$Z$27)</f>
        <v/>
      </c>
      <c r="AB15" s="70">
        <f>IF('Final Calculation Sheet'!$AA$27="","",'Final Calculation Sheet'!$AA$27)</f>
        <v/>
      </c>
      <c r="AC15" s="70">
        <f>IF('Final Calculation Sheet'!$AB$27="","",'Final Calculation Sheet'!$AB$27)</f>
        <v/>
      </c>
      <c r="AD15" s="70">
        <f>IF('Final Calculation Sheet'!$AC$27="","",'Final Calculation Sheet'!$AC$27)</f>
        <v/>
      </c>
      <c r="AE15" s="70">
        <f>IF('Final Calculation Sheet'!$AD$27="","",'Final Calculation Sheet'!$AD$27)</f>
        <v/>
      </c>
      <c r="AF15" s="70">
        <f>IF('Final Calculation Sheet'!$AE$27="","",'Final Calculation Sheet'!$AE$27)</f>
        <v/>
      </c>
      <c r="AG15" s="74">
        <f>IF('Final Calculation Sheet'!$AF$27="","",'Final Calculation Sheet'!$AF$27)</f>
        <v/>
      </c>
      <c r="AH15" s="70">
        <f>IF('Final Calculation Sheet'!$AG$27="","",'Final Calculation Sheet'!$AG$27)</f>
        <v/>
      </c>
      <c r="AI15" s="75">
        <f>IF('Final Calculation Sheet'!$AD$27="","",IF('Final Calculation Sheet'!$AD$27&lt;=0,"SETTLED","OUTSTANDING"))</f>
        <v/>
      </c>
    </row>
    <row r="16" ht="15" customHeight="1" s="77">
      <c r="A16" s="84" t="inlineStr">
        <is>
          <t>∑</t>
        </is>
      </c>
      <c r="B16" s="85" t="n"/>
      <c r="C16" s="85">
        <f>ROWS($C$15:$C$15)&amp;" lot(s)"</f>
        <v/>
      </c>
      <c r="D16" s="85" t="inlineStr">
        <is>
          <t>SUBTOTAL — M I SCRAP TRADERS</t>
        </is>
      </c>
      <c r="E16" s="85" t="inlineStr">
        <is>
          <t>–</t>
        </is>
      </c>
      <c r="F16" s="85">
        <f>SUM(F15:F15)</f>
        <v/>
      </c>
      <c r="G16" s="85" t="inlineStr">
        <is>
          <t>–</t>
        </is>
      </c>
      <c r="H16" s="86" t="inlineStr">
        <is>
          <t>–</t>
        </is>
      </c>
      <c r="I16" s="86">
        <f>SUM(I15:I15)</f>
        <v/>
      </c>
      <c r="J16" s="86">
        <f>SUM(J15:J15)</f>
        <v/>
      </c>
      <c r="K16" s="86">
        <f>SUM(K15:K15)</f>
        <v/>
      </c>
      <c r="L16" s="86">
        <f>SUM(L15:L15)</f>
        <v/>
      </c>
      <c r="M16" s="86">
        <f>SUM(M15:M15)</f>
        <v/>
      </c>
      <c r="N16" s="86">
        <f>SUM(N15:N15)</f>
        <v/>
      </c>
      <c r="O16" s="87">
        <f>SUM(O15:O15)</f>
        <v/>
      </c>
      <c r="P16" s="86">
        <f>SUM(P15:P15)</f>
        <v/>
      </c>
      <c r="Q16" s="86">
        <f>SUM(Q15:Q15)</f>
        <v/>
      </c>
      <c r="R16" s="88" t="inlineStr">
        <is>
          <t>–</t>
        </is>
      </c>
      <c r="S16" s="86">
        <f>SUM(S15:S15)</f>
        <v/>
      </c>
      <c r="T16" s="86">
        <f>SUM(T15:T15)</f>
        <v/>
      </c>
      <c r="U16" s="86">
        <f>SUM(U15:U15)</f>
        <v/>
      </c>
      <c r="V16" s="89">
        <f>SUM(V15:V15)</f>
        <v/>
      </c>
      <c r="W16" s="86" t="inlineStr">
        <is>
          <t>–</t>
        </is>
      </c>
      <c r="X16" s="86">
        <f>SUM(X15:X15)</f>
        <v/>
      </c>
      <c r="Y16" s="86">
        <f>SUM(Y15:Y15)</f>
        <v/>
      </c>
      <c r="Z16" s="86" t="inlineStr">
        <is>
          <t>–</t>
        </is>
      </c>
      <c r="AA16" s="86">
        <f>SUM(AA15:AA15)</f>
        <v/>
      </c>
      <c r="AB16" s="86">
        <f>SUM(AB15:AB15)</f>
        <v/>
      </c>
      <c r="AC16" s="86" t="inlineStr">
        <is>
          <t>–</t>
        </is>
      </c>
      <c r="AD16" s="86">
        <f>SUM(AD15:AD15)</f>
        <v/>
      </c>
      <c r="AE16" s="86">
        <f>SUM(AE15:AE15)</f>
        <v/>
      </c>
      <c r="AF16" s="86" t="inlineStr">
        <is>
          <t>–</t>
        </is>
      </c>
      <c r="AG16" s="90" t="inlineStr">
        <is>
          <t>–</t>
        </is>
      </c>
      <c r="AH16" s="86" t="inlineStr">
        <is>
          <t>–</t>
        </is>
      </c>
      <c r="AI16" s="91">
        <f>IF(AE16&lt;=0,"SETTLED","OUTSTANDING")</f>
        <v/>
      </c>
    </row>
    <row r="17" ht="15" customHeight="1" s="77">
      <c r="A17" s="67" t="n">
        <v>1</v>
      </c>
      <c r="B17" s="68">
        <f>IF('Final Calculation Sheet'!$F$5="","",'Final Calculation Sheet'!$F$5)</f>
        <v/>
      </c>
      <c r="C17" s="68">
        <f>IF('Final Calculation Sheet'!$G$5="","",'Final Calculation Sheet'!$G$5)</f>
        <v/>
      </c>
      <c r="D17" s="69">
        <f>IF('Final Calculation Sheet'!$B$5="","",'Final Calculation Sheet'!$B$5)</f>
        <v/>
      </c>
      <c r="E17" s="69">
        <f>IF('Final Calculation Sheet'!$D$5="","",'Final Calculation Sheet'!$D$5)</f>
        <v/>
      </c>
      <c r="F17" s="69">
        <f>IF('Final Calculation Sheet'!$A$5="","",'Final Calculation Sheet'!$A$5)</f>
        <v/>
      </c>
      <c r="G17" s="69">
        <f>IF('Final Calculation Sheet'!$E$5="","",'Final Calculation Sheet'!$E$5)</f>
        <v/>
      </c>
      <c r="H17" s="70">
        <f>IF('Final Calculation Sheet'!$C$5="","",'Final Calculation Sheet'!$C$5)</f>
        <v/>
      </c>
      <c r="I17" s="70">
        <f>IF('Final Calculation Sheet'!$H$5="","",'Final Calculation Sheet'!$H$5)</f>
        <v/>
      </c>
      <c r="J17" s="70">
        <f>IF('Final Calculation Sheet'!$I$5="","",'Final Calculation Sheet'!$I$5)</f>
        <v/>
      </c>
      <c r="K17" s="70">
        <f>IF('Final Calculation Sheet'!$J$5="","",'Final Calculation Sheet'!$J$5)</f>
        <v/>
      </c>
      <c r="L17" s="70">
        <f>IF('Final Calculation Sheet'!$K$5="","",'Final Calculation Sheet'!$K$5)</f>
        <v/>
      </c>
      <c r="M17" s="70">
        <f>IF('Final Calculation Sheet'!$L$5="","",'Final Calculation Sheet'!$L$5)</f>
        <v/>
      </c>
      <c r="N17" s="70">
        <f>IF('Final Calculation Sheet'!$M$5="","",'Final Calculation Sheet'!$M$5)</f>
        <v/>
      </c>
      <c r="O17" s="71">
        <f>IF('Final Calculation Sheet'!$N$5="","",'Final Calculation Sheet'!$N$5)</f>
        <v/>
      </c>
      <c r="P17" s="70">
        <f>IF('Final Calculation Sheet'!$O$5="","",'Final Calculation Sheet'!$O$5)</f>
        <v/>
      </c>
      <c r="Q17" s="70">
        <f>IF('Final Calculation Sheet'!$P$5="","",'Final Calculation Sheet'!$P$5)</f>
        <v/>
      </c>
      <c r="R17" s="72">
        <f>IF('Final Calculation Sheet'!$Q$5="","",'Final Calculation Sheet'!$Q$5)</f>
        <v/>
      </c>
      <c r="S17" s="70">
        <f>IF('Final Calculation Sheet'!$R$5="","",'Final Calculation Sheet'!$R$5)</f>
        <v/>
      </c>
      <c r="T17" s="70">
        <f>IF('Final Calculation Sheet'!$S$5="","",'Final Calculation Sheet'!$S$5)</f>
        <v/>
      </c>
      <c r="U17" s="70">
        <f>IF('Final Calculation Sheet'!$T$5="","",'Final Calculation Sheet'!$T$5)</f>
        <v/>
      </c>
      <c r="V17" s="73">
        <f>IF('Final Calculation Sheet'!$U$5="","",'Final Calculation Sheet'!$U$5)</f>
        <v/>
      </c>
      <c r="W17" s="70">
        <f>IF('Final Calculation Sheet'!$V$5="","",'Final Calculation Sheet'!$V$5)</f>
        <v/>
      </c>
      <c r="X17" s="70">
        <f>IF('Final Calculation Sheet'!$W$5="","",'Final Calculation Sheet'!$W$5)</f>
        <v/>
      </c>
      <c r="Y17" s="70">
        <f>IF('Final Calculation Sheet'!$X$5="","",'Final Calculation Sheet'!$X$5)</f>
        <v/>
      </c>
      <c r="Z17" s="70">
        <f>IF('Final Calculation Sheet'!$Y$5="","",'Final Calculation Sheet'!$Y$5)</f>
        <v/>
      </c>
      <c r="AA17" s="70">
        <f>IF('Final Calculation Sheet'!$Z$5="","",'Final Calculation Sheet'!$Z$5)</f>
        <v/>
      </c>
      <c r="AB17" s="70">
        <f>IF('Final Calculation Sheet'!$AA$5="","",'Final Calculation Sheet'!$AA$5)</f>
        <v/>
      </c>
      <c r="AC17" s="70">
        <f>IF('Final Calculation Sheet'!$AB$5="","",'Final Calculation Sheet'!$AB$5)</f>
        <v/>
      </c>
      <c r="AD17" s="70">
        <f>IF('Final Calculation Sheet'!$AC$5="","",'Final Calculation Sheet'!$AC$5)</f>
        <v/>
      </c>
      <c r="AE17" s="70">
        <f>IF('Final Calculation Sheet'!$AD$5="","",'Final Calculation Sheet'!$AD$5)</f>
        <v/>
      </c>
      <c r="AF17" s="70">
        <f>IF('Final Calculation Sheet'!$AE$5="","",'Final Calculation Sheet'!$AE$5)</f>
        <v/>
      </c>
      <c r="AG17" s="74">
        <f>IF('Final Calculation Sheet'!$AF$5="","",'Final Calculation Sheet'!$AF$5)</f>
        <v/>
      </c>
      <c r="AH17" s="70">
        <f>IF('Final Calculation Sheet'!$AG$5="","",'Final Calculation Sheet'!$AG$5)</f>
        <v/>
      </c>
      <c r="AI17" s="75">
        <f>IF('Final Calculation Sheet'!$AD$5="","",IF('Final Calculation Sheet'!$AD$5&lt;=0,"SETTLED","OUTSTANDING"))</f>
        <v/>
      </c>
    </row>
    <row r="18" ht="15" customHeight="1" s="77">
      <c r="A18" s="67" t="n">
        <v>2</v>
      </c>
      <c r="B18" s="68">
        <f>IF('Final Calculation Sheet'!$F$10="","",'Final Calculation Sheet'!$F$10)</f>
        <v/>
      </c>
      <c r="C18" s="68">
        <f>IF('Final Calculation Sheet'!$G$10="","",'Final Calculation Sheet'!$G$10)</f>
        <v/>
      </c>
      <c r="D18" s="69">
        <f>IF('Final Calculation Sheet'!$B$10="","",'Final Calculation Sheet'!$B$10)</f>
        <v/>
      </c>
      <c r="E18" s="69">
        <f>IF('Final Calculation Sheet'!$D$10="","",'Final Calculation Sheet'!$D$10)</f>
        <v/>
      </c>
      <c r="F18" s="69">
        <f>IF('Final Calculation Sheet'!$A$10="","",'Final Calculation Sheet'!$A$10)</f>
        <v/>
      </c>
      <c r="G18" s="69">
        <f>IF('Final Calculation Sheet'!$E$10="","",'Final Calculation Sheet'!$E$10)</f>
        <v/>
      </c>
      <c r="H18" s="70">
        <f>IF('Final Calculation Sheet'!$C$10="","",'Final Calculation Sheet'!$C$10)</f>
        <v/>
      </c>
      <c r="I18" s="70">
        <f>IF('Final Calculation Sheet'!$H$10="","",'Final Calculation Sheet'!$H$10)</f>
        <v/>
      </c>
      <c r="J18" s="70">
        <f>IF('Final Calculation Sheet'!$I$10="","",'Final Calculation Sheet'!$I$10)</f>
        <v/>
      </c>
      <c r="K18" s="70">
        <f>IF('Final Calculation Sheet'!$J$10="","",'Final Calculation Sheet'!$J$10)</f>
        <v/>
      </c>
      <c r="L18" s="70">
        <f>IF('Final Calculation Sheet'!$K$10="","",'Final Calculation Sheet'!$K$10)</f>
        <v/>
      </c>
      <c r="M18" s="70">
        <f>IF('Final Calculation Sheet'!$L$10="","",'Final Calculation Sheet'!$L$10)</f>
        <v/>
      </c>
      <c r="N18" s="70">
        <f>IF('Final Calculation Sheet'!$M$10="","",'Final Calculation Sheet'!$M$10)</f>
        <v/>
      </c>
      <c r="O18" s="71">
        <f>IF('Final Calculation Sheet'!$N$10="","",'Final Calculation Sheet'!$N$10)</f>
        <v/>
      </c>
      <c r="P18" s="70">
        <f>IF('Final Calculation Sheet'!$O$10="","",'Final Calculation Sheet'!$O$10)</f>
        <v/>
      </c>
      <c r="Q18" s="70">
        <f>IF('Final Calculation Sheet'!$P$10="","",'Final Calculation Sheet'!$P$10)</f>
        <v/>
      </c>
      <c r="R18" s="72">
        <f>IF('Final Calculation Sheet'!$Q$10="","",'Final Calculation Sheet'!$Q$10)</f>
        <v/>
      </c>
      <c r="S18" s="70">
        <f>IF('Final Calculation Sheet'!$R$10="","",'Final Calculation Sheet'!$R$10)</f>
        <v/>
      </c>
      <c r="T18" s="70">
        <f>IF('Final Calculation Sheet'!$S$10="","",'Final Calculation Sheet'!$S$10)</f>
        <v/>
      </c>
      <c r="U18" s="70">
        <f>IF('Final Calculation Sheet'!$T$10="","",'Final Calculation Sheet'!$T$10)</f>
        <v/>
      </c>
      <c r="V18" s="73">
        <f>IF('Final Calculation Sheet'!$U$10="","",'Final Calculation Sheet'!$U$10)</f>
        <v/>
      </c>
      <c r="W18" s="70">
        <f>IF('Final Calculation Sheet'!$V$10="","",'Final Calculation Sheet'!$V$10)</f>
        <v/>
      </c>
      <c r="X18" s="70">
        <f>IF('Final Calculation Sheet'!$W$10="","",'Final Calculation Sheet'!$W$10)</f>
        <v/>
      </c>
      <c r="Y18" s="70">
        <f>IF('Final Calculation Sheet'!$X$10="","",'Final Calculation Sheet'!$X$10)</f>
        <v/>
      </c>
      <c r="Z18" s="70">
        <f>IF('Final Calculation Sheet'!$Y$10="","",'Final Calculation Sheet'!$Y$10)</f>
        <v/>
      </c>
      <c r="AA18" s="70">
        <f>IF('Final Calculation Sheet'!$Z$10="","",'Final Calculation Sheet'!$Z$10)</f>
        <v/>
      </c>
      <c r="AB18" s="70">
        <f>IF('Final Calculation Sheet'!$AA$10="","",'Final Calculation Sheet'!$AA$10)</f>
        <v/>
      </c>
      <c r="AC18" s="70">
        <f>IF('Final Calculation Sheet'!$AB$10="","",'Final Calculation Sheet'!$AB$10)</f>
        <v/>
      </c>
      <c r="AD18" s="70">
        <f>IF('Final Calculation Sheet'!$AC$10="","",'Final Calculation Sheet'!$AC$10)</f>
        <v/>
      </c>
      <c r="AE18" s="70">
        <f>IF('Final Calculation Sheet'!$AD$10="","",'Final Calculation Sheet'!$AD$10)</f>
        <v/>
      </c>
      <c r="AF18" s="70">
        <f>IF('Final Calculation Sheet'!$AE$10="","",'Final Calculation Sheet'!$AE$10)</f>
        <v/>
      </c>
      <c r="AG18" s="74">
        <f>IF('Final Calculation Sheet'!$AF$10="","",'Final Calculation Sheet'!$AF$10)</f>
        <v/>
      </c>
      <c r="AH18" s="70">
        <f>IF('Final Calculation Sheet'!$AG$10="","",'Final Calculation Sheet'!$AG$10)</f>
        <v/>
      </c>
      <c r="AI18" s="75">
        <f>IF('Final Calculation Sheet'!$AD$10="","",IF('Final Calculation Sheet'!$AD$10&lt;=0,"SETTLED","OUTSTANDING"))</f>
        <v/>
      </c>
    </row>
    <row r="19" ht="15" customHeight="1" s="77">
      <c r="A19" s="67" t="n">
        <v>3</v>
      </c>
      <c r="B19" s="68">
        <f>IF('Final Calculation Sheet'!$F$11="","",'Final Calculation Sheet'!$F$11)</f>
        <v/>
      </c>
      <c r="C19" s="68">
        <f>IF('Final Calculation Sheet'!$G$11="","",'Final Calculation Sheet'!$G$11)</f>
        <v/>
      </c>
      <c r="D19" s="69">
        <f>IF('Final Calculation Sheet'!$B$11="","",'Final Calculation Sheet'!$B$11)</f>
        <v/>
      </c>
      <c r="E19" s="69">
        <f>IF('Final Calculation Sheet'!$D$11="","",'Final Calculation Sheet'!$D$11)</f>
        <v/>
      </c>
      <c r="F19" s="69">
        <f>IF('Final Calculation Sheet'!$A$11="","",'Final Calculation Sheet'!$A$11)</f>
        <v/>
      </c>
      <c r="G19" s="69">
        <f>IF('Final Calculation Sheet'!$E$11="","",'Final Calculation Sheet'!$E$11)</f>
        <v/>
      </c>
      <c r="H19" s="70">
        <f>IF('Final Calculation Sheet'!$C$11="","",'Final Calculation Sheet'!$C$11)</f>
        <v/>
      </c>
      <c r="I19" s="70">
        <f>IF('Final Calculation Sheet'!$H$11="","",'Final Calculation Sheet'!$H$11)</f>
        <v/>
      </c>
      <c r="J19" s="70">
        <f>IF('Final Calculation Sheet'!$I$11="","",'Final Calculation Sheet'!$I$11)</f>
        <v/>
      </c>
      <c r="K19" s="70">
        <f>IF('Final Calculation Sheet'!$J$11="","",'Final Calculation Sheet'!$J$11)</f>
        <v/>
      </c>
      <c r="L19" s="70">
        <f>IF('Final Calculation Sheet'!$K$11="","",'Final Calculation Sheet'!$K$11)</f>
        <v/>
      </c>
      <c r="M19" s="70">
        <f>IF('Final Calculation Sheet'!$L$11="","",'Final Calculation Sheet'!$L$11)</f>
        <v/>
      </c>
      <c r="N19" s="70">
        <f>IF('Final Calculation Sheet'!$M$11="","",'Final Calculation Sheet'!$M$11)</f>
        <v/>
      </c>
      <c r="O19" s="71">
        <f>IF('Final Calculation Sheet'!$N$11="","",'Final Calculation Sheet'!$N$11)</f>
        <v/>
      </c>
      <c r="P19" s="70">
        <f>IF('Final Calculation Sheet'!$O$11="","",'Final Calculation Sheet'!$O$11)</f>
        <v/>
      </c>
      <c r="Q19" s="70">
        <f>IF('Final Calculation Sheet'!$P$11="","",'Final Calculation Sheet'!$P$11)</f>
        <v/>
      </c>
      <c r="R19" s="72">
        <f>IF('Final Calculation Sheet'!$Q$11="","",'Final Calculation Sheet'!$Q$11)</f>
        <v/>
      </c>
      <c r="S19" s="70">
        <f>IF('Final Calculation Sheet'!$R$11="","",'Final Calculation Sheet'!$R$11)</f>
        <v/>
      </c>
      <c r="T19" s="70">
        <f>IF('Final Calculation Sheet'!$S$11="","",'Final Calculation Sheet'!$S$11)</f>
        <v/>
      </c>
      <c r="U19" s="70">
        <f>IF('Final Calculation Sheet'!$T$11="","",'Final Calculation Sheet'!$T$11)</f>
        <v/>
      </c>
      <c r="V19" s="73">
        <f>IF('Final Calculation Sheet'!$U$11="","",'Final Calculation Sheet'!$U$11)</f>
        <v/>
      </c>
      <c r="W19" s="70">
        <f>IF('Final Calculation Sheet'!$V$11="","",'Final Calculation Sheet'!$V$11)</f>
        <v/>
      </c>
      <c r="X19" s="70">
        <f>IF('Final Calculation Sheet'!$W$11="","",'Final Calculation Sheet'!$W$11)</f>
        <v/>
      </c>
      <c r="Y19" s="70">
        <f>IF('Final Calculation Sheet'!$X$11="","",'Final Calculation Sheet'!$X$11)</f>
        <v/>
      </c>
      <c r="Z19" s="70">
        <f>IF('Final Calculation Sheet'!$Y$11="","",'Final Calculation Sheet'!$Y$11)</f>
        <v/>
      </c>
      <c r="AA19" s="70">
        <f>IF('Final Calculation Sheet'!$Z$11="","",'Final Calculation Sheet'!$Z$11)</f>
        <v/>
      </c>
      <c r="AB19" s="70">
        <f>IF('Final Calculation Sheet'!$AA$11="","",'Final Calculation Sheet'!$AA$11)</f>
        <v/>
      </c>
      <c r="AC19" s="70">
        <f>IF('Final Calculation Sheet'!$AB$11="","",'Final Calculation Sheet'!$AB$11)</f>
        <v/>
      </c>
      <c r="AD19" s="70">
        <f>IF('Final Calculation Sheet'!$AC$11="","",'Final Calculation Sheet'!$AC$11)</f>
        <v/>
      </c>
      <c r="AE19" s="70">
        <f>IF('Final Calculation Sheet'!$AD$11="","",'Final Calculation Sheet'!$AD$11)</f>
        <v/>
      </c>
      <c r="AF19" s="70">
        <f>IF('Final Calculation Sheet'!$AE$11="","",'Final Calculation Sheet'!$AE$11)</f>
        <v/>
      </c>
      <c r="AG19" s="74">
        <f>IF('Final Calculation Sheet'!$AF$11="","",'Final Calculation Sheet'!$AF$11)</f>
        <v/>
      </c>
      <c r="AH19" s="70">
        <f>IF('Final Calculation Sheet'!$AG$11="","",'Final Calculation Sheet'!$AG$11)</f>
        <v/>
      </c>
      <c r="AI19" s="75">
        <f>IF('Final Calculation Sheet'!$AD$11="","",IF('Final Calculation Sheet'!$AD$11&lt;=0,"SETTLED","OUTSTANDING"))</f>
        <v/>
      </c>
    </row>
    <row r="20" ht="15" customHeight="1" s="77">
      <c r="A20" s="67" t="n">
        <v>4</v>
      </c>
      <c r="B20" s="68">
        <f>IF('Final Calculation Sheet'!$F$12="","",'Final Calculation Sheet'!$F$12)</f>
        <v/>
      </c>
      <c r="C20" s="68">
        <f>IF('Final Calculation Sheet'!$G$12="","",'Final Calculation Sheet'!$G$12)</f>
        <v/>
      </c>
      <c r="D20" s="69">
        <f>IF('Final Calculation Sheet'!$B$12="","",'Final Calculation Sheet'!$B$12)</f>
        <v/>
      </c>
      <c r="E20" s="69">
        <f>IF('Final Calculation Sheet'!$D$12="","",'Final Calculation Sheet'!$D$12)</f>
        <v/>
      </c>
      <c r="F20" s="69">
        <f>IF('Final Calculation Sheet'!$A$12="","",'Final Calculation Sheet'!$A$12)</f>
        <v/>
      </c>
      <c r="G20" s="69">
        <f>IF('Final Calculation Sheet'!$E$12="","",'Final Calculation Sheet'!$E$12)</f>
        <v/>
      </c>
      <c r="H20" s="70">
        <f>IF('Final Calculation Sheet'!$C$12="","",'Final Calculation Sheet'!$C$12)</f>
        <v/>
      </c>
      <c r="I20" s="70">
        <f>IF('Final Calculation Sheet'!$H$12="","",'Final Calculation Sheet'!$H$12)</f>
        <v/>
      </c>
      <c r="J20" s="70">
        <f>IF('Final Calculation Sheet'!$I$12="","",'Final Calculation Sheet'!$I$12)</f>
        <v/>
      </c>
      <c r="K20" s="70">
        <f>IF('Final Calculation Sheet'!$J$12="","",'Final Calculation Sheet'!$J$12)</f>
        <v/>
      </c>
      <c r="L20" s="70">
        <f>IF('Final Calculation Sheet'!$K$12="","",'Final Calculation Sheet'!$K$12)</f>
        <v/>
      </c>
      <c r="M20" s="70">
        <f>IF('Final Calculation Sheet'!$L$12="","",'Final Calculation Sheet'!$L$12)</f>
        <v/>
      </c>
      <c r="N20" s="70">
        <f>IF('Final Calculation Sheet'!$M$12="","",'Final Calculation Sheet'!$M$12)</f>
        <v/>
      </c>
      <c r="O20" s="71">
        <f>IF('Final Calculation Sheet'!$N$12="","",'Final Calculation Sheet'!$N$12)</f>
        <v/>
      </c>
      <c r="P20" s="70">
        <f>IF('Final Calculation Sheet'!$O$12="","",'Final Calculation Sheet'!$O$12)</f>
        <v/>
      </c>
      <c r="Q20" s="70">
        <f>IF('Final Calculation Sheet'!$P$12="","",'Final Calculation Sheet'!$P$12)</f>
        <v/>
      </c>
      <c r="R20" s="72">
        <f>IF('Final Calculation Sheet'!$Q$12="","",'Final Calculation Sheet'!$Q$12)</f>
        <v/>
      </c>
      <c r="S20" s="70">
        <f>IF('Final Calculation Sheet'!$R$12="","",'Final Calculation Sheet'!$R$12)</f>
        <v/>
      </c>
      <c r="T20" s="70">
        <f>IF('Final Calculation Sheet'!$S$12="","",'Final Calculation Sheet'!$S$12)</f>
        <v/>
      </c>
      <c r="U20" s="70">
        <f>IF('Final Calculation Sheet'!$T$12="","",'Final Calculation Sheet'!$T$12)</f>
        <v/>
      </c>
      <c r="V20" s="73">
        <f>IF('Final Calculation Sheet'!$U$12="","",'Final Calculation Sheet'!$U$12)</f>
        <v/>
      </c>
      <c r="W20" s="70">
        <f>IF('Final Calculation Sheet'!$V$12="","",'Final Calculation Sheet'!$V$12)</f>
        <v/>
      </c>
      <c r="X20" s="70">
        <f>IF('Final Calculation Sheet'!$W$12="","",'Final Calculation Sheet'!$W$12)</f>
        <v/>
      </c>
      <c r="Y20" s="70">
        <f>IF('Final Calculation Sheet'!$X$12="","",'Final Calculation Sheet'!$X$12)</f>
        <v/>
      </c>
      <c r="Z20" s="70">
        <f>IF('Final Calculation Sheet'!$Y$12="","",'Final Calculation Sheet'!$Y$12)</f>
        <v/>
      </c>
      <c r="AA20" s="70">
        <f>IF('Final Calculation Sheet'!$Z$12="","",'Final Calculation Sheet'!$Z$12)</f>
        <v/>
      </c>
      <c r="AB20" s="70">
        <f>IF('Final Calculation Sheet'!$AA$12="","",'Final Calculation Sheet'!$AA$12)</f>
        <v/>
      </c>
      <c r="AC20" s="70">
        <f>IF('Final Calculation Sheet'!$AB$12="","",'Final Calculation Sheet'!$AB$12)</f>
        <v/>
      </c>
      <c r="AD20" s="70">
        <f>IF('Final Calculation Sheet'!$AC$12="","",'Final Calculation Sheet'!$AC$12)</f>
        <v/>
      </c>
      <c r="AE20" s="70">
        <f>IF('Final Calculation Sheet'!$AD$12="","",'Final Calculation Sheet'!$AD$12)</f>
        <v/>
      </c>
      <c r="AF20" s="70">
        <f>IF('Final Calculation Sheet'!$AE$12="","",'Final Calculation Sheet'!$AE$12)</f>
        <v/>
      </c>
      <c r="AG20" s="74">
        <f>IF('Final Calculation Sheet'!$AF$12="","",'Final Calculation Sheet'!$AF$12)</f>
        <v/>
      </c>
      <c r="AH20" s="70">
        <f>IF('Final Calculation Sheet'!$AG$12="","",'Final Calculation Sheet'!$AG$12)</f>
        <v/>
      </c>
      <c r="AI20" s="75">
        <f>IF('Final Calculation Sheet'!$AD$12="","",IF('Final Calculation Sheet'!$AD$12&lt;=0,"SETTLED","OUTSTANDING"))</f>
        <v/>
      </c>
    </row>
    <row r="21" ht="15" customHeight="1" s="77">
      <c r="A21" s="67" t="n">
        <v>5</v>
      </c>
      <c r="B21" s="68">
        <f>IF('Final Calculation Sheet'!$F$18="","",'Final Calculation Sheet'!$F$18)</f>
        <v/>
      </c>
      <c r="C21" s="68">
        <f>IF('Final Calculation Sheet'!$G$18="","",'Final Calculation Sheet'!$G$18)</f>
        <v/>
      </c>
      <c r="D21" s="69">
        <f>IF('Final Calculation Sheet'!$B$18="","",'Final Calculation Sheet'!$B$18)</f>
        <v/>
      </c>
      <c r="E21" s="69">
        <f>IF('Final Calculation Sheet'!$D$18="","",'Final Calculation Sheet'!$D$18)</f>
        <v/>
      </c>
      <c r="F21" s="69">
        <f>IF('Final Calculation Sheet'!$A$18="","",'Final Calculation Sheet'!$A$18)</f>
        <v/>
      </c>
      <c r="G21" s="69">
        <f>IF('Final Calculation Sheet'!$E$18="","",'Final Calculation Sheet'!$E$18)</f>
        <v/>
      </c>
      <c r="H21" s="70">
        <f>IF('Final Calculation Sheet'!$C$18="","",'Final Calculation Sheet'!$C$18)</f>
        <v/>
      </c>
      <c r="I21" s="70">
        <f>IF('Final Calculation Sheet'!$H$18="","",'Final Calculation Sheet'!$H$18)</f>
        <v/>
      </c>
      <c r="J21" s="70">
        <f>IF('Final Calculation Sheet'!$I$18="","",'Final Calculation Sheet'!$I$18)</f>
        <v/>
      </c>
      <c r="K21" s="70">
        <f>IF('Final Calculation Sheet'!$J$18="","",'Final Calculation Sheet'!$J$18)</f>
        <v/>
      </c>
      <c r="L21" s="70">
        <f>IF('Final Calculation Sheet'!$K$18="","",'Final Calculation Sheet'!$K$18)</f>
        <v/>
      </c>
      <c r="M21" s="70">
        <f>IF('Final Calculation Sheet'!$L$18="","",'Final Calculation Sheet'!$L$18)</f>
        <v/>
      </c>
      <c r="N21" s="70">
        <f>IF('Final Calculation Sheet'!$M$18="","",'Final Calculation Sheet'!$M$18)</f>
        <v/>
      </c>
      <c r="O21" s="71">
        <f>IF('Final Calculation Sheet'!$N$18="","",'Final Calculation Sheet'!$N$18)</f>
        <v/>
      </c>
      <c r="P21" s="70">
        <f>IF('Final Calculation Sheet'!$O$18="","",'Final Calculation Sheet'!$O$18)</f>
        <v/>
      </c>
      <c r="Q21" s="70">
        <f>IF('Final Calculation Sheet'!$P$18="","",'Final Calculation Sheet'!$P$18)</f>
        <v/>
      </c>
      <c r="R21" s="72">
        <f>IF('Final Calculation Sheet'!$Q$18="","",'Final Calculation Sheet'!$Q$18)</f>
        <v/>
      </c>
      <c r="S21" s="70">
        <f>IF('Final Calculation Sheet'!$R$18="","",'Final Calculation Sheet'!$R$18)</f>
        <v/>
      </c>
      <c r="T21" s="70">
        <f>IF('Final Calculation Sheet'!$S$18="","",'Final Calculation Sheet'!$S$18)</f>
        <v/>
      </c>
      <c r="U21" s="70">
        <f>IF('Final Calculation Sheet'!$T$18="","",'Final Calculation Sheet'!$T$18)</f>
        <v/>
      </c>
      <c r="V21" s="73">
        <f>IF('Final Calculation Sheet'!$U$18="","",'Final Calculation Sheet'!$U$18)</f>
        <v/>
      </c>
      <c r="W21" s="70">
        <f>IF('Final Calculation Sheet'!$V$18="","",'Final Calculation Sheet'!$V$18)</f>
        <v/>
      </c>
      <c r="X21" s="70">
        <f>IF('Final Calculation Sheet'!$W$18="","",'Final Calculation Sheet'!$W$18)</f>
        <v/>
      </c>
      <c r="Y21" s="70">
        <f>IF('Final Calculation Sheet'!$X$18="","",'Final Calculation Sheet'!$X$18)</f>
        <v/>
      </c>
      <c r="Z21" s="70">
        <f>IF('Final Calculation Sheet'!$Y$18="","",'Final Calculation Sheet'!$Y$18)</f>
        <v/>
      </c>
      <c r="AA21" s="70">
        <f>IF('Final Calculation Sheet'!$Z$18="","",'Final Calculation Sheet'!$Z$18)</f>
        <v/>
      </c>
      <c r="AB21" s="70">
        <f>IF('Final Calculation Sheet'!$AA$18="","",'Final Calculation Sheet'!$AA$18)</f>
        <v/>
      </c>
      <c r="AC21" s="70">
        <f>IF('Final Calculation Sheet'!$AB$18="","",'Final Calculation Sheet'!$AB$18)</f>
        <v/>
      </c>
      <c r="AD21" s="70">
        <f>IF('Final Calculation Sheet'!$AC$18="","",'Final Calculation Sheet'!$AC$18)</f>
        <v/>
      </c>
      <c r="AE21" s="70">
        <f>IF('Final Calculation Sheet'!$AD$18="","",'Final Calculation Sheet'!$AD$18)</f>
        <v/>
      </c>
      <c r="AF21" s="70">
        <f>IF('Final Calculation Sheet'!$AE$18="","",'Final Calculation Sheet'!$AE$18)</f>
        <v/>
      </c>
      <c r="AG21" s="74">
        <f>IF('Final Calculation Sheet'!$AF$18="","",'Final Calculation Sheet'!$AF$18)</f>
        <v/>
      </c>
      <c r="AH21" s="70">
        <f>IF('Final Calculation Sheet'!$AG$18="","",'Final Calculation Sheet'!$AG$18)</f>
        <v/>
      </c>
      <c r="AI21" s="75">
        <f>IF('Final Calculation Sheet'!$AD$18="","",IF('Final Calculation Sheet'!$AD$18&lt;=0,"SETTLED","OUTSTANDING"))</f>
        <v/>
      </c>
    </row>
    <row r="22" ht="15" customHeight="1" s="77">
      <c r="A22" s="67" t="n">
        <v>6</v>
      </c>
      <c r="B22" s="68">
        <f>IF('Final Calculation Sheet'!$F$19="","",'Final Calculation Sheet'!$F$19)</f>
        <v/>
      </c>
      <c r="C22" s="68">
        <f>IF('Final Calculation Sheet'!$G$19="","",'Final Calculation Sheet'!$G$19)</f>
        <v/>
      </c>
      <c r="D22" s="69">
        <f>IF('Final Calculation Sheet'!$B$19="","",'Final Calculation Sheet'!$B$19)</f>
        <v/>
      </c>
      <c r="E22" s="69">
        <f>IF('Final Calculation Sheet'!$D$19="","",'Final Calculation Sheet'!$D$19)</f>
        <v/>
      </c>
      <c r="F22" s="69">
        <f>IF('Final Calculation Sheet'!$A$19="","",'Final Calculation Sheet'!$A$19)</f>
        <v/>
      </c>
      <c r="G22" s="69">
        <f>IF('Final Calculation Sheet'!$E$19="","",'Final Calculation Sheet'!$E$19)</f>
        <v/>
      </c>
      <c r="H22" s="70">
        <f>IF('Final Calculation Sheet'!$C$19="","",'Final Calculation Sheet'!$C$19)</f>
        <v/>
      </c>
      <c r="I22" s="70">
        <f>IF('Final Calculation Sheet'!$H$19="","",'Final Calculation Sheet'!$H$19)</f>
        <v/>
      </c>
      <c r="J22" s="70">
        <f>IF('Final Calculation Sheet'!$I$19="","",'Final Calculation Sheet'!$I$19)</f>
        <v/>
      </c>
      <c r="K22" s="70">
        <f>IF('Final Calculation Sheet'!$J$19="","",'Final Calculation Sheet'!$J$19)</f>
        <v/>
      </c>
      <c r="L22" s="70">
        <f>IF('Final Calculation Sheet'!$K$19="","",'Final Calculation Sheet'!$K$19)</f>
        <v/>
      </c>
      <c r="M22" s="70">
        <f>IF('Final Calculation Sheet'!$L$19="","",'Final Calculation Sheet'!$L$19)</f>
        <v/>
      </c>
      <c r="N22" s="70">
        <f>IF('Final Calculation Sheet'!$M$19="","",'Final Calculation Sheet'!$M$19)</f>
        <v/>
      </c>
      <c r="O22" s="71">
        <f>IF('Final Calculation Sheet'!$N$19="","",'Final Calculation Sheet'!$N$19)</f>
        <v/>
      </c>
      <c r="P22" s="70">
        <f>IF('Final Calculation Sheet'!$O$19="","",'Final Calculation Sheet'!$O$19)</f>
        <v/>
      </c>
      <c r="Q22" s="70">
        <f>IF('Final Calculation Sheet'!$P$19="","",'Final Calculation Sheet'!$P$19)</f>
        <v/>
      </c>
      <c r="R22" s="72">
        <f>IF('Final Calculation Sheet'!$Q$19="","",'Final Calculation Sheet'!$Q$19)</f>
        <v/>
      </c>
      <c r="S22" s="70">
        <f>IF('Final Calculation Sheet'!$R$19="","",'Final Calculation Sheet'!$R$19)</f>
        <v/>
      </c>
      <c r="T22" s="70">
        <f>IF('Final Calculation Sheet'!$S$19="","",'Final Calculation Sheet'!$S$19)</f>
        <v/>
      </c>
      <c r="U22" s="70">
        <f>IF('Final Calculation Sheet'!$T$19="","",'Final Calculation Sheet'!$T$19)</f>
        <v/>
      </c>
      <c r="V22" s="73">
        <f>IF('Final Calculation Sheet'!$U$19="","",'Final Calculation Sheet'!$U$19)</f>
        <v/>
      </c>
      <c r="W22" s="70">
        <f>IF('Final Calculation Sheet'!$V$19="","",'Final Calculation Sheet'!$V$19)</f>
        <v/>
      </c>
      <c r="X22" s="70">
        <f>IF('Final Calculation Sheet'!$W$19="","",'Final Calculation Sheet'!$W$19)</f>
        <v/>
      </c>
      <c r="Y22" s="70">
        <f>IF('Final Calculation Sheet'!$X$19="","",'Final Calculation Sheet'!$X$19)</f>
        <v/>
      </c>
      <c r="Z22" s="70">
        <f>IF('Final Calculation Sheet'!$Y$19="","",'Final Calculation Sheet'!$Y$19)</f>
        <v/>
      </c>
      <c r="AA22" s="70">
        <f>IF('Final Calculation Sheet'!$Z$19="","",'Final Calculation Sheet'!$Z$19)</f>
        <v/>
      </c>
      <c r="AB22" s="70">
        <f>IF('Final Calculation Sheet'!$AA$19="","",'Final Calculation Sheet'!$AA$19)</f>
        <v/>
      </c>
      <c r="AC22" s="70">
        <f>IF('Final Calculation Sheet'!$AB$19="","",'Final Calculation Sheet'!$AB$19)</f>
        <v/>
      </c>
      <c r="AD22" s="70">
        <f>IF('Final Calculation Sheet'!$AC$19="","",'Final Calculation Sheet'!$AC$19)</f>
        <v/>
      </c>
      <c r="AE22" s="70">
        <f>IF('Final Calculation Sheet'!$AD$19="","",'Final Calculation Sheet'!$AD$19)</f>
        <v/>
      </c>
      <c r="AF22" s="70">
        <f>IF('Final Calculation Sheet'!$AE$19="","",'Final Calculation Sheet'!$AE$19)</f>
        <v/>
      </c>
      <c r="AG22" s="74">
        <f>IF('Final Calculation Sheet'!$AF$19="","",'Final Calculation Sheet'!$AF$19)</f>
        <v/>
      </c>
      <c r="AH22" s="70">
        <f>IF('Final Calculation Sheet'!$AG$19="","",'Final Calculation Sheet'!$AG$19)</f>
        <v/>
      </c>
      <c r="AI22" s="75">
        <f>IF('Final Calculation Sheet'!$AD$19="","",IF('Final Calculation Sheet'!$AD$19&lt;=0,"SETTLED","OUTSTANDING"))</f>
        <v/>
      </c>
    </row>
    <row r="23" ht="15" customHeight="1" s="77">
      <c r="A23" s="67" t="n">
        <v>7</v>
      </c>
      <c r="B23" s="68">
        <f>IF('Final Calculation Sheet'!$F$22="","",'Final Calculation Sheet'!$F$22)</f>
        <v/>
      </c>
      <c r="C23" s="68">
        <f>IF('Final Calculation Sheet'!$G$22="","",'Final Calculation Sheet'!$G$22)</f>
        <v/>
      </c>
      <c r="D23" s="69">
        <f>IF('Final Calculation Sheet'!$B$22="","",'Final Calculation Sheet'!$B$22)</f>
        <v/>
      </c>
      <c r="E23" s="69">
        <f>IF('Final Calculation Sheet'!$D$22="","",'Final Calculation Sheet'!$D$22)</f>
        <v/>
      </c>
      <c r="F23" s="69">
        <f>IF('Final Calculation Sheet'!$A$22="","",'Final Calculation Sheet'!$A$22)</f>
        <v/>
      </c>
      <c r="G23" s="69">
        <f>IF('Final Calculation Sheet'!$E$22="","",'Final Calculation Sheet'!$E$22)</f>
        <v/>
      </c>
      <c r="H23" s="70">
        <f>IF('Final Calculation Sheet'!$C$22="","",'Final Calculation Sheet'!$C$22)</f>
        <v/>
      </c>
      <c r="I23" s="70">
        <f>IF('Final Calculation Sheet'!$H$22="","",'Final Calculation Sheet'!$H$22)</f>
        <v/>
      </c>
      <c r="J23" s="70">
        <f>IF('Final Calculation Sheet'!$I$22="","",'Final Calculation Sheet'!$I$22)</f>
        <v/>
      </c>
      <c r="K23" s="70">
        <f>IF('Final Calculation Sheet'!$J$22="","",'Final Calculation Sheet'!$J$22)</f>
        <v/>
      </c>
      <c r="L23" s="70">
        <f>IF('Final Calculation Sheet'!$K$22="","",'Final Calculation Sheet'!$K$22)</f>
        <v/>
      </c>
      <c r="M23" s="70">
        <f>IF('Final Calculation Sheet'!$L$22="","",'Final Calculation Sheet'!$L$22)</f>
        <v/>
      </c>
      <c r="N23" s="70">
        <f>IF('Final Calculation Sheet'!$M$22="","",'Final Calculation Sheet'!$M$22)</f>
        <v/>
      </c>
      <c r="O23" s="71">
        <f>IF('Final Calculation Sheet'!$N$22="","",'Final Calculation Sheet'!$N$22)</f>
        <v/>
      </c>
      <c r="P23" s="70">
        <f>IF('Final Calculation Sheet'!$O$22="","",'Final Calculation Sheet'!$O$22)</f>
        <v/>
      </c>
      <c r="Q23" s="70">
        <f>IF('Final Calculation Sheet'!$P$22="","",'Final Calculation Sheet'!$P$22)</f>
        <v/>
      </c>
      <c r="R23" s="72">
        <f>IF('Final Calculation Sheet'!$Q$22="","",'Final Calculation Sheet'!$Q$22)</f>
        <v/>
      </c>
      <c r="S23" s="70">
        <f>IF('Final Calculation Sheet'!$R$22="","",'Final Calculation Sheet'!$R$22)</f>
        <v/>
      </c>
      <c r="T23" s="70">
        <f>IF('Final Calculation Sheet'!$S$22="","",'Final Calculation Sheet'!$S$22)</f>
        <v/>
      </c>
      <c r="U23" s="70">
        <f>IF('Final Calculation Sheet'!$T$22="","",'Final Calculation Sheet'!$T$22)</f>
        <v/>
      </c>
      <c r="V23" s="73">
        <f>IF('Final Calculation Sheet'!$U$22="","",'Final Calculation Sheet'!$U$22)</f>
        <v/>
      </c>
      <c r="W23" s="70">
        <f>IF('Final Calculation Sheet'!$V$22="","",'Final Calculation Sheet'!$V$22)</f>
        <v/>
      </c>
      <c r="X23" s="70">
        <f>IF('Final Calculation Sheet'!$W$22="","",'Final Calculation Sheet'!$W$22)</f>
        <v/>
      </c>
      <c r="Y23" s="70">
        <f>IF('Final Calculation Sheet'!$X$22="","",'Final Calculation Sheet'!$X$22)</f>
        <v/>
      </c>
      <c r="Z23" s="70">
        <f>IF('Final Calculation Sheet'!$Y$22="","",'Final Calculation Sheet'!$Y$22)</f>
        <v/>
      </c>
      <c r="AA23" s="70">
        <f>IF('Final Calculation Sheet'!$Z$22="","",'Final Calculation Sheet'!$Z$22)</f>
        <v/>
      </c>
      <c r="AB23" s="70">
        <f>IF('Final Calculation Sheet'!$AA$22="","",'Final Calculation Sheet'!$AA$22)</f>
        <v/>
      </c>
      <c r="AC23" s="70">
        <f>IF('Final Calculation Sheet'!$AB$22="","",'Final Calculation Sheet'!$AB$22)</f>
        <v/>
      </c>
      <c r="AD23" s="70">
        <f>IF('Final Calculation Sheet'!$AC$22="","",'Final Calculation Sheet'!$AC$22)</f>
        <v/>
      </c>
      <c r="AE23" s="70">
        <f>IF('Final Calculation Sheet'!$AD$22="","",'Final Calculation Sheet'!$AD$22)</f>
        <v/>
      </c>
      <c r="AF23" s="70">
        <f>IF('Final Calculation Sheet'!$AE$22="","",'Final Calculation Sheet'!$AE$22)</f>
        <v/>
      </c>
      <c r="AG23" s="74">
        <f>IF('Final Calculation Sheet'!$AF$22="","",'Final Calculation Sheet'!$AF$22)</f>
        <v/>
      </c>
      <c r="AH23" s="70">
        <f>IF('Final Calculation Sheet'!$AG$22="","",'Final Calculation Sheet'!$AG$22)</f>
        <v/>
      </c>
      <c r="AI23" s="75">
        <f>IF('Final Calculation Sheet'!$AD$22="","",IF('Final Calculation Sheet'!$AD$22&lt;=0,"SETTLED","OUTSTANDING"))</f>
        <v/>
      </c>
    </row>
    <row r="24" ht="15" customHeight="1" s="77">
      <c r="A24" s="67" t="n">
        <v>8</v>
      </c>
      <c r="B24" s="68">
        <f>IF('Final Calculation Sheet'!$F$24="","",'Final Calculation Sheet'!$F$24)</f>
        <v/>
      </c>
      <c r="C24" s="68">
        <f>IF('Final Calculation Sheet'!$G$24="","",'Final Calculation Sheet'!$G$24)</f>
        <v/>
      </c>
      <c r="D24" s="69">
        <f>IF('Final Calculation Sheet'!$B$24="","",'Final Calculation Sheet'!$B$24)</f>
        <v/>
      </c>
      <c r="E24" s="69">
        <f>IF('Final Calculation Sheet'!$D$24="","",'Final Calculation Sheet'!$D$24)</f>
        <v/>
      </c>
      <c r="F24" s="69">
        <f>IF('Final Calculation Sheet'!$A$24="","",'Final Calculation Sheet'!$A$24)</f>
        <v/>
      </c>
      <c r="G24" s="69">
        <f>IF('Final Calculation Sheet'!$E$24="","",'Final Calculation Sheet'!$E$24)</f>
        <v/>
      </c>
      <c r="H24" s="70">
        <f>IF('Final Calculation Sheet'!$C$24="","",'Final Calculation Sheet'!$C$24)</f>
        <v/>
      </c>
      <c r="I24" s="70">
        <f>IF('Final Calculation Sheet'!$H$24="","",'Final Calculation Sheet'!$H$24)</f>
        <v/>
      </c>
      <c r="J24" s="70">
        <f>IF('Final Calculation Sheet'!$I$24="","",'Final Calculation Sheet'!$I$24)</f>
        <v/>
      </c>
      <c r="K24" s="70">
        <f>IF('Final Calculation Sheet'!$J$24="","",'Final Calculation Sheet'!$J$24)</f>
        <v/>
      </c>
      <c r="L24" s="70">
        <f>IF('Final Calculation Sheet'!$K$24="","",'Final Calculation Sheet'!$K$24)</f>
        <v/>
      </c>
      <c r="M24" s="70">
        <f>IF('Final Calculation Sheet'!$L$24="","",'Final Calculation Sheet'!$L$24)</f>
        <v/>
      </c>
      <c r="N24" s="70">
        <f>IF('Final Calculation Sheet'!$M$24="","",'Final Calculation Sheet'!$M$24)</f>
        <v/>
      </c>
      <c r="O24" s="71">
        <f>IF('Final Calculation Sheet'!$N$24="","",'Final Calculation Sheet'!$N$24)</f>
        <v/>
      </c>
      <c r="P24" s="70">
        <f>IF('Final Calculation Sheet'!$O$24="","",'Final Calculation Sheet'!$O$24)</f>
        <v/>
      </c>
      <c r="Q24" s="70">
        <f>IF('Final Calculation Sheet'!$P$24="","",'Final Calculation Sheet'!$P$24)</f>
        <v/>
      </c>
      <c r="R24" s="72">
        <f>IF('Final Calculation Sheet'!$Q$24="","",'Final Calculation Sheet'!$Q$24)</f>
        <v/>
      </c>
      <c r="S24" s="70">
        <f>IF('Final Calculation Sheet'!$R$24="","",'Final Calculation Sheet'!$R$24)</f>
        <v/>
      </c>
      <c r="T24" s="70">
        <f>IF('Final Calculation Sheet'!$S$24="","",'Final Calculation Sheet'!$S$24)</f>
        <v/>
      </c>
      <c r="U24" s="70">
        <f>IF('Final Calculation Sheet'!$T$24="","",'Final Calculation Sheet'!$T$24)</f>
        <v/>
      </c>
      <c r="V24" s="73">
        <f>IF('Final Calculation Sheet'!$U$24="","",'Final Calculation Sheet'!$U$24)</f>
        <v/>
      </c>
      <c r="W24" s="70">
        <f>IF('Final Calculation Sheet'!$V$24="","",'Final Calculation Sheet'!$V$24)</f>
        <v/>
      </c>
      <c r="X24" s="70">
        <f>IF('Final Calculation Sheet'!$W$24="","",'Final Calculation Sheet'!$W$24)</f>
        <v/>
      </c>
      <c r="Y24" s="70">
        <f>IF('Final Calculation Sheet'!$X$24="","",'Final Calculation Sheet'!$X$24)</f>
        <v/>
      </c>
      <c r="Z24" s="70">
        <f>IF('Final Calculation Sheet'!$Y$24="","",'Final Calculation Sheet'!$Y$24)</f>
        <v/>
      </c>
      <c r="AA24" s="70">
        <f>IF('Final Calculation Sheet'!$Z$24="","",'Final Calculation Sheet'!$Z$24)</f>
        <v/>
      </c>
      <c r="AB24" s="70">
        <f>IF('Final Calculation Sheet'!$AA$24="","",'Final Calculation Sheet'!$AA$24)</f>
        <v/>
      </c>
      <c r="AC24" s="70">
        <f>IF('Final Calculation Sheet'!$AB$24="","",'Final Calculation Sheet'!$AB$24)</f>
        <v/>
      </c>
      <c r="AD24" s="70">
        <f>IF('Final Calculation Sheet'!$AC$24="","",'Final Calculation Sheet'!$AC$24)</f>
        <v/>
      </c>
      <c r="AE24" s="70">
        <f>IF('Final Calculation Sheet'!$AD$24="","",'Final Calculation Sheet'!$AD$24)</f>
        <v/>
      </c>
      <c r="AF24" s="70">
        <f>IF('Final Calculation Sheet'!$AE$24="","",'Final Calculation Sheet'!$AE$24)</f>
        <v/>
      </c>
      <c r="AG24" s="74">
        <f>IF('Final Calculation Sheet'!$AF$24="","",'Final Calculation Sheet'!$AF$24)</f>
        <v/>
      </c>
      <c r="AH24" s="70">
        <f>IF('Final Calculation Sheet'!$AG$24="","",'Final Calculation Sheet'!$AG$24)</f>
        <v/>
      </c>
      <c r="AI24" s="75">
        <f>IF('Final Calculation Sheet'!$AD$24="","",IF('Final Calculation Sheet'!$AD$24&lt;=0,"SETTLED","OUTSTANDING"))</f>
        <v/>
      </c>
    </row>
    <row r="25" ht="15" customHeight="1" s="77">
      <c r="A25" s="67" t="n">
        <v>9</v>
      </c>
      <c r="B25" s="68">
        <f>IF('Final Calculation Sheet'!$F$26="","",'Final Calculation Sheet'!$F$26)</f>
        <v/>
      </c>
      <c r="C25" s="68">
        <f>IF('Final Calculation Sheet'!$G$26="","",'Final Calculation Sheet'!$G$26)</f>
        <v/>
      </c>
      <c r="D25" s="69">
        <f>IF('Final Calculation Sheet'!$B$26="","",'Final Calculation Sheet'!$B$26)</f>
        <v/>
      </c>
      <c r="E25" s="69">
        <f>IF('Final Calculation Sheet'!$D$26="","",'Final Calculation Sheet'!$D$26)</f>
        <v/>
      </c>
      <c r="F25" s="69">
        <f>IF('Final Calculation Sheet'!$A$26="","",'Final Calculation Sheet'!$A$26)</f>
        <v/>
      </c>
      <c r="G25" s="69">
        <f>IF('Final Calculation Sheet'!$E$26="","",'Final Calculation Sheet'!$E$26)</f>
        <v/>
      </c>
      <c r="H25" s="70">
        <f>IF('Final Calculation Sheet'!$C$26="","",'Final Calculation Sheet'!$C$26)</f>
        <v/>
      </c>
      <c r="I25" s="70">
        <f>IF('Final Calculation Sheet'!$H$26="","",'Final Calculation Sheet'!$H$26)</f>
        <v/>
      </c>
      <c r="J25" s="70">
        <f>IF('Final Calculation Sheet'!$I$26="","",'Final Calculation Sheet'!$I$26)</f>
        <v/>
      </c>
      <c r="K25" s="70">
        <f>IF('Final Calculation Sheet'!$J$26="","",'Final Calculation Sheet'!$J$26)</f>
        <v/>
      </c>
      <c r="L25" s="70">
        <f>IF('Final Calculation Sheet'!$K$26="","",'Final Calculation Sheet'!$K$26)</f>
        <v/>
      </c>
      <c r="M25" s="70">
        <f>IF('Final Calculation Sheet'!$L$26="","",'Final Calculation Sheet'!$L$26)</f>
        <v/>
      </c>
      <c r="N25" s="70">
        <f>IF('Final Calculation Sheet'!$M$26="","",'Final Calculation Sheet'!$M$26)</f>
        <v/>
      </c>
      <c r="O25" s="71">
        <f>IF('Final Calculation Sheet'!$N$26="","",'Final Calculation Sheet'!$N$26)</f>
        <v/>
      </c>
      <c r="P25" s="70">
        <f>IF('Final Calculation Sheet'!$O$26="","",'Final Calculation Sheet'!$O$26)</f>
        <v/>
      </c>
      <c r="Q25" s="70">
        <f>IF('Final Calculation Sheet'!$P$26="","",'Final Calculation Sheet'!$P$26)</f>
        <v/>
      </c>
      <c r="R25" s="72">
        <f>IF('Final Calculation Sheet'!$Q$26="","",'Final Calculation Sheet'!$Q$26)</f>
        <v/>
      </c>
      <c r="S25" s="70">
        <f>IF('Final Calculation Sheet'!$R$26="","",'Final Calculation Sheet'!$R$26)</f>
        <v/>
      </c>
      <c r="T25" s="70">
        <f>IF('Final Calculation Sheet'!$S$26="","",'Final Calculation Sheet'!$S$26)</f>
        <v/>
      </c>
      <c r="U25" s="70">
        <f>IF('Final Calculation Sheet'!$T$26="","",'Final Calculation Sheet'!$T$26)</f>
        <v/>
      </c>
      <c r="V25" s="73">
        <f>IF('Final Calculation Sheet'!$U$26="","",'Final Calculation Sheet'!$U$26)</f>
        <v/>
      </c>
      <c r="W25" s="70">
        <f>IF('Final Calculation Sheet'!$V$26="","",'Final Calculation Sheet'!$V$26)</f>
        <v/>
      </c>
      <c r="X25" s="70">
        <f>IF('Final Calculation Sheet'!$W$26="","",'Final Calculation Sheet'!$W$26)</f>
        <v/>
      </c>
      <c r="Y25" s="70">
        <f>IF('Final Calculation Sheet'!$X$26="","",'Final Calculation Sheet'!$X$26)</f>
        <v/>
      </c>
      <c r="Z25" s="70">
        <f>IF('Final Calculation Sheet'!$Y$26="","",'Final Calculation Sheet'!$Y$26)</f>
        <v/>
      </c>
      <c r="AA25" s="70">
        <f>IF('Final Calculation Sheet'!$Z$26="","",'Final Calculation Sheet'!$Z$26)</f>
        <v/>
      </c>
      <c r="AB25" s="70">
        <f>IF('Final Calculation Sheet'!$AA$26="","",'Final Calculation Sheet'!$AA$26)</f>
        <v/>
      </c>
      <c r="AC25" s="70">
        <f>IF('Final Calculation Sheet'!$AB$26="","",'Final Calculation Sheet'!$AB$26)</f>
        <v/>
      </c>
      <c r="AD25" s="70">
        <f>IF('Final Calculation Sheet'!$AC$26="","",'Final Calculation Sheet'!$AC$26)</f>
        <v/>
      </c>
      <c r="AE25" s="70">
        <f>IF('Final Calculation Sheet'!$AD$26="","",'Final Calculation Sheet'!$AD$26)</f>
        <v/>
      </c>
      <c r="AF25" s="70">
        <f>IF('Final Calculation Sheet'!$AE$26="","",'Final Calculation Sheet'!$AE$26)</f>
        <v/>
      </c>
      <c r="AG25" s="74">
        <f>IF('Final Calculation Sheet'!$AF$26="","",'Final Calculation Sheet'!$AF$26)</f>
        <v/>
      </c>
      <c r="AH25" s="70">
        <f>IF('Final Calculation Sheet'!$AG$26="","",'Final Calculation Sheet'!$AG$26)</f>
        <v/>
      </c>
      <c r="AI25" s="75">
        <f>IF('Final Calculation Sheet'!$AD$26="","",IF('Final Calculation Sheet'!$AD$26&lt;=0,"SETTLED","OUTSTANDING"))</f>
        <v/>
      </c>
    </row>
    <row r="26" ht="15" customHeight="1" s="77">
      <c r="A26" s="67" t="n">
        <v>10</v>
      </c>
      <c r="B26" s="68">
        <f>IF('Final Calculation Sheet'!$F$30="","",'Final Calculation Sheet'!$F$30)</f>
        <v/>
      </c>
      <c r="C26" s="68">
        <f>IF('Final Calculation Sheet'!$G$30="","",'Final Calculation Sheet'!$G$30)</f>
        <v/>
      </c>
      <c r="D26" s="69">
        <f>IF('Final Calculation Sheet'!$B$30="","",'Final Calculation Sheet'!$B$30)</f>
        <v/>
      </c>
      <c r="E26" s="69">
        <f>IF('Final Calculation Sheet'!$D$30="","",'Final Calculation Sheet'!$D$30)</f>
        <v/>
      </c>
      <c r="F26" s="69">
        <f>IF('Final Calculation Sheet'!$A$30="","",'Final Calculation Sheet'!$A$30)</f>
        <v/>
      </c>
      <c r="G26" s="69">
        <f>IF('Final Calculation Sheet'!$E$30="","",'Final Calculation Sheet'!$E$30)</f>
        <v/>
      </c>
      <c r="H26" s="70">
        <f>IF('Final Calculation Sheet'!$C$30="","",'Final Calculation Sheet'!$C$30)</f>
        <v/>
      </c>
      <c r="I26" s="70">
        <f>IF('Final Calculation Sheet'!$H$30="","",'Final Calculation Sheet'!$H$30)</f>
        <v/>
      </c>
      <c r="J26" s="70">
        <f>IF('Final Calculation Sheet'!$I$30="","",'Final Calculation Sheet'!$I$30)</f>
        <v/>
      </c>
      <c r="K26" s="70">
        <f>IF('Final Calculation Sheet'!$J$30="","",'Final Calculation Sheet'!$J$30)</f>
        <v/>
      </c>
      <c r="L26" s="70">
        <f>IF('Final Calculation Sheet'!$K$30="","",'Final Calculation Sheet'!$K$30)</f>
        <v/>
      </c>
      <c r="M26" s="70">
        <f>IF('Final Calculation Sheet'!$L$30="","",'Final Calculation Sheet'!$L$30)</f>
        <v/>
      </c>
      <c r="N26" s="70">
        <f>IF('Final Calculation Sheet'!$M$30="","",'Final Calculation Sheet'!$M$30)</f>
        <v/>
      </c>
      <c r="O26" s="71">
        <f>IF('Final Calculation Sheet'!$N$30="","",'Final Calculation Sheet'!$N$30)</f>
        <v/>
      </c>
      <c r="P26" s="70">
        <f>IF('Final Calculation Sheet'!$O$30="","",'Final Calculation Sheet'!$O$30)</f>
        <v/>
      </c>
      <c r="Q26" s="70">
        <f>IF('Final Calculation Sheet'!$P$30="","",'Final Calculation Sheet'!$P$30)</f>
        <v/>
      </c>
      <c r="R26" s="72">
        <f>IF('Final Calculation Sheet'!$Q$30="","",'Final Calculation Sheet'!$Q$30)</f>
        <v/>
      </c>
      <c r="S26" s="70">
        <f>IF('Final Calculation Sheet'!$R$30="","",'Final Calculation Sheet'!$R$30)</f>
        <v/>
      </c>
      <c r="T26" s="70">
        <f>IF('Final Calculation Sheet'!$S$30="","",'Final Calculation Sheet'!$S$30)</f>
        <v/>
      </c>
      <c r="U26" s="70">
        <f>IF('Final Calculation Sheet'!$T$30="","",'Final Calculation Sheet'!$T$30)</f>
        <v/>
      </c>
      <c r="V26" s="73">
        <f>IF('Final Calculation Sheet'!$U$30="","",'Final Calculation Sheet'!$U$30)</f>
        <v/>
      </c>
      <c r="W26" s="70">
        <f>IF('Final Calculation Sheet'!$V$30="","",'Final Calculation Sheet'!$V$30)</f>
        <v/>
      </c>
      <c r="X26" s="70">
        <f>IF('Final Calculation Sheet'!$W$30="","",'Final Calculation Sheet'!$W$30)</f>
        <v/>
      </c>
      <c r="Y26" s="70">
        <f>IF('Final Calculation Sheet'!$X$30="","",'Final Calculation Sheet'!$X$30)</f>
        <v/>
      </c>
      <c r="Z26" s="70">
        <f>IF('Final Calculation Sheet'!$Y$30="","",'Final Calculation Sheet'!$Y$30)</f>
        <v/>
      </c>
      <c r="AA26" s="70">
        <f>IF('Final Calculation Sheet'!$Z$30="","",'Final Calculation Sheet'!$Z$30)</f>
        <v/>
      </c>
      <c r="AB26" s="70">
        <f>IF('Final Calculation Sheet'!$AA$30="","",'Final Calculation Sheet'!$AA$30)</f>
        <v/>
      </c>
      <c r="AC26" s="70">
        <f>IF('Final Calculation Sheet'!$AB$30="","",'Final Calculation Sheet'!$AB$30)</f>
        <v/>
      </c>
      <c r="AD26" s="70">
        <f>IF('Final Calculation Sheet'!$AC$30="","",'Final Calculation Sheet'!$AC$30)</f>
        <v/>
      </c>
      <c r="AE26" s="70">
        <f>IF('Final Calculation Sheet'!$AD$30="","",'Final Calculation Sheet'!$AD$30)</f>
        <v/>
      </c>
      <c r="AF26" s="70">
        <f>IF('Final Calculation Sheet'!$AE$30="","",'Final Calculation Sheet'!$AE$30)</f>
        <v/>
      </c>
      <c r="AG26" s="74">
        <f>IF('Final Calculation Sheet'!$AF$30="","",'Final Calculation Sheet'!$AF$30)</f>
        <v/>
      </c>
      <c r="AH26" s="70">
        <f>IF('Final Calculation Sheet'!$AG$30="","",'Final Calculation Sheet'!$AG$30)</f>
        <v/>
      </c>
      <c r="AI26" s="75">
        <f>IF('Final Calculation Sheet'!$AD$30="","",IF('Final Calculation Sheet'!$AD$30&lt;=0,"SETTLED","OUTSTANDING"))</f>
        <v/>
      </c>
    </row>
    <row r="27" ht="15" customHeight="1" s="77">
      <c r="A27" s="67" t="n">
        <v>11</v>
      </c>
      <c r="B27" s="68">
        <f>IF('Final Calculation Sheet'!$F$32="","",'Final Calculation Sheet'!$F$32)</f>
        <v/>
      </c>
      <c r="C27" s="68">
        <f>IF('Final Calculation Sheet'!$G$32="","",'Final Calculation Sheet'!$G$32)</f>
        <v/>
      </c>
      <c r="D27" s="69">
        <f>IF('Final Calculation Sheet'!$B$32="","",'Final Calculation Sheet'!$B$32)</f>
        <v/>
      </c>
      <c r="E27" s="69">
        <f>IF('Final Calculation Sheet'!$D$32="","",'Final Calculation Sheet'!$D$32)</f>
        <v/>
      </c>
      <c r="F27" s="69">
        <f>IF('Final Calculation Sheet'!$A$32="","",'Final Calculation Sheet'!$A$32)</f>
        <v/>
      </c>
      <c r="G27" s="69">
        <f>IF('Final Calculation Sheet'!$E$32="","",'Final Calculation Sheet'!$E$32)</f>
        <v/>
      </c>
      <c r="H27" s="70">
        <f>IF('Final Calculation Sheet'!$C$32="","",'Final Calculation Sheet'!$C$32)</f>
        <v/>
      </c>
      <c r="I27" s="70">
        <f>IF('Final Calculation Sheet'!$H$32="","",'Final Calculation Sheet'!$H$32)</f>
        <v/>
      </c>
      <c r="J27" s="70">
        <f>IF('Final Calculation Sheet'!$I$32="","",'Final Calculation Sheet'!$I$32)</f>
        <v/>
      </c>
      <c r="K27" s="70">
        <f>IF('Final Calculation Sheet'!$J$32="","",'Final Calculation Sheet'!$J$32)</f>
        <v/>
      </c>
      <c r="L27" s="70">
        <f>IF('Final Calculation Sheet'!$K$32="","",'Final Calculation Sheet'!$K$32)</f>
        <v/>
      </c>
      <c r="M27" s="70">
        <f>IF('Final Calculation Sheet'!$L$32="","",'Final Calculation Sheet'!$L$32)</f>
        <v/>
      </c>
      <c r="N27" s="70">
        <f>IF('Final Calculation Sheet'!$M$32="","",'Final Calculation Sheet'!$M$32)</f>
        <v/>
      </c>
      <c r="O27" s="71">
        <f>IF('Final Calculation Sheet'!$N$32="","",'Final Calculation Sheet'!$N$32)</f>
        <v/>
      </c>
      <c r="P27" s="70">
        <f>IF('Final Calculation Sheet'!$O$32="","",'Final Calculation Sheet'!$O$32)</f>
        <v/>
      </c>
      <c r="Q27" s="70">
        <f>IF('Final Calculation Sheet'!$P$32="","",'Final Calculation Sheet'!$P$32)</f>
        <v/>
      </c>
      <c r="R27" s="72">
        <f>IF('Final Calculation Sheet'!$Q$32="","",'Final Calculation Sheet'!$Q$32)</f>
        <v/>
      </c>
      <c r="S27" s="70">
        <f>IF('Final Calculation Sheet'!$R$32="","",'Final Calculation Sheet'!$R$32)</f>
        <v/>
      </c>
      <c r="T27" s="70">
        <f>IF('Final Calculation Sheet'!$S$32="","",'Final Calculation Sheet'!$S$32)</f>
        <v/>
      </c>
      <c r="U27" s="70">
        <f>IF('Final Calculation Sheet'!$T$32="","",'Final Calculation Sheet'!$T$32)</f>
        <v/>
      </c>
      <c r="V27" s="73">
        <f>IF('Final Calculation Sheet'!$U$32="","",'Final Calculation Sheet'!$U$32)</f>
        <v/>
      </c>
      <c r="W27" s="70">
        <f>IF('Final Calculation Sheet'!$V$32="","",'Final Calculation Sheet'!$V$32)</f>
        <v/>
      </c>
      <c r="X27" s="70">
        <f>IF('Final Calculation Sheet'!$W$32="","",'Final Calculation Sheet'!$W$32)</f>
        <v/>
      </c>
      <c r="Y27" s="70">
        <f>IF('Final Calculation Sheet'!$X$32="","",'Final Calculation Sheet'!$X$32)</f>
        <v/>
      </c>
      <c r="Z27" s="70">
        <f>IF('Final Calculation Sheet'!$Y$32="","",'Final Calculation Sheet'!$Y$32)</f>
        <v/>
      </c>
      <c r="AA27" s="70">
        <f>IF('Final Calculation Sheet'!$Z$32="","",'Final Calculation Sheet'!$Z$32)</f>
        <v/>
      </c>
      <c r="AB27" s="70">
        <f>IF('Final Calculation Sheet'!$AA$32="","",'Final Calculation Sheet'!$AA$32)</f>
        <v/>
      </c>
      <c r="AC27" s="70">
        <f>IF('Final Calculation Sheet'!$AB$32="","",'Final Calculation Sheet'!$AB$32)</f>
        <v/>
      </c>
      <c r="AD27" s="70">
        <f>IF('Final Calculation Sheet'!$AC$32="","",'Final Calculation Sheet'!$AC$32)</f>
        <v/>
      </c>
      <c r="AE27" s="70">
        <f>IF('Final Calculation Sheet'!$AD$32="","",'Final Calculation Sheet'!$AD$32)</f>
        <v/>
      </c>
      <c r="AF27" s="70">
        <f>IF('Final Calculation Sheet'!$AE$32="","",'Final Calculation Sheet'!$AE$32)</f>
        <v/>
      </c>
      <c r="AG27" s="74">
        <f>IF('Final Calculation Sheet'!$AF$32="","",'Final Calculation Sheet'!$AF$32)</f>
        <v/>
      </c>
      <c r="AH27" s="70">
        <f>IF('Final Calculation Sheet'!$AG$32="","",'Final Calculation Sheet'!$AG$32)</f>
        <v/>
      </c>
      <c r="AI27" s="75">
        <f>IF('Final Calculation Sheet'!$AD$32="","",IF('Final Calculation Sheet'!$AD$32&lt;=0,"SETTLED","OUTSTANDING"))</f>
        <v/>
      </c>
    </row>
    <row r="28" ht="15" customHeight="1" s="77">
      <c r="A28" s="67" t="n">
        <v>12</v>
      </c>
      <c r="B28" s="68">
        <f>IF('Final Calculation Sheet'!$F$33="","",'Final Calculation Sheet'!$F$33)</f>
        <v/>
      </c>
      <c r="C28" s="68">
        <f>IF('Final Calculation Sheet'!$G$33="","",'Final Calculation Sheet'!$G$33)</f>
        <v/>
      </c>
      <c r="D28" s="69">
        <f>IF('Final Calculation Sheet'!$B$33="","",'Final Calculation Sheet'!$B$33)</f>
        <v/>
      </c>
      <c r="E28" s="69">
        <f>IF('Final Calculation Sheet'!$D$33="","",'Final Calculation Sheet'!$D$33)</f>
        <v/>
      </c>
      <c r="F28" s="69">
        <f>IF('Final Calculation Sheet'!$A$33="","",'Final Calculation Sheet'!$A$33)</f>
        <v/>
      </c>
      <c r="G28" s="69">
        <f>IF('Final Calculation Sheet'!$E$33="","",'Final Calculation Sheet'!$E$33)</f>
        <v/>
      </c>
      <c r="H28" s="70">
        <f>IF('Final Calculation Sheet'!$C$33="","",'Final Calculation Sheet'!$C$33)</f>
        <v/>
      </c>
      <c r="I28" s="70">
        <f>IF('Final Calculation Sheet'!$H$33="","",'Final Calculation Sheet'!$H$33)</f>
        <v/>
      </c>
      <c r="J28" s="70">
        <f>IF('Final Calculation Sheet'!$I$33="","",'Final Calculation Sheet'!$I$33)</f>
        <v/>
      </c>
      <c r="K28" s="70">
        <f>IF('Final Calculation Sheet'!$J$33="","",'Final Calculation Sheet'!$J$33)</f>
        <v/>
      </c>
      <c r="L28" s="70">
        <f>IF('Final Calculation Sheet'!$K$33="","",'Final Calculation Sheet'!$K$33)</f>
        <v/>
      </c>
      <c r="M28" s="70">
        <f>IF('Final Calculation Sheet'!$L$33="","",'Final Calculation Sheet'!$L$33)</f>
        <v/>
      </c>
      <c r="N28" s="70">
        <f>IF('Final Calculation Sheet'!$M$33="","",'Final Calculation Sheet'!$M$33)</f>
        <v/>
      </c>
      <c r="O28" s="71">
        <f>IF('Final Calculation Sheet'!$N$33="","",'Final Calculation Sheet'!$N$33)</f>
        <v/>
      </c>
      <c r="P28" s="70">
        <f>IF('Final Calculation Sheet'!$O$33="","",'Final Calculation Sheet'!$O$33)</f>
        <v/>
      </c>
      <c r="Q28" s="70">
        <f>IF('Final Calculation Sheet'!$P$33="","",'Final Calculation Sheet'!$P$33)</f>
        <v/>
      </c>
      <c r="R28" s="72">
        <f>IF('Final Calculation Sheet'!$Q$33="","",'Final Calculation Sheet'!$Q$33)</f>
        <v/>
      </c>
      <c r="S28" s="70">
        <f>IF('Final Calculation Sheet'!$R$33="","",'Final Calculation Sheet'!$R$33)</f>
        <v/>
      </c>
      <c r="T28" s="70">
        <f>IF('Final Calculation Sheet'!$S$33="","",'Final Calculation Sheet'!$S$33)</f>
        <v/>
      </c>
      <c r="U28" s="70">
        <f>IF('Final Calculation Sheet'!$T$33="","",'Final Calculation Sheet'!$T$33)</f>
        <v/>
      </c>
      <c r="V28" s="73">
        <f>IF('Final Calculation Sheet'!$U$33="","",'Final Calculation Sheet'!$U$33)</f>
        <v/>
      </c>
      <c r="W28" s="70">
        <f>IF('Final Calculation Sheet'!$V$33="","",'Final Calculation Sheet'!$V$33)</f>
        <v/>
      </c>
      <c r="X28" s="70">
        <f>IF('Final Calculation Sheet'!$W$33="","",'Final Calculation Sheet'!$W$33)</f>
        <v/>
      </c>
      <c r="Y28" s="70">
        <f>IF('Final Calculation Sheet'!$X$33="","",'Final Calculation Sheet'!$X$33)</f>
        <v/>
      </c>
      <c r="Z28" s="70">
        <f>IF('Final Calculation Sheet'!$Y$33="","",'Final Calculation Sheet'!$Y$33)</f>
        <v/>
      </c>
      <c r="AA28" s="70">
        <f>IF('Final Calculation Sheet'!$Z$33="","",'Final Calculation Sheet'!$Z$33)</f>
        <v/>
      </c>
      <c r="AB28" s="70">
        <f>IF('Final Calculation Sheet'!$AA$33="","",'Final Calculation Sheet'!$AA$33)</f>
        <v/>
      </c>
      <c r="AC28" s="70">
        <f>IF('Final Calculation Sheet'!$AB$33="","",'Final Calculation Sheet'!$AB$33)</f>
        <v/>
      </c>
      <c r="AD28" s="70">
        <f>IF('Final Calculation Sheet'!$AC$33="","",'Final Calculation Sheet'!$AC$33)</f>
        <v/>
      </c>
      <c r="AE28" s="70">
        <f>IF('Final Calculation Sheet'!$AD$33="","",'Final Calculation Sheet'!$AD$33)</f>
        <v/>
      </c>
      <c r="AF28" s="70">
        <f>IF('Final Calculation Sheet'!$AE$33="","",'Final Calculation Sheet'!$AE$33)</f>
        <v/>
      </c>
      <c r="AG28" s="74">
        <f>IF('Final Calculation Sheet'!$AF$33="","",'Final Calculation Sheet'!$AF$33)</f>
        <v/>
      </c>
      <c r="AH28" s="70">
        <f>IF('Final Calculation Sheet'!$AG$33="","",'Final Calculation Sheet'!$AG$33)</f>
        <v/>
      </c>
      <c r="AI28" s="75">
        <f>IF('Final Calculation Sheet'!$AD$33="","",IF('Final Calculation Sheet'!$AD$33&lt;=0,"SETTLED","OUTSTANDING"))</f>
        <v/>
      </c>
    </row>
    <row r="29" ht="15" customHeight="1" s="77">
      <c r="A29" s="67" t="n">
        <v>13</v>
      </c>
      <c r="B29" s="68">
        <f>IF('Final Calculation Sheet'!$F$37="","",'Final Calculation Sheet'!$F$37)</f>
        <v/>
      </c>
      <c r="C29" s="68">
        <f>IF('Final Calculation Sheet'!$G$37="","",'Final Calculation Sheet'!$G$37)</f>
        <v/>
      </c>
      <c r="D29" s="69">
        <f>IF('Final Calculation Sheet'!$B$37="","",'Final Calculation Sheet'!$B$37)</f>
        <v/>
      </c>
      <c r="E29" s="69">
        <f>IF('Final Calculation Sheet'!$D$37="","",'Final Calculation Sheet'!$D$37)</f>
        <v/>
      </c>
      <c r="F29" s="69">
        <f>IF('Final Calculation Sheet'!$A$37="","",'Final Calculation Sheet'!$A$37)</f>
        <v/>
      </c>
      <c r="G29" s="69">
        <f>IF('Final Calculation Sheet'!$E$37="","",'Final Calculation Sheet'!$E$37)</f>
        <v/>
      </c>
      <c r="H29" s="70">
        <f>IF('Final Calculation Sheet'!$C$37="","",'Final Calculation Sheet'!$C$37)</f>
        <v/>
      </c>
      <c r="I29" s="70">
        <f>IF('Final Calculation Sheet'!$H$37="","",'Final Calculation Sheet'!$H$37)</f>
        <v/>
      </c>
      <c r="J29" s="70">
        <f>IF('Final Calculation Sheet'!$I$37="","",'Final Calculation Sheet'!$I$37)</f>
        <v/>
      </c>
      <c r="K29" s="70">
        <f>IF('Final Calculation Sheet'!$J$37="","",'Final Calculation Sheet'!$J$37)</f>
        <v/>
      </c>
      <c r="L29" s="70">
        <f>IF('Final Calculation Sheet'!$K$37="","",'Final Calculation Sheet'!$K$37)</f>
        <v/>
      </c>
      <c r="M29" s="70">
        <f>IF('Final Calculation Sheet'!$L$37="","",'Final Calculation Sheet'!$L$37)</f>
        <v/>
      </c>
      <c r="N29" s="70">
        <f>IF('Final Calculation Sheet'!$M$37="","",'Final Calculation Sheet'!$M$37)</f>
        <v/>
      </c>
      <c r="O29" s="71">
        <f>IF('Final Calculation Sheet'!$N$37="","",'Final Calculation Sheet'!$N$37)</f>
        <v/>
      </c>
      <c r="P29" s="70">
        <f>IF('Final Calculation Sheet'!$O$37="","",'Final Calculation Sheet'!$O$37)</f>
        <v/>
      </c>
      <c r="Q29" s="70">
        <f>IF('Final Calculation Sheet'!$P$37="","",'Final Calculation Sheet'!$P$37)</f>
        <v/>
      </c>
      <c r="R29" s="72">
        <f>IF('Final Calculation Sheet'!$Q$37="","",'Final Calculation Sheet'!$Q$37)</f>
        <v/>
      </c>
      <c r="S29" s="70">
        <f>IF('Final Calculation Sheet'!$R$37="","",'Final Calculation Sheet'!$R$37)</f>
        <v/>
      </c>
      <c r="T29" s="70">
        <f>IF('Final Calculation Sheet'!$S$37="","",'Final Calculation Sheet'!$S$37)</f>
        <v/>
      </c>
      <c r="U29" s="70">
        <f>IF('Final Calculation Sheet'!$T$37="","",'Final Calculation Sheet'!$T$37)</f>
        <v/>
      </c>
      <c r="V29" s="73">
        <f>IF('Final Calculation Sheet'!$U$37="","",'Final Calculation Sheet'!$U$37)</f>
        <v/>
      </c>
      <c r="W29" s="70">
        <f>IF('Final Calculation Sheet'!$V$37="","",'Final Calculation Sheet'!$V$37)</f>
        <v/>
      </c>
      <c r="X29" s="70">
        <f>IF('Final Calculation Sheet'!$W$37="","",'Final Calculation Sheet'!$W$37)</f>
        <v/>
      </c>
      <c r="Y29" s="70">
        <f>IF('Final Calculation Sheet'!$X$37="","",'Final Calculation Sheet'!$X$37)</f>
        <v/>
      </c>
      <c r="Z29" s="70">
        <f>IF('Final Calculation Sheet'!$Y$37="","",'Final Calculation Sheet'!$Y$37)</f>
        <v/>
      </c>
      <c r="AA29" s="70">
        <f>IF('Final Calculation Sheet'!$Z$37="","",'Final Calculation Sheet'!$Z$37)</f>
        <v/>
      </c>
      <c r="AB29" s="70">
        <f>IF('Final Calculation Sheet'!$AA$37="","",'Final Calculation Sheet'!$AA$37)</f>
        <v/>
      </c>
      <c r="AC29" s="70">
        <f>IF('Final Calculation Sheet'!$AB$37="","",'Final Calculation Sheet'!$AB$37)</f>
        <v/>
      </c>
      <c r="AD29" s="70">
        <f>IF('Final Calculation Sheet'!$AC$37="","",'Final Calculation Sheet'!$AC$37)</f>
        <v/>
      </c>
      <c r="AE29" s="70">
        <f>IF('Final Calculation Sheet'!$AD$37="","",'Final Calculation Sheet'!$AD$37)</f>
        <v/>
      </c>
      <c r="AF29" s="70">
        <f>IF('Final Calculation Sheet'!$AE$37="","",'Final Calculation Sheet'!$AE$37)</f>
        <v/>
      </c>
      <c r="AG29" s="74">
        <f>IF('Final Calculation Sheet'!$AF$37="","",'Final Calculation Sheet'!$AF$37)</f>
        <v/>
      </c>
      <c r="AH29" s="70">
        <f>IF('Final Calculation Sheet'!$AG$37="","",'Final Calculation Sheet'!$AG$37)</f>
        <v/>
      </c>
      <c r="AI29" s="75">
        <f>IF('Final Calculation Sheet'!$AD$37="","",IF('Final Calculation Sheet'!$AD$37&lt;=0,"SETTLED","OUTSTANDING"))</f>
        <v/>
      </c>
    </row>
    <row r="30" ht="15" customHeight="1" s="77">
      <c r="A30" s="84" t="inlineStr">
        <is>
          <t>∑</t>
        </is>
      </c>
      <c r="B30" s="85" t="n"/>
      <c r="C30" s="85">
        <f>ROWS($C$17:$C$29)&amp;" lot(s)"</f>
        <v/>
      </c>
      <c r="D30" s="85" t="inlineStr">
        <is>
          <t>SUBTOTAL — NATIONAL ENTERPRISES</t>
        </is>
      </c>
      <c r="E30" s="85" t="inlineStr">
        <is>
          <t>–</t>
        </is>
      </c>
      <c r="F30" s="85">
        <f>SUM(F17:F29)</f>
        <v/>
      </c>
      <c r="G30" s="85" t="inlineStr">
        <is>
          <t>–</t>
        </is>
      </c>
      <c r="H30" s="86" t="inlineStr">
        <is>
          <t>–</t>
        </is>
      </c>
      <c r="I30" s="86">
        <f>SUM(I17:I29)</f>
        <v/>
      </c>
      <c r="J30" s="86">
        <f>SUM(J17:J29)</f>
        <v/>
      </c>
      <c r="K30" s="86">
        <f>SUM(K17:K29)</f>
        <v/>
      </c>
      <c r="L30" s="86">
        <f>SUM(L17:L29)</f>
        <v/>
      </c>
      <c r="M30" s="86">
        <f>SUM(M17:M29)</f>
        <v/>
      </c>
      <c r="N30" s="86">
        <f>SUM(N17:N29)</f>
        <v/>
      </c>
      <c r="O30" s="87">
        <f>SUM(O17:O29)</f>
        <v/>
      </c>
      <c r="P30" s="86">
        <f>SUM(P17:P29)</f>
        <v/>
      </c>
      <c r="Q30" s="86">
        <f>SUM(Q17:Q29)</f>
        <v/>
      </c>
      <c r="R30" s="88" t="inlineStr">
        <is>
          <t>–</t>
        </is>
      </c>
      <c r="S30" s="86">
        <f>SUM(S17:S29)</f>
        <v/>
      </c>
      <c r="T30" s="86">
        <f>SUM(T17:T29)</f>
        <v/>
      </c>
      <c r="U30" s="86">
        <f>SUM(U17:U29)</f>
        <v/>
      </c>
      <c r="V30" s="89">
        <f>SUM(V17:V29)</f>
        <v/>
      </c>
      <c r="W30" s="86" t="inlineStr">
        <is>
          <t>–</t>
        </is>
      </c>
      <c r="X30" s="86">
        <f>SUM(X17:X29)</f>
        <v/>
      </c>
      <c r="Y30" s="86">
        <f>SUM(Y17:Y29)</f>
        <v/>
      </c>
      <c r="Z30" s="86" t="inlineStr">
        <is>
          <t>–</t>
        </is>
      </c>
      <c r="AA30" s="86">
        <f>SUM(AA17:AA29)</f>
        <v/>
      </c>
      <c r="AB30" s="86">
        <f>SUM(AB17:AB29)</f>
        <v/>
      </c>
      <c r="AC30" s="86" t="inlineStr">
        <is>
          <t>–</t>
        </is>
      </c>
      <c r="AD30" s="86">
        <f>SUM(AD17:AD29)</f>
        <v/>
      </c>
      <c r="AE30" s="86">
        <f>SUM(AE17:AE29)</f>
        <v/>
      </c>
      <c r="AF30" s="86" t="inlineStr">
        <is>
          <t>–</t>
        </is>
      </c>
      <c r="AG30" s="90" t="inlineStr">
        <is>
          <t>–</t>
        </is>
      </c>
      <c r="AH30" s="86" t="inlineStr">
        <is>
          <t>–</t>
        </is>
      </c>
      <c r="AI30" s="91">
        <f>IF(AE30&lt;=0,"SETTLED","OUTSTANDING")</f>
        <v/>
      </c>
    </row>
    <row r="31" ht="15" customHeight="1" s="77">
      <c r="A31" s="67" t="n">
        <v>1</v>
      </c>
      <c r="B31" s="68">
        <f>IF('Final Calculation Sheet'!$F$21="","",'Final Calculation Sheet'!$F$21)</f>
        <v/>
      </c>
      <c r="C31" s="68">
        <f>IF('Final Calculation Sheet'!$G$21="","",'Final Calculation Sheet'!$G$21)</f>
        <v/>
      </c>
      <c r="D31" s="69">
        <f>IF('Final Calculation Sheet'!$B$21="","",'Final Calculation Sheet'!$B$21)</f>
        <v/>
      </c>
      <c r="E31" s="69">
        <f>IF('Final Calculation Sheet'!$D$21="","",'Final Calculation Sheet'!$D$21)</f>
        <v/>
      </c>
      <c r="F31" s="69">
        <f>IF('Final Calculation Sheet'!$A$21="","",'Final Calculation Sheet'!$A$21)</f>
        <v/>
      </c>
      <c r="G31" s="69">
        <f>IF('Final Calculation Sheet'!$E$21="","",'Final Calculation Sheet'!$E$21)</f>
        <v/>
      </c>
      <c r="H31" s="70">
        <f>IF('Final Calculation Sheet'!$C$21="","",'Final Calculation Sheet'!$C$21)</f>
        <v/>
      </c>
      <c r="I31" s="70">
        <f>IF('Final Calculation Sheet'!$H$21="","",'Final Calculation Sheet'!$H$21)</f>
        <v/>
      </c>
      <c r="J31" s="70">
        <f>IF('Final Calculation Sheet'!$I$21="","",'Final Calculation Sheet'!$I$21)</f>
        <v/>
      </c>
      <c r="K31" s="70">
        <f>IF('Final Calculation Sheet'!$J$21="","",'Final Calculation Sheet'!$J$21)</f>
        <v/>
      </c>
      <c r="L31" s="70">
        <f>IF('Final Calculation Sheet'!$K$21="","",'Final Calculation Sheet'!$K$21)</f>
        <v/>
      </c>
      <c r="M31" s="70">
        <f>IF('Final Calculation Sheet'!$L$21="","",'Final Calculation Sheet'!$L$21)</f>
        <v/>
      </c>
      <c r="N31" s="70">
        <f>IF('Final Calculation Sheet'!$M$21="","",'Final Calculation Sheet'!$M$21)</f>
        <v/>
      </c>
      <c r="O31" s="71">
        <f>IF('Final Calculation Sheet'!$N$21="","",'Final Calculation Sheet'!$N$21)</f>
        <v/>
      </c>
      <c r="P31" s="70">
        <f>IF('Final Calculation Sheet'!$O$21="","",'Final Calculation Sheet'!$O$21)</f>
        <v/>
      </c>
      <c r="Q31" s="70">
        <f>IF('Final Calculation Sheet'!$P$21="","",'Final Calculation Sheet'!$P$21)</f>
        <v/>
      </c>
      <c r="R31" s="72">
        <f>IF('Final Calculation Sheet'!$Q$21="","",'Final Calculation Sheet'!$Q$21)</f>
        <v/>
      </c>
      <c r="S31" s="70">
        <f>IF('Final Calculation Sheet'!$R$21="","",'Final Calculation Sheet'!$R$21)</f>
        <v/>
      </c>
      <c r="T31" s="70">
        <f>IF('Final Calculation Sheet'!$S$21="","",'Final Calculation Sheet'!$S$21)</f>
        <v/>
      </c>
      <c r="U31" s="70">
        <f>IF('Final Calculation Sheet'!$T$21="","",'Final Calculation Sheet'!$T$21)</f>
        <v/>
      </c>
      <c r="V31" s="73">
        <f>IF('Final Calculation Sheet'!$U$21="","",'Final Calculation Sheet'!$U$21)</f>
        <v/>
      </c>
      <c r="W31" s="70">
        <f>IF('Final Calculation Sheet'!$V$21="","",'Final Calculation Sheet'!$V$21)</f>
        <v/>
      </c>
      <c r="X31" s="70">
        <f>IF('Final Calculation Sheet'!$W$21="","",'Final Calculation Sheet'!$W$21)</f>
        <v/>
      </c>
      <c r="Y31" s="70">
        <f>IF('Final Calculation Sheet'!$X$21="","",'Final Calculation Sheet'!$X$21)</f>
        <v/>
      </c>
      <c r="Z31" s="70">
        <f>IF('Final Calculation Sheet'!$Y$21="","",'Final Calculation Sheet'!$Y$21)</f>
        <v/>
      </c>
      <c r="AA31" s="70">
        <f>IF('Final Calculation Sheet'!$Z$21="","",'Final Calculation Sheet'!$Z$21)</f>
        <v/>
      </c>
      <c r="AB31" s="70">
        <f>IF('Final Calculation Sheet'!$AA$21="","",'Final Calculation Sheet'!$AA$21)</f>
        <v/>
      </c>
      <c r="AC31" s="70">
        <f>IF('Final Calculation Sheet'!$AB$21="","",'Final Calculation Sheet'!$AB$21)</f>
        <v/>
      </c>
      <c r="AD31" s="70">
        <f>IF('Final Calculation Sheet'!$AC$21="","",'Final Calculation Sheet'!$AC$21)</f>
        <v/>
      </c>
      <c r="AE31" s="70">
        <f>IF('Final Calculation Sheet'!$AD$21="","",'Final Calculation Sheet'!$AD$21)</f>
        <v/>
      </c>
      <c r="AF31" s="70">
        <f>IF('Final Calculation Sheet'!$AE$21="","",'Final Calculation Sheet'!$AE$21)</f>
        <v/>
      </c>
      <c r="AG31" s="74">
        <f>IF('Final Calculation Sheet'!$AF$21="","",'Final Calculation Sheet'!$AF$21)</f>
        <v/>
      </c>
      <c r="AH31" s="70">
        <f>IF('Final Calculation Sheet'!$AG$21="","",'Final Calculation Sheet'!$AG$21)</f>
        <v/>
      </c>
      <c r="AI31" s="75">
        <f>IF('Final Calculation Sheet'!$AD$21="","",IF('Final Calculation Sheet'!$AD$21&lt;=0,"SETTLED","OUTSTANDING"))</f>
        <v/>
      </c>
    </row>
    <row r="32" ht="15" customHeight="1" s="77">
      <c r="A32" s="84" t="inlineStr">
        <is>
          <t>∑</t>
        </is>
      </c>
      <c r="B32" s="85" t="n"/>
      <c r="C32" s="85">
        <f>ROWS($C$31:$C$31)&amp;" lot(s)"</f>
        <v/>
      </c>
      <c r="D32" s="85" t="inlineStr">
        <is>
          <t>SUBTOTAL — NATIONAL SCRAP AND BUILDING MATERIAL SUPPLIER</t>
        </is>
      </c>
      <c r="E32" s="85" t="inlineStr">
        <is>
          <t>–</t>
        </is>
      </c>
      <c r="F32" s="85">
        <f>SUM(F31:F31)</f>
        <v/>
      </c>
      <c r="G32" s="85" t="inlineStr">
        <is>
          <t>–</t>
        </is>
      </c>
      <c r="H32" s="86" t="inlineStr">
        <is>
          <t>–</t>
        </is>
      </c>
      <c r="I32" s="86">
        <f>SUM(I31:I31)</f>
        <v/>
      </c>
      <c r="J32" s="86">
        <f>SUM(J31:J31)</f>
        <v/>
      </c>
      <c r="K32" s="86">
        <f>SUM(K31:K31)</f>
        <v/>
      </c>
      <c r="L32" s="86">
        <f>SUM(L31:L31)</f>
        <v/>
      </c>
      <c r="M32" s="86">
        <f>SUM(M31:M31)</f>
        <v/>
      </c>
      <c r="N32" s="86">
        <f>SUM(N31:N31)</f>
        <v/>
      </c>
      <c r="O32" s="87">
        <f>SUM(O31:O31)</f>
        <v/>
      </c>
      <c r="P32" s="86">
        <f>SUM(P31:P31)</f>
        <v/>
      </c>
      <c r="Q32" s="86">
        <f>SUM(Q31:Q31)</f>
        <v/>
      </c>
      <c r="R32" s="88" t="inlineStr">
        <is>
          <t>–</t>
        </is>
      </c>
      <c r="S32" s="86">
        <f>SUM(S31:S31)</f>
        <v/>
      </c>
      <c r="T32" s="86">
        <f>SUM(T31:T31)</f>
        <v/>
      </c>
      <c r="U32" s="86">
        <f>SUM(U31:U31)</f>
        <v/>
      </c>
      <c r="V32" s="89">
        <f>SUM(V31:V31)</f>
        <v/>
      </c>
      <c r="W32" s="86" t="inlineStr">
        <is>
          <t>–</t>
        </is>
      </c>
      <c r="X32" s="86">
        <f>SUM(X31:X31)</f>
        <v/>
      </c>
      <c r="Y32" s="86">
        <f>SUM(Y31:Y31)</f>
        <v/>
      </c>
      <c r="Z32" s="86" t="inlineStr">
        <is>
          <t>–</t>
        </is>
      </c>
      <c r="AA32" s="86">
        <f>SUM(AA31:AA31)</f>
        <v/>
      </c>
      <c r="AB32" s="86">
        <f>SUM(AB31:AB31)</f>
        <v/>
      </c>
      <c r="AC32" s="86" t="inlineStr">
        <is>
          <t>–</t>
        </is>
      </c>
      <c r="AD32" s="86">
        <f>SUM(AD31:AD31)</f>
        <v/>
      </c>
      <c r="AE32" s="86">
        <f>SUM(AE31:AE31)</f>
        <v/>
      </c>
      <c r="AF32" s="86" t="inlineStr">
        <is>
          <t>–</t>
        </is>
      </c>
      <c r="AG32" s="90" t="inlineStr">
        <is>
          <t>–</t>
        </is>
      </c>
      <c r="AH32" s="86" t="inlineStr">
        <is>
          <t>–</t>
        </is>
      </c>
      <c r="AI32" s="91">
        <f>IF(AE32&lt;=0,"SETTLED","OUTSTANDING")</f>
        <v/>
      </c>
    </row>
    <row r="33" ht="15" customHeight="1" s="77">
      <c r="A33" s="67" t="n">
        <v>1</v>
      </c>
      <c r="B33" s="68">
        <f>IF('Final Calculation Sheet'!$F$8="","",'Final Calculation Sheet'!$F$8)</f>
        <v/>
      </c>
      <c r="C33" s="68">
        <f>IF('Final Calculation Sheet'!$G$8="","",'Final Calculation Sheet'!$G$8)</f>
        <v/>
      </c>
      <c r="D33" s="69">
        <f>IF('Final Calculation Sheet'!$B$8="","",'Final Calculation Sheet'!$B$8)</f>
        <v/>
      </c>
      <c r="E33" s="69">
        <f>IF('Final Calculation Sheet'!$D$8="","",'Final Calculation Sheet'!$D$8)</f>
        <v/>
      </c>
      <c r="F33" s="69">
        <f>IF('Final Calculation Sheet'!$A$8="","",'Final Calculation Sheet'!$A$8)</f>
        <v/>
      </c>
      <c r="G33" s="69">
        <f>IF('Final Calculation Sheet'!$E$8="","",'Final Calculation Sheet'!$E$8)</f>
        <v/>
      </c>
      <c r="H33" s="70">
        <f>IF('Final Calculation Sheet'!$C$8="","",'Final Calculation Sheet'!$C$8)</f>
        <v/>
      </c>
      <c r="I33" s="70">
        <f>IF('Final Calculation Sheet'!$H$8="","",'Final Calculation Sheet'!$H$8)</f>
        <v/>
      </c>
      <c r="J33" s="70">
        <f>IF('Final Calculation Sheet'!$I$8="","",'Final Calculation Sheet'!$I$8)</f>
        <v/>
      </c>
      <c r="K33" s="70">
        <f>IF('Final Calculation Sheet'!$J$8="","",'Final Calculation Sheet'!$J$8)</f>
        <v/>
      </c>
      <c r="L33" s="70">
        <f>IF('Final Calculation Sheet'!$K$8="","",'Final Calculation Sheet'!$K$8)</f>
        <v/>
      </c>
      <c r="M33" s="70">
        <f>IF('Final Calculation Sheet'!$L$8="","",'Final Calculation Sheet'!$L$8)</f>
        <v/>
      </c>
      <c r="N33" s="70">
        <f>IF('Final Calculation Sheet'!$M$8="","",'Final Calculation Sheet'!$M$8)</f>
        <v/>
      </c>
      <c r="O33" s="71">
        <f>IF('Final Calculation Sheet'!$N$8="","",'Final Calculation Sheet'!$N$8)</f>
        <v/>
      </c>
      <c r="P33" s="70">
        <f>IF('Final Calculation Sheet'!$O$8="","",'Final Calculation Sheet'!$O$8)</f>
        <v/>
      </c>
      <c r="Q33" s="70">
        <f>IF('Final Calculation Sheet'!$P$8="","",'Final Calculation Sheet'!$P$8)</f>
        <v/>
      </c>
      <c r="R33" s="72">
        <f>IF('Final Calculation Sheet'!$Q$8="","",'Final Calculation Sheet'!$Q$8)</f>
        <v/>
      </c>
      <c r="S33" s="70">
        <f>IF('Final Calculation Sheet'!$R$8="","",'Final Calculation Sheet'!$R$8)</f>
        <v/>
      </c>
      <c r="T33" s="70">
        <f>IF('Final Calculation Sheet'!$S$8="","",'Final Calculation Sheet'!$S$8)</f>
        <v/>
      </c>
      <c r="U33" s="70">
        <f>IF('Final Calculation Sheet'!$T$8="","",'Final Calculation Sheet'!$T$8)</f>
        <v/>
      </c>
      <c r="V33" s="73">
        <f>IF('Final Calculation Sheet'!$U$8="","",'Final Calculation Sheet'!$U$8)</f>
        <v/>
      </c>
      <c r="W33" s="70">
        <f>IF('Final Calculation Sheet'!$V$8="","",'Final Calculation Sheet'!$V$8)</f>
        <v/>
      </c>
      <c r="X33" s="70">
        <f>IF('Final Calculation Sheet'!$W$8="","",'Final Calculation Sheet'!$W$8)</f>
        <v/>
      </c>
      <c r="Y33" s="70">
        <f>IF('Final Calculation Sheet'!$X$8="","",'Final Calculation Sheet'!$X$8)</f>
        <v/>
      </c>
      <c r="Z33" s="70">
        <f>IF('Final Calculation Sheet'!$Y$8="","",'Final Calculation Sheet'!$Y$8)</f>
        <v/>
      </c>
      <c r="AA33" s="70">
        <f>IF('Final Calculation Sheet'!$Z$8="","",'Final Calculation Sheet'!$Z$8)</f>
        <v/>
      </c>
      <c r="AB33" s="70">
        <f>IF('Final Calculation Sheet'!$AA$8="","",'Final Calculation Sheet'!$AA$8)</f>
        <v/>
      </c>
      <c r="AC33" s="70">
        <f>IF('Final Calculation Sheet'!$AB$8="","",'Final Calculation Sheet'!$AB$8)</f>
        <v/>
      </c>
      <c r="AD33" s="70">
        <f>IF('Final Calculation Sheet'!$AC$8="","",'Final Calculation Sheet'!$AC$8)</f>
        <v/>
      </c>
      <c r="AE33" s="70">
        <f>IF('Final Calculation Sheet'!$AD$8="","",'Final Calculation Sheet'!$AD$8)</f>
        <v/>
      </c>
      <c r="AF33" s="70">
        <f>IF('Final Calculation Sheet'!$AE$8="","",'Final Calculation Sheet'!$AE$8)</f>
        <v/>
      </c>
      <c r="AG33" s="74">
        <f>IF('Final Calculation Sheet'!$AF$8="","",'Final Calculation Sheet'!$AF$8)</f>
        <v/>
      </c>
      <c r="AH33" s="70">
        <f>IF('Final Calculation Sheet'!$AG$8="","",'Final Calculation Sheet'!$AG$8)</f>
        <v/>
      </c>
      <c r="AI33" s="75">
        <f>IF('Final Calculation Sheet'!$AD$8="","",IF('Final Calculation Sheet'!$AD$8&lt;=0,"SETTLED","OUTSTANDING"))</f>
        <v/>
      </c>
    </row>
    <row r="34" ht="15" customHeight="1" s="77">
      <c r="A34" s="67" t="n">
        <v>2</v>
      </c>
      <c r="B34" s="68">
        <f>IF('Final Calculation Sheet'!$F$20="","",'Final Calculation Sheet'!$F$20)</f>
        <v/>
      </c>
      <c r="C34" s="68">
        <f>IF('Final Calculation Sheet'!$G$20="","",'Final Calculation Sheet'!$G$20)</f>
        <v/>
      </c>
      <c r="D34" s="69">
        <f>IF('Final Calculation Sheet'!$B$20="","",'Final Calculation Sheet'!$B$20)</f>
        <v/>
      </c>
      <c r="E34" s="69">
        <f>IF('Final Calculation Sheet'!$D$20="","",'Final Calculation Sheet'!$D$20)</f>
        <v/>
      </c>
      <c r="F34" s="69">
        <f>IF('Final Calculation Sheet'!$A$20="","",'Final Calculation Sheet'!$A$20)</f>
        <v/>
      </c>
      <c r="G34" s="69">
        <f>IF('Final Calculation Sheet'!$E$20="","",'Final Calculation Sheet'!$E$20)</f>
        <v/>
      </c>
      <c r="H34" s="70">
        <f>IF('Final Calculation Sheet'!$C$20="","",'Final Calculation Sheet'!$C$20)</f>
        <v/>
      </c>
      <c r="I34" s="70">
        <f>IF('Final Calculation Sheet'!$H$20="","",'Final Calculation Sheet'!$H$20)</f>
        <v/>
      </c>
      <c r="J34" s="70">
        <f>IF('Final Calculation Sheet'!$I$20="","",'Final Calculation Sheet'!$I$20)</f>
        <v/>
      </c>
      <c r="K34" s="70">
        <f>IF('Final Calculation Sheet'!$J$20="","",'Final Calculation Sheet'!$J$20)</f>
        <v/>
      </c>
      <c r="L34" s="70">
        <f>IF('Final Calculation Sheet'!$K$20="","",'Final Calculation Sheet'!$K$20)</f>
        <v/>
      </c>
      <c r="M34" s="70">
        <f>IF('Final Calculation Sheet'!$L$20="","",'Final Calculation Sheet'!$L$20)</f>
        <v/>
      </c>
      <c r="N34" s="70">
        <f>IF('Final Calculation Sheet'!$M$20="","",'Final Calculation Sheet'!$M$20)</f>
        <v/>
      </c>
      <c r="O34" s="71">
        <f>IF('Final Calculation Sheet'!$N$20="","",'Final Calculation Sheet'!$N$20)</f>
        <v/>
      </c>
      <c r="P34" s="70">
        <f>IF('Final Calculation Sheet'!$O$20="","",'Final Calculation Sheet'!$O$20)</f>
        <v/>
      </c>
      <c r="Q34" s="70">
        <f>IF('Final Calculation Sheet'!$P$20="","",'Final Calculation Sheet'!$P$20)</f>
        <v/>
      </c>
      <c r="R34" s="72">
        <f>IF('Final Calculation Sheet'!$Q$20="","",'Final Calculation Sheet'!$Q$20)</f>
        <v/>
      </c>
      <c r="S34" s="70">
        <f>IF('Final Calculation Sheet'!$R$20="","",'Final Calculation Sheet'!$R$20)</f>
        <v/>
      </c>
      <c r="T34" s="70">
        <f>IF('Final Calculation Sheet'!$S$20="","",'Final Calculation Sheet'!$S$20)</f>
        <v/>
      </c>
      <c r="U34" s="70">
        <f>IF('Final Calculation Sheet'!$T$20="","",'Final Calculation Sheet'!$T$20)</f>
        <v/>
      </c>
      <c r="V34" s="73">
        <f>IF('Final Calculation Sheet'!$U$20="","",'Final Calculation Sheet'!$U$20)</f>
        <v/>
      </c>
      <c r="W34" s="70">
        <f>IF('Final Calculation Sheet'!$V$20="","",'Final Calculation Sheet'!$V$20)</f>
        <v/>
      </c>
      <c r="X34" s="70">
        <f>IF('Final Calculation Sheet'!$W$20="","",'Final Calculation Sheet'!$W$20)</f>
        <v/>
      </c>
      <c r="Y34" s="70">
        <f>IF('Final Calculation Sheet'!$X$20="","",'Final Calculation Sheet'!$X$20)</f>
        <v/>
      </c>
      <c r="Z34" s="70">
        <f>IF('Final Calculation Sheet'!$Y$20="","",'Final Calculation Sheet'!$Y$20)</f>
        <v/>
      </c>
      <c r="AA34" s="70">
        <f>IF('Final Calculation Sheet'!$Z$20="","",'Final Calculation Sheet'!$Z$20)</f>
        <v/>
      </c>
      <c r="AB34" s="70">
        <f>IF('Final Calculation Sheet'!$AA$20="","",'Final Calculation Sheet'!$AA$20)</f>
        <v/>
      </c>
      <c r="AC34" s="70">
        <f>IF('Final Calculation Sheet'!$AB$20="","",'Final Calculation Sheet'!$AB$20)</f>
        <v/>
      </c>
      <c r="AD34" s="70">
        <f>IF('Final Calculation Sheet'!$AC$20="","",'Final Calculation Sheet'!$AC$20)</f>
        <v/>
      </c>
      <c r="AE34" s="70">
        <f>IF('Final Calculation Sheet'!$AD$20="","",'Final Calculation Sheet'!$AD$20)</f>
        <v/>
      </c>
      <c r="AF34" s="70">
        <f>IF('Final Calculation Sheet'!$AE$20="","",'Final Calculation Sheet'!$AE$20)</f>
        <v/>
      </c>
      <c r="AG34" s="74">
        <f>IF('Final Calculation Sheet'!$AF$20="","",'Final Calculation Sheet'!$AF$20)</f>
        <v/>
      </c>
      <c r="AH34" s="70">
        <f>IF('Final Calculation Sheet'!$AG$20="","",'Final Calculation Sheet'!$AG$20)</f>
        <v/>
      </c>
      <c r="AI34" s="75">
        <f>IF('Final Calculation Sheet'!$AD$20="","",IF('Final Calculation Sheet'!$AD$20&lt;=0,"SETTLED","OUTSTANDING"))</f>
        <v/>
      </c>
    </row>
    <row r="35" ht="15" customHeight="1" s="77">
      <c r="A35" s="84" t="inlineStr">
        <is>
          <t>∑</t>
        </is>
      </c>
      <c r="B35" s="85" t="n"/>
      <c r="C35" s="85">
        <f>ROWS($C$33:$C$34)&amp;" lot(s)"</f>
        <v/>
      </c>
      <c r="D35" s="85" t="inlineStr">
        <is>
          <t>SUBTOTAL — OMKAR STEELS</t>
        </is>
      </c>
      <c r="E35" s="85" t="inlineStr">
        <is>
          <t>–</t>
        </is>
      </c>
      <c r="F35" s="85">
        <f>SUM(F33:F34)</f>
        <v/>
      </c>
      <c r="G35" s="85" t="inlineStr">
        <is>
          <t>–</t>
        </is>
      </c>
      <c r="H35" s="86" t="inlineStr">
        <is>
          <t>–</t>
        </is>
      </c>
      <c r="I35" s="86">
        <f>SUM(I33:I34)</f>
        <v/>
      </c>
      <c r="J35" s="86">
        <f>SUM(J33:J34)</f>
        <v/>
      </c>
      <c r="K35" s="86">
        <f>SUM(K33:K34)</f>
        <v/>
      </c>
      <c r="L35" s="86">
        <f>SUM(L33:L34)</f>
        <v/>
      </c>
      <c r="M35" s="86">
        <f>SUM(M33:M34)</f>
        <v/>
      </c>
      <c r="N35" s="86">
        <f>SUM(N33:N34)</f>
        <v/>
      </c>
      <c r="O35" s="87">
        <f>SUM(O33:O34)</f>
        <v/>
      </c>
      <c r="P35" s="86">
        <f>SUM(P33:P34)</f>
        <v/>
      </c>
      <c r="Q35" s="86">
        <f>SUM(Q33:Q34)</f>
        <v/>
      </c>
      <c r="R35" s="88" t="inlineStr">
        <is>
          <t>–</t>
        </is>
      </c>
      <c r="S35" s="86">
        <f>SUM(S33:S34)</f>
        <v/>
      </c>
      <c r="T35" s="86">
        <f>SUM(T33:T34)</f>
        <v/>
      </c>
      <c r="U35" s="86">
        <f>SUM(U33:U34)</f>
        <v/>
      </c>
      <c r="V35" s="89">
        <f>SUM(V33:V34)</f>
        <v/>
      </c>
      <c r="W35" s="86" t="inlineStr">
        <is>
          <t>–</t>
        </is>
      </c>
      <c r="X35" s="86">
        <f>SUM(X33:X34)</f>
        <v/>
      </c>
      <c r="Y35" s="86">
        <f>SUM(Y33:Y34)</f>
        <v/>
      </c>
      <c r="Z35" s="86" t="inlineStr">
        <is>
          <t>–</t>
        </is>
      </c>
      <c r="AA35" s="86">
        <f>SUM(AA33:AA34)</f>
        <v/>
      </c>
      <c r="AB35" s="86">
        <f>SUM(AB33:AB34)</f>
        <v/>
      </c>
      <c r="AC35" s="86" t="inlineStr">
        <is>
          <t>–</t>
        </is>
      </c>
      <c r="AD35" s="86">
        <f>SUM(AD33:AD34)</f>
        <v/>
      </c>
      <c r="AE35" s="86">
        <f>SUM(AE33:AE34)</f>
        <v/>
      </c>
      <c r="AF35" s="86" t="inlineStr">
        <is>
          <t>–</t>
        </is>
      </c>
      <c r="AG35" s="90" t="inlineStr">
        <is>
          <t>–</t>
        </is>
      </c>
      <c r="AH35" s="86" t="inlineStr">
        <is>
          <t>–</t>
        </is>
      </c>
      <c r="AI35" s="91">
        <f>IF(AE35&lt;=0,"SETTLED","OUTSTANDING")</f>
        <v/>
      </c>
    </row>
    <row r="36" ht="15" customHeight="1" s="77">
      <c r="A36" s="67" t="n">
        <v>1</v>
      </c>
      <c r="B36" s="68">
        <f>IF('Final Calculation Sheet'!$F$39="","",'Final Calculation Sheet'!$F$39)</f>
        <v/>
      </c>
      <c r="C36" s="68">
        <f>IF('Final Calculation Sheet'!$G$39="","",'Final Calculation Sheet'!$G$39)</f>
        <v/>
      </c>
      <c r="D36" s="69">
        <f>IF('Final Calculation Sheet'!$B$39="","",'Final Calculation Sheet'!$B$39)</f>
        <v/>
      </c>
      <c r="E36" s="69">
        <f>IF('Final Calculation Sheet'!$D$39="","",'Final Calculation Sheet'!$D$39)</f>
        <v/>
      </c>
      <c r="F36" s="69">
        <f>IF('Final Calculation Sheet'!$A$39="","",'Final Calculation Sheet'!$A$39)</f>
        <v/>
      </c>
      <c r="G36" s="69">
        <f>IF('Final Calculation Sheet'!$E$39="","",'Final Calculation Sheet'!$E$39)</f>
        <v/>
      </c>
      <c r="H36" s="70">
        <f>IF('Final Calculation Sheet'!$C$39="","",'Final Calculation Sheet'!$C$39)</f>
        <v/>
      </c>
      <c r="I36" s="70">
        <f>IF('Final Calculation Sheet'!$H$39="","",'Final Calculation Sheet'!$H$39)</f>
        <v/>
      </c>
      <c r="J36" s="70">
        <f>IF('Final Calculation Sheet'!$I$39="","",'Final Calculation Sheet'!$I$39)</f>
        <v/>
      </c>
      <c r="K36" s="70">
        <f>IF('Final Calculation Sheet'!$J$39="","",'Final Calculation Sheet'!$J$39)</f>
        <v/>
      </c>
      <c r="L36" s="70">
        <f>IF('Final Calculation Sheet'!$K$39="","",'Final Calculation Sheet'!$K$39)</f>
        <v/>
      </c>
      <c r="M36" s="70">
        <f>IF('Final Calculation Sheet'!$L$39="","",'Final Calculation Sheet'!$L$39)</f>
        <v/>
      </c>
      <c r="N36" s="70">
        <f>IF('Final Calculation Sheet'!$M$39="","",'Final Calculation Sheet'!$M$39)</f>
        <v/>
      </c>
      <c r="O36" s="71">
        <f>IF('Final Calculation Sheet'!$N$39="","",'Final Calculation Sheet'!$N$39)</f>
        <v/>
      </c>
      <c r="P36" s="70">
        <f>IF('Final Calculation Sheet'!$O$39="","",'Final Calculation Sheet'!$O$39)</f>
        <v/>
      </c>
      <c r="Q36" s="70">
        <f>IF('Final Calculation Sheet'!$P$39="","",'Final Calculation Sheet'!$P$39)</f>
        <v/>
      </c>
      <c r="R36" s="72">
        <f>IF('Final Calculation Sheet'!$Q$39="","",'Final Calculation Sheet'!$Q$39)</f>
        <v/>
      </c>
      <c r="S36" s="70">
        <f>IF('Final Calculation Sheet'!$R$39="","",'Final Calculation Sheet'!$R$39)</f>
        <v/>
      </c>
      <c r="T36" s="70">
        <f>IF('Final Calculation Sheet'!$S$39="","",'Final Calculation Sheet'!$S$39)</f>
        <v/>
      </c>
      <c r="U36" s="70">
        <f>IF('Final Calculation Sheet'!$T$39="","",'Final Calculation Sheet'!$T$39)</f>
        <v/>
      </c>
      <c r="V36" s="73">
        <f>IF('Final Calculation Sheet'!$U$39="","",'Final Calculation Sheet'!$U$39)</f>
        <v/>
      </c>
      <c r="W36" s="70">
        <f>IF('Final Calculation Sheet'!$V$39="","",'Final Calculation Sheet'!$V$39)</f>
        <v/>
      </c>
      <c r="X36" s="70">
        <f>IF('Final Calculation Sheet'!$W$39="","",'Final Calculation Sheet'!$W$39)</f>
        <v/>
      </c>
      <c r="Y36" s="70">
        <f>IF('Final Calculation Sheet'!$X$39="","",'Final Calculation Sheet'!$X$39)</f>
        <v/>
      </c>
      <c r="Z36" s="70">
        <f>IF('Final Calculation Sheet'!$Y$39="","",'Final Calculation Sheet'!$Y$39)</f>
        <v/>
      </c>
      <c r="AA36" s="70">
        <f>IF('Final Calculation Sheet'!$Z$39="","",'Final Calculation Sheet'!$Z$39)</f>
        <v/>
      </c>
      <c r="AB36" s="70">
        <f>IF('Final Calculation Sheet'!$AA$39="","",'Final Calculation Sheet'!$AA$39)</f>
        <v/>
      </c>
      <c r="AC36" s="70">
        <f>IF('Final Calculation Sheet'!$AB$39="","",'Final Calculation Sheet'!$AB$39)</f>
        <v/>
      </c>
      <c r="AD36" s="70">
        <f>IF('Final Calculation Sheet'!$AC$39="","",'Final Calculation Sheet'!$AC$39)</f>
        <v/>
      </c>
      <c r="AE36" s="70">
        <f>IF('Final Calculation Sheet'!$AD$39="","",'Final Calculation Sheet'!$AD$39)</f>
        <v/>
      </c>
      <c r="AF36" s="70">
        <f>IF('Final Calculation Sheet'!$AE$39="","",'Final Calculation Sheet'!$AE$39)</f>
        <v/>
      </c>
      <c r="AG36" s="74">
        <f>IF('Final Calculation Sheet'!$AF$39="","",'Final Calculation Sheet'!$AF$39)</f>
        <v/>
      </c>
      <c r="AH36" s="70">
        <f>IF('Final Calculation Sheet'!$AG$39="","",'Final Calculation Sheet'!$AG$39)</f>
        <v/>
      </c>
      <c r="AI36" s="75">
        <f>IF('Final Calculation Sheet'!$AD$39="","",IF('Final Calculation Sheet'!$AD$39&lt;=0,"SETTLED","OUTSTANDING"))</f>
        <v/>
      </c>
    </row>
    <row r="37" ht="15" customHeight="1" s="77">
      <c r="A37" s="67" t="n">
        <v>2</v>
      </c>
      <c r="B37" s="68">
        <f>IF('Final Calculation Sheet'!$F$40="","",'Final Calculation Sheet'!$F$40)</f>
        <v/>
      </c>
      <c r="C37" s="68">
        <f>IF('Final Calculation Sheet'!$G$40="","",'Final Calculation Sheet'!$G$40)</f>
        <v/>
      </c>
      <c r="D37" s="69">
        <f>IF('Final Calculation Sheet'!$B$40="","",'Final Calculation Sheet'!$B$40)</f>
        <v/>
      </c>
      <c r="E37" s="69">
        <f>IF('Final Calculation Sheet'!$D$40="","",'Final Calculation Sheet'!$D$40)</f>
        <v/>
      </c>
      <c r="F37" s="69">
        <f>IF('Final Calculation Sheet'!$A$40="","",'Final Calculation Sheet'!$A$40)</f>
        <v/>
      </c>
      <c r="G37" s="69">
        <f>IF('Final Calculation Sheet'!$E$40="","",'Final Calculation Sheet'!$E$40)</f>
        <v/>
      </c>
      <c r="H37" s="70">
        <f>IF('Final Calculation Sheet'!$C$40="","",'Final Calculation Sheet'!$C$40)</f>
        <v/>
      </c>
      <c r="I37" s="70">
        <f>IF('Final Calculation Sheet'!$H$40="","",'Final Calculation Sheet'!$H$40)</f>
        <v/>
      </c>
      <c r="J37" s="70">
        <f>IF('Final Calculation Sheet'!$I$40="","",'Final Calculation Sheet'!$I$40)</f>
        <v/>
      </c>
      <c r="K37" s="70">
        <f>IF('Final Calculation Sheet'!$J$40="","",'Final Calculation Sheet'!$J$40)</f>
        <v/>
      </c>
      <c r="L37" s="70">
        <f>IF('Final Calculation Sheet'!$K$40="","",'Final Calculation Sheet'!$K$40)</f>
        <v/>
      </c>
      <c r="M37" s="70">
        <f>IF('Final Calculation Sheet'!$L$40="","",'Final Calculation Sheet'!$L$40)</f>
        <v/>
      </c>
      <c r="N37" s="70">
        <f>IF('Final Calculation Sheet'!$M$40="","",'Final Calculation Sheet'!$M$40)</f>
        <v/>
      </c>
      <c r="O37" s="71">
        <f>IF('Final Calculation Sheet'!$N$40="","",'Final Calculation Sheet'!$N$40)</f>
        <v/>
      </c>
      <c r="P37" s="70">
        <f>IF('Final Calculation Sheet'!$O$40="","",'Final Calculation Sheet'!$O$40)</f>
        <v/>
      </c>
      <c r="Q37" s="70">
        <f>IF('Final Calculation Sheet'!$P$40="","",'Final Calculation Sheet'!$P$40)</f>
        <v/>
      </c>
      <c r="R37" s="72">
        <f>IF('Final Calculation Sheet'!$Q$40="","",'Final Calculation Sheet'!$Q$40)</f>
        <v/>
      </c>
      <c r="S37" s="70">
        <f>IF('Final Calculation Sheet'!$R$40="","",'Final Calculation Sheet'!$R$40)</f>
        <v/>
      </c>
      <c r="T37" s="70">
        <f>IF('Final Calculation Sheet'!$S$40="","",'Final Calculation Sheet'!$S$40)</f>
        <v/>
      </c>
      <c r="U37" s="70">
        <f>IF('Final Calculation Sheet'!$T$40="","",'Final Calculation Sheet'!$T$40)</f>
        <v/>
      </c>
      <c r="V37" s="73">
        <f>IF('Final Calculation Sheet'!$U$40="","",'Final Calculation Sheet'!$U$40)</f>
        <v/>
      </c>
      <c r="W37" s="70">
        <f>IF('Final Calculation Sheet'!$V$40="","",'Final Calculation Sheet'!$V$40)</f>
        <v/>
      </c>
      <c r="X37" s="70">
        <f>IF('Final Calculation Sheet'!$W$40="","",'Final Calculation Sheet'!$W$40)</f>
        <v/>
      </c>
      <c r="Y37" s="70">
        <f>IF('Final Calculation Sheet'!$X$40="","",'Final Calculation Sheet'!$X$40)</f>
        <v/>
      </c>
      <c r="Z37" s="70">
        <f>IF('Final Calculation Sheet'!$Y$40="","",'Final Calculation Sheet'!$Y$40)</f>
        <v/>
      </c>
      <c r="AA37" s="70">
        <f>IF('Final Calculation Sheet'!$Z$40="","",'Final Calculation Sheet'!$Z$40)</f>
        <v/>
      </c>
      <c r="AB37" s="70">
        <f>IF('Final Calculation Sheet'!$AA$40="","",'Final Calculation Sheet'!$AA$40)</f>
        <v/>
      </c>
      <c r="AC37" s="70">
        <f>IF('Final Calculation Sheet'!$AB$40="","",'Final Calculation Sheet'!$AB$40)</f>
        <v/>
      </c>
      <c r="AD37" s="70">
        <f>IF('Final Calculation Sheet'!$AC$40="","",'Final Calculation Sheet'!$AC$40)</f>
        <v/>
      </c>
      <c r="AE37" s="70">
        <f>IF('Final Calculation Sheet'!$AD$40="","",'Final Calculation Sheet'!$AD$40)</f>
        <v/>
      </c>
      <c r="AF37" s="70">
        <f>IF('Final Calculation Sheet'!$AE$40="","",'Final Calculation Sheet'!$AE$40)</f>
        <v/>
      </c>
      <c r="AG37" s="74">
        <f>IF('Final Calculation Sheet'!$AF$40="","",'Final Calculation Sheet'!$AF$40)</f>
        <v/>
      </c>
      <c r="AH37" s="70">
        <f>IF('Final Calculation Sheet'!$AG$40="","",'Final Calculation Sheet'!$AG$40)</f>
        <v/>
      </c>
      <c r="AI37" s="75">
        <f>IF('Final Calculation Sheet'!$AD$40="","",IF('Final Calculation Sheet'!$AD$40&lt;=0,"SETTLED","OUTSTANDING"))</f>
        <v/>
      </c>
    </row>
    <row r="38" ht="15" customHeight="1" s="77">
      <c r="A38" s="84" t="inlineStr">
        <is>
          <t>∑</t>
        </is>
      </c>
      <c r="B38" s="85" t="n"/>
      <c r="C38" s="85">
        <f>ROWS($C$36:$C$37)&amp;" lot(s)"</f>
        <v/>
      </c>
      <c r="D38" s="85" t="inlineStr">
        <is>
          <t>SUBTOTAL — S M ENTERPRISES</t>
        </is>
      </c>
      <c r="E38" s="85" t="inlineStr">
        <is>
          <t>–</t>
        </is>
      </c>
      <c r="F38" s="85">
        <f>SUM(F36:F37)</f>
        <v/>
      </c>
      <c r="G38" s="85" t="inlineStr">
        <is>
          <t>–</t>
        </is>
      </c>
      <c r="H38" s="86" t="inlineStr">
        <is>
          <t>–</t>
        </is>
      </c>
      <c r="I38" s="86">
        <f>SUM(I36:I37)</f>
        <v/>
      </c>
      <c r="J38" s="86">
        <f>SUM(J36:J37)</f>
        <v/>
      </c>
      <c r="K38" s="86">
        <f>SUM(K36:K37)</f>
        <v/>
      </c>
      <c r="L38" s="86">
        <f>SUM(L36:L37)</f>
        <v/>
      </c>
      <c r="M38" s="86">
        <f>SUM(M36:M37)</f>
        <v/>
      </c>
      <c r="N38" s="86">
        <f>SUM(N36:N37)</f>
        <v/>
      </c>
      <c r="O38" s="87">
        <f>SUM(O36:O37)</f>
        <v/>
      </c>
      <c r="P38" s="86">
        <f>SUM(P36:P37)</f>
        <v/>
      </c>
      <c r="Q38" s="86">
        <f>SUM(Q36:Q37)</f>
        <v/>
      </c>
      <c r="R38" s="88" t="inlineStr">
        <is>
          <t>–</t>
        </is>
      </c>
      <c r="S38" s="86">
        <f>SUM(S36:S37)</f>
        <v/>
      </c>
      <c r="T38" s="86">
        <f>SUM(T36:T37)</f>
        <v/>
      </c>
      <c r="U38" s="86">
        <f>SUM(U36:U37)</f>
        <v/>
      </c>
      <c r="V38" s="89">
        <f>SUM(V36:V37)</f>
        <v/>
      </c>
      <c r="W38" s="86" t="inlineStr">
        <is>
          <t>–</t>
        </is>
      </c>
      <c r="X38" s="86">
        <f>SUM(X36:X37)</f>
        <v/>
      </c>
      <c r="Y38" s="86">
        <f>SUM(Y36:Y37)</f>
        <v/>
      </c>
      <c r="Z38" s="86" t="inlineStr">
        <is>
          <t>–</t>
        </is>
      </c>
      <c r="AA38" s="86">
        <f>SUM(AA36:AA37)</f>
        <v/>
      </c>
      <c r="AB38" s="86">
        <f>SUM(AB36:AB37)</f>
        <v/>
      </c>
      <c r="AC38" s="86" t="inlineStr">
        <is>
          <t>–</t>
        </is>
      </c>
      <c r="AD38" s="86">
        <f>SUM(AD36:AD37)</f>
        <v/>
      </c>
      <c r="AE38" s="86">
        <f>SUM(AE36:AE37)</f>
        <v/>
      </c>
      <c r="AF38" s="86" t="inlineStr">
        <is>
          <t>–</t>
        </is>
      </c>
      <c r="AG38" s="90" t="inlineStr">
        <is>
          <t>–</t>
        </is>
      </c>
      <c r="AH38" s="86" t="inlineStr">
        <is>
          <t>–</t>
        </is>
      </c>
      <c r="AI38" s="91">
        <f>IF(AE38&lt;=0,"SETTLED","OUTSTANDING")</f>
        <v/>
      </c>
    </row>
    <row r="39" ht="15" customHeight="1" s="77">
      <c r="A39" s="67" t="n">
        <v>1</v>
      </c>
      <c r="B39" s="68">
        <f>IF('Final Calculation Sheet'!$F$31="","",'Final Calculation Sheet'!$F$31)</f>
        <v/>
      </c>
      <c r="C39" s="68">
        <f>IF('Final Calculation Sheet'!$G$31="","",'Final Calculation Sheet'!$G$31)</f>
        <v/>
      </c>
      <c r="D39" s="69">
        <f>IF('Final Calculation Sheet'!$B$31="","",'Final Calculation Sheet'!$B$31)</f>
        <v/>
      </c>
      <c r="E39" s="69">
        <f>IF('Final Calculation Sheet'!$D$31="","",'Final Calculation Sheet'!$D$31)</f>
        <v/>
      </c>
      <c r="F39" s="69">
        <f>IF('Final Calculation Sheet'!$A$31="","",'Final Calculation Sheet'!$A$31)</f>
        <v/>
      </c>
      <c r="G39" s="69">
        <f>IF('Final Calculation Sheet'!$E$31="","",'Final Calculation Sheet'!$E$31)</f>
        <v/>
      </c>
      <c r="H39" s="70">
        <f>IF('Final Calculation Sheet'!$C$31="","",'Final Calculation Sheet'!$C$31)</f>
        <v/>
      </c>
      <c r="I39" s="70">
        <f>IF('Final Calculation Sheet'!$H$31="","",'Final Calculation Sheet'!$H$31)</f>
        <v/>
      </c>
      <c r="J39" s="70">
        <f>IF('Final Calculation Sheet'!$I$31="","",'Final Calculation Sheet'!$I$31)</f>
        <v/>
      </c>
      <c r="K39" s="70">
        <f>IF('Final Calculation Sheet'!$J$31="","",'Final Calculation Sheet'!$J$31)</f>
        <v/>
      </c>
      <c r="L39" s="70">
        <f>IF('Final Calculation Sheet'!$K$31="","",'Final Calculation Sheet'!$K$31)</f>
        <v/>
      </c>
      <c r="M39" s="70">
        <f>IF('Final Calculation Sheet'!$L$31="","",'Final Calculation Sheet'!$L$31)</f>
        <v/>
      </c>
      <c r="N39" s="70">
        <f>IF('Final Calculation Sheet'!$M$31="","",'Final Calculation Sheet'!$M$31)</f>
        <v/>
      </c>
      <c r="O39" s="71">
        <f>IF('Final Calculation Sheet'!$N$31="","",'Final Calculation Sheet'!$N$31)</f>
        <v/>
      </c>
      <c r="P39" s="70">
        <f>IF('Final Calculation Sheet'!$O$31="","",'Final Calculation Sheet'!$O$31)</f>
        <v/>
      </c>
      <c r="Q39" s="70">
        <f>IF('Final Calculation Sheet'!$P$31="","",'Final Calculation Sheet'!$P$31)</f>
        <v/>
      </c>
      <c r="R39" s="72">
        <f>IF('Final Calculation Sheet'!$Q$31="","",'Final Calculation Sheet'!$Q$31)</f>
        <v/>
      </c>
      <c r="S39" s="70">
        <f>IF('Final Calculation Sheet'!$R$31="","",'Final Calculation Sheet'!$R$31)</f>
        <v/>
      </c>
      <c r="T39" s="70">
        <f>IF('Final Calculation Sheet'!$S$31="","",'Final Calculation Sheet'!$S$31)</f>
        <v/>
      </c>
      <c r="U39" s="70">
        <f>IF('Final Calculation Sheet'!$T$31="","",'Final Calculation Sheet'!$T$31)</f>
        <v/>
      </c>
      <c r="V39" s="73">
        <f>IF('Final Calculation Sheet'!$U$31="","",'Final Calculation Sheet'!$U$31)</f>
        <v/>
      </c>
      <c r="W39" s="70">
        <f>IF('Final Calculation Sheet'!$V$31="","",'Final Calculation Sheet'!$V$31)</f>
        <v/>
      </c>
      <c r="X39" s="70">
        <f>IF('Final Calculation Sheet'!$W$31="","",'Final Calculation Sheet'!$W$31)</f>
        <v/>
      </c>
      <c r="Y39" s="70">
        <f>IF('Final Calculation Sheet'!$X$31="","",'Final Calculation Sheet'!$X$31)</f>
        <v/>
      </c>
      <c r="Z39" s="70">
        <f>IF('Final Calculation Sheet'!$Y$31="","",'Final Calculation Sheet'!$Y$31)</f>
        <v/>
      </c>
      <c r="AA39" s="70">
        <f>IF('Final Calculation Sheet'!$Z$31="","",'Final Calculation Sheet'!$Z$31)</f>
        <v/>
      </c>
      <c r="AB39" s="70">
        <f>IF('Final Calculation Sheet'!$AA$31="","",'Final Calculation Sheet'!$AA$31)</f>
        <v/>
      </c>
      <c r="AC39" s="70">
        <f>IF('Final Calculation Sheet'!$AB$31="","",'Final Calculation Sheet'!$AB$31)</f>
        <v/>
      </c>
      <c r="AD39" s="70">
        <f>IF('Final Calculation Sheet'!$AC$31="","",'Final Calculation Sheet'!$AC$31)</f>
        <v/>
      </c>
      <c r="AE39" s="70">
        <f>IF('Final Calculation Sheet'!$AD$31="","",'Final Calculation Sheet'!$AD$31)</f>
        <v/>
      </c>
      <c r="AF39" s="70">
        <f>IF('Final Calculation Sheet'!$AE$31="","",'Final Calculation Sheet'!$AE$31)</f>
        <v/>
      </c>
      <c r="AG39" s="74">
        <f>IF('Final Calculation Sheet'!$AF$31="","",'Final Calculation Sheet'!$AF$31)</f>
        <v/>
      </c>
      <c r="AH39" s="70">
        <f>IF('Final Calculation Sheet'!$AG$31="","",'Final Calculation Sheet'!$AG$31)</f>
        <v/>
      </c>
      <c r="AI39" s="75">
        <f>IF('Final Calculation Sheet'!$AD$31="","",IF('Final Calculation Sheet'!$AD$31&lt;=0,"SETTLED","OUTSTANDING"))</f>
        <v/>
      </c>
    </row>
    <row r="40" ht="15" customHeight="1" s="77">
      <c r="A40" s="84" t="inlineStr">
        <is>
          <t>∑</t>
        </is>
      </c>
      <c r="B40" s="85" t="n"/>
      <c r="C40" s="85">
        <f>ROWS($C$39:$C$39)&amp;" lot(s)"</f>
        <v/>
      </c>
      <c r="D40" s="85" t="inlineStr">
        <is>
          <t>SUBTOTAL — SAHARA ENTERPRISES</t>
        </is>
      </c>
      <c r="E40" s="85" t="inlineStr">
        <is>
          <t>–</t>
        </is>
      </c>
      <c r="F40" s="85">
        <f>SUM(F39:F39)</f>
        <v/>
      </c>
      <c r="G40" s="85" t="inlineStr">
        <is>
          <t>–</t>
        </is>
      </c>
      <c r="H40" s="86" t="inlineStr">
        <is>
          <t>–</t>
        </is>
      </c>
      <c r="I40" s="86">
        <f>SUM(I39:I39)</f>
        <v/>
      </c>
      <c r="J40" s="86">
        <f>SUM(J39:J39)</f>
        <v/>
      </c>
      <c r="K40" s="86">
        <f>SUM(K39:K39)</f>
        <v/>
      </c>
      <c r="L40" s="86">
        <f>SUM(L39:L39)</f>
        <v/>
      </c>
      <c r="M40" s="86">
        <f>SUM(M39:M39)</f>
        <v/>
      </c>
      <c r="N40" s="86">
        <f>SUM(N39:N39)</f>
        <v/>
      </c>
      <c r="O40" s="87">
        <f>SUM(O39:O39)</f>
        <v/>
      </c>
      <c r="P40" s="86">
        <f>SUM(P39:P39)</f>
        <v/>
      </c>
      <c r="Q40" s="86">
        <f>SUM(Q39:Q39)</f>
        <v/>
      </c>
      <c r="R40" s="88" t="inlineStr">
        <is>
          <t>–</t>
        </is>
      </c>
      <c r="S40" s="86">
        <f>SUM(S39:S39)</f>
        <v/>
      </c>
      <c r="T40" s="86">
        <f>SUM(T39:T39)</f>
        <v/>
      </c>
      <c r="U40" s="86">
        <f>SUM(U39:U39)</f>
        <v/>
      </c>
      <c r="V40" s="89">
        <f>SUM(V39:V39)</f>
        <v/>
      </c>
      <c r="W40" s="86" t="inlineStr">
        <is>
          <t>–</t>
        </is>
      </c>
      <c r="X40" s="86">
        <f>SUM(X39:X39)</f>
        <v/>
      </c>
      <c r="Y40" s="86">
        <f>SUM(Y39:Y39)</f>
        <v/>
      </c>
      <c r="Z40" s="86" t="inlineStr">
        <is>
          <t>–</t>
        </is>
      </c>
      <c r="AA40" s="86">
        <f>SUM(AA39:AA39)</f>
        <v/>
      </c>
      <c r="AB40" s="86">
        <f>SUM(AB39:AB39)</f>
        <v/>
      </c>
      <c r="AC40" s="86" t="inlineStr">
        <is>
          <t>–</t>
        </is>
      </c>
      <c r="AD40" s="86">
        <f>SUM(AD39:AD39)</f>
        <v/>
      </c>
      <c r="AE40" s="86">
        <f>SUM(AE39:AE39)</f>
        <v/>
      </c>
      <c r="AF40" s="86" t="inlineStr">
        <is>
          <t>–</t>
        </is>
      </c>
      <c r="AG40" s="90" t="inlineStr">
        <is>
          <t>–</t>
        </is>
      </c>
      <c r="AH40" s="86" t="inlineStr">
        <is>
          <t>–</t>
        </is>
      </c>
      <c r="AI40" s="91">
        <f>IF(AE40&lt;=0,"SETTLED","OUTSTANDING")</f>
        <v/>
      </c>
    </row>
    <row r="41" ht="15" customHeight="1" s="77">
      <c r="A41" s="67" t="n">
        <v>1</v>
      </c>
      <c r="B41" s="68">
        <f>IF('Final Calculation Sheet'!$F$9="","",'Final Calculation Sheet'!$F$9)</f>
        <v/>
      </c>
      <c r="C41" s="68">
        <f>IF('Final Calculation Sheet'!$G$9="","",'Final Calculation Sheet'!$G$9)</f>
        <v/>
      </c>
      <c r="D41" s="69">
        <f>IF('Final Calculation Sheet'!$B$9="","",'Final Calculation Sheet'!$B$9)</f>
        <v/>
      </c>
      <c r="E41" s="69">
        <f>IF('Final Calculation Sheet'!$D$9="","",'Final Calculation Sheet'!$D$9)</f>
        <v/>
      </c>
      <c r="F41" s="69">
        <f>IF('Final Calculation Sheet'!$A$9="","",'Final Calculation Sheet'!$A$9)</f>
        <v/>
      </c>
      <c r="G41" s="69">
        <f>IF('Final Calculation Sheet'!$E$9="","",'Final Calculation Sheet'!$E$9)</f>
        <v/>
      </c>
      <c r="H41" s="70">
        <f>IF('Final Calculation Sheet'!$C$9="","",'Final Calculation Sheet'!$C$9)</f>
        <v/>
      </c>
      <c r="I41" s="70">
        <f>IF('Final Calculation Sheet'!$H$9="","",'Final Calculation Sheet'!$H$9)</f>
        <v/>
      </c>
      <c r="J41" s="70">
        <f>IF('Final Calculation Sheet'!$I$9="","",'Final Calculation Sheet'!$I$9)</f>
        <v/>
      </c>
      <c r="K41" s="70">
        <f>IF('Final Calculation Sheet'!$J$9="","",'Final Calculation Sheet'!$J$9)</f>
        <v/>
      </c>
      <c r="L41" s="70">
        <f>IF('Final Calculation Sheet'!$K$9="","",'Final Calculation Sheet'!$K$9)</f>
        <v/>
      </c>
      <c r="M41" s="70">
        <f>IF('Final Calculation Sheet'!$L$9="","",'Final Calculation Sheet'!$L$9)</f>
        <v/>
      </c>
      <c r="N41" s="70">
        <f>IF('Final Calculation Sheet'!$M$9="","",'Final Calculation Sheet'!$M$9)</f>
        <v/>
      </c>
      <c r="O41" s="71">
        <f>IF('Final Calculation Sheet'!$N$9="","",'Final Calculation Sheet'!$N$9)</f>
        <v/>
      </c>
      <c r="P41" s="70">
        <f>IF('Final Calculation Sheet'!$O$9="","",'Final Calculation Sheet'!$O$9)</f>
        <v/>
      </c>
      <c r="Q41" s="70">
        <f>IF('Final Calculation Sheet'!$P$9="","",'Final Calculation Sheet'!$P$9)</f>
        <v/>
      </c>
      <c r="R41" s="72">
        <f>IF('Final Calculation Sheet'!$Q$9="","",'Final Calculation Sheet'!$Q$9)</f>
        <v/>
      </c>
      <c r="S41" s="70">
        <f>IF('Final Calculation Sheet'!$R$9="","",'Final Calculation Sheet'!$R$9)</f>
        <v/>
      </c>
      <c r="T41" s="70">
        <f>IF('Final Calculation Sheet'!$S$9="","",'Final Calculation Sheet'!$S$9)</f>
        <v/>
      </c>
      <c r="U41" s="70">
        <f>IF('Final Calculation Sheet'!$T$9="","",'Final Calculation Sheet'!$T$9)</f>
        <v/>
      </c>
      <c r="V41" s="73">
        <f>IF('Final Calculation Sheet'!$U$9="","",'Final Calculation Sheet'!$U$9)</f>
        <v/>
      </c>
      <c r="W41" s="70">
        <f>IF('Final Calculation Sheet'!$V$9="","",'Final Calculation Sheet'!$V$9)</f>
        <v/>
      </c>
      <c r="X41" s="70">
        <f>IF('Final Calculation Sheet'!$W$9="","",'Final Calculation Sheet'!$W$9)</f>
        <v/>
      </c>
      <c r="Y41" s="70">
        <f>IF('Final Calculation Sheet'!$X$9="","",'Final Calculation Sheet'!$X$9)</f>
        <v/>
      </c>
      <c r="Z41" s="70">
        <f>IF('Final Calculation Sheet'!$Y$9="","",'Final Calculation Sheet'!$Y$9)</f>
        <v/>
      </c>
      <c r="AA41" s="70">
        <f>IF('Final Calculation Sheet'!$Z$9="","",'Final Calculation Sheet'!$Z$9)</f>
        <v/>
      </c>
      <c r="AB41" s="70">
        <f>IF('Final Calculation Sheet'!$AA$9="","",'Final Calculation Sheet'!$AA$9)</f>
        <v/>
      </c>
      <c r="AC41" s="70">
        <f>IF('Final Calculation Sheet'!$AB$9="","",'Final Calculation Sheet'!$AB$9)</f>
        <v/>
      </c>
      <c r="AD41" s="70">
        <f>IF('Final Calculation Sheet'!$AC$9="","",'Final Calculation Sheet'!$AC$9)</f>
        <v/>
      </c>
      <c r="AE41" s="70">
        <f>IF('Final Calculation Sheet'!$AD$9="","",'Final Calculation Sheet'!$AD$9)</f>
        <v/>
      </c>
      <c r="AF41" s="70">
        <f>IF('Final Calculation Sheet'!$AE$9="","",'Final Calculation Sheet'!$AE$9)</f>
        <v/>
      </c>
      <c r="AG41" s="74">
        <f>IF('Final Calculation Sheet'!$AF$9="","",'Final Calculation Sheet'!$AF$9)</f>
        <v/>
      </c>
      <c r="AH41" s="70">
        <f>IF('Final Calculation Sheet'!$AG$9="","",'Final Calculation Sheet'!$AG$9)</f>
        <v/>
      </c>
      <c r="AI41" s="75">
        <f>IF('Final Calculation Sheet'!$AD$9="","",IF('Final Calculation Sheet'!$AD$9&lt;=0,"SETTLED","OUTSTANDING"))</f>
        <v/>
      </c>
    </row>
    <row r="42" ht="15" customHeight="1" s="77">
      <c r="A42" s="67" t="n">
        <v>2</v>
      </c>
      <c r="B42" s="68">
        <f>IF('Final Calculation Sheet'!$F$14="","",'Final Calculation Sheet'!$F$14)</f>
        <v/>
      </c>
      <c r="C42" s="68">
        <f>IF('Final Calculation Sheet'!$G$14="","",'Final Calculation Sheet'!$G$14)</f>
        <v/>
      </c>
      <c r="D42" s="69">
        <f>IF('Final Calculation Sheet'!$B$14="","",'Final Calculation Sheet'!$B$14)</f>
        <v/>
      </c>
      <c r="E42" s="69">
        <f>IF('Final Calculation Sheet'!$D$14="","",'Final Calculation Sheet'!$D$14)</f>
        <v/>
      </c>
      <c r="F42" s="69">
        <f>IF('Final Calculation Sheet'!$A$14="","",'Final Calculation Sheet'!$A$14)</f>
        <v/>
      </c>
      <c r="G42" s="69">
        <f>IF('Final Calculation Sheet'!$E$14="","",'Final Calculation Sheet'!$E$14)</f>
        <v/>
      </c>
      <c r="H42" s="70">
        <f>IF('Final Calculation Sheet'!$C$14="","",'Final Calculation Sheet'!$C$14)</f>
        <v/>
      </c>
      <c r="I42" s="70">
        <f>IF('Final Calculation Sheet'!$H$14="","",'Final Calculation Sheet'!$H$14)</f>
        <v/>
      </c>
      <c r="J42" s="70">
        <f>IF('Final Calculation Sheet'!$I$14="","",'Final Calculation Sheet'!$I$14)</f>
        <v/>
      </c>
      <c r="K42" s="70">
        <f>IF('Final Calculation Sheet'!$J$14="","",'Final Calculation Sheet'!$J$14)</f>
        <v/>
      </c>
      <c r="L42" s="70">
        <f>IF('Final Calculation Sheet'!$K$14="","",'Final Calculation Sheet'!$K$14)</f>
        <v/>
      </c>
      <c r="M42" s="70">
        <f>IF('Final Calculation Sheet'!$L$14="","",'Final Calculation Sheet'!$L$14)</f>
        <v/>
      </c>
      <c r="N42" s="70">
        <f>IF('Final Calculation Sheet'!$M$14="","",'Final Calculation Sheet'!$M$14)</f>
        <v/>
      </c>
      <c r="O42" s="71">
        <f>IF('Final Calculation Sheet'!$N$14="","",'Final Calculation Sheet'!$N$14)</f>
        <v/>
      </c>
      <c r="P42" s="70">
        <f>IF('Final Calculation Sheet'!$O$14="","",'Final Calculation Sheet'!$O$14)</f>
        <v/>
      </c>
      <c r="Q42" s="70">
        <f>IF('Final Calculation Sheet'!$P$14="","",'Final Calculation Sheet'!$P$14)</f>
        <v/>
      </c>
      <c r="R42" s="72">
        <f>IF('Final Calculation Sheet'!$Q$14="","",'Final Calculation Sheet'!$Q$14)</f>
        <v/>
      </c>
      <c r="S42" s="70">
        <f>IF('Final Calculation Sheet'!$R$14="","",'Final Calculation Sheet'!$R$14)</f>
        <v/>
      </c>
      <c r="T42" s="70">
        <f>IF('Final Calculation Sheet'!$S$14="","",'Final Calculation Sheet'!$S$14)</f>
        <v/>
      </c>
      <c r="U42" s="70">
        <f>IF('Final Calculation Sheet'!$T$14="","",'Final Calculation Sheet'!$T$14)</f>
        <v/>
      </c>
      <c r="V42" s="73">
        <f>IF('Final Calculation Sheet'!$U$14="","",'Final Calculation Sheet'!$U$14)</f>
        <v/>
      </c>
      <c r="W42" s="70">
        <f>IF('Final Calculation Sheet'!$V$14="","",'Final Calculation Sheet'!$V$14)</f>
        <v/>
      </c>
      <c r="X42" s="70">
        <f>IF('Final Calculation Sheet'!$W$14="","",'Final Calculation Sheet'!$W$14)</f>
        <v/>
      </c>
      <c r="Y42" s="70">
        <f>IF('Final Calculation Sheet'!$X$14="","",'Final Calculation Sheet'!$X$14)</f>
        <v/>
      </c>
      <c r="Z42" s="70">
        <f>IF('Final Calculation Sheet'!$Y$14="","",'Final Calculation Sheet'!$Y$14)</f>
        <v/>
      </c>
      <c r="AA42" s="70">
        <f>IF('Final Calculation Sheet'!$Z$14="","",'Final Calculation Sheet'!$Z$14)</f>
        <v/>
      </c>
      <c r="AB42" s="70">
        <f>IF('Final Calculation Sheet'!$AA$14="","",'Final Calculation Sheet'!$AA$14)</f>
        <v/>
      </c>
      <c r="AC42" s="70">
        <f>IF('Final Calculation Sheet'!$AB$14="","",'Final Calculation Sheet'!$AB$14)</f>
        <v/>
      </c>
      <c r="AD42" s="70">
        <f>IF('Final Calculation Sheet'!$AC$14="","",'Final Calculation Sheet'!$AC$14)</f>
        <v/>
      </c>
      <c r="AE42" s="70">
        <f>IF('Final Calculation Sheet'!$AD$14="","",'Final Calculation Sheet'!$AD$14)</f>
        <v/>
      </c>
      <c r="AF42" s="70">
        <f>IF('Final Calculation Sheet'!$AE$14="","",'Final Calculation Sheet'!$AE$14)</f>
        <v/>
      </c>
      <c r="AG42" s="74">
        <f>IF('Final Calculation Sheet'!$AF$14="","",'Final Calculation Sheet'!$AF$14)</f>
        <v/>
      </c>
      <c r="AH42" s="70">
        <f>IF('Final Calculation Sheet'!$AG$14="","",'Final Calculation Sheet'!$AG$14)</f>
        <v/>
      </c>
      <c r="AI42" s="75">
        <f>IF('Final Calculation Sheet'!$AD$14="","",IF('Final Calculation Sheet'!$AD$14&lt;=0,"SETTLED","OUTSTANDING"))</f>
        <v/>
      </c>
    </row>
    <row r="43" ht="15" customHeight="1" s="77">
      <c r="A43" s="84" t="inlineStr">
        <is>
          <t>∑</t>
        </is>
      </c>
      <c r="B43" s="85" t="n"/>
      <c r="C43" s="85">
        <f>ROWS($C$41:$C$42)&amp;" lot(s)"</f>
        <v/>
      </c>
      <c r="D43" s="85" t="inlineStr">
        <is>
          <t>SUBTOTAL — SHAR JAHAN TRADERS</t>
        </is>
      </c>
      <c r="E43" s="85" t="inlineStr">
        <is>
          <t>–</t>
        </is>
      </c>
      <c r="F43" s="85">
        <f>SUM(F41:F42)</f>
        <v/>
      </c>
      <c r="G43" s="85" t="inlineStr">
        <is>
          <t>–</t>
        </is>
      </c>
      <c r="H43" s="86" t="inlineStr">
        <is>
          <t>–</t>
        </is>
      </c>
      <c r="I43" s="86">
        <f>SUM(I41:I42)</f>
        <v/>
      </c>
      <c r="J43" s="86">
        <f>SUM(J41:J42)</f>
        <v/>
      </c>
      <c r="K43" s="86">
        <f>SUM(K41:K42)</f>
        <v/>
      </c>
      <c r="L43" s="86">
        <f>SUM(L41:L42)</f>
        <v/>
      </c>
      <c r="M43" s="86">
        <f>SUM(M41:M42)</f>
        <v/>
      </c>
      <c r="N43" s="86">
        <f>SUM(N41:N42)</f>
        <v/>
      </c>
      <c r="O43" s="87">
        <f>SUM(O41:O42)</f>
        <v/>
      </c>
      <c r="P43" s="86">
        <f>SUM(P41:P42)</f>
        <v/>
      </c>
      <c r="Q43" s="86">
        <f>SUM(Q41:Q42)</f>
        <v/>
      </c>
      <c r="R43" s="88" t="inlineStr">
        <is>
          <t>–</t>
        </is>
      </c>
      <c r="S43" s="86">
        <f>SUM(S41:S42)</f>
        <v/>
      </c>
      <c r="T43" s="86">
        <f>SUM(T41:T42)</f>
        <v/>
      </c>
      <c r="U43" s="86">
        <f>SUM(U41:U42)</f>
        <v/>
      </c>
      <c r="V43" s="89">
        <f>SUM(V41:V42)</f>
        <v/>
      </c>
      <c r="W43" s="86" t="inlineStr">
        <is>
          <t>–</t>
        </is>
      </c>
      <c r="X43" s="86">
        <f>SUM(X41:X42)</f>
        <v/>
      </c>
      <c r="Y43" s="86">
        <f>SUM(Y41:Y42)</f>
        <v/>
      </c>
      <c r="Z43" s="86" t="inlineStr">
        <is>
          <t>–</t>
        </is>
      </c>
      <c r="AA43" s="86">
        <f>SUM(AA41:AA42)</f>
        <v/>
      </c>
      <c r="AB43" s="86">
        <f>SUM(AB41:AB42)</f>
        <v/>
      </c>
      <c r="AC43" s="86" t="inlineStr">
        <is>
          <t>–</t>
        </is>
      </c>
      <c r="AD43" s="86">
        <f>SUM(AD41:AD42)</f>
        <v/>
      </c>
      <c r="AE43" s="86">
        <f>SUM(AE41:AE42)</f>
        <v/>
      </c>
      <c r="AF43" s="86" t="inlineStr">
        <is>
          <t>–</t>
        </is>
      </c>
      <c r="AG43" s="90" t="inlineStr">
        <is>
          <t>–</t>
        </is>
      </c>
      <c r="AH43" s="86" t="inlineStr">
        <is>
          <t>–</t>
        </is>
      </c>
      <c r="AI43" s="91">
        <f>IF(AE43&lt;=0,"SETTLED","OUTSTANDING")</f>
        <v/>
      </c>
    </row>
    <row r="44" ht="15" customHeight="1" s="77">
      <c r="A44" s="67" t="n">
        <v>1</v>
      </c>
      <c r="B44" s="68">
        <f>IF('Final Calculation Sheet'!$F$13="","",'Final Calculation Sheet'!$F$13)</f>
        <v/>
      </c>
      <c r="C44" s="68">
        <f>IF('Final Calculation Sheet'!$G$13="","",'Final Calculation Sheet'!$G$13)</f>
        <v/>
      </c>
      <c r="D44" s="69">
        <f>IF('Final Calculation Sheet'!$B$13="","",'Final Calculation Sheet'!$B$13)</f>
        <v/>
      </c>
      <c r="E44" s="69">
        <f>IF('Final Calculation Sheet'!$D$13="","",'Final Calculation Sheet'!$D$13)</f>
        <v/>
      </c>
      <c r="F44" s="69">
        <f>IF('Final Calculation Sheet'!$A$13="","",'Final Calculation Sheet'!$A$13)</f>
        <v/>
      </c>
      <c r="G44" s="69">
        <f>IF('Final Calculation Sheet'!$E$13="","",'Final Calculation Sheet'!$E$13)</f>
        <v/>
      </c>
      <c r="H44" s="70">
        <f>IF('Final Calculation Sheet'!$C$13="","",'Final Calculation Sheet'!$C$13)</f>
        <v/>
      </c>
      <c r="I44" s="70">
        <f>IF('Final Calculation Sheet'!$H$13="","",'Final Calculation Sheet'!$H$13)</f>
        <v/>
      </c>
      <c r="J44" s="70">
        <f>IF('Final Calculation Sheet'!$I$13="","",'Final Calculation Sheet'!$I$13)</f>
        <v/>
      </c>
      <c r="K44" s="70">
        <f>IF('Final Calculation Sheet'!$J$13="","",'Final Calculation Sheet'!$J$13)</f>
        <v/>
      </c>
      <c r="L44" s="70">
        <f>IF('Final Calculation Sheet'!$K$13="","",'Final Calculation Sheet'!$K$13)</f>
        <v/>
      </c>
      <c r="M44" s="70">
        <f>IF('Final Calculation Sheet'!$L$13="","",'Final Calculation Sheet'!$L$13)</f>
        <v/>
      </c>
      <c r="N44" s="70">
        <f>IF('Final Calculation Sheet'!$M$13="","",'Final Calculation Sheet'!$M$13)</f>
        <v/>
      </c>
      <c r="O44" s="71">
        <f>IF('Final Calculation Sheet'!$N$13="","",'Final Calculation Sheet'!$N$13)</f>
        <v/>
      </c>
      <c r="P44" s="70">
        <f>IF('Final Calculation Sheet'!$O$13="","",'Final Calculation Sheet'!$O$13)</f>
        <v/>
      </c>
      <c r="Q44" s="70">
        <f>IF('Final Calculation Sheet'!$P$13="","",'Final Calculation Sheet'!$P$13)</f>
        <v/>
      </c>
      <c r="R44" s="72">
        <f>IF('Final Calculation Sheet'!$Q$13="","",'Final Calculation Sheet'!$Q$13)</f>
        <v/>
      </c>
      <c r="S44" s="70">
        <f>IF('Final Calculation Sheet'!$R$13="","",'Final Calculation Sheet'!$R$13)</f>
        <v/>
      </c>
      <c r="T44" s="70">
        <f>IF('Final Calculation Sheet'!$S$13="","",'Final Calculation Sheet'!$S$13)</f>
        <v/>
      </c>
      <c r="U44" s="70">
        <f>IF('Final Calculation Sheet'!$T$13="","",'Final Calculation Sheet'!$T$13)</f>
        <v/>
      </c>
      <c r="V44" s="73">
        <f>IF('Final Calculation Sheet'!$U$13="","",'Final Calculation Sheet'!$U$13)</f>
        <v/>
      </c>
      <c r="W44" s="70">
        <f>IF('Final Calculation Sheet'!$V$13="","",'Final Calculation Sheet'!$V$13)</f>
        <v/>
      </c>
      <c r="X44" s="70">
        <f>IF('Final Calculation Sheet'!$W$13="","",'Final Calculation Sheet'!$W$13)</f>
        <v/>
      </c>
      <c r="Y44" s="70">
        <f>IF('Final Calculation Sheet'!$X$13="","",'Final Calculation Sheet'!$X$13)</f>
        <v/>
      </c>
      <c r="Z44" s="70">
        <f>IF('Final Calculation Sheet'!$Y$13="","",'Final Calculation Sheet'!$Y$13)</f>
        <v/>
      </c>
      <c r="AA44" s="70">
        <f>IF('Final Calculation Sheet'!$Z$13="","",'Final Calculation Sheet'!$Z$13)</f>
        <v/>
      </c>
      <c r="AB44" s="70">
        <f>IF('Final Calculation Sheet'!$AA$13="","",'Final Calculation Sheet'!$AA$13)</f>
        <v/>
      </c>
      <c r="AC44" s="70">
        <f>IF('Final Calculation Sheet'!$AB$13="","",'Final Calculation Sheet'!$AB$13)</f>
        <v/>
      </c>
      <c r="AD44" s="70">
        <f>IF('Final Calculation Sheet'!$AC$13="","",'Final Calculation Sheet'!$AC$13)</f>
        <v/>
      </c>
      <c r="AE44" s="70">
        <f>IF('Final Calculation Sheet'!$AD$13="","",'Final Calculation Sheet'!$AD$13)</f>
        <v/>
      </c>
      <c r="AF44" s="70">
        <f>IF('Final Calculation Sheet'!$AE$13="","",'Final Calculation Sheet'!$AE$13)</f>
        <v/>
      </c>
      <c r="AG44" s="74">
        <f>IF('Final Calculation Sheet'!$AF$13="","",'Final Calculation Sheet'!$AF$13)</f>
        <v/>
      </c>
      <c r="AH44" s="70">
        <f>IF('Final Calculation Sheet'!$AG$13="","",'Final Calculation Sheet'!$AG$13)</f>
        <v/>
      </c>
      <c r="AI44" s="75">
        <f>IF('Final Calculation Sheet'!$AD$13="","",IF('Final Calculation Sheet'!$AD$13&lt;=0,"SETTLED","OUTSTANDING"))</f>
        <v/>
      </c>
    </row>
    <row r="45" ht="15" customHeight="1" s="77">
      <c r="A45" s="67" t="n">
        <v>2</v>
      </c>
      <c r="B45" s="68">
        <f>IF('Final Calculation Sheet'!$F$16="","",'Final Calculation Sheet'!$F$16)</f>
        <v/>
      </c>
      <c r="C45" s="68">
        <f>IF('Final Calculation Sheet'!$G$16="","",'Final Calculation Sheet'!$G$16)</f>
        <v/>
      </c>
      <c r="D45" s="69">
        <f>IF('Final Calculation Sheet'!$B$16="","",'Final Calculation Sheet'!$B$16)</f>
        <v/>
      </c>
      <c r="E45" s="69">
        <f>IF('Final Calculation Sheet'!$D$16="","",'Final Calculation Sheet'!$D$16)</f>
        <v/>
      </c>
      <c r="F45" s="69">
        <f>IF('Final Calculation Sheet'!$A$16="","",'Final Calculation Sheet'!$A$16)</f>
        <v/>
      </c>
      <c r="G45" s="69">
        <f>IF('Final Calculation Sheet'!$E$16="","",'Final Calculation Sheet'!$E$16)</f>
        <v/>
      </c>
      <c r="H45" s="70">
        <f>IF('Final Calculation Sheet'!$C$16="","",'Final Calculation Sheet'!$C$16)</f>
        <v/>
      </c>
      <c r="I45" s="70">
        <f>IF('Final Calculation Sheet'!$H$16="","",'Final Calculation Sheet'!$H$16)</f>
        <v/>
      </c>
      <c r="J45" s="70">
        <f>IF('Final Calculation Sheet'!$I$16="","",'Final Calculation Sheet'!$I$16)</f>
        <v/>
      </c>
      <c r="K45" s="70">
        <f>IF('Final Calculation Sheet'!$J$16="","",'Final Calculation Sheet'!$J$16)</f>
        <v/>
      </c>
      <c r="L45" s="70">
        <f>IF('Final Calculation Sheet'!$K$16="","",'Final Calculation Sheet'!$K$16)</f>
        <v/>
      </c>
      <c r="M45" s="70">
        <f>IF('Final Calculation Sheet'!$L$16="","",'Final Calculation Sheet'!$L$16)</f>
        <v/>
      </c>
      <c r="N45" s="70">
        <f>IF('Final Calculation Sheet'!$M$16="","",'Final Calculation Sheet'!$M$16)</f>
        <v/>
      </c>
      <c r="O45" s="71">
        <f>IF('Final Calculation Sheet'!$N$16="","",'Final Calculation Sheet'!$N$16)</f>
        <v/>
      </c>
      <c r="P45" s="70">
        <f>IF('Final Calculation Sheet'!$O$16="","",'Final Calculation Sheet'!$O$16)</f>
        <v/>
      </c>
      <c r="Q45" s="70">
        <f>IF('Final Calculation Sheet'!$P$16="","",'Final Calculation Sheet'!$P$16)</f>
        <v/>
      </c>
      <c r="R45" s="72">
        <f>IF('Final Calculation Sheet'!$Q$16="","",'Final Calculation Sheet'!$Q$16)</f>
        <v/>
      </c>
      <c r="S45" s="70">
        <f>IF('Final Calculation Sheet'!$R$16="","",'Final Calculation Sheet'!$R$16)</f>
        <v/>
      </c>
      <c r="T45" s="70">
        <f>IF('Final Calculation Sheet'!$S$16="","",'Final Calculation Sheet'!$S$16)</f>
        <v/>
      </c>
      <c r="U45" s="70">
        <f>IF('Final Calculation Sheet'!$T$16="","",'Final Calculation Sheet'!$T$16)</f>
        <v/>
      </c>
      <c r="V45" s="73">
        <f>IF('Final Calculation Sheet'!$U$16="","",'Final Calculation Sheet'!$U$16)</f>
        <v/>
      </c>
      <c r="W45" s="70">
        <f>IF('Final Calculation Sheet'!$V$16="","",'Final Calculation Sheet'!$V$16)</f>
        <v/>
      </c>
      <c r="X45" s="70">
        <f>IF('Final Calculation Sheet'!$W$16="","",'Final Calculation Sheet'!$W$16)</f>
        <v/>
      </c>
      <c r="Y45" s="70">
        <f>IF('Final Calculation Sheet'!$X$16="","",'Final Calculation Sheet'!$X$16)</f>
        <v/>
      </c>
      <c r="Z45" s="70">
        <f>IF('Final Calculation Sheet'!$Y$16="","",'Final Calculation Sheet'!$Y$16)</f>
        <v/>
      </c>
      <c r="AA45" s="70">
        <f>IF('Final Calculation Sheet'!$Z$16="","",'Final Calculation Sheet'!$Z$16)</f>
        <v/>
      </c>
      <c r="AB45" s="70">
        <f>IF('Final Calculation Sheet'!$AA$16="","",'Final Calculation Sheet'!$AA$16)</f>
        <v/>
      </c>
      <c r="AC45" s="70">
        <f>IF('Final Calculation Sheet'!$AB$16="","",'Final Calculation Sheet'!$AB$16)</f>
        <v/>
      </c>
      <c r="AD45" s="70">
        <f>IF('Final Calculation Sheet'!$AC$16="","",'Final Calculation Sheet'!$AC$16)</f>
        <v/>
      </c>
      <c r="AE45" s="70">
        <f>IF('Final Calculation Sheet'!$AD$16="","",'Final Calculation Sheet'!$AD$16)</f>
        <v/>
      </c>
      <c r="AF45" s="70">
        <f>IF('Final Calculation Sheet'!$AE$16="","",'Final Calculation Sheet'!$AE$16)</f>
        <v/>
      </c>
      <c r="AG45" s="74">
        <f>IF('Final Calculation Sheet'!$AF$16="","",'Final Calculation Sheet'!$AF$16)</f>
        <v/>
      </c>
      <c r="AH45" s="70">
        <f>IF('Final Calculation Sheet'!$AG$16="","",'Final Calculation Sheet'!$AG$16)</f>
        <v/>
      </c>
      <c r="AI45" s="75">
        <f>IF('Final Calculation Sheet'!$AD$16="","",IF('Final Calculation Sheet'!$AD$16&lt;=0,"SETTLED","OUTSTANDING"))</f>
        <v/>
      </c>
    </row>
    <row r="46" ht="15" customHeight="1" s="77">
      <c r="A46" s="67" t="n">
        <v>3</v>
      </c>
      <c r="B46" s="68">
        <f>IF('Final Calculation Sheet'!$F$17="","",'Final Calculation Sheet'!$F$17)</f>
        <v/>
      </c>
      <c r="C46" s="68">
        <f>IF('Final Calculation Sheet'!$G$17="","",'Final Calculation Sheet'!$G$17)</f>
        <v/>
      </c>
      <c r="D46" s="69">
        <f>IF('Final Calculation Sheet'!$B$17="","",'Final Calculation Sheet'!$B$17)</f>
        <v/>
      </c>
      <c r="E46" s="69">
        <f>IF('Final Calculation Sheet'!$D$17="","",'Final Calculation Sheet'!$D$17)</f>
        <v/>
      </c>
      <c r="F46" s="69">
        <f>IF('Final Calculation Sheet'!$A$17="","",'Final Calculation Sheet'!$A$17)</f>
        <v/>
      </c>
      <c r="G46" s="69">
        <f>IF('Final Calculation Sheet'!$E$17="","",'Final Calculation Sheet'!$E$17)</f>
        <v/>
      </c>
      <c r="H46" s="70">
        <f>IF('Final Calculation Sheet'!$C$17="","",'Final Calculation Sheet'!$C$17)</f>
        <v/>
      </c>
      <c r="I46" s="70">
        <f>IF('Final Calculation Sheet'!$H$17="","",'Final Calculation Sheet'!$H$17)</f>
        <v/>
      </c>
      <c r="J46" s="70">
        <f>IF('Final Calculation Sheet'!$I$17="","",'Final Calculation Sheet'!$I$17)</f>
        <v/>
      </c>
      <c r="K46" s="70">
        <f>IF('Final Calculation Sheet'!$J$17="","",'Final Calculation Sheet'!$J$17)</f>
        <v/>
      </c>
      <c r="L46" s="70">
        <f>IF('Final Calculation Sheet'!$K$17="","",'Final Calculation Sheet'!$K$17)</f>
        <v/>
      </c>
      <c r="M46" s="70">
        <f>IF('Final Calculation Sheet'!$L$17="","",'Final Calculation Sheet'!$L$17)</f>
        <v/>
      </c>
      <c r="N46" s="70">
        <f>IF('Final Calculation Sheet'!$M$17="","",'Final Calculation Sheet'!$M$17)</f>
        <v/>
      </c>
      <c r="O46" s="71">
        <f>IF('Final Calculation Sheet'!$N$17="","",'Final Calculation Sheet'!$N$17)</f>
        <v/>
      </c>
      <c r="P46" s="70">
        <f>IF('Final Calculation Sheet'!$O$17="","",'Final Calculation Sheet'!$O$17)</f>
        <v/>
      </c>
      <c r="Q46" s="70">
        <f>IF('Final Calculation Sheet'!$P$17="","",'Final Calculation Sheet'!$P$17)</f>
        <v/>
      </c>
      <c r="R46" s="72">
        <f>IF('Final Calculation Sheet'!$Q$17="","",'Final Calculation Sheet'!$Q$17)</f>
        <v/>
      </c>
      <c r="S46" s="70">
        <f>IF('Final Calculation Sheet'!$R$17="","",'Final Calculation Sheet'!$R$17)</f>
        <v/>
      </c>
      <c r="T46" s="70">
        <f>IF('Final Calculation Sheet'!$S$17="","",'Final Calculation Sheet'!$S$17)</f>
        <v/>
      </c>
      <c r="U46" s="70">
        <f>IF('Final Calculation Sheet'!$T$17="","",'Final Calculation Sheet'!$T$17)</f>
        <v/>
      </c>
      <c r="V46" s="73">
        <f>IF('Final Calculation Sheet'!$U$17="","",'Final Calculation Sheet'!$U$17)</f>
        <v/>
      </c>
      <c r="W46" s="70">
        <f>IF('Final Calculation Sheet'!$V$17="","",'Final Calculation Sheet'!$V$17)</f>
        <v/>
      </c>
      <c r="X46" s="70">
        <f>IF('Final Calculation Sheet'!$W$17="","",'Final Calculation Sheet'!$W$17)</f>
        <v/>
      </c>
      <c r="Y46" s="70">
        <f>IF('Final Calculation Sheet'!$X$17="","",'Final Calculation Sheet'!$X$17)</f>
        <v/>
      </c>
      <c r="Z46" s="70">
        <f>IF('Final Calculation Sheet'!$Y$17="","",'Final Calculation Sheet'!$Y$17)</f>
        <v/>
      </c>
      <c r="AA46" s="70">
        <f>IF('Final Calculation Sheet'!$Z$17="","",'Final Calculation Sheet'!$Z$17)</f>
        <v/>
      </c>
      <c r="AB46" s="70">
        <f>IF('Final Calculation Sheet'!$AA$17="","",'Final Calculation Sheet'!$AA$17)</f>
        <v/>
      </c>
      <c r="AC46" s="70">
        <f>IF('Final Calculation Sheet'!$AB$17="","",'Final Calculation Sheet'!$AB$17)</f>
        <v/>
      </c>
      <c r="AD46" s="70">
        <f>IF('Final Calculation Sheet'!$AC$17="","",'Final Calculation Sheet'!$AC$17)</f>
        <v/>
      </c>
      <c r="AE46" s="70">
        <f>IF('Final Calculation Sheet'!$AD$17="","",'Final Calculation Sheet'!$AD$17)</f>
        <v/>
      </c>
      <c r="AF46" s="70">
        <f>IF('Final Calculation Sheet'!$AE$17="","",'Final Calculation Sheet'!$AE$17)</f>
        <v/>
      </c>
      <c r="AG46" s="74">
        <f>IF('Final Calculation Sheet'!$AF$17="","",'Final Calculation Sheet'!$AF$17)</f>
        <v/>
      </c>
      <c r="AH46" s="70">
        <f>IF('Final Calculation Sheet'!$AG$17="","",'Final Calculation Sheet'!$AG$17)</f>
        <v/>
      </c>
      <c r="AI46" s="75">
        <f>IF('Final Calculation Sheet'!$AD$17="","",IF('Final Calculation Sheet'!$AD$17&lt;=0,"SETTLED","OUTSTANDING"))</f>
        <v/>
      </c>
    </row>
    <row r="47" ht="15" customHeight="1" s="77">
      <c r="A47" s="67" t="n">
        <v>4</v>
      </c>
      <c r="B47" s="68">
        <f>IF('Final Calculation Sheet'!$F$23="","",'Final Calculation Sheet'!$F$23)</f>
        <v/>
      </c>
      <c r="C47" s="68">
        <f>IF('Final Calculation Sheet'!$G$23="","",'Final Calculation Sheet'!$G$23)</f>
        <v/>
      </c>
      <c r="D47" s="69">
        <f>IF('Final Calculation Sheet'!$B$23="","",'Final Calculation Sheet'!$B$23)</f>
        <v/>
      </c>
      <c r="E47" s="69">
        <f>IF('Final Calculation Sheet'!$D$23="","",'Final Calculation Sheet'!$D$23)</f>
        <v/>
      </c>
      <c r="F47" s="69">
        <f>IF('Final Calculation Sheet'!$A$23="","",'Final Calculation Sheet'!$A$23)</f>
        <v/>
      </c>
      <c r="G47" s="69">
        <f>IF('Final Calculation Sheet'!$E$23="","",'Final Calculation Sheet'!$E$23)</f>
        <v/>
      </c>
      <c r="H47" s="70">
        <f>IF('Final Calculation Sheet'!$C$23="","",'Final Calculation Sheet'!$C$23)</f>
        <v/>
      </c>
      <c r="I47" s="70">
        <f>IF('Final Calculation Sheet'!$H$23="","",'Final Calculation Sheet'!$H$23)</f>
        <v/>
      </c>
      <c r="J47" s="70">
        <f>IF('Final Calculation Sheet'!$I$23="","",'Final Calculation Sheet'!$I$23)</f>
        <v/>
      </c>
      <c r="K47" s="70">
        <f>IF('Final Calculation Sheet'!$J$23="","",'Final Calculation Sheet'!$J$23)</f>
        <v/>
      </c>
      <c r="L47" s="70">
        <f>IF('Final Calculation Sheet'!$K$23="","",'Final Calculation Sheet'!$K$23)</f>
        <v/>
      </c>
      <c r="M47" s="70">
        <f>IF('Final Calculation Sheet'!$L$23="","",'Final Calculation Sheet'!$L$23)</f>
        <v/>
      </c>
      <c r="N47" s="70">
        <f>IF('Final Calculation Sheet'!$M$23="","",'Final Calculation Sheet'!$M$23)</f>
        <v/>
      </c>
      <c r="O47" s="71">
        <f>IF('Final Calculation Sheet'!$N$23="","",'Final Calculation Sheet'!$N$23)</f>
        <v/>
      </c>
      <c r="P47" s="70">
        <f>IF('Final Calculation Sheet'!$O$23="","",'Final Calculation Sheet'!$O$23)</f>
        <v/>
      </c>
      <c r="Q47" s="70">
        <f>IF('Final Calculation Sheet'!$P$23="","",'Final Calculation Sheet'!$P$23)</f>
        <v/>
      </c>
      <c r="R47" s="72">
        <f>IF('Final Calculation Sheet'!$Q$23="","",'Final Calculation Sheet'!$Q$23)</f>
        <v/>
      </c>
      <c r="S47" s="70">
        <f>IF('Final Calculation Sheet'!$R$23="","",'Final Calculation Sheet'!$R$23)</f>
        <v/>
      </c>
      <c r="T47" s="70">
        <f>IF('Final Calculation Sheet'!$S$23="","",'Final Calculation Sheet'!$S$23)</f>
        <v/>
      </c>
      <c r="U47" s="70">
        <f>IF('Final Calculation Sheet'!$T$23="","",'Final Calculation Sheet'!$T$23)</f>
        <v/>
      </c>
      <c r="V47" s="73">
        <f>IF('Final Calculation Sheet'!$U$23="","",'Final Calculation Sheet'!$U$23)</f>
        <v/>
      </c>
      <c r="W47" s="70">
        <f>IF('Final Calculation Sheet'!$V$23="","",'Final Calculation Sheet'!$V$23)</f>
        <v/>
      </c>
      <c r="X47" s="70">
        <f>IF('Final Calculation Sheet'!$W$23="","",'Final Calculation Sheet'!$W$23)</f>
        <v/>
      </c>
      <c r="Y47" s="70">
        <f>IF('Final Calculation Sheet'!$X$23="","",'Final Calculation Sheet'!$X$23)</f>
        <v/>
      </c>
      <c r="Z47" s="70">
        <f>IF('Final Calculation Sheet'!$Y$23="","",'Final Calculation Sheet'!$Y$23)</f>
        <v/>
      </c>
      <c r="AA47" s="70">
        <f>IF('Final Calculation Sheet'!$Z$23="","",'Final Calculation Sheet'!$Z$23)</f>
        <v/>
      </c>
      <c r="AB47" s="70">
        <f>IF('Final Calculation Sheet'!$AA$23="","",'Final Calculation Sheet'!$AA$23)</f>
        <v/>
      </c>
      <c r="AC47" s="70">
        <f>IF('Final Calculation Sheet'!$AB$23="","",'Final Calculation Sheet'!$AB$23)</f>
        <v/>
      </c>
      <c r="AD47" s="70">
        <f>IF('Final Calculation Sheet'!$AC$23="","",'Final Calculation Sheet'!$AC$23)</f>
        <v/>
      </c>
      <c r="AE47" s="70">
        <f>IF('Final Calculation Sheet'!$AD$23="","",'Final Calculation Sheet'!$AD$23)</f>
        <v/>
      </c>
      <c r="AF47" s="70">
        <f>IF('Final Calculation Sheet'!$AE$23="","",'Final Calculation Sheet'!$AE$23)</f>
        <v/>
      </c>
      <c r="AG47" s="74">
        <f>IF('Final Calculation Sheet'!$AF$23="","",'Final Calculation Sheet'!$AF$23)</f>
        <v/>
      </c>
      <c r="AH47" s="70">
        <f>IF('Final Calculation Sheet'!$AG$23="","",'Final Calculation Sheet'!$AG$23)</f>
        <v/>
      </c>
      <c r="AI47" s="75">
        <f>IF('Final Calculation Sheet'!$AD$23="","",IF('Final Calculation Sheet'!$AD$23&lt;=0,"SETTLED","OUTSTANDING"))</f>
        <v/>
      </c>
    </row>
    <row r="48" ht="15" customHeight="1" s="77">
      <c r="A48" s="67" t="n">
        <v>5</v>
      </c>
      <c r="B48" s="68">
        <f>IF('Final Calculation Sheet'!$F$29="","",'Final Calculation Sheet'!$F$29)</f>
        <v/>
      </c>
      <c r="C48" s="68">
        <f>IF('Final Calculation Sheet'!$G$29="","",'Final Calculation Sheet'!$G$29)</f>
        <v/>
      </c>
      <c r="D48" s="69">
        <f>IF('Final Calculation Sheet'!$B$29="","",'Final Calculation Sheet'!$B$29)</f>
        <v/>
      </c>
      <c r="E48" s="69">
        <f>IF('Final Calculation Sheet'!$D$29="","",'Final Calculation Sheet'!$D$29)</f>
        <v/>
      </c>
      <c r="F48" s="69">
        <f>IF('Final Calculation Sheet'!$A$29="","",'Final Calculation Sheet'!$A$29)</f>
        <v/>
      </c>
      <c r="G48" s="69">
        <f>IF('Final Calculation Sheet'!$E$29="","",'Final Calculation Sheet'!$E$29)</f>
        <v/>
      </c>
      <c r="H48" s="70">
        <f>IF('Final Calculation Sheet'!$C$29="","",'Final Calculation Sheet'!$C$29)</f>
        <v/>
      </c>
      <c r="I48" s="70">
        <f>IF('Final Calculation Sheet'!$H$29="","",'Final Calculation Sheet'!$H$29)</f>
        <v/>
      </c>
      <c r="J48" s="70">
        <f>IF('Final Calculation Sheet'!$I$29="","",'Final Calculation Sheet'!$I$29)</f>
        <v/>
      </c>
      <c r="K48" s="70">
        <f>IF('Final Calculation Sheet'!$J$29="","",'Final Calculation Sheet'!$J$29)</f>
        <v/>
      </c>
      <c r="L48" s="70">
        <f>IF('Final Calculation Sheet'!$K$29="","",'Final Calculation Sheet'!$K$29)</f>
        <v/>
      </c>
      <c r="M48" s="70">
        <f>IF('Final Calculation Sheet'!$L$29="","",'Final Calculation Sheet'!$L$29)</f>
        <v/>
      </c>
      <c r="N48" s="70">
        <f>IF('Final Calculation Sheet'!$M$29="","",'Final Calculation Sheet'!$M$29)</f>
        <v/>
      </c>
      <c r="O48" s="71">
        <f>IF('Final Calculation Sheet'!$N$29="","",'Final Calculation Sheet'!$N$29)</f>
        <v/>
      </c>
      <c r="P48" s="70">
        <f>IF('Final Calculation Sheet'!$O$29="","",'Final Calculation Sheet'!$O$29)</f>
        <v/>
      </c>
      <c r="Q48" s="70">
        <f>IF('Final Calculation Sheet'!$P$29="","",'Final Calculation Sheet'!$P$29)</f>
        <v/>
      </c>
      <c r="R48" s="72">
        <f>IF('Final Calculation Sheet'!$Q$29="","",'Final Calculation Sheet'!$Q$29)</f>
        <v/>
      </c>
      <c r="S48" s="70">
        <f>IF('Final Calculation Sheet'!$R$29="","",'Final Calculation Sheet'!$R$29)</f>
        <v/>
      </c>
      <c r="T48" s="70">
        <f>IF('Final Calculation Sheet'!$S$29="","",'Final Calculation Sheet'!$S$29)</f>
        <v/>
      </c>
      <c r="U48" s="70">
        <f>IF('Final Calculation Sheet'!$T$29="","",'Final Calculation Sheet'!$T$29)</f>
        <v/>
      </c>
      <c r="V48" s="73">
        <f>IF('Final Calculation Sheet'!$U$29="","",'Final Calculation Sheet'!$U$29)</f>
        <v/>
      </c>
      <c r="W48" s="70">
        <f>IF('Final Calculation Sheet'!$V$29="","",'Final Calculation Sheet'!$V$29)</f>
        <v/>
      </c>
      <c r="X48" s="70">
        <f>IF('Final Calculation Sheet'!$W$29="","",'Final Calculation Sheet'!$W$29)</f>
        <v/>
      </c>
      <c r="Y48" s="70">
        <f>IF('Final Calculation Sheet'!$X$29="","",'Final Calculation Sheet'!$X$29)</f>
        <v/>
      </c>
      <c r="Z48" s="70">
        <f>IF('Final Calculation Sheet'!$Y$29="","",'Final Calculation Sheet'!$Y$29)</f>
        <v/>
      </c>
      <c r="AA48" s="70">
        <f>IF('Final Calculation Sheet'!$Z$29="","",'Final Calculation Sheet'!$Z$29)</f>
        <v/>
      </c>
      <c r="AB48" s="70">
        <f>IF('Final Calculation Sheet'!$AA$29="","",'Final Calculation Sheet'!$AA$29)</f>
        <v/>
      </c>
      <c r="AC48" s="70">
        <f>IF('Final Calculation Sheet'!$AB$29="","",'Final Calculation Sheet'!$AB$29)</f>
        <v/>
      </c>
      <c r="AD48" s="70">
        <f>IF('Final Calculation Sheet'!$AC$29="","",'Final Calculation Sheet'!$AC$29)</f>
        <v/>
      </c>
      <c r="AE48" s="70">
        <f>IF('Final Calculation Sheet'!$AD$29="","",'Final Calculation Sheet'!$AD$29)</f>
        <v/>
      </c>
      <c r="AF48" s="70">
        <f>IF('Final Calculation Sheet'!$AE$29="","",'Final Calculation Sheet'!$AE$29)</f>
        <v/>
      </c>
      <c r="AG48" s="74">
        <f>IF('Final Calculation Sheet'!$AF$29="","",'Final Calculation Sheet'!$AF$29)</f>
        <v/>
      </c>
      <c r="AH48" s="70">
        <f>IF('Final Calculation Sheet'!$AG$29="","",'Final Calculation Sheet'!$AG$29)</f>
        <v/>
      </c>
      <c r="AI48" s="75">
        <f>IF('Final Calculation Sheet'!$AD$29="","",IF('Final Calculation Sheet'!$AD$29&lt;=0,"SETTLED","OUTSTANDING"))</f>
        <v/>
      </c>
    </row>
    <row r="49" ht="15" customHeight="1" s="77">
      <c r="A49" s="67" t="n">
        <v>6</v>
      </c>
      <c r="B49" s="68">
        <f>IF('Final Calculation Sheet'!$F$34="","",'Final Calculation Sheet'!$F$34)</f>
        <v/>
      </c>
      <c r="C49" s="68">
        <f>IF('Final Calculation Sheet'!$G$34="","",'Final Calculation Sheet'!$G$34)</f>
        <v/>
      </c>
      <c r="D49" s="69">
        <f>IF('Final Calculation Sheet'!$B$34="","",'Final Calculation Sheet'!$B$34)</f>
        <v/>
      </c>
      <c r="E49" s="69">
        <f>IF('Final Calculation Sheet'!$D$34="","",'Final Calculation Sheet'!$D$34)</f>
        <v/>
      </c>
      <c r="F49" s="69">
        <f>IF('Final Calculation Sheet'!$A$34="","",'Final Calculation Sheet'!$A$34)</f>
        <v/>
      </c>
      <c r="G49" s="69">
        <f>IF('Final Calculation Sheet'!$E$34="","",'Final Calculation Sheet'!$E$34)</f>
        <v/>
      </c>
      <c r="H49" s="70">
        <f>IF('Final Calculation Sheet'!$C$34="","",'Final Calculation Sheet'!$C$34)</f>
        <v/>
      </c>
      <c r="I49" s="70">
        <f>IF('Final Calculation Sheet'!$H$34="","",'Final Calculation Sheet'!$H$34)</f>
        <v/>
      </c>
      <c r="J49" s="70">
        <f>IF('Final Calculation Sheet'!$I$34="","",'Final Calculation Sheet'!$I$34)</f>
        <v/>
      </c>
      <c r="K49" s="70">
        <f>IF('Final Calculation Sheet'!$J$34="","",'Final Calculation Sheet'!$J$34)</f>
        <v/>
      </c>
      <c r="L49" s="70">
        <f>IF('Final Calculation Sheet'!$K$34="","",'Final Calculation Sheet'!$K$34)</f>
        <v/>
      </c>
      <c r="M49" s="70">
        <f>IF('Final Calculation Sheet'!$L$34="","",'Final Calculation Sheet'!$L$34)</f>
        <v/>
      </c>
      <c r="N49" s="70">
        <f>IF('Final Calculation Sheet'!$M$34="","",'Final Calculation Sheet'!$M$34)</f>
        <v/>
      </c>
      <c r="O49" s="71">
        <f>IF('Final Calculation Sheet'!$N$34="","",'Final Calculation Sheet'!$N$34)</f>
        <v/>
      </c>
      <c r="P49" s="70">
        <f>IF('Final Calculation Sheet'!$O$34="","",'Final Calculation Sheet'!$O$34)</f>
        <v/>
      </c>
      <c r="Q49" s="70">
        <f>IF('Final Calculation Sheet'!$P$34="","",'Final Calculation Sheet'!$P$34)</f>
        <v/>
      </c>
      <c r="R49" s="72">
        <f>IF('Final Calculation Sheet'!$Q$34="","",'Final Calculation Sheet'!$Q$34)</f>
        <v/>
      </c>
      <c r="S49" s="70">
        <f>IF('Final Calculation Sheet'!$R$34="","",'Final Calculation Sheet'!$R$34)</f>
        <v/>
      </c>
      <c r="T49" s="70">
        <f>IF('Final Calculation Sheet'!$S$34="","",'Final Calculation Sheet'!$S$34)</f>
        <v/>
      </c>
      <c r="U49" s="70">
        <f>IF('Final Calculation Sheet'!$T$34="","",'Final Calculation Sheet'!$T$34)</f>
        <v/>
      </c>
      <c r="V49" s="73">
        <f>IF('Final Calculation Sheet'!$U$34="","",'Final Calculation Sheet'!$U$34)</f>
        <v/>
      </c>
      <c r="W49" s="70">
        <f>IF('Final Calculation Sheet'!$V$34="","",'Final Calculation Sheet'!$V$34)</f>
        <v/>
      </c>
      <c r="X49" s="70">
        <f>IF('Final Calculation Sheet'!$W$34="","",'Final Calculation Sheet'!$W$34)</f>
        <v/>
      </c>
      <c r="Y49" s="70">
        <f>IF('Final Calculation Sheet'!$X$34="","",'Final Calculation Sheet'!$X$34)</f>
        <v/>
      </c>
      <c r="Z49" s="70">
        <f>IF('Final Calculation Sheet'!$Y$34="","",'Final Calculation Sheet'!$Y$34)</f>
        <v/>
      </c>
      <c r="AA49" s="70">
        <f>IF('Final Calculation Sheet'!$Z$34="","",'Final Calculation Sheet'!$Z$34)</f>
        <v/>
      </c>
      <c r="AB49" s="70">
        <f>IF('Final Calculation Sheet'!$AA$34="","",'Final Calculation Sheet'!$AA$34)</f>
        <v/>
      </c>
      <c r="AC49" s="70">
        <f>IF('Final Calculation Sheet'!$AB$34="","",'Final Calculation Sheet'!$AB$34)</f>
        <v/>
      </c>
      <c r="AD49" s="70">
        <f>IF('Final Calculation Sheet'!$AC$34="","",'Final Calculation Sheet'!$AC$34)</f>
        <v/>
      </c>
      <c r="AE49" s="70">
        <f>IF('Final Calculation Sheet'!$AD$34="","",'Final Calculation Sheet'!$AD$34)</f>
        <v/>
      </c>
      <c r="AF49" s="70">
        <f>IF('Final Calculation Sheet'!$AE$34="","",'Final Calculation Sheet'!$AE$34)</f>
        <v/>
      </c>
      <c r="AG49" s="74">
        <f>IF('Final Calculation Sheet'!$AF$34="","",'Final Calculation Sheet'!$AF$34)</f>
        <v/>
      </c>
      <c r="AH49" s="70">
        <f>IF('Final Calculation Sheet'!$AG$34="","",'Final Calculation Sheet'!$AG$34)</f>
        <v/>
      </c>
      <c r="AI49" s="75">
        <f>IF('Final Calculation Sheet'!$AD$34="","",IF('Final Calculation Sheet'!$AD$34&lt;=0,"SETTLED","OUTSTANDING"))</f>
        <v/>
      </c>
    </row>
    <row r="50" ht="15" customHeight="1" s="77">
      <c r="A50" s="67" t="n">
        <v>7</v>
      </c>
      <c r="B50" s="68">
        <f>IF('Final Calculation Sheet'!$F$36="","",'Final Calculation Sheet'!$F$36)</f>
        <v/>
      </c>
      <c r="C50" s="68">
        <f>IF('Final Calculation Sheet'!$G$36="","",'Final Calculation Sheet'!$G$36)</f>
        <v/>
      </c>
      <c r="D50" s="69">
        <f>IF('Final Calculation Sheet'!$B$36="","",'Final Calculation Sheet'!$B$36)</f>
        <v/>
      </c>
      <c r="E50" s="69">
        <f>IF('Final Calculation Sheet'!$D$36="","",'Final Calculation Sheet'!$D$36)</f>
        <v/>
      </c>
      <c r="F50" s="69">
        <f>IF('Final Calculation Sheet'!$A$36="","",'Final Calculation Sheet'!$A$36)</f>
        <v/>
      </c>
      <c r="G50" s="69">
        <f>IF('Final Calculation Sheet'!$E$36="","",'Final Calculation Sheet'!$E$36)</f>
        <v/>
      </c>
      <c r="H50" s="70">
        <f>IF('Final Calculation Sheet'!$C$36="","",'Final Calculation Sheet'!$C$36)</f>
        <v/>
      </c>
      <c r="I50" s="70">
        <f>IF('Final Calculation Sheet'!$H$36="","",'Final Calculation Sheet'!$H$36)</f>
        <v/>
      </c>
      <c r="J50" s="70">
        <f>IF('Final Calculation Sheet'!$I$36="","",'Final Calculation Sheet'!$I$36)</f>
        <v/>
      </c>
      <c r="K50" s="70">
        <f>IF('Final Calculation Sheet'!$J$36="","",'Final Calculation Sheet'!$J$36)</f>
        <v/>
      </c>
      <c r="L50" s="70">
        <f>IF('Final Calculation Sheet'!$K$36="","",'Final Calculation Sheet'!$K$36)</f>
        <v/>
      </c>
      <c r="M50" s="70">
        <f>IF('Final Calculation Sheet'!$L$36="","",'Final Calculation Sheet'!$L$36)</f>
        <v/>
      </c>
      <c r="N50" s="70">
        <f>IF('Final Calculation Sheet'!$M$36="","",'Final Calculation Sheet'!$M$36)</f>
        <v/>
      </c>
      <c r="O50" s="71">
        <f>IF('Final Calculation Sheet'!$N$36="","",'Final Calculation Sheet'!$N$36)</f>
        <v/>
      </c>
      <c r="P50" s="70">
        <f>IF('Final Calculation Sheet'!$O$36="","",'Final Calculation Sheet'!$O$36)</f>
        <v/>
      </c>
      <c r="Q50" s="70">
        <f>IF('Final Calculation Sheet'!$P$36="","",'Final Calculation Sheet'!$P$36)</f>
        <v/>
      </c>
      <c r="R50" s="72">
        <f>IF('Final Calculation Sheet'!$Q$36="","",'Final Calculation Sheet'!$Q$36)</f>
        <v/>
      </c>
      <c r="S50" s="70">
        <f>IF('Final Calculation Sheet'!$R$36="","",'Final Calculation Sheet'!$R$36)</f>
        <v/>
      </c>
      <c r="T50" s="70">
        <f>IF('Final Calculation Sheet'!$S$36="","",'Final Calculation Sheet'!$S$36)</f>
        <v/>
      </c>
      <c r="U50" s="70">
        <f>IF('Final Calculation Sheet'!$T$36="","",'Final Calculation Sheet'!$T$36)</f>
        <v/>
      </c>
      <c r="V50" s="73">
        <f>IF('Final Calculation Sheet'!$U$36="","",'Final Calculation Sheet'!$U$36)</f>
        <v/>
      </c>
      <c r="W50" s="70">
        <f>IF('Final Calculation Sheet'!$V$36="","",'Final Calculation Sheet'!$V$36)</f>
        <v/>
      </c>
      <c r="X50" s="70">
        <f>IF('Final Calculation Sheet'!$W$36="","",'Final Calculation Sheet'!$W$36)</f>
        <v/>
      </c>
      <c r="Y50" s="70">
        <f>IF('Final Calculation Sheet'!$X$36="","",'Final Calculation Sheet'!$X$36)</f>
        <v/>
      </c>
      <c r="Z50" s="70">
        <f>IF('Final Calculation Sheet'!$Y$36="","",'Final Calculation Sheet'!$Y$36)</f>
        <v/>
      </c>
      <c r="AA50" s="70">
        <f>IF('Final Calculation Sheet'!$Z$36="","",'Final Calculation Sheet'!$Z$36)</f>
        <v/>
      </c>
      <c r="AB50" s="70">
        <f>IF('Final Calculation Sheet'!$AA$36="","",'Final Calculation Sheet'!$AA$36)</f>
        <v/>
      </c>
      <c r="AC50" s="70">
        <f>IF('Final Calculation Sheet'!$AB$36="","",'Final Calculation Sheet'!$AB$36)</f>
        <v/>
      </c>
      <c r="AD50" s="70">
        <f>IF('Final Calculation Sheet'!$AC$36="","",'Final Calculation Sheet'!$AC$36)</f>
        <v/>
      </c>
      <c r="AE50" s="70">
        <f>IF('Final Calculation Sheet'!$AD$36="","",'Final Calculation Sheet'!$AD$36)</f>
        <v/>
      </c>
      <c r="AF50" s="70">
        <f>IF('Final Calculation Sheet'!$AE$36="","",'Final Calculation Sheet'!$AE$36)</f>
        <v/>
      </c>
      <c r="AG50" s="74">
        <f>IF('Final Calculation Sheet'!$AF$36="","",'Final Calculation Sheet'!$AF$36)</f>
        <v/>
      </c>
      <c r="AH50" s="70">
        <f>IF('Final Calculation Sheet'!$AG$36="","",'Final Calculation Sheet'!$AG$36)</f>
        <v/>
      </c>
      <c r="AI50" s="75">
        <f>IF('Final Calculation Sheet'!$AD$36="","",IF('Final Calculation Sheet'!$AD$36&lt;=0,"SETTLED","OUTSTANDING"))</f>
        <v/>
      </c>
    </row>
    <row r="51" ht="15" customHeight="1" s="77">
      <c r="A51" s="84" t="inlineStr">
        <is>
          <t>∑</t>
        </is>
      </c>
      <c r="B51" s="85" t="n"/>
      <c r="C51" s="85">
        <f>ROWS($C$44:$C$50)&amp;" lot(s)"</f>
        <v/>
      </c>
      <c r="D51" s="85" t="inlineStr">
        <is>
          <t>SUBTOTAL — STERLING ENTERPRISES</t>
        </is>
      </c>
      <c r="E51" s="85" t="inlineStr">
        <is>
          <t>–</t>
        </is>
      </c>
      <c r="F51" s="85">
        <f>SUM(F44:F50)</f>
        <v/>
      </c>
      <c r="G51" s="85" t="inlineStr">
        <is>
          <t>–</t>
        </is>
      </c>
      <c r="H51" s="86" t="inlineStr">
        <is>
          <t>–</t>
        </is>
      </c>
      <c r="I51" s="86">
        <f>SUM(I44:I50)</f>
        <v/>
      </c>
      <c r="J51" s="86">
        <f>SUM(J44:J50)</f>
        <v/>
      </c>
      <c r="K51" s="86">
        <f>SUM(K44:K50)</f>
        <v/>
      </c>
      <c r="L51" s="86">
        <f>SUM(L44:L50)</f>
        <v/>
      </c>
      <c r="M51" s="86">
        <f>SUM(M44:M50)</f>
        <v/>
      </c>
      <c r="N51" s="86">
        <f>SUM(N44:N50)</f>
        <v/>
      </c>
      <c r="O51" s="87">
        <f>SUM(O44:O50)</f>
        <v/>
      </c>
      <c r="P51" s="86">
        <f>SUM(P44:P50)</f>
        <v/>
      </c>
      <c r="Q51" s="86">
        <f>SUM(Q44:Q50)</f>
        <v/>
      </c>
      <c r="R51" s="88" t="inlineStr">
        <is>
          <t>–</t>
        </is>
      </c>
      <c r="S51" s="86">
        <f>SUM(S44:S50)</f>
        <v/>
      </c>
      <c r="T51" s="86">
        <f>SUM(T44:T50)</f>
        <v/>
      </c>
      <c r="U51" s="86">
        <f>SUM(U44:U50)</f>
        <v/>
      </c>
      <c r="V51" s="89">
        <f>SUM(V44:V50)</f>
        <v/>
      </c>
      <c r="W51" s="86" t="inlineStr">
        <is>
          <t>–</t>
        </is>
      </c>
      <c r="X51" s="86">
        <f>SUM(X44:X50)</f>
        <v/>
      </c>
      <c r="Y51" s="86">
        <f>SUM(Y44:Y50)</f>
        <v/>
      </c>
      <c r="Z51" s="86" t="inlineStr">
        <is>
          <t>–</t>
        </is>
      </c>
      <c r="AA51" s="86">
        <f>SUM(AA44:AA50)</f>
        <v/>
      </c>
      <c r="AB51" s="86">
        <f>SUM(AB44:AB50)</f>
        <v/>
      </c>
      <c r="AC51" s="86" t="inlineStr">
        <is>
          <t>–</t>
        </is>
      </c>
      <c r="AD51" s="86">
        <f>SUM(AD44:AD50)</f>
        <v/>
      </c>
      <c r="AE51" s="86">
        <f>SUM(AE44:AE50)</f>
        <v/>
      </c>
      <c r="AF51" s="86" t="inlineStr">
        <is>
          <t>–</t>
        </is>
      </c>
      <c r="AG51" s="90" t="inlineStr">
        <is>
          <t>–</t>
        </is>
      </c>
      <c r="AH51" s="86" t="inlineStr">
        <is>
          <t>–</t>
        </is>
      </c>
      <c r="AI51" s="91">
        <f>IF(AE51&lt;=0,"SETTLED","OUTSTANDING")</f>
        <v/>
      </c>
    </row>
    <row r="52" ht="15" customHeight="1" s="77">
      <c r="A52" s="67" t="n">
        <v>1</v>
      </c>
      <c r="B52" s="68">
        <f>IF('Final Calculation Sheet'!$F$25="","",'Final Calculation Sheet'!$F$25)</f>
        <v/>
      </c>
      <c r="C52" s="68">
        <f>IF('Final Calculation Sheet'!$G$25="","",'Final Calculation Sheet'!$G$25)</f>
        <v/>
      </c>
      <c r="D52" s="69">
        <f>IF('Final Calculation Sheet'!$B$25="","",'Final Calculation Sheet'!$B$25)</f>
        <v/>
      </c>
      <c r="E52" s="69">
        <f>IF('Final Calculation Sheet'!$D$25="","",'Final Calculation Sheet'!$D$25)</f>
        <v/>
      </c>
      <c r="F52" s="69">
        <f>IF('Final Calculation Sheet'!$A$25="","",'Final Calculation Sheet'!$A$25)</f>
        <v/>
      </c>
      <c r="G52" s="69">
        <f>IF('Final Calculation Sheet'!$E$25="","",'Final Calculation Sheet'!$E$25)</f>
        <v/>
      </c>
      <c r="H52" s="70">
        <f>IF('Final Calculation Sheet'!$C$25="","",'Final Calculation Sheet'!$C$25)</f>
        <v/>
      </c>
      <c r="I52" s="70">
        <f>IF('Final Calculation Sheet'!$H$25="","",'Final Calculation Sheet'!$H$25)</f>
        <v/>
      </c>
      <c r="J52" s="70">
        <f>IF('Final Calculation Sheet'!$I$25="","",'Final Calculation Sheet'!$I$25)</f>
        <v/>
      </c>
      <c r="K52" s="70">
        <f>IF('Final Calculation Sheet'!$J$25="","",'Final Calculation Sheet'!$J$25)</f>
        <v/>
      </c>
      <c r="L52" s="70">
        <f>IF('Final Calculation Sheet'!$K$25="","",'Final Calculation Sheet'!$K$25)</f>
        <v/>
      </c>
      <c r="M52" s="70">
        <f>IF('Final Calculation Sheet'!$L$25="","",'Final Calculation Sheet'!$L$25)</f>
        <v/>
      </c>
      <c r="N52" s="70">
        <f>IF('Final Calculation Sheet'!$M$25="","",'Final Calculation Sheet'!$M$25)</f>
        <v/>
      </c>
      <c r="O52" s="71">
        <f>IF('Final Calculation Sheet'!$N$25="","",'Final Calculation Sheet'!$N$25)</f>
        <v/>
      </c>
      <c r="P52" s="70">
        <f>IF('Final Calculation Sheet'!$O$25="","",'Final Calculation Sheet'!$O$25)</f>
        <v/>
      </c>
      <c r="Q52" s="70">
        <f>IF('Final Calculation Sheet'!$P$25="","",'Final Calculation Sheet'!$P$25)</f>
        <v/>
      </c>
      <c r="R52" s="72">
        <f>IF('Final Calculation Sheet'!$Q$25="","",'Final Calculation Sheet'!$Q$25)</f>
        <v/>
      </c>
      <c r="S52" s="70">
        <f>IF('Final Calculation Sheet'!$R$25="","",'Final Calculation Sheet'!$R$25)</f>
        <v/>
      </c>
      <c r="T52" s="70">
        <f>IF('Final Calculation Sheet'!$S$25="","",'Final Calculation Sheet'!$S$25)</f>
        <v/>
      </c>
      <c r="U52" s="70">
        <f>IF('Final Calculation Sheet'!$T$25="","",'Final Calculation Sheet'!$T$25)</f>
        <v/>
      </c>
      <c r="V52" s="73">
        <f>IF('Final Calculation Sheet'!$U$25="","",'Final Calculation Sheet'!$U$25)</f>
        <v/>
      </c>
      <c r="W52" s="70">
        <f>IF('Final Calculation Sheet'!$V$25="","",'Final Calculation Sheet'!$V$25)</f>
        <v/>
      </c>
      <c r="X52" s="70">
        <f>IF('Final Calculation Sheet'!$W$25="","",'Final Calculation Sheet'!$W$25)</f>
        <v/>
      </c>
      <c r="Y52" s="70">
        <f>IF('Final Calculation Sheet'!$X$25="","",'Final Calculation Sheet'!$X$25)</f>
        <v/>
      </c>
      <c r="Z52" s="70">
        <f>IF('Final Calculation Sheet'!$Y$25="","",'Final Calculation Sheet'!$Y$25)</f>
        <v/>
      </c>
      <c r="AA52" s="70">
        <f>IF('Final Calculation Sheet'!$Z$25="","",'Final Calculation Sheet'!$Z$25)</f>
        <v/>
      </c>
      <c r="AB52" s="70">
        <f>IF('Final Calculation Sheet'!$AA$25="","",'Final Calculation Sheet'!$AA$25)</f>
        <v/>
      </c>
      <c r="AC52" s="70">
        <f>IF('Final Calculation Sheet'!$AB$25="","",'Final Calculation Sheet'!$AB$25)</f>
        <v/>
      </c>
      <c r="AD52" s="70">
        <f>IF('Final Calculation Sheet'!$AC$25="","",'Final Calculation Sheet'!$AC$25)</f>
        <v/>
      </c>
      <c r="AE52" s="70">
        <f>IF('Final Calculation Sheet'!$AD$25="","",'Final Calculation Sheet'!$AD$25)</f>
        <v/>
      </c>
      <c r="AF52" s="70">
        <f>IF('Final Calculation Sheet'!$AE$25="","",'Final Calculation Sheet'!$AE$25)</f>
        <v/>
      </c>
      <c r="AG52" s="74">
        <f>IF('Final Calculation Sheet'!$AF$25="","",'Final Calculation Sheet'!$AF$25)</f>
        <v/>
      </c>
      <c r="AH52" s="70">
        <f>IF('Final Calculation Sheet'!$AG$25="","",'Final Calculation Sheet'!$AG$25)</f>
        <v/>
      </c>
      <c r="AI52" s="75">
        <f>IF('Final Calculation Sheet'!$AD$25="","",IF('Final Calculation Sheet'!$AD$25&lt;=0,"SETTLED","OUTSTANDING"))</f>
        <v/>
      </c>
    </row>
    <row r="53" ht="15" customHeight="1" s="77">
      <c r="A53" s="67" t="n">
        <v>2</v>
      </c>
      <c r="B53" s="68">
        <f>IF('Final Calculation Sheet'!$F$28="","",'Final Calculation Sheet'!$F$28)</f>
        <v/>
      </c>
      <c r="C53" s="68">
        <f>IF('Final Calculation Sheet'!$G$28="","",'Final Calculation Sheet'!$G$28)</f>
        <v/>
      </c>
      <c r="D53" s="69">
        <f>IF('Final Calculation Sheet'!$B$28="","",'Final Calculation Sheet'!$B$28)</f>
        <v/>
      </c>
      <c r="E53" s="69">
        <f>IF('Final Calculation Sheet'!$D$28="","",'Final Calculation Sheet'!$D$28)</f>
        <v/>
      </c>
      <c r="F53" s="69">
        <f>IF('Final Calculation Sheet'!$A$28="","",'Final Calculation Sheet'!$A$28)</f>
        <v/>
      </c>
      <c r="G53" s="69">
        <f>IF('Final Calculation Sheet'!$E$28="","",'Final Calculation Sheet'!$E$28)</f>
        <v/>
      </c>
      <c r="H53" s="70">
        <f>IF('Final Calculation Sheet'!$C$28="","",'Final Calculation Sheet'!$C$28)</f>
        <v/>
      </c>
      <c r="I53" s="70">
        <f>IF('Final Calculation Sheet'!$H$28="","",'Final Calculation Sheet'!$H$28)</f>
        <v/>
      </c>
      <c r="J53" s="70">
        <f>IF('Final Calculation Sheet'!$I$28="","",'Final Calculation Sheet'!$I$28)</f>
        <v/>
      </c>
      <c r="K53" s="70">
        <f>IF('Final Calculation Sheet'!$J$28="","",'Final Calculation Sheet'!$J$28)</f>
        <v/>
      </c>
      <c r="L53" s="70">
        <f>IF('Final Calculation Sheet'!$K$28="","",'Final Calculation Sheet'!$K$28)</f>
        <v/>
      </c>
      <c r="M53" s="70">
        <f>IF('Final Calculation Sheet'!$L$28="","",'Final Calculation Sheet'!$L$28)</f>
        <v/>
      </c>
      <c r="N53" s="70">
        <f>IF('Final Calculation Sheet'!$M$28="","",'Final Calculation Sheet'!$M$28)</f>
        <v/>
      </c>
      <c r="O53" s="71">
        <f>IF('Final Calculation Sheet'!$N$28="","",'Final Calculation Sheet'!$N$28)</f>
        <v/>
      </c>
      <c r="P53" s="70">
        <f>IF('Final Calculation Sheet'!$O$28="","",'Final Calculation Sheet'!$O$28)</f>
        <v/>
      </c>
      <c r="Q53" s="70">
        <f>IF('Final Calculation Sheet'!$P$28="","",'Final Calculation Sheet'!$P$28)</f>
        <v/>
      </c>
      <c r="R53" s="72">
        <f>IF('Final Calculation Sheet'!$Q$28="","",'Final Calculation Sheet'!$Q$28)</f>
        <v/>
      </c>
      <c r="S53" s="70">
        <f>IF('Final Calculation Sheet'!$R$28="","",'Final Calculation Sheet'!$R$28)</f>
        <v/>
      </c>
      <c r="T53" s="70">
        <f>IF('Final Calculation Sheet'!$S$28="","",'Final Calculation Sheet'!$S$28)</f>
        <v/>
      </c>
      <c r="U53" s="70">
        <f>IF('Final Calculation Sheet'!$T$28="","",'Final Calculation Sheet'!$T$28)</f>
        <v/>
      </c>
      <c r="V53" s="73">
        <f>IF('Final Calculation Sheet'!$U$28="","",'Final Calculation Sheet'!$U$28)</f>
        <v/>
      </c>
      <c r="W53" s="70">
        <f>IF('Final Calculation Sheet'!$V$28="","",'Final Calculation Sheet'!$V$28)</f>
        <v/>
      </c>
      <c r="X53" s="70">
        <f>IF('Final Calculation Sheet'!$W$28="","",'Final Calculation Sheet'!$W$28)</f>
        <v/>
      </c>
      <c r="Y53" s="70">
        <f>IF('Final Calculation Sheet'!$X$28="","",'Final Calculation Sheet'!$X$28)</f>
        <v/>
      </c>
      <c r="Z53" s="70">
        <f>IF('Final Calculation Sheet'!$Y$28="","",'Final Calculation Sheet'!$Y$28)</f>
        <v/>
      </c>
      <c r="AA53" s="70">
        <f>IF('Final Calculation Sheet'!$Z$28="","",'Final Calculation Sheet'!$Z$28)</f>
        <v/>
      </c>
      <c r="AB53" s="70">
        <f>IF('Final Calculation Sheet'!$AA$28="","",'Final Calculation Sheet'!$AA$28)</f>
        <v/>
      </c>
      <c r="AC53" s="70">
        <f>IF('Final Calculation Sheet'!$AB$28="","",'Final Calculation Sheet'!$AB$28)</f>
        <v/>
      </c>
      <c r="AD53" s="70">
        <f>IF('Final Calculation Sheet'!$AC$28="","",'Final Calculation Sheet'!$AC$28)</f>
        <v/>
      </c>
      <c r="AE53" s="70">
        <f>IF('Final Calculation Sheet'!$AD$28="","",'Final Calculation Sheet'!$AD$28)</f>
        <v/>
      </c>
      <c r="AF53" s="70">
        <f>IF('Final Calculation Sheet'!$AE$28="","",'Final Calculation Sheet'!$AE$28)</f>
        <v/>
      </c>
      <c r="AG53" s="74">
        <f>IF('Final Calculation Sheet'!$AF$28="","",'Final Calculation Sheet'!$AF$28)</f>
        <v/>
      </c>
      <c r="AH53" s="70">
        <f>IF('Final Calculation Sheet'!$AG$28="","",'Final Calculation Sheet'!$AG$28)</f>
        <v/>
      </c>
      <c r="AI53" s="75">
        <f>IF('Final Calculation Sheet'!$AD$28="","",IF('Final Calculation Sheet'!$AD$28&lt;=0,"SETTLED","OUTSTANDING"))</f>
        <v/>
      </c>
    </row>
    <row r="54" ht="15" customHeight="1" s="77">
      <c r="A54" s="67" t="n">
        <v>3</v>
      </c>
      <c r="B54" s="68">
        <f>IF('Final Calculation Sheet'!$F$35="","",'Final Calculation Sheet'!$F$35)</f>
        <v/>
      </c>
      <c r="C54" s="68">
        <f>IF('Final Calculation Sheet'!$G$35="","",'Final Calculation Sheet'!$G$35)</f>
        <v/>
      </c>
      <c r="D54" s="69">
        <f>IF('Final Calculation Sheet'!$B$35="","",'Final Calculation Sheet'!$B$35)</f>
        <v/>
      </c>
      <c r="E54" s="69">
        <f>IF('Final Calculation Sheet'!$D$35="","",'Final Calculation Sheet'!$D$35)</f>
        <v/>
      </c>
      <c r="F54" s="69">
        <f>IF('Final Calculation Sheet'!$A$35="","",'Final Calculation Sheet'!$A$35)</f>
        <v/>
      </c>
      <c r="G54" s="69">
        <f>IF('Final Calculation Sheet'!$E$35="","",'Final Calculation Sheet'!$E$35)</f>
        <v/>
      </c>
      <c r="H54" s="70">
        <f>IF('Final Calculation Sheet'!$C$35="","",'Final Calculation Sheet'!$C$35)</f>
        <v/>
      </c>
      <c r="I54" s="70">
        <f>IF('Final Calculation Sheet'!$H$35="","",'Final Calculation Sheet'!$H$35)</f>
        <v/>
      </c>
      <c r="J54" s="70">
        <f>IF('Final Calculation Sheet'!$I$35="","",'Final Calculation Sheet'!$I$35)</f>
        <v/>
      </c>
      <c r="K54" s="70">
        <f>IF('Final Calculation Sheet'!$J$35="","",'Final Calculation Sheet'!$J$35)</f>
        <v/>
      </c>
      <c r="L54" s="70">
        <f>IF('Final Calculation Sheet'!$K$35="","",'Final Calculation Sheet'!$K$35)</f>
        <v/>
      </c>
      <c r="M54" s="70">
        <f>IF('Final Calculation Sheet'!$L$35="","",'Final Calculation Sheet'!$L$35)</f>
        <v/>
      </c>
      <c r="N54" s="70">
        <f>IF('Final Calculation Sheet'!$M$35="","",'Final Calculation Sheet'!$M$35)</f>
        <v/>
      </c>
      <c r="O54" s="71">
        <f>IF('Final Calculation Sheet'!$N$35="","",'Final Calculation Sheet'!$N$35)</f>
        <v/>
      </c>
      <c r="P54" s="70">
        <f>IF('Final Calculation Sheet'!$O$35="","",'Final Calculation Sheet'!$O$35)</f>
        <v/>
      </c>
      <c r="Q54" s="70">
        <f>IF('Final Calculation Sheet'!$P$35="","",'Final Calculation Sheet'!$P$35)</f>
        <v/>
      </c>
      <c r="R54" s="72">
        <f>IF('Final Calculation Sheet'!$Q$35="","",'Final Calculation Sheet'!$Q$35)</f>
        <v/>
      </c>
      <c r="S54" s="70">
        <f>IF('Final Calculation Sheet'!$R$35="","",'Final Calculation Sheet'!$R$35)</f>
        <v/>
      </c>
      <c r="T54" s="70">
        <f>IF('Final Calculation Sheet'!$S$35="","",'Final Calculation Sheet'!$S$35)</f>
        <v/>
      </c>
      <c r="U54" s="70">
        <f>IF('Final Calculation Sheet'!$T$35="","",'Final Calculation Sheet'!$T$35)</f>
        <v/>
      </c>
      <c r="V54" s="73">
        <f>IF('Final Calculation Sheet'!$U$35="","",'Final Calculation Sheet'!$U$35)</f>
        <v/>
      </c>
      <c r="W54" s="70">
        <f>IF('Final Calculation Sheet'!$V$35="","",'Final Calculation Sheet'!$V$35)</f>
        <v/>
      </c>
      <c r="X54" s="70">
        <f>IF('Final Calculation Sheet'!$W$35="","",'Final Calculation Sheet'!$W$35)</f>
        <v/>
      </c>
      <c r="Y54" s="70">
        <f>IF('Final Calculation Sheet'!$X$35="","",'Final Calculation Sheet'!$X$35)</f>
        <v/>
      </c>
      <c r="Z54" s="70">
        <f>IF('Final Calculation Sheet'!$Y$35="","",'Final Calculation Sheet'!$Y$35)</f>
        <v/>
      </c>
      <c r="AA54" s="70">
        <f>IF('Final Calculation Sheet'!$Z$35="","",'Final Calculation Sheet'!$Z$35)</f>
        <v/>
      </c>
      <c r="AB54" s="70">
        <f>IF('Final Calculation Sheet'!$AA$35="","",'Final Calculation Sheet'!$AA$35)</f>
        <v/>
      </c>
      <c r="AC54" s="70">
        <f>IF('Final Calculation Sheet'!$AB$35="","",'Final Calculation Sheet'!$AB$35)</f>
        <v/>
      </c>
      <c r="AD54" s="70">
        <f>IF('Final Calculation Sheet'!$AC$35="","",'Final Calculation Sheet'!$AC$35)</f>
        <v/>
      </c>
      <c r="AE54" s="70">
        <f>IF('Final Calculation Sheet'!$AD$35="","",'Final Calculation Sheet'!$AD$35)</f>
        <v/>
      </c>
      <c r="AF54" s="70">
        <f>IF('Final Calculation Sheet'!$AE$35="","",'Final Calculation Sheet'!$AE$35)</f>
        <v/>
      </c>
      <c r="AG54" s="74">
        <f>IF('Final Calculation Sheet'!$AF$35="","",'Final Calculation Sheet'!$AF$35)</f>
        <v/>
      </c>
      <c r="AH54" s="70">
        <f>IF('Final Calculation Sheet'!$AG$35="","",'Final Calculation Sheet'!$AG$35)</f>
        <v/>
      </c>
      <c r="AI54" s="75">
        <f>IF('Final Calculation Sheet'!$AD$35="","",IF('Final Calculation Sheet'!$AD$35&lt;=0,"SETTLED","OUTSTANDING"))</f>
        <v/>
      </c>
    </row>
    <row r="55" ht="15" customHeight="1" s="77">
      <c r="A55" s="84" t="inlineStr">
        <is>
          <t>∑</t>
        </is>
      </c>
      <c r="B55" s="85" t="n"/>
      <c r="C55" s="85">
        <f>ROWS($C$52:$C$54)&amp;" lot(s)"</f>
        <v/>
      </c>
      <c r="D55" s="85" t="inlineStr">
        <is>
          <t>SUBTOTAL — WATAN SCRAP TRADERS</t>
        </is>
      </c>
      <c r="E55" s="85" t="inlineStr">
        <is>
          <t>–</t>
        </is>
      </c>
      <c r="F55" s="85">
        <f>SUM(F52:F54)</f>
        <v/>
      </c>
      <c r="G55" s="85" t="inlineStr">
        <is>
          <t>–</t>
        </is>
      </c>
      <c r="H55" s="86" t="inlineStr">
        <is>
          <t>–</t>
        </is>
      </c>
      <c r="I55" s="86">
        <f>SUM(I52:I54)</f>
        <v/>
      </c>
      <c r="J55" s="86">
        <f>SUM(J52:J54)</f>
        <v/>
      </c>
      <c r="K55" s="86">
        <f>SUM(K52:K54)</f>
        <v/>
      </c>
      <c r="L55" s="86">
        <f>SUM(L52:L54)</f>
        <v/>
      </c>
      <c r="M55" s="86">
        <f>SUM(M52:M54)</f>
        <v/>
      </c>
      <c r="N55" s="86">
        <f>SUM(N52:N54)</f>
        <v/>
      </c>
      <c r="O55" s="87">
        <f>SUM(O52:O54)</f>
        <v/>
      </c>
      <c r="P55" s="86">
        <f>SUM(P52:P54)</f>
        <v/>
      </c>
      <c r="Q55" s="86">
        <f>SUM(Q52:Q54)</f>
        <v/>
      </c>
      <c r="R55" s="88" t="inlineStr">
        <is>
          <t>–</t>
        </is>
      </c>
      <c r="S55" s="86">
        <f>SUM(S52:S54)</f>
        <v/>
      </c>
      <c r="T55" s="86">
        <f>SUM(T52:T54)</f>
        <v/>
      </c>
      <c r="U55" s="86">
        <f>SUM(U52:U54)</f>
        <v/>
      </c>
      <c r="V55" s="89">
        <f>SUM(V52:V54)</f>
        <v/>
      </c>
      <c r="W55" s="86" t="inlineStr">
        <is>
          <t>–</t>
        </is>
      </c>
      <c r="X55" s="86">
        <f>SUM(X52:X54)</f>
        <v/>
      </c>
      <c r="Y55" s="86">
        <f>SUM(Y52:Y54)</f>
        <v/>
      </c>
      <c r="Z55" s="86" t="inlineStr">
        <is>
          <t>–</t>
        </is>
      </c>
      <c r="AA55" s="86">
        <f>SUM(AA52:AA54)</f>
        <v/>
      </c>
      <c r="AB55" s="86">
        <f>SUM(AB52:AB54)</f>
        <v/>
      </c>
      <c r="AC55" s="86" t="inlineStr">
        <is>
          <t>–</t>
        </is>
      </c>
      <c r="AD55" s="86">
        <f>SUM(AD52:AD54)</f>
        <v/>
      </c>
      <c r="AE55" s="86">
        <f>SUM(AE52:AE54)</f>
        <v/>
      </c>
      <c r="AF55" s="86" t="inlineStr">
        <is>
          <t>–</t>
        </is>
      </c>
      <c r="AG55" s="90" t="inlineStr">
        <is>
          <t>–</t>
        </is>
      </c>
      <c r="AH55" s="86" t="inlineStr">
        <is>
          <t>–</t>
        </is>
      </c>
      <c r="AI55" s="91">
        <f>IF(AE55&lt;=0,"SETTLED","OUTSTANDING")</f>
        <v/>
      </c>
    </row>
    <row r="56" ht="15" customHeight="1" s="77">
      <c r="A56" s="92" t="inlineStr">
        <is>
          <t>∑</t>
        </is>
      </c>
      <c r="B56" s="93" t="n"/>
      <c r="C56" s="93">
        <f>COUNTA('Final Calculation Sheet'!$G$4:$G$40)&amp;" lot(s)"</f>
        <v/>
      </c>
      <c r="D56" s="93" t="inlineStr">
        <is>
          <t>TOTAL — every buyer together</t>
        </is>
      </c>
      <c r="E56" s="93" t="inlineStr">
        <is>
          <t>–</t>
        </is>
      </c>
      <c r="F56" s="93">
        <f>SUM(F7,F10,F12,F14,F16,F30,F32,F35,F38,F40,F43,F51,F55)</f>
        <v/>
      </c>
      <c r="G56" s="93" t="inlineStr">
        <is>
          <t>–</t>
        </is>
      </c>
      <c r="H56" s="94" t="inlineStr">
        <is>
          <t>–</t>
        </is>
      </c>
      <c r="I56" s="94">
        <f>SUM(I7,I10,I12,I14,I16,I30,I32,I35,I38,I40,I43,I51,I55)</f>
        <v/>
      </c>
      <c r="J56" s="94">
        <f>SUM(J7,J10,J12,J14,J16,J30,J32,J35,J38,J40,J43,J51,J55)</f>
        <v/>
      </c>
      <c r="K56" s="94">
        <f>SUM(K7,K10,K12,K14,K16,K30,K32,K35,K38,K40,K43,K51,K55)</f>
        <v/>
      </c>
      <c r="L56" s="94">
        <f>SUM(L7,L10,L12,L14,L16,L30,L32,L35,L38,L40,L43,L51,L55)</f>
        <v/>
      </c>
      <c r="M56" s="94">
        <f>SUM(M7,M10,M12,M14,M16,M30,M32,M35,M38,M40,M43,M51,M55)</f>
        <v/>
      </c>
      <c r="N56" s="94">
        <f>SUM(N7,N10,N12,N14,N16,N30,N32,N35,N38,N40,N43,N51,N55)</f>
        <v/>
      </c>
      <c r="O56" s="95">
        <f>SUM(O7,O10,O12,O14,O16,O30,O32,O35,O38,O40,O43,O51,O55)</f>
        <v/>
      </c>
      <c r="P56" s="94">
        <f>SUM(P7,P10,P12,P14,P16,P30,P32,P35,P38,P40,P43,P51,P55)</f>
        <v/>
      </c>
      <c r="Q56" s="94">
        <f>SUM(Q7,Q10,Q12,Q14,Q16,Q30,Q32,Q35,Q38,Q40,Q43,Q51,Q55)</f>
        <v/>
      </c>
      <c r="R56" s="96" t="inlineStr">
        <is>
          <t>–</t>
        </is>
      </c>
      <c r="S56" s="94">
        <f>SUM(S7,S10,S12,S14,S16,S30,S32,S35,S38,S40,S43,S51,S55)</f>
        <v/>
      </c>
      <c r="T56" s="94">
        <f>SUM(T7,T10,T12,T14,T16,T30,T32,T35,T38,T40,T43,T51,T55)</f>
        <v/>
      </c>
      <c r="U56" s="94">
        <f>SUM(U7,U10,U12,U14,U16,U30,U32,U35,U38,U40,U43,U51,U55)</f>
        <v/>
      </c>
      <c r="V56" s="97">
        <f>SUM(V7,V10,V12,V14,V16,V30,V32,V35,V38,V40,V43,V51,V55)</f>
        <v/>
      </c>
      <c r="W56" s="94" t="inlineStr">
        <is>
          <t>–</t>
        </is>
      </c>
      <c r="X56" s="94">
        <f>SUM(X7,X10,X12,X14,X16,X30,X32,X35,X38,X40,X43,X51,X55)</f>
        <v/>
      </c>
      <c r="Y56" s="94">
        <f>SUM(Y7,Y10,Y12,Y14,Y16,Y30,Y32,Y35,Y38,Y40,Y43,Y51,Y55)</f>
        <v/>
      </c>
      <c r="Z56" s="94" t="inlineStr">
        <is>
          <t>–</t>
        </is>
      </c>
      <c r="AA56" s="94">
        <f>SUM(AA7,AA10,AA12,AA14,AA16,AA30,AA32,AA35,AA38,AA40,AA43,AA51,AA55)</f>
        <v/>
      </c>
      <c r="AB56" s="94">
        <f>SUM(AB7,AB10,AB12,AB14,AB16,AB30,AB32,AB35,AB38,AB40,AB43,AB51,AB55)</f>
        <v/>
      </c>
      <c r="AC56" s="94" t="inlineStr">
        <is>
          <t>–</t>
        </is>
      </c>
      <c r="AD56" s="94">
        <f>SUM(AD7,AD10,AD12,AD14,AD16,AD30,AD32,AD35,AD38,AD40,AD43,AD51,AD55)</f>
        <v/>
      </c>
      <c r="AE56" s="94">
        <f>SUM(AE7,AE10,AE12,AE14,AE16,AE30,AE32,AE35,AE38,AE40,AE43,AE51,AE55)</f>
        <v/>
      </c>
      <c r="AF56" s="94" t="inlineStr">
        <is>
          <t>–</t>
        </is>
      </c>
      <c r="AG56" s="98" t="inlineStr">
        <is>
          <t>–</t>
        </is>
      </c>
      <c r="AH56" s="94" t="inlineStr">
        <is>
          <t>–</t>
        </is>
      </c>
      <c r="AI56" s="99">
        <f>IF(AE56&lt;=0,"SETTLED","OUTSTANDING")</f>
        <v/>
      </c>
    </row>
    <row r="57" ht="15" customHeight="1" s="77">
      <c r="A57" s="100" t="inlineStr">
        <is>
          <t>∑</t>
        </is>
      </c>
      <c r="B57" s="101" t="n"/>
      <c r="C57" s="101">
        <f>COUNTA('Final Calculation Sheet'!$G$4:$G$40)&amp;" lot(s)"</f>
        <v/>
      </c>
      <c r="D57" s="101" t="inlineStr">
        <is>
          <t>GRAND TOTAL — cross-checked to source</t>
        </is>
      </c>
      <c r="E57" s="101" t="inlineStr">
        <is>
          <t>–</t>
        </is>
      </c>
      <c r="F57" s="101">
        <f>SUM('Final Calculation Sheet'!$A$4:$A$40)</f>
        <v/>
      </c>
      <c r="G57" s="101" t="inlineStr">
        <is>
          <t>–</t>
        </is>
      </c>
      <c r="H57" s="102" t="inlineStr">
        <is>
          <t>–</t>
        </is>
      </c>
      <c r="I57" s="102">
        <f>SUM('Final Calculation Sheet'!$H$4:$H$40)</f>
        <v/>
      </c>
      <c r="J57" s="102">
        <f>SUM('Final Calculation Sheet'!$I$4:$I$40)</f>
        <v/>
      </c>
      <c r="K57" s="102">
        <f>SUM('Final Calculation Sheet'!$J$4:$J$40)</f>
        <v/>
      </c>
      <c r="L57" s="102">
        <f>SUM('Final Calculation Sheet'!$K$4:$K$40)</f>
        <v/>
      </c>
      <c r="M57" s="102">
        <f>SUM('Final Calculation Sheet'!$L$4:$L$40)</f>
        <v/>
      </c>
      <c r="N57" s="102">
        <f>SUM('Final Calculation Sheet'!$M$4:$M$40)</f>
        <v/>
      </c>
      <c r="O57" s="103">
        <f>SUM('Final Calculation Sheet'!$N$4:$N$40)</f>
        <v/>
      </c>
      <c r="P57" s="102">
        <f>SUM('Final Calculation Sheet'!$O$4:$O$40)</f>
        <v/>
      </c>
      <c r="Q57" s="102">
        <f>SUM('Final Calculation Sheet'!$P$4:$P$40)</f>
        <v/>
      </c>
      <c r="R57" s="104" t="inlineStr">
        <is>
          <t>–</t>
        </is>
      </c>
      <c r="S57" s="102">
        <f>SUM('Final Calculation Sheet'!$R$4:$R$40)</f>
        <v/>
      </c>
      <c r="T57" s="102">
        <f>SUM('Final Calculation Sheet'!$S$4:$S$40)</f>
        <v/>
      </c>
      <c r="U57" s="102">
        <f>SUM('Final Calculation Sheet'!$T$4:$T$40)</f>
        <v/>
      </c>
      <c r="V57" s="105">
        <f>SUM('Final Calculation Sheet'!$U$4:$U$40)</f>
        <v/>
      </c>
      <c r="W57" s="102" t="inlineStr">
        <is>
          <t>–</t>
        </is>
      </c>
      <c r="X57" s="102">
        <f>SUM('Final Calculation Sheet'!$W$4:$W$40)</f>
        <v/>
      </c>
      <c r="Y57" s="102">
        <f>SUM('Final Calculation Sheet'!$X$4:$X$40)</f>
        <v/>
      </c>
      <c r="Z57" s="102" t="inlineStr">
        <is>
          <t>–</t>
        </is>
      </c>
      <c r="AA57" s="102">
        <f>SUM('Final Calculation Sheet'!$Z$4:$Z$40)</f>
        <v/>
      </c>
      <c r="AB57" s="102">
        <f>SUM('Final Calculation Sheet'!$AA$4:$AA$40)</f>
        <v/>
      </c>
      <c r="AC57" s="102" t="inlineStr">
        <is>
          <t>–</t>
        </is>
      </c>
      <c r="AD57" s="102">
        <f>SUM('Final Calculation Sheet'!$AC$4:$AC$40)</f>
        <v/>
      </c>
      <c r="AE57" s="102">
        <f>SUM('Final Calculation Sheet'!$AD$4:$AD$40)</f>
        <v/>
      </c>
      <c r="AF57" s="102" t="inlineStr">
        <is>
          <t>–</t>
        </is>
      </c>
      <c r="AG57" s="106" t="inlineStr">
        <is>
          <t>–</t>
        </is>
      </c>
      <c r="AH57" s="102" t="inlineStr">
        <is>
          <t>–</t>
        </is>
      </c>
      <c r="AI57" s="107">
        <f>IF(AE57&lt;=0,"SETTLED","OUTSTANDING")</f>
        <v/>
      </c>
    </row>
  </sheetData>
  <mergeCells count="2">
    <mergeCell ref="A2:AI2"/>
    <mergeCell ref="A1:AI1"/>
  </mergeCells>
  <conditionalFormatting sqref="AE6:AE57">
    <cfRule type="cellIs" priority="1" operator="greaterThan" dxfId="2">
      <formula>0</formula>
    </cfRule>
  </conditionalFormatting>
  <conditionalFormatting sqref="AI6:AI57">
    <cfRule type="cellIs" priority="2" operator="equal" dxfId="11">
      <formula>"SETTLED"</formula>
    </cfRule>
    <cfRule type="cellIs" priority="3" operator="equal" dxfId="12">
      <formula>"OUTSTANDING"</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S.M.C</dc:creator>
  <dc:language>en-US</dc:language>
  <dcterms:created xsi:type="dcterms:W3CDTF">2026-09-02T06:08:07Z</dcterms:created>
  <dcterms:modified xsi:type="dcterms:W3CDTF">2026-09-10T04:02:31Z</dcterms:modified>
  <cp:lastModifiedBy>S.M.C</cp:lastModifiedBy>
  <cp:revision>0</cp:revision>
</cp:coreProperties>
</file>