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'Lists'!$C$4:INDEX('Lists'!$C$4:$C$114,MAX('Lists'!$B$4:$B$114))</definedName>
    <definedName name="SUG_A">'Lists'!$F$4:INDEX('Lists'!$F$4:$F$40,MAX('Lists'!$E$4:$E$40))</definedName>
    <definedName name="SUG_B">'Lists'!$I$4:INDEX('Lists'!$I$4:$I$42,MAX('Lists'!$H$4:$H$40)+2)</definedName>
    <definedName name="SUG_C">'Lists'!$L$4:INDEX('Lists'!$L$4:$L$42,MAX('Lists'!$K$4:$K$40)+2)</definedName>
    <definedName name="SUG_D">'Lists'!$O$4:INDEX('Lists'!$O$4:$O$42,MAX('Lists'!$N$4:$N$40)+2)</definedName>
    <definedName name="SUG_E">'Lists'!$R$4:INDEX('Lists'!$R$4:$R$42,MAX('Lists'!$Q$4:$Q$40)+2)</definedName>
    <definedName name="SUG_F">'Lists'!$U$4:INDEX('Lists'!$U$4:$U$42,MAX('Lists'!$T$4:$T$40)+2)</definedName>
    <definedName name="SUG_G">'Lists'!$X$4:INDEX('Lists'!$X$4:$X$42,MAX('Lists'!$W$4:$W$40)+2)</definedName>
    <definedName name="SUG_H">'Lists'!$AA$4:INDEX('Lists'!$AA$4:$AA$42,MAX('Lists'!$Z$4:$Z$40)+2)</definedName>
    <definedName name="SUG_I">'Lists'!$AD$4:INDEX('Lists'!$AD$4:$AD$42,MAX('Lists'!$AC$4:$AC$40)+2)</definedName>
    <definedName name="SUG_J">'Lists'!$AG$4:INDEX('Lists'!$AG$4:$AG$42,MAX('Lists'!$AF$4:$AF$40)+2)</definedName>
    <definedName name="SUG_K">'Lists'!$AJ$4:INDEX('Lists'!$AJ$4:$AJ$42,MAX('Lists'!$AI$4:$AI$40)+2)</definedName>
    <definedName name="SUG_L">'Lists'!$AM$4:INDEX('Lists'!$AM$4:$AM$42,MAX('Lists'!$AL$4:$AL$40)+2)</definedName>
    <definedName name="SUG_M">'Lists'!$AP$4:INDEX('Lists'!$AP$4:$AP$42,MAX('Lists'!$AO$4:$AO$40)+2)</definedName>
    <definedName name="SUG_N">'Lists'!$AS$4:INDEX('Lists'!$AS$4:$AS$42,MAX('Lists'!$AR$4:$AR$40)+2)</definedName>
    <definedName name="SUG_O">'Lists'!$AV$4:INDEX('Lists'!$AV$4:$AV$42,MAX('Lists'!$AU$4:$AU$40)+2)</definedName>
    <definedName name="SUG_P">'Lists'!$AY$4:INDEX('Lists'!$AY$4:$AY$42,MAX('Lists'!$AX$4:$AX$40)+2)</definedName>
    <definedName name="SUG_Q">'Lists'!$BB$4:INDEX('Lists'!$BB$4:$BB$42,MAX('Lists'!$BA$4:$BA$40)+2)</definedName>
    <definedName name="SUG_R">'Lists'!$BE$4:INDEX('Lists'!$BE$4:$BE$42,MAX('Lists'!$BD$4:$BD$40)+2)</definedName>
    <definedName name="SUG_S">'Lists'!$BH$4:INDEX('Lists'!$BH$4:$BH$42,MAX('Lists'!$BG$4:$BG$40)+2)</definedName>
    <definedName name="SUG_T">'Lists'!$BK$4:INDEX('Lists'!$BK$4:$BK$42,MAX('Lists'!$BJ$4:$BJ$40)+2)</definedName>
    <definedName name="SUG_U">'Lists'!$BN$4:INDEX('Lists'!$BN$4:$BN$42,MAX('Lists'!$BM$4:$BM$40)+2)</definedName>
    <definedName name="SUG_V">'Lists'!$BQ$4:INDEX('Lists'!$BQ$4:$BQ$42,MAX('Lists'!$BP$4:$BP$40)+2)</definedName>
    <definedName name="SUG_W">'Lists'!$BT$4:INDEX('Lists'!$BT$4:$BT$42,MAX('Lists'!$BS$4:$BS$40)+2)</definedName>
    <definedName name="SUG_X">'Lists'!$BW$4:INDEX('Lists'!$BW$4:$BW$42,MAX('Lists'!$BV$4:$BV$40)+2)</definedName>
    <definedName name="SUG_Y">'Lists'!$BZ$4:INDEX('Lists'!$BZ$4:$BZ$42,MAX('Lists'!$BY$4:$BY$40)+2)</definedName>
    <definedName name="SUG_Z">'Lists'!$CC$4:INDEX('Lists'!$CC$4:$CC$42,MAX('Lists'!$CB$4:$CB$40)+2)</definedName>
    <definedName name="SUG_AA">'Lists'!$CF$4:INDEX('Lists'!$CF$4:$CF$42,MAX('Lists'!$CE$4:$CE$40)+2)</definedName>
    <definedName name="SUG_AB">'Lists'!$CI$4:INDEX('Lists'!$CI$4:$CI$42,MAX('Lists'!$CH$4:$CH$40)+2)</definedName>
    <definedName name="SUG_AC">'Lists'!$CL$4:INDEX('Lists'!$CL$4:$CL$42,MAX('Lists'!$CK$4:$CK$40)+2)</definedName>
    <definedName name="SUG_AD">'Lists'!$CO$4:INDEX('Lists'!$CO$4:$CO$42,MAX('Lists'!$CN$4:$CN$40)+2)</definedName>
    <definedName name="SUG_AE">'Lists'!$CR$4:INDEX('Lists'!$CR$4:$CR$42,MAX('Lists'!$CQ$4:$CQ$40)+2)</definedName>
    <definedName name="SUG_AF">'Lists'!$CU$4:INDEX('Lists'!$CU$4:$CU$42,MAX('Lists'!$CT$4:$CT$40)+2)</definedName>
    <definedName name="SUG_AG">'Lists'!$CX$4:INDEX('Lists'!$CX$4:$CX$42,MAX('Lists'!$CW$4:$CW$40)+2)</definedName>
    <definedName name="SUG_AH">'Lists'!$DA$4:INDEX('Lists'!$DA$4:$DA$42,MAX('Lists'!$CZ$4:$CZ$40)+2)</definedName>
    <definedName name="SUG_AI">'Lists'!$DD$4:INDEX('Lists'!$DD$4:$DD$40,MAX('Lists'!$DC$4:$DC$40))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6">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08">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cellXfs>
  <cellStyles count="1">
    <cellStyle name="Normal" xfId="0" builtinId="0"/>
  </cellStyles>
  <dxfs count="13">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width="9.85546875" customWidth="1" style="77" min="20" max="20"/>
    <col width="10" customWidth="1" style="2" min="21" max="21"/>
    <col width="10.140625" customWidth="1" style="2" min="22" max="22"/>
    <col width="10.7109375" customWidth="1" style="77" min="23" max="23"/>
    <col width="10.5703125" customWidth="1" style="77" min="24" max="24"/>
    <col width="10.140625" customWidth="1" style="77" min="25" max="28"/>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Typing stays completely free: comma lists, + facets, blank / spacebar and nonblank all still work. Live matches for the B3 box also appear in column AJ.</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Sheet'!$AD$4&lt;=0,"SETTLED","OUTSTANDING"))&amp;"",""))))&gt;0,AND(ISNUMBER(SEARCH("blank",$AI$4)),NOT(ISNUMBER(SEARCH("nonblank",$AI$4))),IFERROR((IF('Final Calculation Sheet'!$AD$4&lt;=0,"SETTLED","OUTSTANDING"))&amp;"","")=""),AND(OR(ISNUMBER(SEARCH("nonblank",$AI$4)),ISNUMBER(SEARCH("&lt;&gt;",$AI$4))),IFERROR((IF('Final Calculation Sheet'!$AD$4&lt;=0,"SETTLED","OUTSTANDING"))&amp;"","")&lt;&gt;""),AND(TRIM($AI$4)="",IFERROR((IF('Final Calculation Sheet'!$AD$4&lt;=0,"SETTLED","OUTSTANDING"))&amp;"","")=""))))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Sheet'!$AD$4:$AD$40,$BJ5-3)&lt;=0,"SETTLED","OUTSTANDING")),IF(OR($BI5=1,$BL5=1,$BH5&gt;0),IF(IF($BI5=1,SUM('Final Calculation Sheet'!$AD$4:$AD$40),IF($BL5=1,SUM('Final Calculation Sheet'!$AD$4:$AD$40)-SUMIFS('Final Calculation Sheet'!$AD$4:$AD$40,$AZ$5:$AZ$41,10),SUMIFS('Final Calculation Sheet'!$AD$4:$AD$40,$AZ$5:$AZ$41,$BH5)))&lt;=0,"ALL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Sheet'!$AD$5&lt;=0,"SETTLED","OUTSTANDING"))&amp;"",""))))&gt;0,AND(ISNUMBER(SEARCH("blank",$AI$4)),NOT(ISNUMBER(SEARCH("nonblank",$AI$4))),IFERROR((IF('Final Calculation Sheet'!$AD$5&lt;=0,"SETTLED","OUTSTANDING"))&amp;"","")=""),AND(OR(ISNUMBER(SEARCH("nonblank",$AI$4)),ISNUMBER(SEARCH("&lt;&gt;",$AI$4))),IFERROR((IF('Final Calculation Sheet'!$AD$5&lt;=0,"SETTLED","OUTSTANDING"))&amp;"","")&lt;&gt;""),AND(TRIM($AI$4)="",IFERROR((IF('Final Calculation Sheet'!$AD$5&lt;=0,"SETTLED","OUTSTANDING"))&amp;"","")=""))))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Sheet'!$AD$4:$AD$40,$BJ6-3)&lt;=0,"SETTLED","OUTSTANDING")),IF(OR($BI6=1,$BL6=1,$BH6&gt;0),IF(IF($BI6=1,SUM('Final Calculation Sheet'!$AD$4:$AD$40),IF($BL6=1,SUM('Final Calculation Sheet'!$AD$4:$AD$40)-SUMIFS('Final Calculation Sheet'!$AD$4:$AD$40,$AZ$5:$AZ$41,10),SUMIFS('Final Calculation Sheet'!$AD$4:$AD$40,$AZ$5:$AZ$41,$BH6)))&lt;=0,"ALL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Sheet'!$AD$6&lt;=0,"SETTLED","OUTSTANDING"))&amp;"",""))))&gt;0,AND(ISNUMBER(SEARCH("blank",$AI$4)),NOT(ISNUMBER(SEARCH("nonblank",$AI$4))),IFERROR((IF('Final Calculation Sheet'!$AD$6&lt;=0,"SETTLED","OUTSTANDING"))&amp;"","")=""),AND(OR(ISNUMBER(SEARCH("nonblank",$AI$4)),ISNUMBER(SEARCH("&lt;&gt;",$AI$4))),IFERROR((IF('Final Calculation Sheet'!$AD$6&lt;=0,"SETTLED","OUTSTANDING"))&amp;"","")&lt;&gt;""),AND(TRIM($AI$4)="",IFERROR((IF('Final Calculation Sheet'!$AD$6&lt;=0,"SETTLED","OUTSTANDING"))&amp;"","")=""))))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Sheet'!$AD$4:$AD$40,$BJ7-3)&lt;=0,"SETTLED","OUTSTANDING")),IF(OR($BI7=1,$BL7=1,$BH7&gt;0),IF(IF($BI7=1,SUM('Final Calculation Sheet'!$AD$4:$AD$40),IF($BL7=1,SUM('Final Calculation Sheet'!$AD$4:$AD$40)-SUMIFS('Final Calculation Sheet'!$AD$4:$AD$40,$AZ$5:$AZ$41,10),SUMIFS('Final Calculation Sheet'!$AD$4:$AD$40,$AZ$5:$AZ$41,$BH7)))&lt;=0,"ALL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Sheet'!$AD$7&lt;=0,"SETTLED","OUTSTANDING"))&amp;"",""))))&gt;0,AND(ISNUMBER(SEARCH("blank",$AI$4)),NOT(ISNUMBER(SEARCH("nonblank",$AI$4))),IFERROR((IF('Final Calculation Sheet'!$AD$7&lt;=0,"SETTLED","OUTSTANDING"))&amp;"","")=""),AND(OR(ISNUMBER(SEARCH("nonblank",$AI$4)),ISNUMBER(SEARCH("&lt;&gt;",$AI$4))),IFERROR((IF('Final Calculation Sheet'!$AD$7&lt;=0,"SETTLED","OUTSTANDING"))&amp;"","")&lt;&gt;""),AND(TRIM($AI$4)="",IFERROR((IF('Final Calculation Sheet'!$AD$7&lt;=0,"SETTLED","OUTSTANDING"))&amp;"","")=""))))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Sheet'!$AD$4:$AD$40,$BJ8-3)&lt;=0,"SETTLED","OUTSTANDING")),IF(OR($BI8=1,$BL8=1,$BH8&gt;0),IF(IF($BI8=1,SUM('Final Calculation Sheet'!$AD$4:$AD$40),IF($BL8=1,SUM('Final Calculation Sheet'!$AD$4:$AD$40)-SUMIFS('Final Calculation Sheet'!$AD$4:$AD$40,$AZ$5:$AZ$41,10),SUMIFS('Final Calculation Sheet'!$AD$4:$AD$40,$AZ$5:$AZ$41,$BH8)))&lt;=0,"ALL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Sheet'!$AD$8&lt;=0,"SETTLED","OUTSTANDING"))&amp;"",""))))&gt;0,AND(ISNUMBER(SEARCH("blank",$AI$4)),NOT(ISNUMBER(SEARCH("nonblank",$AI$4))),IFERROR((IF('Final Calculation Sheet'!$AD$8&lt;=0,"SETTLED","OUTSTANDING"))&amp;"","")=""),AND(OR(ISNUMBER(SEARCH("nonblank",$AI$4)),ISNUMBER(SEARCH("&lt;&gt;",$AI$4))),IFERROR((IF('Final Calculation Sheet'!$AD$8&lt;=0,"SETTLED","OUTSTANDING"))&amp;"","")&lt;&gt;""),AND(TRIM($AI$4)="",IFERROR((IF('Final Calculation Sheet'!$AD$8&lt;=0,"SETTLED","OUTSTANDING"))&amp;"","")=""))))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Sheet'!$AD$4:$AD$40,$BJ9-3)&lt;=0,"SETTLED","OUTSTANDING")),IF(OR($BI9=1,$BL9=1,$BH9&gt;0),IF(IF($BI9=1,SUM('Final Calculation Sheet'!$AD$4:$AD$40),IF($BL9=1,SUM('Final Calculation Sheet'!$AD$4:$AD$40)-SUMIFS('Final Calculation Sheet'!$AD$4:$AD$40,$AZ$5:$AZ$41,10),SUMIFS('Final Calculation Sheet'!$AD$4:$AD$40,$AZ$5:$AZ$41,$BH9)))&lt;=0,"ALL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Sheet'!$AD$9&lt;=0,"SETTLED","OUTSTANDING"))&amp;"",""))))&gt;0,AND(ISNUMBER(SEARCH("blank",$AI$4)),NOT(ISNUMBER(SEARCH("nonblank",$AI$4))),IFERROR((IF('Final Calculation Sheet'!$AD$9&lt;=0,"SETTLED","OUTSTANDING"))&amp;"","")=""),AND(OR(ISNUMBER(SEARCH("nonblank",$AI$4)),ISNUMBER(SEARCH("&lt;&gt;",$AI$4))),IFERROR((IF('Final Calculation Sheet'!$AD$9&lt;=0,"SETTLED","OUTSTANDING"))&amp;"","")&lt;&gt;""),AND(TRIM($AI$4)="",IFERROR((IF('Final Calculation Sheet'!$AD$9&lt;=0,"SETTLED","OUTSTANDING"))&amp;"","")=""))))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Sheet'!$AD$4:$AD$40,$BJ10-3)&lt;=0,"SETTLED","OUTSTANDING")),IF(OR($BI10=1,$BL10=1,$BH10&gt;0),IF(IF($BI10=1,SUM('Final Calculation Sheet'!$AD$4:$AD$40),IF($BL10=1,SUM('Final Calculation Sheet'!$AD$4:$AD$40)-SUMIFS('Final Calculation Sheet'!$AD$4:$AD$40,$AZ$5:$AZ$41,10),SUMIFS('Final Calculation Sheet'!$AD$4:$AD$40,$AZ$5:$AZ$41,$BH10)))&lt;=0,"ALL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Sheet'!$AD$10&lt;=0,"SETTLED","OUTSTANDING"))&amp;"",""))))&gt;0,AND(ISNUMBER(SEARCH("blank",$AI$4)),NOT(ISNUMBER(SEARCH("nonblank",$AI$4))),IFERROR((IF('Final Calculation Sheet'!$AD$10&lt;=0,"SETTLED","OUTSTANDING"))&amp;"","")=""),AND(OR(ISNUMBER(SEARCH("nonblank",$AI$4)),ISNUMBER(SEARCH("&lt;&gt;",$AI$4))),IFERROR((IF('Final Calculation Sheet'!$AD$10&lt;=0,"SETTLED","OUTSTANDING"))&amp;"","")&lt;&gt;""),AND(TRIM($AI$4)="",IFERROR((IF('Final Calculation Sheet'!$AD$10&lt;=0,"SETTLED","OUTSTANDING"))&amp;"","")=""))))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Sheet'!$AD$4:$AD$40,$BJ11-3)&lt;=0,"SETTLED","OUTSTANDING")),IF(OR($BI11=1,$BL11=1,$BH11&gt;0),IF(IF($BI11=1,SUM('Final Calculation Sheet'!$AD$4:$AD$40),IF($BL11=1,SUM('Final Calculation Sheet'!$AD$4:$AD$40)-SUMIFS('Final Calculation Sheet'!$AD$4:$AD$40,$AZ$5:$AZ$41,10),SUMIFS('Final Calculation Sheet'!$AD$4:$AD$40,$AZ$5:$AZ$41,$BH11)))&lt;=0,"ALL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Sheet'!$AD$11&lt;=0,"SETTLED","OUTSTANDING"))&amp;"",""))))&gt;0,AND(ISNUMBER(SEARCH("blank",$AI$4)),NOT(ISNUMBER(SEARCH("nonblank",$AI$4))),IFERROR((IF('Final Calculation Sheet'!$AD$11&lt;=0,"SETTLED","OUTSTANDING"))&amp;"","")=""),AND(OR(ISNUMBER(SEARCH("nonblank",$AI$4)),ISNUMBER(SEARCH("&lt;&gt;",$AI$4))),IFERROR((IF('Final Calculation Sheet'!$AD$11&lt;=0,"SETTLED","OUTSTANDING"))&amp;"","")&lt;&gt;""),AND(TRIM($AI$4)="",IFERROR((IF('Final Calculation Sheet'!$AD$11&lt;=0,"SETTLED","OUTSTANDING"))&amp;"","")=""))))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Sheet'!$AD$4:$AD$40,$BJ12-3)&lt;=0,"SETTLED","OUTSTANDING")),IF(OR($BI12=1,$BL12=1,$BH12&gt;0),IF(IF($BI12=1,SUM('Final Calculation Sheet'!$AD$4:$AD$40),IF($BL12=1,SUM('Final Calculation Sheet'!$AD$4:$AD$40)-SUMIFS('Final Calculation Sheet'!$AD$4:$AD$40,$AZ$5:$AZ$41,10),SUMIFS('Final Calculation Sheet'!$AD$4:$AD$40,$AZ$5:$AZ$41,$BH12)))&lt;=0,"ALL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Sheet'!$AD$12&lt;=0,"SETTLED","OUTSTANDING"))&amp;"",""))))&gt;0,AND(ISNUMBER(SEARCH("blank",$AI$4)),NOT(ISNUMBER(SEARCH("nonblank",$AI$4))),IFERROR((IF('Final Calculation Sheet'!$AD$12&lt;=0,"SETTLED","OUTSTANDING"))&amp;"","")=""),AND(OR(ISNUMBER(SEARCH("nonblank",$AI$4)),ISNUMBER(SEARCH("&lt;&gt;",$AI$4))),IFERROR((IF('Final Calculation Sheet'!$AD$12&lt;=0,"SETTLED","OUTSTANDING"))&amp;"","")&lt;&gt;""),AND(TRIM($AI$4)="",IFERROR((IF('Final Calculation Sheet'!$AD$12&lt;=0,"SETTLED","OUTSTANDING"))&amp;"","")=""))))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Sheet'!$AD$4:$AD$40,$BJ13-3)&lt;=0,"SETTLED","OUTSTANDING")),IF(OR($BI13=1,$BL13=1,$BH13&gt;0),IF(IF($BI13=1,SUM('Final Calculation Sheet'!$AD$4:$AD$40),IF($BL13=1,SUM('Final Calculation Sheet'!$AD$4:$AD$40)-SUMIFS('Final Calculation Sheet'!$AD$4:$AD$40,$AZ$5:$AZ$41,10),SUMIFS('Final Calculation Sheet'!$AD$4:$AD$40,$AZ$5:$AZ$41,$BH13)))&lt;=0,"ALL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Sheet'!$AD$13&lt;=0,"SETTLED","OUTSTANDING"))&amp;"",""))))&gt;0,AND(ISNUMBER(SEARCH("blank",$AI$4)),NOT(ISNUMBER(SEARCH("nonblank",$AI$4))),IFERROR((IF('Final Calculation Sheet'!$AD$13&lt;=0,"SETTLED","OUTSTANDING"))&amp;"","")=""),AND(OR(ISNUMBER(SEARCH("nonblank",$AI$4)),ISNUMBER(SEARCH("&lt;&gt;",$AI$4))),IFERROR((IF('Final Calculation Sheet'!$AD$13&lt;=0,"SETTLED","OUTSTANDING"))&amp;"","")&lt;&gt;""),AND(TRIM($AI$4)="",IFERROR((IF('Final Calculation Sheet'!$AD$13&lt;=0,"SETTLED","OUTSTANDING"))&amp;"","")=""))))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Sheet'!$AD$4:$AD$40,$BJ14-3)&lt;=0,"SETTLED","OUTSTANDING")),IF(OR($BI14=1,$BL14=1,$BH14&gt;0),IF(IF($BI14=1,SUM('Final Calculation Sheet'!$AD$4:$AD$40),IF($BL14=1,SUM('Final Calculation Sheet'!$AD$4:$AD$40)-SUMIFS('Final Calculation Sheet'!$AD$4:$AD$40,$AZ$5:$AZ$41,10),SUMIFS('Final Calculation Sheet'!$AD$4:$AD$40,$AZ$5:$AZ$41,$BH14)))&lt;=0,"ALL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Sheet'!$AD$14&lt;=0,"SETTLED","OUTSTANDING"))&amp;"",""))))&gt;0,AND(ISNUMBER(SEARCH("blank",$AI$4)),NOT(ISNUMBER(SEARCH("nonblank",$AI$4))),IFERROR((IF('Final Calculation Sheet'!$AD$14&lt;=0,"SETTLED","OUTSTANDING"))&amp;"","")=""),AND(OR(ISNUMBER(SEARCH("nonblank",$AI$4)),ISNUMBER(SEARCH("&lt;&gt;",$AI$4))),IFERROR((IF('Final Calculation Sheet'!$AD$14&lt;=0,"SETTLED","OUTSTANDING"))&amp;"","")&lt;&gt;""),AND(TRIM($AI$4)="",IFERROR((IF('Final Calculation Sheet'!$AD$14&lt;=0,"SETTLED","OUTSTANDING"))&amp;"","")=""))))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Sheet'!$AD$4:$AD$40,$BJ15-3)&lt;=0,"SETTLED","OUTSTANDING")),IF(OR($BI15=1,$BL15=1,$BH15&gt;0),IF(IF($BI15=1,SUM('Final Calculation Sheet'!$AD$4:$AD$40),IF($BL15=1,SUM('Final Calculation Sheet'!$AD$4:$AD$40)-SUMIFS('Final Calculation Sheet'!$AD$4:$AD$40,$AZ$5:$AZ$41,10),SUMIFS('Final Calculation Sheet'!$AD$4:$AD$40,$AZ$5:$AZ$41,$BH15)))&lt;=0,"ALL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Sheet'!$AD$15&lt;=0,"SETTLED","OUTSTANDING"))&amp;"",""))))&gt;0,AND(ISNUMBER(SEARCH("blank",$AI$4)),NOT(ISNUMBER(SEARCH("nonblank",$AI$4))),IFERROR((IF('Final Calculation Sheet'!$AD$15&lt;=0,"SETTLED","OUTSTANDING"))&amp;"","")=""),AND(OR(ISNUMBER(SEARCH("nonblank",$AI$4)),ISNUMBER(SEARCH("&lt;&gt;",$AI$4))),IFERROR((IF('Final Calculation Sheet'!$AD$15&lt;=0,"SETTLED","OUTSTANDING"))&amp;"","")&lt;&gt;""),AND(TRIM($AI$4)="",IFERROR((IF('Final Calculation Sheet'!$AD$15&lt;=0,"SETTLED","OUTSTANDING"))&amp;"","")=""))))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Sheet'!$AD$4:$AD$40,$BJ16-3)&lt;=0,"SETTLED","OUTSTANDING")),IF(OR($BI16=1,$BL16=1,$BH16&gt;0),IF(IF($BI16=1,SUM('Final Calculation Sheet'!$AD$4:$AD$40),IF($BL16=1,SUM('Final Calculation Sheet'!$AD$4:$AD$40)-SUMIFS('Final Calculation Sheet'!$AD$4:$AD$40,$AZ$5:$AZ$41,10),SUMIFS('Final Calculation Sheet'!$AD$4:$AD$40,$AZ$5:$AZ$41,$BH16)))&lt;=0,"ALL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Sheet'!$AD$16&lt;=0,"SETTLED","OUTSTANDING"))&amp;"",""))))&gt;0,AND(ISNUMBER(SEARCH("blank",$AI$4)),NOT(ISNUMBER(SEARCH("nonblank",$AI$4))),IFERROR((IF('Final Calculation Sheet'!$AD$16&lt;=0,"SETTLED","OUTSTANDING"))&amp;"","")=""),AND(OR(ISNUMBER(SEARCH("nonblank",$AI$4)),ISNUMBER(SEARCH("&lt;&gt;",$AI$4))),IFERROR((IF('Final Calculation Sheet'!$AD$16&lt;=0,"SETTLED","OUTSTANDING"))&amp;"","")&lt;&gt;""),AND(TRIM($AI$4)="",IFERROR((IF('Final Calculation Sheet'!$AD$16&lt;=0,"SETTLED","OUTSTANDING"))&amp;"","")=""))))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Sheet'!$AD$4:$AD$40,$BJ17-3)&lt;=0,"SETTLED","OUTSTANDING")),IF(OR($BI17=1,$BL17=1,$BH17&gt;0),IF(IF($BI17=1,SUM('Final Calculation Sheet'!$AD$4:$AD$40),IF($BL17=1,SUM('Final Calculation Sheet'!$AD$4:$AD$40)-SUMIFS('Final Calculation Sheet'!$AD$4:$AD$40,$AZ$5:$AZ$41,10),SUMIFS('Final Calculation Sheet'!$AD$4:$AD$40,$AZ$5:$AZ$41,$BH17)))&lt;=0,"ALL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Sheet'!$AD$17&lt;=0,"SETTLED","OUTSTANDING"))&amp;"",""))))&gt;0,AND(ISNUMBER(SEARCH("blank",$AI$4)),NOT(ISNUMBER(SEARCH("nonblank",$AI$4))),IFERROR((IF('Final Calculation Sheet'!$AD$17&lt;=0,"SETTLED","OUTSTANDING"))&amp;"","")=""),AND(OR(ISNUMBER(SEARCH("nonblank",$AI$4)),ISNUMBER(SEARCH("&lt;&gt;",$AI$4))),IFERROR((IF('Final Calculation Sheet'!$AD$17&lt;=0,"SETTLED","OUTSTANDING"))&amp;"","")&lt;&gt;""),AND(TRIM($AI$4)="",IFERROR((IF('Final Calculation Sheet'!$AD$17&lt;=0,"SETTLED","OUTSTANDING"))&amp;"","")=""))))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Sheet'!$AD$4:$AD$40,$BJ18-3)&lt;=0,"SETTLED","OUTSTANDING")),IF(OR($BI18=1,$BL18=1,$BH18&gt;0),IF(IF($BI18=1,SUM('Final Calculation Sheet'!$AD$4:$AD$40),IF($BL18=1,SUM('Final Calculation Sheet'!$AD$4:$AD$40)-SUMIFS('Final Calculation Sheet'!$AD$4:$AD$40,$AZ$5:$AZ$41,10),SUMIFS('Final Calculation Sheet'!$AD$4:$AD$40,$AZ$5:$AZ$41,$BH18)))&lt;=0,"ALL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Sheet'!$AD$18&lt;=0,"SETTLED","OUTSTANDING"))&amp;"",""))))&gt;0,AND(ISNUMBER(SEARCH("blank",$AI$4)),NOT(ISNUMBER(SEARCH("nonblank",$AI$4))),IFERROR((IF('Final Calculation Sheet'!$AD$18&lt;=0,"SETTLED","OUTSTANDING"))&amp;"","")=""),AND(OR(ISNUMBER(SEARCH("nonblank",$AI$4)),ISNUMBER(SEARCH("&lt;&gt;",$AI$4))),IFERROR((IF('Final Calculation Sheet'!$AD$18&lt;=0,"SETTLED","OUTSTANDING"))&amp;"","")&lt;&gt;""),AND(TRIM($AI$4)="",IFERROR((IF('Final Calculation Sheet'!$AD$18&lt;=0,"SETTLED","OUTSTANDING"))&amp;"","")=""))))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Sheet'!$AD$4:$AD$40,$BJ19-3)&lt;=0,"SETTLED","OUTSTANDING")),IF(OR($BI19=1,$BL19=1,$BH19&gt;0),IF(IF($BI19=1,SUM('Final Calculation Sheet'!$AD$4:$AD$40),IF($BL19=1,SUM('Final Calculation Sheet'!$AD$4:$AD$40)-SUMIFS('Final Calculation Sheet'!$AD$4:$AD$40,$AZ$5:$AZ$41,10),SUMIFS('Final Calculation Sheet'!$AD$4:$AD$40,$AZ$5:$AZ$41,$BH19)))&lt;=0,"ALL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Sheet'!$AD$19&lt;=0,"SETTLED","OUTSTANDING"))&amp;"",""))))&gt;0,AND(ISNUMBER(SEARCH("blank",$AI$4)),NOT(ISNUMBER(SEARCH("nonblank",$AI$4))),IFERROR((IF('Final Calculation Sheet'!$AD$19&lt;=0,"SETTLED","OUTSTANDING"))&amp;"","")=""),AND(OR(ISNUMBER(SEARCH("nonblank",$AI$4)),ISNUMBER(SEARCH("&lt;&gt;",$AI$4))),IFERROR((IF('Final Calculation Sheet'!$AD$19&lt;=0,"SETTLED","OUTSTANDING"))&amp;"","")&lt;&gt;""),AND(TRIM($AI$4)="",IFERROR((IF('Final Calculation Sheet'!$AD$19&lt;=0,"SETTLED","OUTSTANDING"))&amp;"","")=""))))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Sheet'!$AD$4:$AD$40,$BJ20-3)&lt;=0,"SETTLED","OUTSTANDING")),IF(OR($BI20=1,$BL20=1,$BH20&gt;0),IF(IF($BI20=1,SUM('Final Calculation Sheet'!$AD$4:$AD$40),IF($BL20=1,SUM('Final Calculation Sheet'!$AD$4:$AD$40)-SUMIFS('Final Calculation Sheet'!$AD$4:$AD$40,$AZ$5:$AZ$41,10),SUMIFS('Final Calculation Sheet'!$AD$4:$AD$40,$AZ$5:$AZ$41,$BH20)))&lt;=0,"ALL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Sheet'!$AD$20&lt;=0,"SETTLED","OUTSTANDING"))&amp;"",""))))&gt;0,AND(ISNUMBER(SEARCH("blank",$AI$4)),NOT(ISNUMBER(SEARCH("nonblank",$AI$4))),IFERROR((IF('Final Calculation Sheet'!$AD$20&lt;=0,"SETTLED","OUTSTANDING"))&amp;"","")=""),AND(OR(ISNUMBER(SEARCH("nonblank",$AI$4)),ISNUMBER(SEARCH("&lt;&gt;",$AI$4))),IFERROR((IF('Final Calculation Sheet'!$AD$20&lt;=0,"SETTLED","OUTSTANDING"))&amp;"","")&lt;&gt;""),AND(TRIM($AI$4)="",IFERROR((IF('Final Calculation Sheet'!$AD$20&lt;=0,"SETTLED","OUTSTANDING"))&amp;"","")=""))))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Sheet'!$AD$4:$AD$40,$BJ21-3)&lt;=0,"SETTLED","OUTSTANDING")),IF(OR($BI21=1,$BL21=1,$BH21&gt;0),IF(IF($BI21=1,SUM('Final Calculation Sheet'!$AD$4:$AD$40),IF($BL21=1,SUM('Final Calculation Sheet'!$AD$4:$AD$40)-SUMIFS('Final Calculation Sheet'!$AD$4:$AD$40,$AZ$5:$AZ$41,10),SUMIFS('Final Calculation Sheet'!$AD$4:$AD$40,$AZ$5:$AZ$41,$BH21)))&lt;=0,"ALL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Sheet'!$AD$21&lt;=0,"SETTLED","OUTSTANDING"))&amp;"",""))))&gt;0,AND(ISNUMBER(SEARCH("blank",$AI$4)),NOT(ISNUMBER(SEARCH("nonblank",$AI$4))),IFERROR((IF('Final Calculation Sheet'!$AD$21&lt;=0,"SETTLED","OUTSTANDING"))&amp;"","")=""),AND(OR(ISNUMBER(SEARCH("nonblank",$AI$4)),ISNUMBER(SEARCH("&lt;&gt;",$AI$4))),IFERROR((IF('Final Calculation Sheet'!$AD$21&lt;=0,"SETTLED","OUTSTANDING"))&amp;"","")&lt;&gt;""),AND(TRIM($AI$4)="",IFERROR((IF('Final Calculation Sheet'!$AD$21&lt;=0,"SETTLED","OUTSTANDING"))&amp;"","")=""))))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Sheet'!$AD$4:$AD$40,$BJ22-3)&lt;=0,"SETTLED","OUTSTANDING")),IF(OR($BI22=1,$BL22=1,$BH22&gt;0),IF(IF($BI22=1,SUM('Final Calculation Sheet'!$AD$4:$AD$40),IF($BL22=1,SUM('Final Calculation Sheet'!$AD$4:$AD$40)-SUMIFS('Final Calculation Sheet'!$AD$4:$AD$40,$AZ$5:$AZ$41,10),SUMIFS('Final Calculation Sheet'!$AD$4:$AD$40,$AZ$5:$AZ$41,$BH22)))&lt;=0,"ALL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Sheet'!$AD$22&lt;=0,"SETTLED","OUTSTANDING"))&amp;"",""))))&gt;0,AND(ISNUMBER(SEARCH("blank",$AI$4)),NOT(ISNUMBER(SEARCH("nonblank",$AI$4))),IFERROR((IF('Final Calculation Sheet'!$AD$22&lt;=0,"SETTLED","OUTSTANDING"))&amp;"","")=""),AND(OR(ISNUMBER(SEARCH("nonblank",$AI$4)),ISNUMBER(SEARCH("&lt;&gt;",$AI$4))),IFERROR((IF('Final Calculation Sheet'!$AD$22&lt;=0,"SETTLED","OUTSTANDING"))&amp;"","")&lt;&gt;""),AND(TRIM($AI$4)="",IFERROR((IF('Final Calculation Sheet'!$AD$22&lt;=0,"SETTLED","OUTSTANDING"))&amp;"","")=""))))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Sheet'!$AD$4:$AD$40,$BJ23-3)&lt;=0,"SETTLED","OUTSTANDING")),IF(OR($BI23=1,$BL23=1,$BH23&gt;0),IF(IF($BI23=1,SUM('Final Calculation Sheet'!$AD$4:$AD$40),IF($BL23=1,SUM('Final Calculation Sheet'!$AD$4:$AD$40)-SUMIFS('Final Calculation Sheet'!$AD$4:$AD$40,$AZ$5:$AZ$41,10),SUMIFS('Final Calculation Sheet'!$AD$4:$AD$40,$AZ$5:$AZ$41,$BH23)))&lt;=0,"ALL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Sheet'!$AD$23&lt;=0,"SETTLED","OUTSTANDING"))&amp;"",""))))&gt;0,AND(ISNUMBER(SEARCH("blank",$AI$4)),NOT(ISNUMBER(SEARCH("nonblank",$AI$4))),IFERROR((IF('Final Calculation Sheet'!$AD$23&lt;=0,"SETTLED","OUTSTANDING"))&amp;"","")=""),AND(OR(ISNUMBER(SEARCH("nonblank",$AI$4)),ISNUMBER(SEARCH("&lt;&gt;",$AI$4))),IFERROR((IF('Final Calculation Sheet'!$AD$23&lt;=0,"SETTLED","OUTSTANDING"))&amp;"","")&lt;&gt;""),AND(TRIM($AI$4)="",IFERROR((IF('Final Calculation Sheet'!$AD$23&lt;=0,"SETTLED","OUTSTANDING"))&amp;"","")=""))))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Sheet'!$AD$4:$AD$40,$BJ24-3)&lt;=0,"SETTLED","OUTSTANDING")),IF(OR($BI24=1,$BL24=1,$BH24&gt;0),IF(IF($BI24=1,SUM('Final Calculation Sheet'!$AD$4:$AD$40),IF($BL24=1,SUM('Final Calculation Sheet'!$AD$4:$AD$40)-SUMIFS('Final Calculation Sheet'!$AD$4:$AD$40,$AZ$5:$AZ$41,10),SUMIFS('Final Calculation Sheet'!$AD$4:$AD$40,$AZ$5:$AZ$41,$BH24)))&lt;=0,"ALL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Sheet'!$AD$24&lt;=0,"SETTLED","OUTSTANDING"))&amp;"",""))))&gt;0,AND(ISNUMBER(SEARCH("blank",$AI$4)),NOT(ISNUMBER(SEARCH("nonblank",$AI$4))),IFERROR((IF('Final Calculation Sheet'!$AD$24&lt;=0,"SETTLED","OUTSTANDING"))&amp;"","")=""),AND(OR(ISNUMBER(SEARCH("nonblank",$AI$4)),ISNUMBER(SEARCH("&lt;&gt;",$AI$4))),IFERROR((IF('Final Calculation Sheet'!$AD$24&lt;=0,"SETTLED","OUTSTANDING"))&amp;"","")&lt;&gt;""),AND(TRIM($AI$4)="",IFERROR((IF('Final Calculation Sheet'!$AD$24&lt;=0,"SETTLED","OUTSTANDING"))&amp;"","")=""))))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Sheet'!$AD$4:$AD$40,$BJ25-3)&lt;=0,"SETTLED","OUTSTANDING")),IF(OR($BI25=1,$BL25=1,$BH25&gt;0),IF(IF($BI25=1,SUM('Final Calculation Sheet'!$AD$4:$AD$40),IF($BL25=1,SUM('Final Calculation Sheet'!$AD$4:$AD$40)-SUMIFS('Final Calculation Sheet'!$AD$4:$AD$40,$AZ$5:$AZ$41,10),SUMIFS('Final Calculation Sheet'!$AD$4:$AD$40,$AZ$5:$AZ$41,$BH25)))&lt;=0,"ALL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Sheet'!$AD$25&lt;=0,"SETTLED","OUTSTANDING"))&amp;"",""))))&gt;0,AND(ISNUMBER(SEARCH("blank",$AI$4)),NOT(ISNUMBER(SEARCH("nonblank",$AI$4))),IFERROR((IF('Final Calculation Sheet'!$AD$25&lt;=0,"SETTLED","OUTSTANDING"))&amp;"","")=""),AND(OR(ISNUMBER(SEARCH("nonblank",$AI$4)),ISNUMBER(SEARCH("&lt;&gt;",$AI$4))),IFERROR((IF('Final Calculation Sheet'!$AD$25&lt;=0,"SETTLED","OUTSTANDING"))&amp;"","")&lt;&gt;""),AND(TRIM($AI$4)="",IFERROR((IF('Final Calculation Sheet'!$AD$25&lt;=0,"SETTLED","OUTSTANDING"))&amp;"","")=""))))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Sheet'!$AD$4:$AD$40,$BJ26-3)&lt;=0,"SETTLED","OUTSTANDING")),IF(OR($BI26=1,$BL26=1,$BH26&gt;0),IF(IF($BI26=1,SUM('Final Calculation Sheet'!$AD$4:$AD$40),IF($BL26=1,SUM('Final Calculation Sheet'!$AD$4:$AD$40)-SUMIFS('Final Calculation Sheet'!$AD$4:$AD$40,$AZ$5:$AZ$41,10),SUMIFS('Final Calculation Sheet'!$AD$4:$AD$40,$AZ$5:$AZ$41,$BH26)))&lt;=0,"ALL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Sheet'!$AD$26&lt;=0,"SETTLED","OUTSTANDING"))&amp;"",""))))&gt;0,AND(ISNUMBER(SEARCH("blank",$AI$4)),NOT(ISNUMBER(SEARCH("nonblank",$AI$4))),IFERROR((IF('Final Calculation Sheet'!$AD$26&lt;=0,"SETTLED","OUTSTANDING"))&amp;"","")=""),AND(OR(ISNUMBER(SEARCH("nonblank",$AI$4)),ISNUMBER(SEARCH("&lt;&gt;",$AI$4))),IFERROR((IF('Final Calculation Sheet'!$AD$26&lt;=0,"SETTLED","OUTSTANDING"))&amp;"","")&lt;&gt;""),AND(TRIM($AI$4)="",IFERROR((IF('Final Calculation Sheet'!$AD$26&lt;=0,"SETTLED","OUTSTANDING"))&amp;"","")=""))))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Sheet'!$AD$4:$AD$40,$BJ27-3)&lt;=0,"SETTLED","OUTSTANDING")),IF(OR($BI27=1,$BL27=1,$BH27&gt;0),IF(IF($BI27=1,SUM('Final Calculation Sheet'!$AD$4:$AD$40),IF($BL27=1,SUM('Final Calculation Sheet'!$AD$4:$AD$40)-SUMIFS('Final Calculation Sheet'!$AD$4:$AD$40,$AZ$5:$AZ$41,10),SUMIFS('Final Calculation Sheet'!$AD$4:$AD$40,$AZ$5:$AZ$41,$BH27)))&lt;=0,"ALL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Sheet'!$AD$27&lt;=0,"SETTLED","OUTSTANDING"))&amp;"",""))))&gt;0,AND(ISNUMBER(SEARCH("blank",$AI$4)),NOT(ISNUMBER(SEARCH("nonblank",$AI$4))),IFERROR((IF('Final Calculation Sheet'!$AD$27&lt;=0,"SETTLED","OUTSTANDING"))&amp;"","")=""),AND(OR(ISNUMBER(SEARCH("nonblank",$AI$4)),ISNUMBER(SEARCH("&lt;&gt;",$AI$4))),IFERROR((IF('Final Calculation Sheet'!$AD$27&lt;=0,"SETTLED","OUTSTANDING"))&amp;"","")&lt;&gt;""),AND(TRIM($AI$4)="",IFERROR((IF('Final Calculation Sheet'!$AD$27&lt;=0,"SETTLED","OUTSTANDING"))&amp;"","")=""))))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Sheet'!$AD$4:$AD$40,$BJ28-3)&lt;=0,"SETTLED","OUTSTANDING")),IF(OR($BI28=1,$BL28=1,$BH28&gt;0),IF(IF($BI28=1,SUM('Final Calculation Sheet'!$AD$4:$AD$40),IF($BL28=1,SUM('Final Calculation Sheet'!$AD$4:$AD$40)-SUMIFS('Final Calculation Sheet'!$AD$4:$AD$40,$AZ$5:$AZ$41,10),SUMIFS('Final Calculation Sheet'!$AD$4:$AD$40,$AZ$5:$AZ$41,$BH28)))&lt;=0,"ALL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Sheet'!$AD$28&lt;=0,"SETTLED","OUTSTANDING"))&amp;"",""))))&gt;0,AND(ISNUMBER(SEARCH("blank",$AI$4)),NOT(ISNUMBER(SEARCH("nonblank",$AI$4))),IFERROR((IF('Final Calculation Sheet'!$AD$28&lt;=0,"SETTLED","OUTSTANDING"))&amp;"","")=""),AND(OR(ISNUMBER(SEARCH("nonblank",$AI$4)),ISNUMBER(SEARCH("&lt;&gt;",$AI$4))),IFERROR((IF('Final Calculation Sheet'!$AD$28&lt;=0,"SETTLED","OUTSTANDING"))&amp;"","")&lt;&gt;""),AND(TRIM($AI$4)="",IFERROR((IF('Final Calculation Sheet'!$AD$28&lt;=0,"SETTLED","OUTSTANDING"))&amp;"","")=""))))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Sheet'!$AD$4:$AD$40,$BJ29-3)&lt;=0,"SETTLED","OUTSTANDING")),IF(OR($BI29=1,$BL29=1,$BH29&gt;0),IF(IF($BI29=1,SUM('Final Calculation Sheet'!$AD$4:$AD$40),IF($BL29=1,SUM('Final Calculation Sheet'!$AD$4:$AD$40)-SUMIFS('Final Calculation Sheet'!$AD$4:$AD$40,$AZ$5:$AZ$41,10),SUMIFS('Final Calculation Sheet'!$AD$4:$AD$40,$AZ$5:$AZ$41,$BH29)))&lt;=0,"ALL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Sheet'!$AD$29&lt;=0,"SETTLED","OUTSTANDING"))&amp;"",""))))&gt;0,AND(ISNUMBER(SEARCH("blank",$AI$4)),NOT(ISNUMBER(SEARCH("nonblank",$AI$4))),IFERROR((IF('Final Calculation Sheet'!$AD$29&lt;=0,"SETTLED","OUTSTANDING"))&amp;"","")=""),AND(OR(ISNUMBER(SEARCH("nonblank",$AI$4)),ISNUMBER(SEARCH("&lt;&gt;",$AI$4))),IFERROR((IF('Final Calculation Sheet'!$AD$29&lt;=0,"SETTLED","OUTSTANDING"))&amp;"","")&lt;&gt;""),AND(TRIM($AI$4)="",IFERROR((IF('Final Calculation Sheet'!$AD$29&lt;=0,"SETTLED","OUTSTANDING"))&amp;"","")=""))))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Sheet'!$AD$4:$AD$40,$BJ30-3)&lt;=0,"SETTLED","OUTSTANDING")),IF(OR($BI30=1,$BL30=1,$BH30&gt;0),IF(IF($BI30=1,SUM('Final Calculation Sheet'!$AD$4:$AD$40),IF($BL30=1,SUM('Final Calculation Sheet'!$AD$4:$AD$40)-SUMIFS('Final Calculation Sheet'!$AD$4:$AD$40,$AZ$5:$AZ$41,10),SUMIFS('Final Calculation Sheet'!$AD$4:$AD$40,$AZ$5:$AZ$41,$BH30)))&lt;=0,"ALL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Sheet'!$AD$30&lt;=0,"SETTLED","OUTSTANDING"))&amp;"",""))))&gt;0,AND(ISNUMBER(SEARCH("blank",$AI$4)),NOT(ISNUMBER(SEARCH("nonblank",$AI$4))),IFERROR((IF('Final Calculation Sheet'!$AD$30&lt;=0,"SETTLED","OUTSTANDING"))&amp;"","")=""),AND(OR(ISNUMBER(SEARCH("nonblank",$AI$4)),ISNUMBER(SEARCH("&lt;&gt;",$AI$4))),IFERROR((IF('Final Calculation Sheet'!$AD$30&lt;=0,"SETTLED","OUTSTANDING"))&amp;"","")&lt;&gt;""),AND(TRIM($AI$4)="",IFERROR((IF('Final Calculation Sheet'!$AD$30&lt;=0,"SETTLED","OUTSTANDING"))&amp;"","")=""))))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Sheet'!$AD$4:$AD$40,$BJ31-3)&lt;=0,"SETTLED","OUTSTANDING")),IF(OR($BI31=1,$BL31=1,$BH31&gt;0),IF(IF($BI31=1,SUM('Final Calculation Sheet'!$AD$4:$AD$40),IF($BL31=1,SUM('Final Calculation Sheet'!$AD$4:$AD$40)-SUMIFS('Final Calculation Sheet'!$AD$4:$AD$40,$AZ$5:$AZ$41,10),SUMIFS('Final Calculation Sheet'!$AD$4:$AD$40,$AZ$5:$AZ$41,$BH31)))&lt;=0,"ALL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Sheet'!$AD$31&lt;=0,"SETTLED","OUTSTANDING"))&amp;"",""))))&gt;0,AND(ISNUMBER(SEARCH("blank",$AI$4)),NOT(ISNUMBER(SEARCH("nonblank",$AI$4))),IFERROR((IF('Final Calculation Sheet'!$AD$31&lt;=0,"SETTLED","OUTSTANDING"))&amp;"","")=""),AND(OR(ISNUMBER(SEARCH("nonblank",$AI$4)),ISNUMBER(SEARCH("&lt;&gt;",$AI$4))),IFERROR((IF('Final Calculation Sheet'!$AD$31&lt;=0,"SETTLED","OUTSTANDING"))&amp;"","")&lt;&gt;""),AND(TRIM($AI$4)="",IFERROR((IF('Final Calculation Sheet'!$AD$31&lt;=0,"SETTLED","OUTSTANDING"))&amp;"","")=""))))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Sheet'!$AD$4:$AD$40,$BJ32-3)&lt;=0,"SETTLED","OUTSTANDING")),IF(OR($BI32=1,$BL32=1,$BH32&gt;0),IF(IF($BI32=1,SUM('Final Calculation Sheet'!$AD$4:$AD$40),IF($BL32=1,SUM('Final Calculation Sheet'!$AD$4:$AD$40)-SUMIFS('Final Calculation Sheet'!$AD$4:$AD$40,$AZ$5:$AZ$41,10),SUMIFS('Final Calculation Sheet'!$AD$4:$AD$40,$AZ$5:$AZ$41,$BH32)))&lt;=0,"ALL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Sheet'!$AD$32&lt;=0,"SETTLED","OUTSTANDING"))&amp;"",""))))&gt;0,AND(ISNUMBER(SEARCH("blank",$AI$4)),NOT(ISNUMBER(SEARCH("nonblank",$AI$4))),IFERROR((IF('Final Calculation Sheet'!$AD$32&lt;=0,"SETTLED","OUTSTANDING"))&amp;"","")=""),AND(OR(ISNUMBER(SEARCH("nonblank",$AI$4)),ISNUMBER(SEARCH("&lt;&gt;",$AI$4))),IFERROR((IF('Final Calculation Sheet'!$AD$32&lt;=0,"SETTLED","OUTSTANDING"))&amp;"","")&lt;&gt;""),AND(TRIM($AI$4)="",IFERROR((IF('Final Calculation Sheet'!$AD$32&lt;=0,"SETTLED","OUTSTANDING"))&amp;"","")=""))))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Sheet'!$AD$4:$AD$40,$BJ33-3)&lt;=0,"SETTLED","OUTSTANDING")),IF(OR($BI33=1,$BL33=1,$BH33&gt;0),IF(IF($BI33=1,SUM('Final Calculation Sheet'!$AD$4:$AD$40),IF($BL33=1,SUM('Final Calculation Sheet'!$AD$4:$AD$40)-SUMIFS('Final Calculation Sheet'!$AD$4:$AD$40,$AZ$5:$AZ$41,10),SUMIFS('Final Calculation Sheet'!$AD$4:$AD$40,$AZ$5:$AZ$41,$BH33)))&lt;=0,"ALL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Sheet'!$AD$33&lt;=0,"SETTLED","OUTSTANDING"))&amp;"",""))))&gt;0,AND(ISNUMBER(SEARCH("blank",$AI$4)),NOT(ISNUMBER(SEARCH("nonblank",$AI$4))),IFERROR((IF('Final Calculation Sheet'!$AD$33&lt;=0,"SETTLED","OUTSTANDING"))&amp;"","")=""),AND(OR(ISNUMBER(SEARCH("nonblank",$AI$4)),ISNUMBER(SEARCH("&lt;&gt;",$AI$4))),IFERROR((IF('Final Calculation Sheet'!$AD$33&lt;=0,"SETTLED","OUTSTANDING"))&amp;"","")&lt;&gt;""),AND(TRIM($AI$4)="",IFERROR((IF('Final Calculation Sheet'!$AD$33&lt;=0,"SETTLED","OUTSTANDING"))&amp;"","")=""))))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Sheet'!$AD$4:$AD$40,$BJ34-3)&lt;=0,"SETTLED","OUTSTANDING")),IF(OR($BI34=1,$BL34=1,$BH34&gt;0),IF(IF($BI34=1,SUM('Final Calculation Sheet'!$AD$4:$AD$40),IF($BL34=1,SUM('Final Calculation Sheet'!$AD$4:$AD$40)-SUMIFS('Final Calculation Sheet'!$AD$4:$AD$40,$AZ$5:$AZ$41,10),SUMIFS('Final Calculation Sheet'!$AD$4:$AD$40,$AZ$5:$AZ$41,$BH34)))&lt;=0,"ALL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Sheet'!$AD$34&lt;=0,"SETTLED","OUTSTANDING"))&amp;"",""))))&gt;0,AND(ISNUMBER(SEARCH("blank",$AI$4)),NOT(ISNUMBER(SEARCH("nonblank",$AI$4))),IFERROR((IF('Final Calculation Sheet'!$AD$34&lt;=0,"SETTLED","OUTSTANDING"))&amp;"","")=""),AND(OR(ISNUMBER(SEARCH("nonblank",$AI$4)),ISNUMBER(SEARCH("&lt;&gt;",$AI$4))),IFERROR((IF('Final Calculation Sheet'!$AD$34&lt;=0,"SETTLED","OUTSTANDING"))&amp;"","")&lt;&gt;""),AND(TRIM($AI$4)="",IFERROR((IF('Final Calculation Sheet'!$AD$34&lt;=0,"SETTLED","OUTSTANDING"))&amp;"","")=""))))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Sheet'!$AD$4:$AD$40,$BJ35-3)&lt;=0,"SETTLED","OUTSTANDING")),IF(OR($BI35=1,$BL35=1,$BH35&gt;0),IF(IF($BI35=1,SUM('Final Calculation Sheet'!$AD$4:$AD$40),IF($BL35=1,SUM('Final Calculation Sheet'!$AD$4:$AD$40)-SUMIFS('Final Calculation Sheet'!$AD$4:$AD$40,$AZ$5:$AZ$41,10),SUMIFS('Final Calculation Sheet'!$AD$4:$AD$40,$AZ$5:$AZ$41,$BH35)))&lt;=0,"ALL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Sheet'!$AD$35&lt;=0,"SETTLED","OUTSTANDING"))&amp;"",""))))&gt;0,AND(ISNUMBER(SEARCH("blank",$AI$4)),NOT(ISNUMBER(SEARCH("nonblank",$AI$4))),IFERROR((IF('Final Calculation Sheet'!$AD$35&lt;=0,"SETTLED","OUTSTANDING"))&amp;"","")=""),AND(OR(ISNUMBER(SEARCH("nonblank",$AI$4)),ISNUMBER(SEARCH("&lt;&gt;",$AI$4))),IFERROR((IF('Final Calculation Sheet'!$AD$35&lt;=0,"SETTLED","OUTSTANDING"))&amp;"","")&lt;&gt;""),AND(TRIM($AI$4)="",IFERROR((IF('Final Calculation Sheet'!$AD$35&lt;=0,"SETTLED","OUTSTANDING"))&amp;"","")=""))))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Sheet'!$AD$4:$AD$40,$BJ36-3)&lt;=0,"SETTLED","OUTSTANDING")),IF(OR($BI36=1,$BL36=1,$BH36&gt;0),IF(IF($BI36=1,SUM('Final Calculation Sheet'!$AD$4:$AD$40),IF($BL36=1,SUM('Final Calculation Sheet'!$AD$4:$AD$40)-SUMIFS('Final Calculation Sheet'!$AD$4:$AD$40,$AZ$5:$AZ$41,10),SUMIFS('Final Calculation Sheet'!$AD$4:$AD$40,$AZ$5:$AZ$41,$BH36)))&lt;=0,"ALL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Sheet'!$AD$36&lt;=0,"SETTLED","OUTSTANDING"))&amp;"",""))))&gt;0,AND(ISNUMBER(SEARCH("blank",$AI$4)),NOT(ISNUMBER(SEARCH("nonblank",$AI$4))),IFERROR((IF('Final Calculation Sheet'!$AD$36&lt;=0,"SETTLED","OUTSTANDING"))&amp;"","")=""),AND(OR(ISNUMBER(SEARCH("nonblank",$AI$4)),ISNUMBER(SEARCH("&lt;&gt;",$AI$4))),IFERROR((IF('Final Calculation Sheet'!$AD$36&lt;=0,"SETTLED","OUTSTANDING"))&amp;"","")&lt;&gt;""),AND(TRIM($AI$4)="",IFERROR((IF('Final Calculation Sheet'!$AD$36&lt;=0,"SETTLED","OUTSTANDING"))&amp;"","")=""))))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Sheet'!$AD$4:$AD$40,$BJ37-3)&lt;=0,"SETTLED","OUTSTANDING")),IF(OR($BI37=1,$BL37=1,$BH37&gt;0),IF(IF($BI37=1,SUM('Final Calculation Sheet'!$AD$4:$AD$40),IF($BL37=1,SUM('Final Calculation Sheet'!$AD$4:$AD$40)-SUMIFS('Final Calculation Sheet'!$AD$4:$AD$40,$AZ$5:$AZ$41,10),SUMIFS('Final Calculation Sheet'!$AD$4:$AD$40,$AZ$5:$AZ$41,$BH37)))&lt;=0,"ALL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Sheet'!$AD$37&lt;=0,"SETTLED","OUTSTANDING"))&amp;"",""))))&gt;0,AND(ISNUMBER(SEARCH("blank",$AI$4)),NOT(ISNUMBER(SEARCH("nonblank",$AI$4))),IFERROR((IF('Final Calculation Sheet'!$AD$37&lt;=0,"SETTLED","OUTSTANDING"))&amp;"","")=""),AND(OR(ISNUMBER(SEARCH("nonblank",$AI$4)),ISNUMBER(SEARCH("&lt;&gt;",$AI$4))),IFERROR((IF('Final Calculation Sheet'!$AD$37&lt;=0,"SETTLED","OUTSTANDING"))&amp;"","")&lt;&gt;""),AND(TRIM($AI$4)="",IFERROR((IF('Final Calculation Sheet'!$AD$37&lt;=0,"SETTLED","OUTSTANDING"))&amp;"","")=""))))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Sheet'!$AD$4:$AD$40,$BJ38-3)&lt;=0,"SETTLED","OUTSTANDING")),IF(OR($BI38=1,$BL38=1,$BH38&gt;0),IF(IF($BI38=1,SUM('Final Calculation Sheet'!$AD$4:$AD$40),IF($BL38=1,SUM('Final Calculation Sheet'!$AD$4:$AD$40)-SUMIFS('Final Calculation Sheet'!$AD$4:$AD$40,$AZ$5:$AZ$41,10),SUMIFS('Final Calculation Sheet'!$AD$4:$AD$40,$AZ$5:$AZ$41,$BH38)))&lt;=0,"ALL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Sheet'!$AD$38&lt;=0,"SETTLED","OUTSTANDING"))&amp;"",""))))&gt;0,AND(ISNUMBER(SEARCH("blank",$AI$4)),NOT(ISNUMBER(SEARCH("nonblank",$AI$4))),IFERROR((IF('Final Calculation Sheet'!$AD$38&lt;=0,"SETTLED","OUTSTANDING"))&amp;"","")=""),AND(OR(ISNUMBER(SEARCH("nonblank",$AI$4)),ISNUMBER(SEARCH("&lt;&gt;",$AI$4))),IFERROR((IF('Final Calculation Sheet'!$AD$38&lt;=0,"SETTLED","OUTSTANDING"))&amp;"","")&lt;&gt;""),AND(TRIM($AI$4)="",IFERROR((IF('Final Calculation Sheet'!$AD$38&lt;=0,"SETTLED","OUTSTANDING"))&amp;"","")=""))))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Sheet'!$AD$4:$AD$40,$BJ39-3)&lt;=0,"SETTLED","OUTSTANDING")),IF(OR($BI39=1,$BL39=1,$BH39&gt;0),IF(IF($BI39=1,SUM('Final Calculation Sheet'!$AD$4:$AD$40),IF($BL39=1,SUM('Final Calculation Sheet'!$AD$4:$AD$40)-SUMIFS('Final Calculation Sheet'!$AD$4:$AD$40,$AZ$5:$AZ$41,10),SUMIFS('Final Calculation Sheet'!$AD$4:$AD$40,$AZ$5:$AZ$41,$BH39)))&lt;=0,"ALL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Sheet'!$AD$39&lt;=0,"SETTLED","OUTSTANDING"))&amp;"",""))))&gt;0,AND(ISNUMBER(SEARCH("blank",$AI$4)),NOT(ISNUMBER(SEARCH("nonblank",$AI$4))),IFERROR((IF('Final Calculation Sheet'!$AD$39&lt;=0,"SETTLED","OUTSTANDING"))&amp;"","")=""),AND(OR(ISNUMBER(SEARCH("nonblank",$AI$4)),ISNUMBER(SEARCH("&lt;&gt;",$AI$4))),IFERROR((IF('Final Calculation Sheet'!$AD$39&lt;=0,"SETTLED","OUTSTANDING"))&amp;"","")&lt;&gt;""),AND(TRIM($AI$4)="",IFERROR((IF('Final Calculation Sheet'!$AD$39&lt;=0,"SETTLED","OUTSTANDING"))&amp;"","")=""))))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Sheet'!$AD$4:$AD$40,$BJ40-3)&lt;=0,"SETTLED","OUTSTANDING")),IF(OR($BI40=1,$BL40=1,$BH40&gt;0),IF(IF($BI40=1,SUM('Final Calculation Sheet'!$AD$4:$AD$40),IF($BL40=1,SUM('Final Calculation Sheet'!$AD$4:$AD$40)-SUMIFS('Final Calculation Sheet'!$AD$4:$AD$40,$AZ$5:$AZ$41,10),SUMIFS('Final Calculation Sheet'!$AD$4:$AD$40,$AZ$5:$AZ$41,$BH40)))&lt;=0,"ALL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Sheet'!$AD$40&lt;=0,"SETTLED","OUTSTANDING"))&amp;"",""))))&gt;0,AND(ISNUMBER(SEARCH("blank",$AI$4)),NOT(ISNUMBER(SEARCH("nonblank",$AI$4))),IFERROR((IF('Final Calculation Sheet'!$AD$40&lt;=0,"SETTLED","OUTSTANDING"))&amp;"","")=""),AND(OR(ISNUMBER(SEARCH("nonblank",$AI$4)),ISNUMBER(SEARCH("&lt;&gt;",$AI$4))),IFERROR((IF('Final Calculation Sheet'!$AD$40&lt;=0,"SETTLED","OUTSTANDING"))&amp;"","")&lt;&gt;""),AND(TRIM($AI$4)="",IFERROR((IF('Final Calculation Sheet'!$AD$40&lt;=0,"SETTLED","OUTSTANDING"))&amp;"","")=""))))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Sheet'!$AD$4:$AD$40,$BJ41-3)&lt;=0,"SETTLED","OUTSTANDING")),IF(OR($BI41=1,$BL41=1,$BH41&gt;0),IF(IF($BI41=1,SUM('Final Calculation Sheet'!$AD$4:$AD$40),IF($BL41=1,SUM('Final Calculation Sheet'!$AD$4:$AD$40)-SUMIFS('Final Calculation Sheet'!$AD$4:$AD$40,$AZ$5:$AZ$41,10),SUMIFS('Final Calculation Sheet'!$AD$4:$AD$40,$AZ$5:$AZ$41,$BH41)))&lt;=0,"ALL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Sheet'!$AD$4:$AD$40,$BJ42-3)&lt;=0,"SETTLED","OUTSTANDING")),IF(OR($BI42=1,$BL42=1,$BH42&gt;0),IF(IF($BI42=1,SUM('Final Calculation Sheet'!$AD$4:$AD$40),IF($BL42=1,SUM('Final Calculation Sheet'!$AD$4:$AD$40)-SUMIFS('Final Calculation Sheet'!$AD$4:$AD$40,$AZ$5:$AZ$41,10),SUMIFS('Final Calculation Sheet'!$AD$4:$AD$40,$AZ$5:$AZ$41,$BH42)))&lt;=0,"ALL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Sheet'!$AD$4:$AD$40,$BJ43-3)&lt;=0,"SETTLED","OUTSTANDING")),IF(OR($BI43=1,$BL43=1,$BH43&gt;0),IF(IF($BI43=1,SUM('Final Calculation Sheet'!$AD$4:$AD$40),IF($BL43=1,SUM('Final Calculation Sheet'!$AD$4:$AD$40)-SUMIFS('Final Calculation Sheet'!$AD$4:$AD$40,$AZ$5:$AZ$41,10),SUMIFS('Final Calculation Sheet'!$AD$4:$AD$40,$AZ$5:$AZ$41,$BH43)))&lt;=0,"ALL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Sheet'!$AD$4:$AD$40,$BJ44-3)&lt;=0,"SETTLED","OUTSTANDING")),IF(OR($BI44=1,$BL44=1,$BH44&gt;0),IF(IF($BI44=1,SUM('Final Calculation Sheet'!$AD$4:$AD$40),IF($BL44=1,SUM('Final Calculation Sheet'!$AD$4:$AD$40)-SUMIFS('Final Calculation Sheet'!$AD$4:$AD$40,$AZ$5:$AZ$41,10),SUMIFS('Final Calculation Sheet'!$AD$4:$AD$40,$AZ$5:$AZ$41,$BH44)))&lt;=0,"ALL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Sheet'!$AD$4:$AD$40,$BJ45-3)&lt;=0,"SETTLED","OUTSTANDING")),IF(OR($BI45=1,$BL45=1,$BH45&gt;0),IF(IF($BI45=1,SUM('Final Calculation Sheet'!$AD$4:$AD$40),IF($BL45=1,SUM('Final Calculation Sheet'!$AD$4:$AD$40)-SUMIFS('Final Calculation Sheet'!$AD$4:$AD$40,$AZ$5:$AZ$41,10),SUMIFS('Final Calculation Sheet'!$AD$4:$AD$40,$AZ$5:$AZ$41,$BH45)))&lt;=0,"ALL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Sheet'!$AD$4:$AD$40,$BJ46-3)&lt;=0,"SETTLED","OUTSTANDING")),IF(OR($BI46=1,$BL46=1,$BH46&gt;0),IF(IF($BI46=1,SUM('Final Calculation Sheet'!$AD$4:$AD$40),IF($BL46=1,SUM('Final Calculation Sheet'!$AD$4:$AD$40)-SUMIFS('Final Calculation Sheet'!$AD$4:$AD$40,$AZ$5:$AZ$41,10),SUMIFS('Final Calculation Sheet'!$AD$4:$AD$40,$AZ$5:$AZ$41,$BH46)))&lt;=0,"ALL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Sheet'!$AD$4:$AD$40,$BJ47-3)&lt;=0,"SETTLED","OUTSTANDING")),IF(OR($BI47=1,$BL47=1,$BH47&gt;0),IF(IF($BI47=1,SUM('Final Calculation Sheet'!$AD$4:$AD$40),IF($BL47=1,SUM('Final Calculation Sheet'!$AD$4:$AD$40)-SUMIFS('Final Calculation Sheet'!$AD$4:$AD$40,$AZ$5:$AZ$41,10),SUMIFS('Final Calculation Sheet'!$AD$4:$AD$40,$AZ$5:$AZ$41,$BH47)))&lt;=0,"ALL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Sheet'!$AD$4:$AD$40,$BJ48-3)&lt;=0,"SETTLED","OUTSTANDING")),IF(OR($BI48=1,$BL48=1,$BH48&gt;0),IF(IF($BI48=1,SUM('Final Calculation Sheet'!$AD$4:$AD$40),IF($BL48=1,SUM('Final Calculation Sheet'!$AD$4:$AD$40)-SUMIFS('Final Calculation Sheet'!$AD$4:$AD$40,$AZ$5:$AZ$41,10),SUMIFS('Final Calculation Sheet'!$AD$4:$AD$40,$AZ$5:$AZ$41,$BH48)))&lt;=0,"ALL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Sheet'!$AD$4:$AD$40,$BJ49-3)&lt;=0,"SETTLED","OUTSTANDING")),IF(OR($BI49=1,$BL49=1,$BH49&gt;0),IF(IF($BI49=1,SUM('Final Calculation Sheet'!$AD$4:$AD$40),IF($BL49=1,SUM('Final Calculation Sheet'!$AD$4:$AD$40)-SUMIFS('Final Calculation Sheet'!$AD$4:$AD$40,$AZ$5:$AZ$41,10),SUMIFS('Final Calculation Sheet'!$AD$4:$AD$40,$AZ$5:$AZ$41,$BH49)))&lt;=0,"ALL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Sheet'!$AD$4:$AD$40,$BJ50-3)&lt;=0,"SETTLED","OUTSTANDING")),IF(OR($BI50=1,$BL50=1,$BH50&gt;0),IF(IF($BI50=1,SUM('Final Calculation Sheet'!$AD$4:$AD$40),IF($BL50=1,SUM('Final Calculation Sheet'!$AD$4:$AD$40)-SUMIFS('Final Calculation Sheet'!$AD$4:$AD$40,$AZ$5:$AZ$41,10),SUMIFS('Final Calculation Sheet'!$AD$4:$AD$40,$AZ$5:$AZ$41,$BH50)))&lt;=0,"ALL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Sheet'!$AD$4:$AD$40,$BJ51-3)&lt;=0,"SETTLED","OUTSTANDING")),IF(OR($BI51=1,$BL51=1,$BH51&gt;0),IF(IF($BI51=1,SUM('Final Calculation Sheet'!$AD$4:$AD$40),IF($BL51=1,SUM('Final Calculation Sheet'!$AD$4:$AD$40)-SUMIFS('Final Calculation Sheet'!$AD$4:$AD$40,$AZ$5:$AZ$41,10),SUMIFS('Final Calculation Sheet'!$AD$4:$AD$40,$AZ$5:$AZ$41,$BH51)))&lt;=0,"ALL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Sheet'!$AD$4:$AD$40,$BJ52-3)&lt;=0,"SETTLED","OUTSTANDING")),IF(OR($BI52=1,$BL52=1,$BH52&gt;0),IF(IF($BI52=1,SUM('Final Calculation Sheet'!$AD$4:$AD$40),IF($BL52=1,SUM('Final Calculation Sheet'!$AD$4:$AD$40)-SUMIFS('Final Calculation Sheet'!$AD$4:$AD$40,$AZ$5:$AZ$41,10),SUMIFS('Final Calculation Sheet'!$AD$4:$AD$40,$AZ$5:$AZ$41,$BH52)))&lt;=0,"ALL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Sheet'!$AD$4:$AD$40,$BJ53-3)&lt;=0,"SETTLED","OUTSTANDING")),IF(OR($BI53=1,$BL53=1,$BH53&gt;0),IF(IF($BI53=1,SUM('Final Calculation Sheet'!$AD$4:$AD$40),IF($BL53=1,SUM('Final Calculation Sheet'!$AD$4:$AD$40)-SUMIFS('Final Calculation Sheet'!$AD$4:$AD$40,$AZ$5:$AZ$41,10),SUMIFS('Final Calculation Sheet'!$AD$4:$AD$40,$AZ$5:$AZ$41,$BH53)))&lt;=0,"ALL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0</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9"/>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width="13.42578125" customWidth="1" style="77" min="21" max="21"/>
    <col width="13.42578125" customWidth="1" style="77" min="22" max="22"/>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Sheet'!$AD$4&lt;=0,"SETTLED","OUTSTANDING"))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IF(AE7&lt;=0,"SETTLED","OUTSTANDING")</f>
        <v/>
      </c>
    </row>
    <row r="8" outlineLevel="1"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Sheet'!$AD$6&lt;=0,"SETTLED","OUTSTANDING"))</f>
        <v/>
      </c>
    </row>
    <row r="9" outlineLevel="1" ht="15" customHeight="1" s="77">
      <c r="A9" s="67" t="n">
        <v>2</v>
      </c>
      <c r="B9" s="68">
        <f>IF('Final Calculation Sheet'!$F$7="","",'Final Calculation Sheet'!$F$7)</f>
        <v/>
      </c>
      <c r="C9" s="68">
        <f>IF('Final Calculation Sheet'!$G$7="","",'Final Calculation Sheet'!$G$7)</f>
        <v/>
      </c>
      <c r="D9" s="69">
        <f>IF('Final Calculation Sheet'!$B$7="","",'Final Calculation Sheet'!$B$7)</f>
        <v/>
      </c>
      <c r="E9" s="69">
        <f>IF('Final Calculation Sheet'!$D$7="","",'Final Calculation Sheet'!$D$7)</f>
        <v/>
      </c>
      <c r="F9" s="69">
        <f>IF('Final Calculation Sheet'!$A$7="","",'Final Calculation Sheet'!$A$7)</f>
        <v/>
      </c>
      <c r="G9" s="69">
        <f>IF('Final Calculation Sheet'!$E$7="","",'Final Calculation Sheet'!$E$7)</f>
        <v/>
      </c>
      <c r="H9" s="70">
        <f>IF('Final Calculation Sheet'!$C$7="","",'Final Calculation Sheet'!$C$7)</f>
        <v/>
      </c>
      <c r="I9" s="70">
        <f>IF('Final Calculation Sheet'!$H$7="","",'Final Calculation Sheet'!$H$7)</f>
        <v/>
      </c>
      <c r="J9" s="70">
        <f>IF('Final Calculation Sheet'!$I$7="","",'Final Calculation Sheet'!$I$7)</f>
        <v/>
      </c>
      <c r="K9" s="70">
        <f>IF('Final Calculation Sheet'!$J$7="","",'Final Calculation Sheet'!$J$7)</f>
        <v/>
      </c>
      <c r="L9" s="70">
        <f>IF('Final Calculation Sheet'!$K$7="","",'Final Calculation Sheet'!$K$7)</f>
        <v/>
      </c>
      <c r="M9" s="70">
        <f>IF('Final Calculation Sheet'!$L$7="","",'Final Calculation Sheet'!$L$7)</f>
        <v/>
      </c>
      <c r="N9" s="70">
        <f>IF('Final Calculation Sheet'!$M$7="","",'Final Calculation Sheet'!$M$7)</f>
        <v/>
      </c>
      <c r="O9" s="71">
        <f>IF('Final Calculation Sheet'!$N$7="","",'Final Calculation Sheet'!$N$7)</f>
        <v/>
      </c>
      <c r="P9" s="70">
        <f>IF('Final Calculation Sheet'!$O$7="","",'Final Calculation Sheet'!$O$7)</f>
        <v/>
      </c>
      <c r="Q9" s="70">
        <f>IF('Final Calculation Sheet'!$P$7="","",'Final Calculation Sheet'!$P$7)</f>
        <v/>
      </c>
      <c r="R9" s="72">
        <f>IF('Final Calculation Sheet'!$Q$7="","",'Final Calculation Sheet'!$Q$7)</f>
        <v/>
      </c>
      <c r="S9" s="70">
        <f>IF('Final Calculation Sheet'!$R$7="","",'Final Calculation Sheet'!$R$7)</f>
        <v/>
      </c>
      <c r="T9" s="70">
        <f>IF('Final Calculation Sheet'!$S$7="","",'Final Calculation Sheet'!$S$7)</f>
        <v/>
      </c>
      <c r="U9" s="70">
        <f>IF('Final Calculation Sheet'!$T$7="","",'Final Calculation Sheet'!$T$7)</f>
        <v/>
      </c>
      <c r="V9" s="73">
        <f>IF('Final Calculation Sheet'!$U$7="","",'Final Calculation Sheet'!$U$7)</f>
        <v/>
      </c>
      <c r="W9" s="70">
        <f>IF('Final Calculation Sheet'!$V$7="","",'Final Calculation Sheet'!$V$7)</f>
        <v/>
      </c>
      <c r="X9" s="70">
        <f>IF('Final Calculation Sheet'!$W$7="","",'Final Calculation Sheet'!$W$7)</f>
        <v/>
      </c>
      <c r="Y9" s="70">
        <f>IF('Final Calculation Sheet'!$X$7="","",'Final Calculation Sheet'!$X$7)</f>
        <v/>
      </c>
      <c r="Z9" s="70">
        <f>IF('Final Calculation Sheet'!$Y$7="","",'Final Calculation Sheet'!$Y$7)</f>
        <v/>
      </c>
      <c r="AA9" s="70">
        <f>IF('Final Calculation Sheet'!$Z$7="","",'Final Calculation Sheet'!$Z$7)</f>
        <v/>
      </c>
      <c r="AB9" s="70">
        <f>IF('Final Calculation Sheet'!$AA$7="","",'Final Calculation Sheet'!$AA$7)</f>
        <v/>
      </c>
      <c r="AC9" s="70">
        <f>IF('Final Calculation Sheet'!$AB$7="","",'Final Calculation Sheet'!$AB$7)</f>
        <v/>
      </c>
      <c r="AD9" s="70">
        <f>IF('Final Calculation Sheet'!$AC$7="","",'Final Calculation Sheet'!$AC$7)</f>
        <v/>
      </c>
      <c r="AE9" s="70">
        <f>IF('Final Calculation Sheet'!$AD$7="","",'Final Calculation Sheet'!$AD$7)</f>
        <v/>
      </c>
      <c r="AF9" s="70">
        <f>IF('Final Calculation Sheet'!$AE$7="","",'Final Calculation Sheet'!$AE$7)</f>
        <v/>
      </c>
      <c r="AG9" s="74">
        <f>IF('Final Calculation Sheet'!$AF$7="","",'Final Calculation Sheet'!$AF$7)</f>
        <v/>
      </c>
      <c r="AH9" s="70">
        <f>IF('Final Calculation Sheet'!$AG$7="","",'Final Calculation Sheet'!$AG$7)</f>
        <v/>
      </c>
      <c r="AI9" s="75">
        <f>IF('Final Calculation Sheet'!$AD$7="","",IF('Final Calculation Sheet'!$AD$7&lt;=0,"SETTLED","OUTSTANDING"))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IF(AE10&lt;=0,"SETTLED","OUTSTANDING")</f>
        <v/>
      </c>
    </row>
    <row r="11" outlineLevel="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Sheet'!$AD$15&lt;=0,"SETTLED","OUTSTANDING"))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IF(AE12&lt;=0,"SETTLED","OUTSTANDING")</f>
        <v/>
      </c>
    </row>
    <row r="13" outlineLevel="1"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Sheet'!$AD$38&lt;=0,"SETTLED","OUTSTANDING"))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IF(AE14&lt;=0,"SETTLED","OUTSTANDING")</f>
        <v/>
      </c>
    </row>
    <row r="15" outlineLevel="1"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Sheet'!$AD$27&lt;=0,"SETTLED","OUTSTANDING"))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IF(AE16&lt;=0,"SETTLED","OUTSTANDING")</f>
        <v/>
      </c>
    </row>
    <row r="17" outlineLevel="1"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Sheet'!$AD$5&lt;=0,"SETTLED","OUTSTANDING"))</f>
        <v/>
      </c>
    </row>
    <row r="18" outlineLevel="1" ht="15" customHeight="1" s="77">
      <c r="A18" s="67" t="n">
        <v>2</v>
      </c>
      <c r="B18" s="68">
        <f>IF('Final Calculation Sheet'!$F$10="","",'Final Calculation Sheet'!$F$10)</f>
        <v/>
      </c>
      <c r="C18" s="68">
        <f>IF('Final Calculation Sheet'!$G$10="","",'Final Calculation Sheet'!$G$10)</f>
        <v/>
      </c>
      <c r="D18" s="69">
        <f>IF('Final Calculation Sheet'!$B$10="","",'Final Calculation Sheet'!$B$10)</f>
        <v/>
      </c>
      <c r="E18" s="69">
        <f>IF('Final Calculation Sheet'!$D$10="","",'Final Calculation Sheet'!$D$10)</f>
        <v/>
      </c>
      <c r="F18" s="69">
        <f>IF('Final Calculation Sheet'!$A$10="","",'Final Calculation Sheet'!$A$10)</f>
        <v/>
      </c>
      <c r="G18" s="69">
        <f>IF('Final Calculation Sheet'!$E$10="","",'Final Calculation Sheet'!$E$10)</f>
        <v/>
      </c>
      <c r="H18" s="70">
        <f>IF('Final Calculation Sheet'!$C$10="","",'Final Calculation Sheet'!$C$10)</f>
        <v/>
      </c>
      <c r="I18" s="70">
        <f>IF('Final Calculation Sheet'!$H$10="","",'Final Calculation Sheet'!$H$10)</f>
        <v/>
      </c>
      <c r="J18" s="70">
        <f>IF('Final Calculation Sheet'!$I$10="","",'Final Calculation Sheet'!$I$10)</f>
        <v/>
      </c>
      <c r="K18" s="70">
        <f>IF('Final Calculation Sheet'!$J$10="","",'Final Calculation Sheet'!$J$10)</f>
        <v/>
      </c>
      <c r="L18" s="70">
        <f>IF('Final Calculation Sheet'!$K$10="","",'Final Calculation Sheet'!$K$10)</f>
        <v/>
      </c>
      <c r="M18" s="70">
        <f>IF('Final Calculation Sheet'!$L$10="","",'Final Calculation Sheet'!$L$10)</f>
        <v/>
      </c>
      <c r="N18" s="70">
        <f>IF('Final Calculation Sheet'!$M$10="","",'Final Calculation Sheet'!$M$10)</f>
        <v/>
      </c>
      <c r="O18" s="71">
        <f>IF('Final Calculation Sheet'!$N$10="","",'Final Calculation Sheet'!$N$10)</f>
        <v/>
      </c>
      <c r="P18" s="70">
        <f>IF('Final Calculation Sheet'!$O$10="","",'Final Calculation Sheet'!$O$10)</f>
        <v/>
      </c>
      <c r="Q18" s="70">
        <f>IF('Final Calculation Sheet'!$P$10="","",'Final Calculation Sheet'!$P$10)</f>
        <v/>
      </c>
      <c r="R18" s="72">
        <f>IF('Final Calculation Sheet'!$Q$10="","",'Final Calculation Sheet'!$Q$10)</f>
        <v/>
      </c>
      <c r="S18" s="70">
        <f>IF('Final Calculation Sheet'!$R$10="","",'Final Calculation Sheet'!$R$10)</f>
        <v/>
      </c>
      <c r="T18" s="70">
        <f>IF('Final Calculation Sheet'!$S$10="","",'Final Calculation Sheet'!$S$10)</f>
        <v/>
      </c>
      <c r="U18" s="70">
        <f>IF('Final Calculation Sheet'!$T$10="","",'Final Calculation Sheet'!$T$10)</f>
        <v/>
      </c>
      <c r="V18" s="73">
        <f>IF('Final Calculation Sheet'!$U$10="","",'Final Calculation Sheet'!$U$10)</f>
        <v/>
      </c>
      <c r="W18" s="70">
        <f>IF('Final Calculation Sheet'!$V$10="","",'Final Calculation Sheet'!$V$10)</f>
        <v/>
      </c>
      <c r="X18" s="70">
        <f>IF('Final Calculation Sheet'!$W$10="","",'Final Calculation Sheet'!$W$10)</f>
        <v/>
      </c>
      <c r="Y18" s="70">
        <f>IF('Final Calculation Sheet'!$X$10="","",'Final Calculation Sheet'!$X$10)</f>
        <v/>
      </c>
      <c r="Z18" s="70">
        <f>IF('Final Calculation Sheet'!$Y$10="","",'Final Calculation Sheet'!$Y$10)</f>
        <v/>
      </c>
      <c r="AA18" s="70">
        <f>IF('Final Calculation Sheet'!$Z$10="","",'Final Calculation Sheet'!$Z$10)</f>
        <v/>
      </c>
      <c r="AB18" s="70">
        <f>IF('Final Calculation Sheet'!$AA$10="","",'Final Calculation Sheet'!$AA$10)</f>
        <v/>
      </c>
      <c r="AC18" s="70">
        <f>IF('Final Calculation Sheet'!$AB$10="","",'Final Calculation Sheet'!$AB$10)</f>
        <v/>
      </c>
      <c r="AD18" s="70">
        <f>IF('Final Calculation Sheet'!$AC$10="","",'Final Calculation Sheet'!$AC$10)</f>
        <v/>
      </c>
      <c r="AE18" s="70">
        <f>IF('Final Calculation Sheet'!$AD$10="","",'Final Calculation Sheet'!$AD$10)</f>
        <v/>
      </c>
      <c r="AF18" s="70">
        <f>IF('Final Calculation Sheet'!$AE$10="","",'Final Calculation Sheet'!$AE$10)</f>
        <v/>
      </c>
      <c r="AG18" s="74">
        <f>IF('Final Calculation Sheet'!$AF$10="","",'Final Calculation Sheet'!$AF$10)</f>
        <v/>
      </c>
      <c r="AH18" s="70">
        <f>IF('Final Calculation Sheet'!$AG$10="","",'Final Calculation Sheet'!$AG$10)</f>
        <v/>
      </c>
      <c r="AI18" s="75">
        <f>IF('Final Calculation Sheet'!$AD$10="","",IF('Final Calculation Sheet'!$AD$10&lt;=0,"SETTLED","OUTSTANDING"))</f>
        <v/>
      </c>
    </row>
    <row r="19" outlineLevel="1"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Sheet'!$AD$11&lt;=0,"SETTLED","OUTSTANDING"))</f>
        <v/>
      </c>
    </row>
    <row r="20" outlineLevel="1" ht="15" customHeight="1" s="77">
      <c r="A20" s="67" t="n">
        <v>4</v>
      </c>
      <c r="B20" s="68">
        <f>IF('Final Calculation Sheet'!$F$12="","",'Final Calculation Sheet'!$F$12)</f>
        <v/>
      </c>
      <c r="C20" s="68">
        <f>IF('Final Calculation Sheet'!$G$12="","",'Final Calculation Sheet'!$G$12)</f>
        <v/>
      </c>
      <c r="D20" s="69">
        <f>IF('Final Calculation Sheet'!$B$12="","",'Final Calculation Sheet'!$B$12)</f>
        <v/>
      </c>
      <c r="E20" s="69">
        <f>IF('Final Calculation Sheet'!$D$12="","",'Final Calculation Sheet'!$D$12)</f>
        <v/>
      </c>
      <c r="F20" s="69">
        <f>IF('Final Calculation Sheet'!$A$12="","",'Final Calculation Sheet'!$A$12)</f>
        <v/>
      </c>
      <c r="G20" s="69">
        <f>IF('Final Calculation Sheet'!$E$12="","",'Final Calculation Sheet'!$E$12)</f>
        <v/>
      </c>
      <c r="H20" s="70">
        <f>IF('Final Calculation Sheet'!$C$12="","",'Final Calculation Sheet'!$C$12)</f>
        <v/>
      </c>
      <c r="I20" s="70">
        <f>IF('Final Calculation Sheet'!$H$12="","",'Final Calculation Sheet'!$H$12)</f>
        <v/>
      </c>
      <c r="J20" s="70">
        <f>IF('Final Calculation Sheet'!$I$12="","",'Final Calculation Sheet'!$I$12)</f>
        <v/>
      </c>
      <c r="K20" s="70">
        <f>IF('Final Calculation Sheet'!$J$12="","",'Final Calculation Sheet'!$J$12)</f>
        <v/>
      </c>
      <c r="L20" s="70">
        <f>IF('Final Calculation Sheet'!$K$12="","",'Final Calculation Sheet'!$K$12)</f>
        <v/>
      </c>
      <c r="M20" s="70">
        <f>IF('Final Calculation Sheet'!$L$12="","",'Final Calculation Sheet'!$L$12)</f>
        <v/>
      </c>
      <c r="N20" s="70">
        <f>IF('Final Calculation Sheet'!$M$12="","",'Final Calculation Sheet'!$M$12)</f>
        <v/>
      </c>
      <c r="O20" s="71">
        <f>IF('Final Calculation Sheet'!$N$12="","",'Final Calculation Sheet'!$N$12)</f>
        <v/>
      </c>
      <c r="P20" s="70">
        <f>IF('Final Calculation Sheet'!$O$12="","",'Final Calculation Sheet'!$O$12)</f>
        <v/>
      </c>
      <c r="Q20" s="70">
        <f>IF('Final Calculation Sheet'!$P$12="","",'Final Calculation Sheet'!$P$12)</f>
        <v/>
      </c>
      <c r="R20" s="72">
        <f>IF('Final Calculation Sheet'!$Q$12="","",'Final Calculation Sheet'!$Q$12)</f>
        <v/>
      </c>
      <c r="S20" s="70">
        <f>IF('Final Calculation Sheet'!$R$12="","",'Final Calculation Sheet'!$R$12)</f>
        <v/>
      </c>
      <c r="T20" s="70">
        <f>IF('Final Calculation Sheet'!$S$12="","",'Final Calculation Sheet'!$S$12)</f>
        <v/>
      </c>
      <c r="U20" s="70">
        <f>IF('Final Calculation Sheet'!$T$12="","",'Final Calculation Sheet'!$T$12)</f>
        <v/>
      </c>
      <c r="V20" s="73">
        <f>IF('Final Calculation Sheet'!$U$12="","",'Final Calculation Sheet'!$U$12)</f>
        <v/>
      </c>
      <c r="W20" s="70">
        <f>IF('Final Calculation Sheet'!$V$12="","",'Final Calculation Sheet'!$V$12)</f>
        <v/>
      </c>
      <c r="X20" s="70">
        <f>IF('Final Calculation Sheet'!$W$12="","",'Final Calculation Sheet'!$W$12)</f>
        <v/>
      </c>
      <c r="Y20" s="70">
        <f>IF('Final Calculation Sheet'!$X$12="","",'Final Calculation Sheet'!$X$12)</f>
        <v/>
      </c>
      <c r="Z20" s="70">
        <f>IF('Final Calculation Sheet'!$Y$12="","",'Final Calculation Sheet'!$Y$12)</f>
        <v/>
      </c>
      <c r="AA20" s="70">
        <f>IF('Final Calculation Sheet'!$Z$12="","",'Final Calculation Sheet'!$Z$12)</f>
        <v/>
      </c>
      <c r="AB20" s="70">
        <f>IF('Final Calculation Sheet'!$AA$12="","",'Final Calculation Sheet'!$AA$12)</f>
        <v/>
      </c>
      <c r="AC20" s="70">
        <f>IF('Final Calculation Sheet'!$AB$12="","",'Final Calculation Sheet'!$AB$12)</f>
        <v/>
      </c>
      <c r="AD20" s="70">
        <f>IF('Final Calculation Sheet'!$AC$12="","",'Final Calculation Sheet'!$AC$12)</f>
        <v/>
      </c>
      <c r="AE20" s="70">
        <f>IF('Final Calculation Sheet'!$AD$12="","",'Final Calculation Sheet'!$AD$12)</f>
        <v/>
      </c>
      <c r="AF20" s="70">
        <f>IF('Final Calculation Sheet'!$AE$12="","",'Final Calculation Sheet'!$AE$12)</f>
        <v/>
      </c>
      <c r="AG20" s="74">
        <f>IF('Final Calculation Sheet'!$AF$12="","",'Final Calculation Sheet'!$AF$12)</f>
        <v/>
      </c>
      <c r="AH20" s="70">
        <f>IF('Final Calculation Sheet'!$AG$12="","",'Final Calculation Sheet'!$AG$12)</f>
        <v/>
      </c>
      <c r="AI20" s="75">
        <f>IF('Final Calculation Sheet'!$AD$12="","",IF('Final Calculation Sheet'!$AD$12&lt;=0,"SETTLED","OUTSTANDING"))</f>
        <v/>
      </c>
    </row>
    <row r="21" outlineLevel="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Sheet'!$AD$18&lt;=0,"SETTLED","OUTSTANDING"))</f>
        <v/>
      </c>
    </row>
    <row r="22" outlineLevel="1" ht="15" customHeight="1" s="77">
      <c r="A22" s="67" t="n">
        <v>6</v>
      </c>
      <c r="B22" s="68">
        <f>IF('Final Calculation Sheet'!$F$19="","",'Final Calculation Sheet'!$F$19)</f>
        <v/>
      </c>
      <c r="C22" s="68">
        <f>IF('Final Calculation Sheet'!$G$19="","",'Final Calculation Sheet'!$G$19)</f>
        <v/>
      </c>
      <c r="D22" s="69">
        <f>IF('Final Calculation Sheet'!$B$19="","",'Final Calculation Sheet'!$B$19)</f>
        <v/>
      </c>
      <c r="E22" s="69">
        <f>IF('Final Calculation Sheet'!$D$19="","",'Final Calculation Sheet'!$D$19)</f>
        <v/>
      </c>
      <c r="F22" s="69">
        <f>IF('Final Calculation Sheet'!$A$19="","",'Final Calculation Sheet'!$A$19)</f>
        <v/>
      </c>
      <c r="G22" s="69">
        <f>IF('Final Calculation Sheet'!$E$19="","",'Final Calculation Sheet'!$E$19)</f>
        <v/>
      </c>
      <c r="H22" s="70">
        <f>IF('Final Calculation Sheet'!$C$19="","",'Final Calculation Sheet'!$C$19)</f>
        <v/>
      </c>
      <c r="I22" s="70">
        <f>IF('Final Calculation Sheet'!$H$19="","",'Final Calculation Sheet'!$H$19)</f>
        <v/>
      </c>
      <c r="J22" s="70">
        <f>IF('Final Calculation Sheet'!$I$19="","",'Final Calculation Sheet'!$I$19)</f>
        <v/>
      </c>
      <c r="K22" s="70">
        <f>IF('Final Calculation Sheet'!$J$19="","",'Final Calculation Sheet'!$J$19)</f>
        <v/>
      </c>
      <c r="L22" s="70">
        <f>IF('Final Calculation Sheet'!$K$19="","",'Final Calculation Sheet'!$K$19)</f>
        <v/>
      </c>
      <c r="M22" s="70">
        <f>IF('Final Calculation Sheet'!$L$19="","",'Final Calculation Sheet'!$L$19)</f>
        <v/>
      </c>
      <c r="N22" s="70">
        <f>IF('Final Calculation Sheet'!$M$19="","",'Final Calculation Sheet'!$M$19)</f>
        <v/>
      </c>
      <c r="O22" s="71">
        <f>IF('Final Calculation Sheet'!$N$19="","",'Final Calculation Sheet'!$N$19)</f>
        <v/>
      </c>
      <c r="P22" s="70">
        <f>IF('Final Calculation Sheet'!$O$19="","",'Final Calculation Sheet'!$O$19)</f>
        <v/>
      </c>
      <c r="Q22" s="70">
        <f>IF('Final Calculation Sheet'!$P$19="","",'Final Calculation Sheet'!$P$19)</f>
        <v/>
      </c>
      <c r="R22" s="72">
        <f>IF('Final Calculation Sheet'!$Q$19="","",'Final Calculation Sheet'!$Q$19)</f>
        <v/>
      </c>
      <c r="S22" s="70">
        <f>IF('Final Calculation Sheet'!$R$19="","",'Final Calculation Sheet'!$R$19)</f>
        <v/>
      </c>
      <c r="T22" s="70">
        <f>IF('Final Calculation Sheet'!$S$19="","",'Final Calculation Sheet'!$S$19)</f>
        <v/>
      </c>
      <c r="U22" s="70">
        <f>IF('Final Calculation Sheet'!$T$19="","",'Final Calculation Sheet'!$T$19)</f>
        <v/>
      </c>
      <c r="V22" s="73">
        <f>IF('Final Calculation Sheet'!$U$19="","",'Final Calculation Sheet'!$U$19)</f>
        <v/>
      </c>
      <c r="W22" s="70">
        <f>IF('Final Calculation Sheet'!$V$19="","",'Final Calculation Sheet'!$V$19)</f>
        <v/>
      </c>
      <c r="X22" s="70">
        <f>IF('Final Calculation Sheet'!$W$19="","",'Final Calculation Sheet'!$W$19)</f>
        <v/>
      </c>
      <c r="Y22" s="70">
        <f>IF('Final Calculation Sheet'!$X$19="","",'Final Calculation Sheet'!$X$19)</f>
        <v/>
      </c>
      <c r="Z22" s="70">
        <f>IF('Final Calculation Sheet'!$Y$19="","",'Final Calculation Sheet'!$Y$19)</f>
        <v/>
      </c>
      <c r="AA22" s="70">
        <f>IF('Final Calculation Sheet'!$Z$19="","",'Final Calculation Sheet'!$Z$19)</f>
        <v/>
      </c>
      <c r="AB22" s="70">
        <f>IF('Final Calculation Sheet'!$AA$19="","",'Final Calculation Sheet'!$AA$19)</f>
        <v/>
      </c>
      <c r="AC22" s="70">
        <f>IF('Final Calculation Sheet'!$AB$19="","",'Final Calculation Sheet'!$AB$19)</f>
        <v/>
      </c>
      <c r="AD22" s="70">
        <f>IF('Final Calculation Sheet'!$AC$19="","",'Final Calculation Sheet'!$AC$19)</f>
        <v/>
      </c>
      <c r="AE22" s="70">
        <f>IF('Final Calculation Sheet'!$AD$19="","",'Final Calculation Sheet'!$AD$19)</f>
        <v/>
      </c>
      <c r="AF22" s="70">
        <f>IF('Final Calculation Sheet'!$AE$19="","",'Final Calculation Sheet'!$AE$19)</f>
        <v/>
      </c>
      <c r="AG22" s="74">
        <f>IF('Final Calculation Sheet'!$AF$19="","",'Final Calculation Sheet'!$AF$19)</f>
        <v/>
      </c>
      <c r="AH22" s="70">
        <f>IF('Final Calculation Sheet'!$AG$19="","",'Final Calculation Sheet'!$AG$19)</f>
        <v/>
      </c>
      <c r="AI22" s="75">
        <f>IF('Final Calculation Sheet'!$AD$19="","",IF('Final Calculation Sheet'!$AD$19&lt;=0,"SETTLED","OUTSTANDING"))</f>
        <v/>
      </c>
    </row>
    <row r="23" outlineLevel="1"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Sheet'!$AD$22&lt;=0,"SETTLED","OUTSTANDING"))</f>
        <v/>
      </c>
    </row>
    <row r="24" outlineLevel="1" ht="15" customHeight="1" s="77">
      <c r="A24" s="67" t="n">
        <v>8</v>
      </c>
      <c r="B24" s="68">
        <f>IF('Final Calculation Sheet'!$F$24="","",'Final Calculation Sheet'!$F$24)</f>
        <v/>
      </c>
      <c r="C24" s="68">
        <f>IF('Final Calculation Sheet'!$G$24="","",'Final Calculation Sheet'!$G$24)</f>
        <v/>
      </c>
      <c r="D24" s="69">
        <f>IF('Final Calculation Sheet'!$B$24="","",'Final Calculation Sheet'!$B$24)</f>
        <v/>
      </c>
      <c r="E24" s="69">
        <f>IF('Final Calculation Sheet'!$D$24="","",'Final Calculation Sheet'!$D$24)</f>
        <v/>
      </c>
      <c r="F24" s="69">
        <f>IF('Final Calculation Sheet'!$A$24="","",'Final Calculation Sheet'!$A$24)</f>
        <v/>
      </c>
      <c r="G24" s="69">
        <f>IF('Final Calculation Sheet'!$E$24="","",'Final Calculation Sheet'!$E$24)</f>
        <v/>
      </c>
      <c r="H24" s="70">
        <f>IF('Final Calculation Sheet'!$C$24="","",'Final Calculation Sheet'!$C$24)</f>
        <v/>
      </c>
      <c r="I24" s="70">
        <f>IF('Final Calculation Sheet'!$H$24="","",'Final Calculation Sheet'!$H$24)</f>
        <v/>
      </c>
      <c r="J24" s="70">
        <f>IF('Final Calculation Sheet'!$I$24="","",'Final Calculation Sheet'!$I$24)</f>
        <v/>
      </c>
      <c r="K24" s="70">
        <f>IF('Final Calculation Sheet'!$J$24="","",'Final Calculation Sheet'!$J$24)</f>
        <v/>
      </c>
      <c r="L24" s="70">
        <f>IF('Final Calculation Sheet'!$K$24="","",'Final Calculation Sheet'!$K$24)</f>
        <v/>
      </c>
      <c r="M24" s="70">
        <f>IF('Final Calculation Sheet'!$L$24="","",'Final Calculation Sheet'!$L$24)</f>
        <v/>
      </c>
      <c r="N24" s="70">
        <f>IF('Final Calculation Sheet'!$M$24="","",'Final Calculation Sheet'!$M$24)</f>
        <v/>
      </c>
      <c r="O24" s="71">
        <f>IF('Final Calculation Sheet'!$N$24="","",'Final Calculation Sheet'!$N$24)</f>
        <v/>
      </c>
      <c r="P24" s="70">
        <f>IF('Final Calculation Sheet'!$O$24="","",'Final Calculation Sheet'!$O$24)</f>
        <v/>
      </c>
      <c r="Q24" s="70">
        <f>IF('Final Calculation Sheet'!$P$24="","",'Final Calculation Sheet'!$P$24)</f>
        <v/>
      </c>
      <c r="R24" s="72">
        <f>IF('Final Calculation Sheet'!$Q$24="","",'Final Calculation Sheet'!$Q$24)</f>
        <v/>
      </c>
      <c r="S24" s="70">
        <f>IF('Final Calculation Sheet'!$R$24="","",'Final Calculation Sheet'!$R$24)</f>
        <v/>
      </c>
      <c r="T24" s="70">
        <f>IF('Final Calculation Sheet'!$S$24="","",'Final Calculation Sheet'!$S$24)</f>
        <v/>
      </c>
      <c r="U24" s="70">
        <f>IF('Final Calculation Sheet'!$T$24="","",'Final Calculation Sheet'!$T$24)</f>
        <v/>
      </c>
      <c r="V24" s="73">
        <f>IF('Final Calculation Sheet'!$U$24="","",'Final Calculation Sheet'!$U$24)</f>
        <v/>
      </c>
      <c r="W24" s="70">
        <f>IF('Final Calculation Sheet'!$V$24="","",'Final Calculation Sheet'!$V$24)</f>
        <v/>
      </c>
      <c r="X24" s="70">
        <f>IF('Final Calculation Sheet'!$W$24="","",'Final Calculation Sheet'!$W$24)</f>
        <v/>
      </c>
      <c r="Y24" s="70">
        <f>IF('Final Calculation Sheet'!$X$24="","",'Final Calculation Sheet'!$X$24)</f>
        <v/>
      </c>
      <c r="Z24" s="70">
        <f>IF('Final Calculation Sheet'!$Y$24="","",'Final Calculation Sheet'!$Y$24)</f>
        <v/>
      </c>
      <c r="AA24" s="70">
        <f>IF('Final Calculation Sheet'!$Z$24="","",'Final Calculation Sheet'!$Z$24)</f>
        <v/>
      </c>
      <c r="AB24" s="70">
        <f>IF('Final Calculation Sheet'!$AA$24="","",'Final Calculation Sheet'!$AA$24)</f>
        <v/>
      </c>
      <c r="AC24" s="70">
        <f>IF('Final Calculation Sheet'!$AB$24="","",'Final Calculation Sheet'!$AB$24)</f>
        <v/>
      </c>
      <c r="AD24" s="70">
        <f>IF('Final Calculation Sheet'!$AC$24="","",'Final Calculation Sheet'!$AC$24)</f>
        <v/>
      </c>
      <c r="AE24" s="70">
        <f>IF('Final Calculation Sheet'!$AD$24="","",'Final Calculation Sheet'!$AD$24)</f>
        <v/>
      </c>
      <c r="AF24" s="70">
        <f>IF('Final Calculation Sheet'!$AE$24="","",'Final Calculation Sheet'!$AE$24)</f>
        <v/>
      </c>
      <c r="AG24" s="74">
        <f>IF('Final Calculation Sheet'!$AF$24="","",'Final Calculation Sheet'!$AF$24)</f>
        <v/>
      </c>
      <c r="AH24" s="70">
        <f>IF('Final Calculation Sheet'!$AG$24="","",'Final Calculation Sheet'!$AG$24)</f>
        <v/>
      </c>
      <c r="AI24" s="75">
        <f>IF('Final Calculation Sheet'!$AD$24="","",IF('Final Calculation Sheet'!$AD$24&lt;=0,"SETTLED","OUTSTANDING"))</f>
        <v/>
      </c>
    </row>
    <row r="25" outlineLevel="1"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Sheet'!$AD$26&lt;=0,"SETTLED","OUTSTANDING"))</f>
        <v/>
      </c>
    </row>
    <row r="26" outlineLevel="1" ht="15" customHeight="1" s="77">
      <c r="A26" s="67" t="n">
        <v>10</v>
      </c>
      <c r="B26" s="68">
        <f>IF('Final Calculation Sheet'!$F$30="","",'Final Calculation Sheet'!$F$30)</f>
        <v/>
      </c>
      <c r="C26" s="68">
        <f>IF('Final Calculation Sheet'!$G$30="","",'Final Calculation Sheet'!$G$30)</f>
        <v/>
      </c>
      <c r="D26" s="69">
        <f>IF('Final Calculation Sheet'!$B$30="","",'Final Calculation Sheet'!$B$30)</f>
        <v/>
      </c>
      <c r="E26" s="69">
        <f>IF('Final Calculation Sheet'!$D$30="","",'Final Calculation Sheet'!$D$30)</f>
        <v/>
      </c>
      <c r="F26" s="69">
        <f>IF('Final Calculation Sheet'!$A$30="","",'Final Calculation Sheet'!$A$30)</f>
        <v/>
      </c>
      <c r="G26" s="69">
        <f>IF('Final Calculation Sheet'!$E$30="","",'Final Calculation Sheet'!$E$30)</f>
        <v/>
      </c>
      <c r="H26" s="70">
        <f>IF('Final Calculation Sheet'!$C$30="","",'Final Calculation Sheet'!$C$30)</f>
        <v/>
      </c>
      <c r="I26" s="70">
        <f>IF('Final Calculation Sheet'!$H$30="","",'Final Calculation Sheet'!$H$30)</f>
        <v/>
      </c>
      <c r="J26" s="70">
        <f>IF('Final Calculation Sheet'!$I$30="","",'Final Calculation Sheet'!$I$30)</f>
        <v/>
      </c>
      <c r="K26" s="70">
        <f>IF('Final Calculation Sheet'!$J$30="","",'Final Calculation Sheet'!$J$30)</f>
        <v/>
      </c>
      <c r="L26" s="70">
        <f>IF('Final Calculation Sheet'!$K$30="","",'Final Calculation Sheet'!$K$30)</f>
        <v/>
      </c>
      <c r="M26" s="70">
        <f>IF('Final Calculation Sheet'!$L$30="","",'Final Calculation Sheet'!$L$30)</f>
        <v/>
      </c>
      <c r="N26" s="70">
        <f>IF('Final Calculation Sheet'!$M$30="","",'Final Calculation Sheet'!$M$30)</f>
        <v/>
      </c>
      <c r="O26" s="71">
        <f>IF('Final Calculation Sheet'!$N$30="","",'Final Calculation Sheet'!$N$30)</f>
        <v/>
      </c>
      <c r="P26" s="70">
        <f>IF('Final Calculation Sheet'!$O$30="","",'Final Calculation Sheet'!$O$30)</f>
        <v/>
      </c>
      <c r="Q26" s="70">
        <f>IF('Final Calculation Sheet'!$P$30="","",'Final Calculation Sheet'!$P$30)</f>
        <v/>
      </c>
      <c r="R26" s="72">
        <f>IF('Final Calculation Sheet'!$Q$30="","",'Final Calculation Sheet'!$Q$30)</f>
        <v/>
      </c>
      <c r="S26" s="70">
        <f>IF('Final Calculation Sheet'!$R$30="","",'Final Calculation Sheet'!$R$30)</f>
        <v/>
      </c>
      <c r="T26" s="70">
        <f>IF('Final Calculation Sheet'!$S$30="","",'Final Calculation Sheet'!$S$30)</f>
        <v/>
      </c>
      <c r="U26" s="70">
        <f>IF('Final Calculation Sheet'!$T$30="","",'Final Calculation Sheet'!$T$30)</f>
        <v/>
      </c>
      <c r="V26" s="73">
        <f>IF('Final Calculation Sheet'!$U$30="","",'Final Calculation Sheet'!$U$30)</f>
        <v/>
      </c>
      <c r="W26" s="70">
        <f>IF('Final Calculation Sheet'!$V$30="","",'Final Calculation Sheet'!$V$30)</f>
        <v/>
      </c>
      <c r="X26" s="70">
        <f>IF('Final Calculation Sheet'!$W$30="","",'Final Calculation Sheet'!$W$30)</f>
        <v/>
      </c>
      <c r="Y26" s="70">
        <f>IF('Final Calculation Sheet'!$X$30="","",'Final Calculation Sheet'!$X$30)</f>
        <v/>
      </c>
      <c r="Z26" s="70">
        <f>IF('Final Calculation Sheet'!$Y$30="","",'Final Calculation Sheet'!$Y$30)</f>
        <v/>
      </c>
      <c r="AA26" s="70">
        <f>IF('Final Calculation Sheet'!$Z$30="","",'Final Calculation Sheet'!$Z$30)</f>
        <v/>
      </c>
      <c r="AB26" s="70">
        <f>IF('Final Calculation Sheet'!$AA$30="","",'Final Calculation Sheet'!$AA$30)</f>
        <v/>
      </c>
      <c r="AC26" s="70">
        <f>IF('Final Calculation Sheet'!$AB$30="","",'Final Calculation Sheet'!$AB$30)</f>
        <v/>
      </c>
      <c r="AD26" s="70">
        <f>IF('Final Calculation Sheet'!$AC$30="","",'Final Calculation Sheet'!$AC$30)</f>
        <v/>
      </c>
      <c r="AE26" s="70">
        <f>IF('Final Calculation Sheet'!$AD$30="","",'Final Calculation Sheet'!$AD$30)</f>
        <v/>
      </c>
      <c r="AF26" s="70">
        <f>IF('Final Calculation Sheet'!$AE$30="","",'Final Calculation Sheet'!$AE$30)</f>
        <v/>
      </c>
      <c r="AG26" s="74">
        <f>IF('Final Calculation Sheet'!$AF$30="","",'Final Calculation Sheet'!$AF$30)</f>
        <v/>
      </c>
      <c r="AH26" s="70">
        <f>IF('Final Calculation Sheet'!$AG$30="","",'Final Calculation Sheet'!$AG$30)</f>
        <v/>
      </c>
      <c r="AI26" s="75">
        <f>IF('Final Calculation Sheet'!$AD$30="","",IF('Final Calculation Sheet'!$AD$30&lt;=0,"SETTLED","OUTSTANDING"))</f>
        <v/>
      </c>
    </row>
    <row r="27" outlineLevel="1"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Sheet'!$AD$32&lt;=0,"SETTLED","OUTSTANDING"))</f>
        <v/>
      </c>
    </row>
    <row r="28" outlineLevel="1" ht="15" customHeight="1" s="77">
      <c r="A28" s="67" t="n">
        <v>12</v>
      </c>
      <c r="B28" s="68">
        <f>IF('Final Calculation Sheet'!$F$33="","",'Final Calculation Sheet'!$F$33)</f>
        <v/>
      </c>
      <c r="C28" s="68">
        <f>IF('Final Calculation Sheet'!$G$33="","",'Final Calculation Sheet'!$G$33)</f>
        <v/>
      </c>
      <c r="D28" s="69">
        <f>IF('Final Calculation Sheet'!$B$33="","",'Final Calculation Sheet'!$B$33)</f>
        <v/>
      </c>
      <c r="E28" s="69">
        <f>IF('Final Calculation Sheet'!$D$33="","",'Final Calculation Sheet'!$D$33)</f>
        <v/>
      </c>
      <c r="F28" s="69">
        <f>IF('Final Calculation Sheet'!$A$33="","",'Final Calculation Sheet'!$A$33)</f>
        <v/>
      </c>
      <c r="G28" s="69">
        <f>IF('Final Calculation Sheet'!$E$33="","",'Final Calculation Sheet'!$E$33)</f>
        <v/>
      </c>
      <c r="H28" s="70">
        <f>IF('Final Calculation Sheet'!$C$33="","",'Final Calculation Sheet'!$C$33)</f>
        <v/>
      </c>
      <c r="I28" s="70">
        <f>IF('Final Calculation Sheet'!$H$33="","",'Final Calculation Sheet'!$H$33)</f>
        <v/>
      </c>
      <c r="J28" s="70">
        <f>IF('Final Calculation Sheet'!$I$33="","",'Final Calculation Sheet'!$I$33)</f>
        <v/>
      </c>
      <c r="K28" s="70">
        <f>IF('Final Calculation Sheet'!$J$33="","",'Final Calculation Sheet'!$J$33)</f>
        <v/>
      </c>
      <c r="L28" s="70">
        <f>IF('Final Calculation Sheet'!$K$33="","",'Final Calculation Sheet'!$K$33)</f>
        <v/>
      </c>
      <c r="M28" s="70">
        <f>IF('Final Calculation Sheet'!$L$33="","",'Final Calculation Sheet'!$L$33)</f>
        <v/>
      </c>
      <c r="N28" s="70">
        <f>IF('Final Calculation Sheet'!$M$33="","",'Final Calculation Sheet'!$M$33)</f>
        <v/>
      </c>
      <c r="O28" s="71">
        <f>IF('Final Calculation Sheet'!$N$33="","",'Final Calculation Sheet'!$N$33)</f>
        <v/>
      </c>
      <c r="P28" s="70">
        <f>IF('Final Calculation Sheet'!$O$33="","",'Final Calculation Sheet'!$O$33)</f>
        <v/>
      </c>
      <c r="Q28" s="70">
        <f>IF('Final Calculation Sheet'!$P$33="","",'Final Calculation Sheet'!$P$33)</f>
        <v/>
      </c>
      <c r="R28" s="72">
        <f>IF('Final Calculation Sheet'!$Q$33="","",'Final Calculation Sheet'!$Q$33)</f>
        <v/>
      </c>
      <c r="S28" s="70">
        <f>IF('Final Calculation Sheet'!$R$33="","",'Final Calculation Sheet'!$R$33)</f>
        <v/>
      </c>
      <c r="T28" s="70">
        <f>IF('Final Calculation Sheet'!$S$33="","",'Final Calculation Sheet'!$S$33)</f>
        <v/>
      </c>
      <c r="U28" s="70">
        <f>IF('Final Calculation Sheet'!$T$33="","",'Final Calculation Sheet'!$T$33)</f>
        <v/>
      </c>
      <c r="V28" s="73">
        <f>IF('Final Calculation Sheet'!$U$33="","",'Final Calculation Sheet'!$U$33)</f>
        <v/>
      </c>
      <c r="W28" s="70">
        <f>IF('Final Calculation Sheet'!$V$33="","",'Final Calculation Sheet'!$V$33)</f>
        <v/>
      </c>
      <c r="X28" s="70">
        <f>IF('Final Calculation Sheet'!$W$33="","",'Final Calculation Sheet'!$W$33)</f>
        <v/>
      </c>
      <c r="Y28" s="70">
        <f>IF('Final Calculation Sheet'!$X$33="","",'Final Calculation Sheet'!$X$33)</f>
        <v/>
      </c>
      <c r="Z28" s="70">
        <f>IF('Final Calculation Sheet'!$Y$33="","",'Final Calculation Sheet'!$Y$33)</f>
        <v/>
      </c>
      <c r="AA28" s="70">
        <f>IF('Final Calculation Sheet'!$Z$33="","",'Final Calculation Sheet'!$Z$33)</f>
        <v/>
      </c>
      <c r="AB28" s="70">
        <f>IF('Final Calculation Sheet'!$AA$33="","",'Final Calculation Sheet'!$AA$33)</f>
        <v/>
      </c>
      <c r="AC28" s="70">
        <f>IF('Final Calculation Sheet'!$AB$33="","",'Final Calculation Sheet'!$AB$33)</f>
        <v/>
      </c>
      <c r="AD28" s="70">
        <f>IF('Final Calculation Sheet'!$AC$33="","",'Final Calculation Sheet'!$AC$33)</f>
        <v/>
      </c>
      <c r="AE28" s="70">
        <f>IF('Final Calculation Sheet'!$AD$33="","",'Final Calculation Sheet'!$AD$33)</f>
        <v/>
      </c>
      <c r="AF28" s="70">
        <f>IF('Final Calculation Sheet'!$AE$33="","",'Final Calculation Sheet'!$AE$33)</f>
        <v/>
      </c>
      <c r="AG28" s="74">
        <f>IF('Final Calculation Sheet'!$AF$33="","",'Final Calculation Sheet'!$AF$33)</f>
        <v/>
      </c>
      <c r="AH28" s="70">
        <f>IF('Final Calculation Sheet'!$AG$33="","",'Final Calculation Sheet'!$AG$33)</f>
        <v/>
      </c>
      <c r="AI28" s="75">
        <f>IF('Final Calculation Sheet'!$AD$33="","",IF('Final Calculation Sheet'!$AD$33&lt;=0,"SETTLED","OUTSTANDING"))</f>
        <v/>
      </c>
    </row>
    <row r="29" outlineLevel="1"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Sheet'!$AD$37&lt;=0,"SETTLED","OUTSTANDING"))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IF(AE30&lt;=0,"SETTLED","OUTSTANDING")</f>
        <v/>
      </c>
    </row>
    <row r="31" outlineLevel="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Sheet'!$AD$21&lt;=0,"SETTLED","OUTSTANDING"))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IF(AE32&lt;=0,"SETTLED","OUTSTANDING")</f>
        <v/>
      </c>
    </row>
    <row r="33" outlineLevel="1"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Sheet'!$AD$8&lt;=0,"SETTLED","OUTSTANDING"))</f>
        <v/>
      </c>
    </row>
    <row r="34" outlineLevel="1" ht="15" customHeight="1" s="77">
      <c r="A34" s="67" t="n">
        <v>2</v>
      </c>
      <c r="B34" s="68">
        <f>IF('Final Calculation Sheet'!$F$20="","",'Final Calculation Sheet'!$F$20)</f>
        <v/>
      </c>
      <c r="C34" s="68">
        <f>IF('Final Calculation Sheet'!$G$20="","",'Final Calculation Sheet'!$G$20)</f>
        <v/>
      </c>
      <c r="D34" s="69">
        <f>IF('Final Calculation Sheet'!$B$20="","",'Final Calculation Sheet'!$B$20)</f>
        <v/>
      </c>
      <c r="E34" s="69">
        <f>IF('Final Calculation Sheet'!$D$20="","",'Final Calculation Sheet'!$D$20)</f>
        <v/>
      </c>
      <c r="F34" s="69">
        <f>IF('Final Calculation Sheet'!$A$20="","",'Final Calculation Sheet'!$A$20)</f>
        <v/>
      </c>
      <c r="G34" s="69">
        <f>IF('Final Calculation Sheet'!$E$20="","",'Final Calculation Sheet'!$E$20)</f>
        <v/>
      </c>
      <c r="H34" s="70">
        <f>IF('Final Calculation Sheet'!$C$20="","",'Final Calculation Sheet'!$C$20)</f>
        <v/>
      </c>
      <c r="I34" s="70">
        <f>IF('Final Calculation Sheet'!$H$20="","",'Final Calculation Sheet'!$H$20)</f>
        <v/>
      </c>
      <c r="J34" s="70">
        <f>IF('Final Calculation Sheet'!$I$20="","",'Final Calculation Sheet'!$I$20)</f>
        <v/>
      </c>
      <c r="K34" s="70">
        <f>IF('Final Calculation Sheet'!$J$20="","",'Final Calculation Sheet'!$J$20)</f>
        <v/>
      </c>
      <c r="L34" s="70">
        <f>IF('Final Calculation Sheet'!$K$20="","",'Final Calculation Sheet'!$K$20)</f>
        <v/>
      </c>
      <c r="M34" s="70">
        <f>IF('Final Calculation Sheet'!$L$20="","",'Final Calculation Sheet'!$L$20)</f>
        <v/>
      </c>
      <c r="N34" s="70">
        <f>IF('Final Calculation Sheet'!$M$20="","",'Final Calculation Sheet'!$M$20)</f>
        <v/>
      </c>
      <c r="O34" s="71">
        <f>IF('Final Calculation Sheet'!$N$20="","",'Final Calculation Sheet'!$N$20)</f>
        <v/>
      </c>
      <c r="P34" s="70">
        <f>IF('Final Calculation Sheet'!$O$20="","",'Final Calculation Sheet'!$O$20)</f>
        <v/>
      </c>
      <c r="Q34" s="70">
        <f>IF('Final Calculation Sheet'!$P$20="","",'Final Calculation Sheet'!$P$20)</f>
        <v/>
      </c>
      <c r="R34" s="72">
        <f>IF('Final Calculation Sheet'!$Q$20="","",'Final Calculation Sheet'!$Q$20)</f>
        <v/>
      </c>
      <c r="S34" s="70">
        <f>IF('Final Calculation Sheet'!$R$20="","",'Final Calculation Sheet'!$R$20)</f>
        <v/>
      </c>
      <c r="T34" s="70">
        <f>IF('Final Calculation Sheet'!$S$20="","",'Final Calculation Sheet'!$S$20)</f>
        <v/>
      </c>
      <c r="U34" s="70">
        <f>IF('Final Calculation Sheet'!$T$20="","",'Final Calculation Sheet'!$T$20)</f>
        <v/>
      </c>
      <c r="V34" s="73">
        <f>IF('Final Calculation Sheet'!$U$20="","",'Final Calculation Sheet'!$U$20)</f>
        <v/>
      </c>
      <c r="W34" s="70">
        <f>IF('Final Calculation Sheet'!$V$20="","",'Final Calculation Sheet'!$V$20)</f>
        <v/>
      </c>
      <c r="X34" s="70">
        <f>IF('Final Calculation Sheet'!$W$20="","",'Final Calculation Sheet'!$W$20)</f>
        <v/>
      </c>
      <c r="Y34" s="70">
        <f>IF('Final Calculation Sheet'!$X$20="","",'Final Calculation Sheet'!$X$20)</f>
        <v/>
      </c>
      <c r="Z34" s="70">
        <f>IF('Final Calculation Sheet'!$Y$20="","",'Final Calculation Sheet'!$Y$20)</f>
        <v/>
      </c>
      <c r="AA34" s="70">
        <f>IF('Final Calculation Sheet'!$Z$20="","",'Final Calculation Sheet'!$Z$20)</f>
        <v/>
      </c>
      <c r="AB34" s="70">
        <f>IF('Final Calculation Sheet'!$AA$20="","",'Final Calculation Sheet'!$AA$20)</f>
        <v/>
      </c>
      <c r="AC34" s="70">
        <f>IF('Final Calculation Sheet'!$AB$20="","",'Final Calculation Sheet'!$AB$20)</f>
        <v/>
      </c>
      <c r="AD34" s="70">
        <f>IF('Final Calculation Sheet'!$AC$20="","",'Final Calculation Sheet'!$AC$20)</f>
        <v/>
      </c>
      <c r="AE34" s="70">
        <f>IF('Final Calculation Sheet'!$AD$20="","",'Final Calculation Sheet'!$AD$20)</f>
        <v/>
      </c>
      <c r="AF34" s="70">
        <f>IF('Final Calculation Sheet'!$AE$20="","",'Final Calculation Sheet'!$AE$20)</f>
        <v/>
      </c>
      <c r="AG34" s="74">
        <f>IF('Final Calculation Sheet'!$AF$20="","",'Final Calculation Sheet'!$AF$20)</f>
        <v/>
      </c>
      <c r="AH34" s="70">
        <f>IF('Final Calculation Sheet'!$AG$20="","",'Final Calculation Sheet'!$AG$20)</f>
        <v/>
      </c>
      <c r="AI34" s="75">
        <f>IF('Final Calculation Sheet'!$AD$20="","",IF('Final Calculation Sheet'!$AD$20&lt;=0,"SETTLED","OUTSTANDING"))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IF(AE35&lt;=0,"SETTLED","OUTSTANDING")</f>
        <v/>
      </c>
    </row>
    <row r="36" outlineLevel="1"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Sheet'!$AD$39&lt;=0,"SETTLED","OUTSTANDING"))</f>
        <v/>
      </c>
    </row>
    <row r="37" outlineLevel="1" ht="15" customHeight="1" s="77">
      <c r="A37" s="67" t="n">
        <v>2</v>
      </c>
      <c r="B37" s="68">
        <f>IF('Final Calculation Sheet'!$F$40="","",'Final Calculation Sheet'!$F$40)</f>
        <v/>
      </c>
      <c r="C37" s="68">
        <f>IF('Final Calculation Sheet'!$G$40="","",'Final Calculation Sheet'!$G$40)</f>
        <v/>
      </c>
      <c r="D37" s="69">
        <f>IF('Final Calculation Sheet'!$B$40="","",'Final Calculation Sheet'!$B$40)</f>
        <v/>
      </c>
      <c r="E37" s="69">
        <f>IF('Final Calculation Sheet'!$D$40="","",'Final Calculation Sheet'!$D$40)</f>
        <v/>
      </c>
      <c r="F37" s="69">
        <f>IF('Final Calculation Sheet'!$A$40="","",'Final Calculation Sheet'!$A$40)</f>
        <v/>
      </c>
      <c r="G37" s="69">
        <f>IF('Final Calculation Sheet'!$E$40="","",'Final Calculation Sheet'!$E$40)</f>
        <v/>
      </c>
      <c r="H37" s="70">
        <f>IF('Final Calculation Sheet'!$C$40="","",'Final Calculation Sheet'!$C$40)</f>
        <v/>
      </c>
      <c r="I37" s="70">
        <f>IF('Final Calculation Sheet'!$H$40="","",'Final Calculation Sheet'!$H$40)</f>
        <v/>
      </c>
      <c r="J37" s="70">
        <f>IF('Final Calculation Sheet'!$I$40="","",'Final Calculation Sheet'!$I$40)</f>
        <v/>
      </c>
      <c r="K37" s="70">
        <f>IF('Final Calculation Sheet'!$J$40="","",'Final Calculation Sheet'!$J$40)</f>
        <v/>
      </c>
      <c r="L37" s="70">
        <f>IF('Final Calculation Sheet'!$K$40="","",'Final Calculation Sheet'!$K$40)</f>
        <v/>
      </c>
      <c r="M37" s="70">
        <f>IF('Final Calculation Sheet'!$L$40="","",'Final Calculation Sheet'!$L$40)</f>
        <v/>
      </c>
      <c r="N37" s="70">
        <f>IF('Final Calculation Sheet'!$M$40="","",'Final Calculation Sheet'!$M$40)</f>
        <v/>
      </c>
      <c r="O37" s="71">
        <f>IF('Final Calculation Sheet'!$N$40="","",'Final Calculation Sheet'!$N$40)</f>
        <v/>
      </c>
      <c r="P37" s="70">
        <f>IF('Final Calculation Sheet'!$O$40="","",'Final Calculation Sheet'!$O$40)</f>
        <v/>
      </c>
      <c r="Q37" s="70">
        <f>IF('Final Calculation Sheet'!$P$40="","",'Final Calculation Sheet'!$P$40)</f>
        <v/>
      </c>
      <c r="R37" s="72">
        <f>IF('Final Calculation Sheet'!$Q$40="","",'Final Calculation Sheet'!$Q$40)</f>
        <v/>
      </c>
      <c r="S37" s="70">
        <f>IF('Final Calculation Sheet'!$R$40="","",'Final Calculation Sheet'!$R$40)</f>
        <v/>
      </c>
      <c r="T37" s="70">
        <f>IF('Final Calculation Sheet'!$S$40="","",'Final Calculation Sheet'!$S$40)</f>
        <v/>
      </c>
      <c r="U37" s="70">
        <f>IF('Final Calculation Sheet'!$T$40="","",'Final Calculation Sheet'!$T$40)</f>
        <v/>
      </c>
      <c r="V37" s="73">
        <f>IF('Final Calculation Sheet'!$U$40="","",'Final Calculation Sheet'!$U$40)</f>
        <v/>
      </c>
      <c r="W37" s="70">
        <f>IF('Final Calculation Sheet'!$V$40="","",'Final Calculation Sheet'!$V$40)</f>
        <v/>
      </c>
      <c r="X37" s="70">
        <f>IF('Final Calculation Sheet'!$W$40="","",'Final Calculation Sheet'!$W$40)</f>
        <v/>
      </c>
      <c r="Y37" s="70">
        <f>IF('Final Calculation Sheet'!$X$40="","",'Final Calculation Sheet'!$X$40)</f>
        <v/>
      </c>
      <c r="Z37" s="70">
        <f>IF('Final Calculation Sheet'!$Y$40="","",'Final Calculation Sheet'!$Y$40)</f>
        <v/>
      </c>
      <c r="AA37" s="70">
        <f>IF('Final Calculation Sheet'!$Z$40="","",'Final Calculation Sheet'!$Z$40)</f>
        <v/>
      </c>
      <c r="AB37" s="70">
        <f>IF('Final Calculation Sheet'!$AA$40="","",'Final Calculation Sheet'!$AA$40)</f>
        <v/>
      </c>
      <c r="AC37" s="70">
        <f>IF('Final Calculation Sheet'!$AB$40="","",'Final Calculation Sheet'!$AB$40)</f>
        <v/>
      </c>
      <c r="AD37" s="70">
        <f>IF('Final Calculation Sheet'!$AC$40="","",'Final Calculation Sheet'!$AC$40)</f>
        <v/>
      </c>
      <c r="AE37" s="70">
        <f>IF('Final Calculation Sheet'!$AD$40="","",'Final Calculation Sheet'!$AD$40)</f>
        <v/>
      </c>
      <c r="AF37" s="70">
        <f>IF('Final Calculation Sheet'!$AE$40="","",'Final Calculation Sheet'!$AE$40)</f>
        <v/>
      </c>
      <c r="AG37" s="74">
        <f>IF('Final Calculation Sheet'!$AF$40="","",'Final Calculation Sheet'!$AF$40)</f>
        <v/>
      </c>
      <c r="AH37" s="70">
        <f>IF('Final Calculation Sheet'!$AG$40="","",'Final Calculation Sheet'!$AG$40)</f>
        <v/>
      </c>
      <c r="AI37" s="75">
        <f>IF('Final Calculation Sheet'!$AD$40="","",IF('Final Calculation Sheet'!$AD$40&lt;=0,"SETTLED","OUTSTANDING"))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IF(AE38&lt;=0,"SETTLED","OUTSTANDING")</f>
        <v/>
      </c>
    </row>
    <row r="39" outlineLevel="1"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Sheet'!$AD$31&lt;=0,"SETTLED","OUTSTANDING"))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IF(AE40&lt;=0,"SETTLED","OUTSTANDING")</f>
        <v/>
      </c>
    </row>
    <row r="41" outlineLevel="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Sheet'!$AD$9&lt;=0,"SETTLED","OUTSTANDING"))</f>
        <v/>
      </c>
    </row>
    <row r="42" outlineLevel="1" ht="15" customHeight="1" s="77">
      <c r="A42" s="67" t="n">
        <v>2</v>
      </c>
      <c r="B42" s="68">
        <f>IF('Final Calculation Sheet'!$F$14="","",'Final Calculation Sheet'!$F$14)</f>
        <v/>
      </c>
      <c r="C42" s="68">
        <f>IF('Final Calculation Sheet'!$G$14="","",'Final Calculation Sheet'!$G$14)</f>
        <v/>
      </c>
      <c r="D42" s="69">
        <f>IF('Final Calculation Sheet'!$B$14="","",'Final Calculation Sheet'!$B$14)</f>
        <v/>
      </c>
      <c r="E42" s="69">
        <f>IF('Final Calculation Sheet'!$D$14="","",'Final Calculation Sheet'!$D$14)</f>
        <v/>
      </c>
      <c r="F42" s="69">
        <f>IF('Final Calculation Sheet'!$A$14="","",'Final Calculation Sheet'!$A$14)</f>
        <v/>
      </c>
      <c r="G42" s="69">
        <f>IF('Final Calculation Sheet'!$E$14="","",'Final Calculation Sheet'!$E$14)</f>
        <v/>
      </c>
      <c r="H42" s="70">
        <f>IF('Final Calculation Sheet'!$C$14="","",'Final Calculation Sheet'!$C$14)</f>
        <v/>
      </c>
      <c r="I42" s="70">
        <f>IF('Final Calculation Sheet'!$H$14="","",'Final Calculation Sheet'!$H$14)</f>
        <v/>
      </c>
      <c r="J42" s="70">
        <f>IF('Final Calculation Sheet'!$I$14="","",'Final Calculation Sheet'!$I$14)</f>
        <v/>
      </c>
      <c r="K42" s="70">
        <f>IF('Final Calculation Sheet'!$J$14="","",'Final Calculation Sheet'!$J$14)</f>
        <v/>
      </c>
      <c r="L42" s="70">
        <f>IF('Final Calculation Sheet'!$K$14="","",'Final Calculation Sheet'!$K$14)</f>
        <v/>
      </c>
      <c r="M42" s="70">
        <f>IF('Final Calculation Sheet'!$L$14="","",'Final Calculation Sheet'!$L$14)</f>
        <v/>
      </c>
      <c r="N42" s="70">
        <f>IF('Final Calculation Sheet'!$M$14="","",'Final Calculation Sheet'!$M$14)</f>
        <v/>
      </c>
      <c r="O42" s="71">
        <f>IF('Final Calculation Sheet'!$N$14="","",'Final Calculation Sheet'!$N$14)</f>
        <v/>
      </c>
      <c r="P42" s="70">
        <f>IF('Final Calculation Sheet'!$O$14="","",'Final Calculation Sheet'!$O$14)</f>
        <v/>
      </c>
      <c r="Q42" s="70">
        <f>IF('Final Calculation Sheet'!$P$14="","",'Final Calculation Sheet'!$P$14)</f>
        <v/>
      </c>
      <c r="R42" s="72">
        <f>IF('Final Calculation Sheet'!$Q$14="","",'Final Calculation Sheet'!$Q$14)</f>
        <v/>
      </c>
      <c r="S42" s="70">
        <f>IF('Final Calculation Sheet'!$R$14="","",'Final Calculation Sheet'!$R$14)</f>
        <v/>
      </c>
      <c r="T42" s="70">
        <f>IF('Final Calculation Sheet'!$S$14="","",'Final Calculation Sheet'!$S$14)</f>
        <v/>
      </c>
      <c r="U42" s="70">
        <f>IF('Final Calculation Sheet'!$T$14="","",'Final Calculation Sheet'!$T$14)</f>
        <v/>
      </c>
      <c r="V42" s="73">
        <f>IF('Final Calculation Sheet'!$U$14="","",'Final Calculation Sheet'!$U$14)</f>
        <v/>
      </c>
      <c r="W42" s="70">
        <f>IF('Final Calculation Sheet'!$V$14="","",'Final Calculation Sheet'!$V$14)</f>
        <v/>
      </c>
      <c r="X42" s="70">
        <f>IF('Final Calculation Sheet'!$W$14="","",'Final Calculation Sheet'!$W$14)</f>
        <v/>
      </c>
      <c r="Y42" s="70">
        <f>IF('Final Calculation Sheet'!$X$14="","",'Final Calculation Sheet'!$X$14)</f>
        <v/>
      </c>
      <c r="Z42" s="70">
        <f>IF('Final Calculation Sheet'!$Y$14="","",'Final Calculation Sheet'!$Y$14)</f>
        <v/>
      </c>
      <c r="AA42" s="70">
        <f>IF('Final Calculation Sheet'!$Z$14="","",'Final Calculation Sheet'!$Z$14)</f>
        <v/>
      </c>
      <c r="AB42" s="70">
        <f>IF('Final Calculation Sheet'!$AA$14="","",'Final Calculation Sheet'!$AA$14)</f>
        <v/>
      </c>
      <c r="AC42" s="70">
        <f>IF('Final Calculation Sheet'!$AB$14="","",'Final Calculation Sheet'!$AB$14)</f>
        <v/>
      </c>
      <c r="AD42" s="70">
        <f>IF('Final Calculation Sheet'!$AC$14="","",'Final Calculation Sheet'!$AC$14)</f>
        <v/>
      </c>
      <c r="AE42" s="70">
        <f>IF('Final Calculation Sheet'!$AD$14="","",'Final Calculation Sheet'!$AD$14)</f>
        <v/>
      </c>
      <c r="AF42" s="70">
        <f>IF('Final Calculation Sheet'!$AE$14="","",'Final Calculation Sheet'!$AE$14)</f>
        <v/>
      </c>
      <c r="AG42" s="74">
        <f>IF('Final Calculation Sheet'!$AF$14="","",'Final Calculation Sheet'!$AF$14)</f>
        <v/>
      </c>
      <c r="AH42" s="70">
        <f>IF('Final Calculation Sheet'!$AG$14="","",'Final Calculation Sheet'!$AG$14)</f>
        <v/>
      </c>
      <c r="AI42" s="75">
        <f>IF('Final Calculation Sheet'!$AD$14="","",IF('Final Calculation Sheet'!$AD$14&lt;=0,"SETTLED","OUTSTANDING"))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IF(AE43&lt;=0,"SETTLED","OUTSTANDING")</f>
        <v/>
      </c>
    </row>
    <row r="44" outlineLevel="1"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Sheet'!$AD$13&lt;=0,"SETTLED","OUTSTANDING"))</f>
        <v/>
      </c>
    </row>
    <row r="45" outlineLevel="1" ht="15" customHeight="1" s="77">
      <c r="A45" s="67" t="n">
        <v>2</v>
      </c>
      <c r="B45" s="68">
        <f>IF('Final Calculation Sheet'!$F$16="","",'Final Calculation Sheet'!$F$16)</f>
        <v/>
      </c>
      <c r="C45" s="68">
        <f>IF('Final Calculation Sheet'!$G$16="","",'Final Calculation Sheet'!$G$16)</f>
        <v/>
      </c>
      <c r="D45" s="69">
        <f>IF('Final Calculation Sheet'!$B$16="","",'Final Calculation Sheet'!$B$16)</f>
        <v/>
      </c>
      <c r="E45" s="69">
        <f>IF('Final Calculation Sheet'!$D$16="","",'Final Calculation Sheet'!$D$16)</f>
        <v/>
      </c>
      <c r="F45" s="69">
        <f>IF('Final Calculation Sheet'!$A$16="","",'Final Calculation Sheet'!$A$16)</f>
        <v/>
      </c>
      <c r="G45" s="69">
        <f>IF('Final Calculation Sheet'!$E$16="","",'Final Calculation Sheet'!$E$16)</f>
        <v/>
      </c>
      <c r="H45" s="70">
        <f>IF('Final Calculation Sheet'!$C$16="","",'Final Calculation Sheet'!$C$16)</f>
        <v/>
      </c>
      <c r="I45" s="70">
        <f>IF('Final Calculation Sheet'!$H$16="","",'Final Calculation Sheet'!$H$16)</f>
        <v/>
      </c>
      <c r="J45" s="70">
        <f>IF('Final Calculation Sheet'!$I$16="","",'Final Calculation Sheet'!$I$16)</f>
        <v/>
      </c>
      <c r="K45" s="70">
        <f>IF('Final Calculation Sheet'!$J$16="","",'Final Calculation Sheet'!$J$16)</f>
        <v/>
      </c>
      <c r="L45" s="70">
        <f>IF('Final Calculation Sheet'!$K$16="","",'Final Calculation Sheet'!$K$16)</f>
        <v/>
      </c>
      <c r="M45" s="70">
        <f>IF('Final Calculation Sheet'!$L$16="","",'Final Calculation Sheet'!$L$16)</f>
        <v/>
      </c>
      <c r="N45" s="70">
        <f>IF('Final Calculation Sheet'!$M$16="","",'Final Calculation Sheet'!$M$16)</f>
        <v/>
      </c>
      <c r="O45" s="71">
        <f>IF('Final Calculation Sheet'!$N$16="","",'Final Calculation Sheet'!$N$16)</f>
        <v/>
      </c>
      <c r="P45" s="70">
        <f>IF('Final Calculation Sheet'!$O$16="","",'Final Calculation Sheet'!$O$16)</f>
        <v/>
      </c>
      <c r="Q45" s="70">
        <f>IF('Final Calculation Sheet'!$P$16="","",'Final Calculation Sheet'!$P$16)</f>
        <v/>
      </c>
      <c r="R45" s="72">
        <f>IF('Final Calculation Sheet'!$Q$16="","",'Final Calculation Sheet'!$Q$16)</f>
        <v/>
      </c>
      <c r="S45" s="70">
        <f>IF('Final Calculation Sheet'!$R$16="","",'Final Calculation Sheet'!$R$16)</f>
        <v/>
      </c>
      <c r="T45" s="70">
        <f>IF('Final Calculation Sheet'!$S$16="","",'Final Calculation Sheet'!$S$16)</f>
        <v/>
      </c>
      <c r="U45" s="70">
        <f>IF('Final Calculation Sheet'!$T$16="","",'Final Calculation Sheet'!$T$16)</f>
        <v/>
      </c>
      <c r="V45" s="73">
        <f>IF('Final Calculation Sheet'!$U$16="","",'Final Calculation Sheet'!$U$16)</f>
        <v/>
      </c>
      <c r="W45" s="70">
        <f>IF('Final Calculation Sheet'!$V$16="","",'Final Calculation Sheet'!$V$16)</f>
        <v/>
      </c>
      <c r="X45" s="70">
        <f>IF('Final Calculation Sheet'!$W$16="","",'Final Calculation Sheet'!$W$16)</f>
        <v/>
      </c>
      <c r="Y45" s="70">
        <f>IF('Final Calculation Sheet'!$X$16="","",'Final Calculation Sheet'!$X$16)</f>
        <v/>
      </c>
      <c r="Z45" s="70">
        <f>IF('Final Calculation Sheet'!$Y$16="","",'Final Calculation Sheet'!$Y$16)</f>
        <v/>
      </c>
      <c r="AA45" s="70">
        <f>IF('Final Calculation Sheet'!$Z$16="","",'Final Calculation Sheet'!$Z$16)</f>
        <v/>
      </c>
      <c r="AB45" s="70">
        <f>IF('Final Calculation Sheet'!$AA$16="","",'Final Calculation Sheet'!$AA$16)</f>
        <v/>
      </c>
      <c r="AC45" s="70">
        <f>IF('Final Calculation Sheet'!$AB$16="","",'Final Calculation Sheet'!$AB$16)</f>
        <v/>
      </c>
      <c r="AD45" s="70">
        <f>IF('Final Calculation Sheet'!$AC$16="","",'Final Calculation Sheet'!$AC$16)</f>
        <v/>
      </c>
      <c r="AE45" s="70">
        <f>IF('Final Calculation Sheet'!$AD$16="","",'Final Calculation Sheet'!$AD$16)</f>
        <v/>
      </c>
      <c r="AF45" s="70">
        <f>IF('Final Calculation Sheet'!$AE$16="","",'Final Calculation Sheet'!$AE$16)</f>
        <v/>
      </c>
      <c r="AG45" s="74">
        <f>IF('Final Calculation Sheet'!$AF$16="","",'Final Calculation Sheet'!$AF$16)</f>
        <v/>
      </c>
      <c r="AH45" s="70">
        <f>IF('Final Calculation Sheet'!$AG$16="","",'Final Calculation Sheet'!$AG$16)</f>
        <v/>
      </c>
      <c r="AI45" s="75">
        <f>IF('Final Calculation Sheet'!$AD$16="","",IF('Final Calculation Sheet'!$AD$16&lt;=0,"SETTLED","OUTSTANDING"))</f>
        <v/>
      </c>
    </row>
    <row r="46" outlineLevel="1"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Sheet'!$AD$17&lt;=0,"SETTLED","OUTSTANDING"))</f>
        <v/>
      </c>
    </row>
    <row r="47" outlineLevel="1" ht="15" customHeight="1" s="77">
      <c r="A47" s="67" t="n">
        <v>4</v>
      </c>
      <c r="B47" s="68">
        <f>IF('Final Calculation Sheet'!$F$23="","",'Final Calculation Sheet'!$F$23)</f>
        <v/>
      </c>
      <c r="C47" s="68">
        <f>IF('Final Calculation Sheet'!$G$23="","",'Final Calculation Sheet'!$G$23)</f>
        <v/>
      </c>
      <c r="D47" s="69">
        <f>IF('Final Calculation Sheet'!$B$23="","",'Final Calculation Sheet'!$B$23)</f>
        <v/>
      </c>
      <c r="E47" s="69">
        <f>IF('Final Calculation Sheet'!$D$23="","",'Final Calculation Sheet'!$D$23)</f>
        <v/>
      </c>
      <c r="F47" s="69">
        <f>IF('Final Calculation Sheet'!$A$23="","",'Final Calculation Sheet'!$A$23)</f>
        <v/>
      </c>
      <c r="G47" s="69">
        <f>IF('Final Calculation Sheet'!$E$23="","",'Final Calculation Sheet'!$E$23)</f>
        <v/>
      </c>
      <c r="H47" s="70">
        <f>IF('Final Calculation Sheet'!$C$23="","",'Final Calculation Sheet'!$C$23)</f>
        <v/>
      </c>
      <c r="I47" s="70">
        <f>IF('Final Calculation Sheet'!$H$23="","",'Final Calculation Sheet'!$H$23)</f>
        <v/>
      </c>
      <c r="J47" s="70">
        <f>IF('Final Calculation Sheet'!$I$23="","",'Final Calculation Sheet'!$I$23)</f>
        <v/>
      </c>
      <c r="K47" s="70">
        <f>IF('Final Calculation Sheet'!$J$23="","",'Final Calculation Sheet'!$J$23)</f>
        <v/>
      </c>
      <c r="L47" s="70">
        <f>IF('Final Calculation Sheet'!$K$23="","",'Final Calculation Sheet'!$K$23)</f>
        <v/>
      </c>
      <c r="M47" s="70">
        <f>IF('Final Calculation Sheet'!$L$23="","",'Final Calculation Sheet'!$L$23)</f>
        <v/>
      </c>
      <c r="N47" s="70">
        <f>IF('Final Calculation Sheet'!$M$23="","",'Final Calculation Sheet'!$M$23)</f>
        <v/>
      </c>
      <c r="O47" s="71">
        <f>IF('Final Calculation Sheet'!$N$23="","",'Final Calculation Sheet'!$N$23)</f>
        <v/>
      </c>
      <c r="P47" s="70">
        <f>IF('Final Calculation Sheet'!$O$23="","",'Final Calculation Sheet'!$O$23)</f>
        <v/>
      </c>
      <c r="Q47" s="70">
        <f>IF('Final Calculation Sheet'!$P$23="","",'Final Calculation Sheet'!$P$23)</f>
        <v/>
      </c>
      <c r="R47" s="72">
        <f>IF('Final Calculation Sheet'!$Q$23="","",'Final Calculation Sheet'!$Q$23)</f>
        <v/>
      </c>
      <c r="S47" s="70">
        <f>IF('Final Calculation Sheet'!$R$23="","",'Final Calculation Sheet'!$R$23)</f>
        <v/>
      </c>
      <c r="T47" s="70">
        <f>IF('Final Calculation Sheet'!$S$23="","",'Final Calculation Sheet'!$S$23)</f>
        <v/>
      </c>
      <c r="U47" s="70">
        <f>IF('Final Calculation Sheet'!$T$23="","",'Final Calculation Sheet'!$T$23)</f>
        <v/>
      </c>
      <c r="V47" s="73">
        <f>IF('Final Calculation Sheet'!$U$23="","",'Final Calculation Sheet'!$U$23)</f>
        <v/>
      </c>
      <c r="W47" s="70">
        <f>IF('Final Calculation Sheet'!$V$23="","",'Final Calculation Sheet'!$V$23)</f>
        <v/>
      </c>
      <c r="X47" s="70">
        <f>IF('Final Calculation Sheet'!$W$23="","",'Final Calculation Sheet'!$W$23)</f>
        <v/>
      </c>
      <c r="Y47" s="70">
        <f>IF('Final Calculation Sheet'!$X$23="","",'Final Calculation Sheet'!$X$23)</f>
        <v/>
      </c>
      <c r="Z47" s="70">
        <f>IF('Final Calculation Sheet'!$Y$23="","",'Final Calculation Sheet'!$Y$23)</f>
        <v/>
      </c>
      <c r="AA47" s="70">
        <f>IF('Final Calculation Sheet'!$Z$23="","",'Final Calculation Sheet'!$Z$23)</f>
        <v/>
      </c>
      <c r="AB47" s="70">
        <f>IF('Final Calculation Sheet'!$AA$23="","",'Final Calculation Sheet'!$AA$23)</f>
        <v/>
      </c>
      <c r="AC47" s="70">
        <f>IF('Final Calculation Sheet'!$AB$23="","",'Final Calculation Sheet'!$AB$23)</f>
        <v/>
      </c>
      <c r="AD47" s="70">
        <f>IF('Final Calculation Sheet'!$AC$23="","",'Final Calculation Sheet'!$AC$23)</f>
        <v/>
      </c>
      <c r="AE47" s="70">
        <f>IF('Final Calculation Sheet'!$AD$23="","",'Final Calculation Sheet'!$AD$23)</f>
        <v/>
      </c>
      <c r="AF47" s="70">
        <f>IF('Final Calculation Sheet'!$AE$23="","",'Final Calculation Sheet'!$AE$23)</f>
        <v/>
      </c>
      <c r="AG47" s="74">
        <f>IF('Final Calculation Sheet'!$AF$23="","",'Final Calculation Sheet'!$AF$23)</f>
        <v/>
      </c>
      <c r="AH47" s="70">
        <f>IF('Final Calculation Sheet'!$AG$23="","",'Final Calculation Sheet'!$AG$23)</f>
        <v/>
      </c>
      <c r="AI47" s="75">
        <f>IF('Final Calculation Sheet'!$AD$23="","",IF('Final Calculation Sheet'!$AD$23&lt;=0,"SETTLED","OUTSTANDING"))</f>
        <v/>
      </c>
    </row>
    <row r="48" outlineLevel="1"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Sheet'!$AD$29&lt;=0,"SETTLED","OUTSTANDING"))</f>
        <v/>
      </c>
    </row>
    <row r="49" outlineLevel="1" ht="15" customHeight="1" s="77">
      <c r="A49" s="67" t="n">
        <v>6</v>
      </c>
      <c r="B49" s="68">
        <f>IF('Final Calculation Sheet'!$F$34="","",'Final Calculation Sheet'!$F$34)</f>
        <v/>
      </c>
      <c r="C49" s="68">
        <f>IF('Final Calculation Sheet'!$G$34="","",'Final Calculation Sheet'!$G$34)</f>
        <v/>
      </c>
      <c r="D49" s="69">
        <f>IF('Final Calculation Sheet'!$B$34="","",'Final Calculation Sheet'!$B$34)</f>
        <v/>
      </c>
      <c r="E49" s="69">
        <f>IF('Final Calculation Sheet'!$D$34="","",'Final Calculation Sheet'!$D$34)</f>
        <v/>
      </c>
      <c r="F49" s="69">
        <f>IF('Final Calculation Sheet'!$A$34="","",'Final Calculation Sheet'!$A$34)</f>
        <v/>
      </c>
      <c r="G49" s="69">
        <f>IF('Final Calculation Sheet'!$E$34="","",'Final Calculation Sheet'!$E$34)</f>
        <v/>
      </c>
      <c r="H49" s="70">
        <f>IF('Final Calculation Sheet'!$C$34="","",'Final Calculation Sheet'!$C$34)</f>
        <v/>
      </c>
      <c r="I49" s="70">
        <f>IF('Final Calculation Sheet'!$H$34="","",'Final Calculation Sheet'!$H$34)</f>
        <v/>
      </c>
      <c r="J49" s="70">
        <f>IF('Final Calculation Sheet'!$I$34="","",'Final Calculation Sheet'!$I$34)</f>
        <v/>
      </c>
      <c r="K49" s="70">
        <f>IF('Final Calculation Sheet'!$J$34="","",'Final Calculation Sheet'!$J$34)</f>
        <v/>
      </c>
      <c r="L49" s="70">
        <f>IF('Final Calculation Sheet'!$K$34="","",'Final Calculation Sheet'!$K$34)</f>
        <v/>
      </c>
      <c r="M49" s="70">
        <f>IF('Final Calculation Sheet'!$L$34="","",'Final Calculation Sheet'!$L$34)</f>
        <v/>
      </c>
      <c r="N49" s="70">
        <f>IF('Final Calculation Sheet'!$M$34="","",'Final Calculation Sheet'!$M$34)</f>
        <v/>
      </c>
      <c r="O49" s="71">
        <f>IF('Final Calculation Sheet'!$N$34="","",'Final Calculation Sheet'!$N$34)</f>
        <v/>
      </c>
      <c r="P49" s="70">
        <f>IF('Final Calculation Sheet'!$O$34="","",'Final Calculation Sheet'!$O$34)</f>
        <v/>
      </c>
      <c r="Q49" s="70">
        <f>IF('Final Calculation Sheet'!$P$34="","",'Final Calculation Sheet'!$P$34)</f>
        <v/>
      </c>
      <c r="R49" s="72">
        <f>IF('Final Calculation Sheet'!$Q$34="","",'Final Calculation Sheet'!$Q$34)</f>
        <v/>
      </c>
      <c r="S49" s="70">
        <f>IF('Final Calculation Sheet'!$R$34="","",'Final Calculation Sheet'!$R$34)</f>
        <v/>
      </c>
      <c r="T49" s="70">
        <f>IF('Final Calculation Sheet'!$S$34="","",'Final Calculation Sheet'!$S$34)</f>
        <v/>
      </c>
      <c r="U49" s="70">
        <f>IF('Final Calculation Sheet'!$T$34="","",'Final Calculation Sheet'!$T$34)</f>
        <v/>
      </c>
      <c r="V49" s="73">
        <f>IF('Final Calculation Sheet'!$U$34="","",'Final Calculation Sheet'!$U$34)</f>
        <v/>
      </c>
      <c r="W49" s="70">
        <f>IF('Final Calculation Sheet'!$V$34="","",'Final Calculation Sheet'!$V$34)</f>
        <v/>
      </c>
      <c r="X49" s="70">
        <f>IF('Final Calculation Sheet'!$W$34="","",'Final Calculation Sheet'!$W$34)</f>
        <v/>
      </c>
      <c r="Y49" s="70">
        <f>IF('Final Calculation Sheet'!$X$34="","",'Final Calculation Sheet'!$X$34)</f>
        <v/>
      </c>
      <c r="Z49" s="70">
        <f>IF('Final Calculation Sheet'!$Y$34="","",'Final Calculation Sheet'!$Y$34)</f>
        <v/>
      </c>
      <c r="AA49" s="70">
        <f>IF('Final Calculation Sheet'!$Z$34="","",'Final Calculation Sheet'!$Z$34)</f>
        <v/>
      </c>
      <c r="AB49" s="70">
        <f>IF('Final Calculation Sheet'!$AA$34="","",'Final Calculation Sheet'!$AA$34)</f>
        <v/>
      </c>
      <c r="AC49" s="70">
        <f>IF('Final Calculation Sheet'!$AB$34="","",'Final Calculation Sheet'!$AB$34)</f>
        <v/>
      </c>
      <c r="AD49" s="70">
        <f>IF('Final Calculation Sheet'!$AC$34="","",'Final Calculation Sheet'!$AC$34)</f>
        <v/>
      </c>
      <c r="AE49" s="70">
        <f>IF('Final Calculation Sheet'!$AD$34="","",'Final Calculation Sheet'!$AD$34)</f>
        <v/>
      </c>
      <c r="AF49" s="70">
        <f>IF('Final Calculation Sheet'!$AE$34="","",'Final Calculation Sheet'!$AE$34)</f>
        <v/>
      </c>
      <c r="AG49" s="74">
        <f>IF('Final Calculation Sheet'!$AF$34="","",'Final Calculation Sheet'!$AF$34)</f>
        <v/>
      </c>
      <c r="AH49" s="70">
        <f>IF('Final Calculation Sheet'!$AG$34="","",'Final Calculation Sheet'!$AG$34)</f>
        <v/>
      </c>
      <c r="AI49" s="75">
        <f>IF('Final Calculation Sheet'!$AD$34="","",IF('Final Calculation Sheet'!$AD$34&lt;=0,"SETTLED","OUTSTANDING"))</f>
        <v/>
      </c>
    </row>
    <row r="50" outlineLevel="1"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Sheet'!$AD$36&lt;=0,"SETTLED","OUTSTANDING"))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IF(AE51&lt;=0,"SETTLED","OUTSTANDING")</f>
        <v/>
      </c>
    </row>
    <row r="52" outlineLevel="1"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Sheet'!$AD$25&lt;=0,"SETTLED","OUTSTANDING"))</f>
        <v/>
      </c>
    </row>
    <row r="53" outlineLevel="1" ht="15" customHeight="1" s="77">
      <c r="A53" s="67" t="n">
        <v>2</v>
      </c>
      <c r="B53" s="68">
        <f>IF('Final Calculation Sheet'!$F$28="","",'Final Calculation Sheet'!$F$28)</f>
        <v/>
      </c>
      <c r="C53" s="68">
        <f>IF('Final Calculation Sheet'!$G$28="","",'Final Calculation Sheet'!$G$28)</f>
        <v/>
      </c>
      <c r="D53" s="69">
        <f>IF('Final Calculation Sheet'!$B$28="","",'Final Calculation Sheet'!$B$28)</f>
        <v/>
      </c>
      <c r="E53" s="69">
        <f>IF('Final Calculation Sheet'!$D$28="","",'Final Calculation Sheet'!$D$28)</f>
        <v/>
      </c>
      <c r="F53" s="69">
        <f>IF('Final Calculation Sheet'!$A$28="","",'Final Calculation Sheet'!$A$28)</f>
        <v/>
      </c>
      <c r="G53" s="69">
        <f>IF('Final Calculation Sheet'!$E$28="","",'Final Calculation Sheet'!$E$28)</f>
        <v/>
      </c>
      <c r="H53" s="70">
        <f>IF('Final Calculation Sheet'!$C$28="","",'Final Calculation Sheet'!$C$28)</f>
        <v/>
      </c>
      <c r="I53" s="70">
        <f>IF('Final Calculation Sheet'!$H$28="","",'Final Calculation Sheet'!$H$28)</f>
        <v/>
      </c>
      <c r="J53" s="70">
        <f>IF('Final Calculation Sheet'!$I$28="","",'Final Calculation Sheet'!$I$28)</f>
        <v/>
      </c>
      <c r="K53" s="70">
        <f>IF('Final Calculation Sheet'!$J$28="","",'Final Calculation Sheet'!$J$28)</f>
        <v/>
      </c>
      <c r="L53" s="70">
        <f>IF('Final Calculation Sheet'!$K$28="","",'Final Calculation Sheet'!$K$28)</f>
        <v/>
      </c>
      <c r="M53" s="70">
        <f>IF('Final Calculation Sheet'!$L$28="","",'Final Calculation Sheet'!$L$28)</f>
        <v/>
      </c>
      <c r="N53" s="70">
        <f>IF('Final Calculation Sheet'!$M$28="","",'Final Calculation Sheet'!$M$28)</f>
        <v/>
      </c>
      <c r="O53" s="71">
        <f>IF('Final Calculation Sheet'!$N$28="","",'Final Calculation Sheet'!$N$28)</f>
        <v/>
      </c>
      <c r="P53" s="70">
        <f>IF('Final Calculation Sheet'!$O$28="","",'Final Calculation Sheet'!$O$28)</f>
        <v/>
      </c>
      <c r="Q53" s="70">
        <f>IF('Final Calculation Sheet'!$P$28="","",'Final Calculation Sheet'!$P$28)</f>
        <v/>
      </c>
      <c r="R53" s="72">
        <f>IF('Final Calculation Sheet'!$Q$28="","",'Final Calculation Sheet'!$Q$28)</f>
        <v/>
      </c>
      <c r="S53" s="70">
        <f>IF('Final Calculation Sheet'!$R$28="","",'Final Calculation Sheet'!$R$28)</f>
        <v/>
      </c>
      <c r="T53" s="70">
        <f>IF('Final Calculation Sheet'!$S$28="","",'Final Calculation Sheet'!$S$28)</f>
        <v/>
      </c>
      <c r="U53" s="70">
        <f>IF('Final Calculation Sheet'!$T$28="","",'Final Calculation Sheet'!$T$28)</f>
        <v/>
      </c>
      <c r="V53" s="73">
        <f>IF('Final Calculation Sheet'!$U$28="","",'Final Calculation Sheet'!$U$28)</f>
        <v/>
      </c>
      <c r="W53" s="70">
        <f>IF('Final Calculation Sheet'!$V$28="","",'Final Calculation Sheet'!$V$28)</f>
        <v/>
      </c>
      <c r="X53" s="70">
        <f>IF('Final Calculation Sheet'!$W$28="","",'Final Calculation Sheet'!$W$28)</f>
        <v/>
      </c>
      <c r="Y53" s="70">
        <f>IF('Final Calculation Sheet'!$X$28="","",'Final Calculation Sheet'!$X$28)</f>
        <v/>
      </c>
      <c r="Z53" s="70">
        <f>IF('Final Calculation Sheet'!$Y$28="","",'Final Calculation Sheet'!$Y$28)</f>
        <v/>
      </c>
      <c r="AA53" s="70">
        <f>IF('Final Calculation Sheet'!$Z$28="","",'Final Calculation Sheet'!$Z$28)</f>
        <v/>
      </c>
      <c r="AB53" s="70">
        <f>IF('Final Calculation Sheet'!$AA$28="","",'Final Calculation Sheet'!$AA$28)</f>
        <v/>
      </c>
      <c r="AC53" s="70">
        <f>IF('Final Calculation Sheet'!$AB$28="","",'Final Calculation Sheet'!$AB$28)</f>
        <v/>
      </c>
      <c r="AD53" s="70">
        <f>IF('Final Calculation Sheet'!$AC$28="","",'Final Calculation Sheet'!$AC$28)</f>
        <v/>
      </c>
      <c r="AE53" s="70">
        <f>IF('Final Calculation Sheet'!$AD$28="","",'Final Calculation Sheet'!$AD$28)</f>
        <v/>
      </c>
      <c r="AF53" s="70">
        <f>IF('Final Calculation Sheet'!$AE$28="","",'Final Calculation Sheet'!$AE$28)</f>
        <v/>
      </c>
      <c r="AG53" s="74">
        <f>IF('Final Calculation Sheet'!$AF$28="","",'Final Calculation Sheet'!$AF$28)</f>
        <v/>
      </c>
      <c r="AH53" s="70">
        <f>IF('Final Calculation Sheet'!$AG$28="","",'Final Calculation Sheet'!$AG$28)</f>
        <v/>
      </c>
      <c r="AI53" s="75">
        <f>IF('Final Calculation Sheet'!$AD$28="","",IF('Final Calculation Sheet'!$AD$28&lt;=0,"SETTLED","OUTSTANDING"))</f>
        <v/>
      </c>
    </row>
    <row r="54" outlineLevel="1"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Sheet'!$AD$35&lt;=0,"SETTLED","OUTSTANDING"))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IF(AE55&lt;=0,"SETTLED","OUTSTANDING")</f>
        <v/>
      </c>
    </row>
    <row r="56" ht="15" customHeight="1" s="77">
      <c r="A56" s="92" t="inlineStr">
        <is>
          <t>∑</t>
        </is>
      </c>
      <c r="B56" s="93" t="n"/>
      <c r="C56" s="93">
        <f>COUNTA('Final Calculation Sheet'!$G$4:$G$40)&amp;" lot(s)"</f>
        <v/>
      </c>
      <c r="D56" s="93" t="inlineStr">
        <is>
          <t>TOTAL — every buyer together</t>
        </is>
      </c>
      <c r="E56" s="93" t="inlineStr">
        <is>
          <t>–</t>
        </is>
      </c>
      <c r="F56" s="93">
        <f>SUM(F7,F10,F12,F14,F16,F30,F32,F35,F38,F40,F43,F51,F55)</f>
        <v/>
      </c>
      <c r="G56" s="93" t="inlineStr">
        <is>
          <t>–</t>
        </is>
      </c>
      <c r="H56" s="94" t="inlineStr">
        <is>
          <t>–</t>
        </is>
      </c>
      <c r="I56" s="94">
        <f>SUM(I7,I10,I12,I14,I16,I30,I32,I35,I38,I40,I43,I51,I55)</f>
        <v/>
      </c>
      <c r="J56" s="94">
        <f>SUM(J7,J10,J12,J14,J16,J30,J32,J35,J38,J40,J43,J51,J55)</f>
        <v/>
      </c>
      <c r="K56" s="94">
        <f>SUM(K7,K10,K12,K14,K16,K30,K32,K35,K38,K40,K43,K51,K55)</f>
        <v/>
      </c>
      <c r="L56" s="94">
        <f>SUM(L7,L10,L12,L14,L16,L30,L32,L35,L38,L40,L43,L51,L55)</f>
        <v/>
      </c>
      <c r="M56" s="94">
        <f>SUM(M7,M10,M12,M14,M16,M30,M32,M35,M38,M40,M43,M51,M55)</f>
        <v/>
      </c>
      <c r="N56" s="94">
        <f>SUM(N7,N10,N12,N14,N16,N30,N32,N35,N38,N40,N43,N51,N55)</f>
        <v/>
      </c>
      <c r="O56" s="95">
        <f>SUM(O7,O10,O12,O14,O16,O30,O32,O35,O38,O40,O43,O51,O55)</f>
        <v/>
      </c>
      <c r="P56" s="94">
        <f>SUM(P7,P10,P12,P14,P16,P30,P32,P35,P38,P40,P43,P51,P55)</f>
        <v/>
      </c>
      <c r="Q56" s="94">
        <f>SUM(Q7,Q10,Q12,Q14,Q16,Q30,Q32,Q35,Q38,Q40,Q43,Q51,Q55)</f>
        <v/>
      </c>
      <c r="R56" s="96" t="inlineStr">
        <is>
          <t>–</t>
        </is>
      </c>
      <c r="S56" s="94">
        <f>SUM(S7,S10,S12,S14,S16,S30,S32,S35,S38,S40,S43,S51,S55)</f>
        <v/>
      </c>
      <c r="T56" s="94">
        <f>SUM(T7,T10,T12,T14,T16,T30,T32,T35,T38,T40,T43,T51,T55)</f>
        <v/>
      </c>
      <c r="U56" s="94">
        <f>SUM(U7,U10,U12,U14,U16,U30,U32,U35,U38,U40,U43,U51,U55)</f>
        <v/>
      </c>
      <c r="V56" s="97">
        <f>SUM(V7,V10,V12,V14,V16,V30,V32,V35,V38,V40,V43,V51,V55)</f>
        <v/>
      </c>
      <c r="W56" s="94" t="inlineStr">
        <is>
          <t>–</t>
        </is>
      </c>
      <c r="X56" s="94">
        <f>SUM(X7,X10,X12,X14,X16,X30,X32,X35,X38,X40,X43,X51,X55)</f>
        <v/>
      </c>
      <c r="Y56" s="94">
        <f>SUM(Y7,Y10,Y12,Y14,Y16,Y30,Y32,Y35,Y38,Y40,Y43,Y51,Y55)</f>
        <v/>
      </c>
      <c r="Z56" s="94" t="inlineStr">
        <is>
          <t>–</t>
        </is>
      </c>
      <c r="AA56" s="94">
        <f>SUM(AA7,AA10,AA12,AA14,AA16,AA30,AA32,AA35,AA38,AA40,AA43,AA51,AA55)</f>
        <v/>
      </c>
      <c r="AB56" s="94">
        <f>SUM(AB7,AB10,AB12,AB14,AB16,AB30,AB32,AB35,AB38,AB40,AB43,AB51,AB55)</f>
        <v/>
      </c>
      <c r="AC56" s="94" t="inlineStr">
        <is>
          <t>–</t>
        </is>
      </c>
      <c r="AD56" s="94">
        <f>SUM(AD7,AD10,AD12,AD14,AD16,AD30,AD32,AD35,AD38,AD40,AD43,AD51,AD55)</f>
        <v/>
      </c>
      <c r="AE56" s="94">
        <f>SUM(AE7,AE10,AE12,AE14,AE16,AE30,AE32,AE35,AE38,AE40,AE43,AE51,AE55)</f>
        <v/>
      </c>
      <c r="AF56" s="94" t="inlineStr">
        <is>
          <t>–</t>
        </is>
      </c>
      <c r="AG56" s="98" t="inlineStr">
        <is>
          <t>–</t>
        </is>
      </c>
      <c r="AH56" s="94" t="inlineStr">
        <is>
          <t>–</t>
        </is>
      </c>
      <c r="AI56" s="99">
        <f>IF(AE56&lt;=0,"SETTLED","OUTSTANDING")</f>
        <v/>
      </c>
    </row>
    <row r="57" ht="15" customHeight="1" s="77">
      <c r="A57" s="100" t="inlineStr">
        <is>
          <t>∑</t>
        </is>
      </c>
      <c r="B57" s="101" t="n"/>
      <c r="C57" s="101">
        <f>COUNTA('Final Calculation Sheet'!$G$4:$G$40)&amp;" lot(s)"</f>
        <v/>
      </c>
      <c r="D57" s="101" t="inlineStr">
        <is>
          <t>GRAND TOTAL — cross-checked to source</t>
        </is>
      </c>
      <c r="E57" s="101" t="inlineStr">
        <is>
          <t>–</t>
        </is>
      </c>
      <c r="F57" s="101">
        <f>SUM('Final Calculation Sheet'!$A$4:$A$40)</f>
        <v/>
      </c>
      <c r="G57" s="101" t="inlineStr">
        <is>
          <t>–</t>
        </is>
      </c>
      <c r="H57" s="102" t="inlineStr">
        <is>
          <t>–</t>
        </is>
      </c>
      <c r="I57" s="102">
        <f>SUM('Final Calculation Sheet'!$H$4:$H$40)</f>
        <v/>
      </c>
      <c r="J57" s="102">
        <f>SUM('Final Calculation Sheet'!$I$4:$I$40)</f>
        <v/>
      </c>
      <c r="K57" s="102">
        <f>SUM('Final Calculation Sheet'!$J$4:$J$40)</f>
        <v/>
      </c>
      <c r="L57" s="102">
        <f>SUM('Final Calculation Sheet'!$K$4:$K$40)</f>
        <v/>
      </c>
      <c r="M57" s="102">
        <f>SUM('Final Calculation Sheet'!$L$4:$L$40)</f>
        <v/>
      </c>
      <c r="N57" s="102">
        <f>SUM('Final Calculation Sheet'!$M$4:$M$40)</f>
        <v/>
      </c>
      <c r="O57" s="103">
        <f>SUM('Final Calculation Sheet'!$N$4:$N$40)</f>
        <v/>
      </c>
      <c r="P57" s="102">
        <f>SUM('Final Calculation Sheet'!$O$4:$O$40)</f>
        <v/>
      </c>
      <c r="Q57" s="102">
        <f>SUM('Final Calculation Sheet'!$P$4:$P$40)</f>
        <v/>
      </c>
      <c r="R57" s="104" t="inlineStr">
        <is>
          <t>–</t>
        </is>
      </c>
      <c r="S57" s="102">
        <f>SUM('Final Calculation Sheet'!$R$4:$R$40)</f>
        <v/>
      </c>
      <c r="T57" s="102">
        <f>SUM('Final Calculation Sheet'!$S$4:$S$40)</f>
        <v/>
      </c>
      <c r="U57" s="102">
        <f>SUM('Final Calculation Sheet'!$T$4:$T$40)</f>
        <v/>
      </c>
      <c r="V57" s="105">
        <f>SUM('Final Calculation Sheet'!$U$4:$U$40)</f>
        <v/>
      </c>
      <c r="W57" s="102" t="inlineStr">
        <is>
          <t>–</t>
        </is>
      </c>
      <c r="X57" s="102">
        <f>SUM('Final Calculation Sheet'!$W$4:$W$40)</f>
        <v/>
      </c>
      <c r="Y57" s="102">
        <f>SUM('Final Calculation Sheet'!$X$4:$X$40)</f>
        <v/>
      </c>
      <c r="Z57" s="102" t="inlineStr">
        <is>
          <t>–</t>
        </is>
      </c>
      <c r="AA57" s="102">
        <f>SUM('Final Calculation Sheet'!$Z$4:$Z$40)</f>
        <v/>
      </c>
      <c r="AB57" s="102">
        <f>SUM('Final Calculation Sheet'!$AA$4:$AA$40)</f>
        <v/>
      </c>
      <c r="AC57" s="102" t="inlineStr">
        <is>
          <t>–</t>
        </is>
      </c>
      <c r="AD57" s="102">
        <f>SUM('Final Calculation Sheet'!$AC$4:$AC$40)</f>
        <v/>
      </c>
      <c r="AE57" s="102">
        <f>SUM('Final Calculation Sheet'!$AD$4:$AD$40)</f>
        <v/>
      </c>
      <c r="AF57" s="102" t="inlineStr">
        <is>
          <t>–</t>
        </is>
      </c>
      <c r="AG57" s="106" t="inlineStr">
        <is>
          <t>–</t>
        </is>
      </c>
      <c r="AH57" s="102" t="inlineStr">
        <is>
          <t>–</t>
        </is>
      </c>
      <c r="AI57" s="107">
        <f>IF(AE57&lt;=0,"SETTLED","OUTSTANDING")</f>
        <v/>
      </c>
    </row>
    <row r="58"/>
    <row r="59"/>
  </sheetData>
  <mergeCells count="2">
    <mergeCell ref="A2:AI2"/>
    <mergeCell ref="A1:AI1"/>
  </mergeCells>
  <conditionalFormatting sqref="AE6:AE57">
    <cfRule type="cellIs" priority="1" operator="greaterThan" dxfId="2">
      <formula>0</formula>
    </cfRule>
  </conditionalFormatting>
  <conditionalFormatting sqref="AI6:AI57">
    <cfRule type="cellIs" priority="2" operator="equal" dxfId="11">
      <formula>"SETTLED"</formula>
    </cfRule>
    <cfRule type="cellIs" priority="3" operator="equal" dxfId="12">
      <formula>"OUTSTANDING"</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D114"/>
  <sheetViews>
    <sheetView workbookViewId="0">
      <selection activeCell="A1" sqref="A1"/>
    </sheetView>
  </sheetViews>
  <sheetFormatPr baseColWidth="8" defaultRowHeight="15"/>
  <cols>
    <col width="30" customWidth="1" style="77" min="1" max="1"/>
    <col width="30" customWidth="1" style="77" min="3" max="3"/>
    <col width="30" customWidth="1" style="77" min="4" max="4"/>
    <col width="30" customWidth="1" style="77" min="6" max="6"/>
    <col width="30" customWidth="1" style="77" min="7" max="7"/>
    <col width="30" customWidth="1" style="77" min="9" max="9"/>
    <col width="30" customWidth="1" style="77" min="10" max="10"/>
    <col width="30" customWidth="1" style="77" min="12" max="12"/>
    <col width="30" customWidth="1" style="77" min="13" max="13"/>
    <col width="30" customWidth="1" style="77" min="15" max="15"/>
    <col width="30" customWidth="1" style="77" min="16" max="16"/>
    <col width="30" customWidth="1" style="77" min="18" max="18"/>
    <col width="30" customWidth="1" style="77" min="19" max="19"/>
    <col width="30" customWidth="1" style="77" min="21" max="21"/>
    <col width="30" customWidth="1" style="77" min="22" max="22"/>
    <col width="30" customWidth="1" style="77" min="24" max="24"/>
    <col width="30" customWidth="1" style="77" min="25" max="25"/>
    <col width="30" customWidth="1" style="77" min="27" max="27"/>
    <col width="30" customWidth="1" style="77" min="28" max="28"/>
    <col width="30" customWidth="1" style="77" min="30" max="30"/>
    <col width="30" customWidth="1" style="77" min="31" max="31"/>
    <col width="30" customWidth="1" style="77" min="33" max="33"/>
    <col width="30" customWidth="1" style="77" min="34" max="34"/>
    <col width="30" customWidth="1" style="77" min="36" max="36"/>
    <col width="30" customWidth="1" style="77" min="37" max="37"/>
    <col width="30" customWidth="1" style="77" min="39" max="39"/>
    <col width="30" customWidth="1" style="77" min="40" max="40"/>
    <col width="30" customWidth="1" style="77" min="42" max="42"/>
    <col width="30" customWidth="1" style="77" min="43" max="43"/>
    <col width="30" customWidth="1" style="77" min="45" max="45"/>
    <col width="30" customWidth="1" style="77" min="46" max="46"/>
    <col width="30" customWidth="1" style="77" min="48" max="48"/>
    <col width="30" customWidth="1" style="77" min="49" max="49"/>
    <col width="30" customWidth="1" style="77" min="51" max="51"/>
    <col width="30" customWidth="1" style="77" min="52" max="52"/>
    <col width="30" customWidth="1" style="77" min="54" max="54"/>
    <col width="30" customWidth="1" style="77" min="55" max="55"/>
    <col width="30" customWidth="1" style="77" min="57" max="57"/>
    <col width="30" customWidth="1" style="77" min="58" max="58"/>
    <col width="30" customWidth="1" style="77" min="60" max="60"/>
    <col width="30" customWidth="1" style="77" min="61" max="61"/>
    <col width="30" customWidth="1" style="77" min="63" max="63"/>
    <col width="30" customWidth="1" style="77" min="64" max="64"/>
    <col width="30" customWidth="1" style="77" min="66" max="66"/>
    <col width="30" customWidth="1" style="77" min="67" max="67"/>
    <col width="30" customWidth="1" style="77" min="69" max="69"/>
    <col width="30" customWidth="1" style="77" min="70" max="70"/>
    <col width="30" customWidth="1" style="77" min="72" max="72"/>
    <col width="30" customWidth="1" style="77" min="73" max="73"/>
    <col width="30" customWidth="1" style="77" min="75" max="75"/>
    <col width="30" customWidth="1" style="77" min="76" max="76"/>
    <col width="30" customWidth="1" style="77" min="78" max="78"/>
    <col width="30" customWidth="1" style="77" min="79" max="79"/>
    <col width="30" customWidth="1" style="77" min="81" max="81"/>
    <col width="30" customWidth="1" style="77" min="82" max="82"/>
    <col width="30" customWidth="1" style="77" min="84" max="84"/>
    <col width="30" customWidth="1" style="77" min="85" max="85"/>
    <col width="30" customWidth="1" style="77" min="87" max="87"/>
    <col width="30" customWidth="1" style="77" min="88" max="88"/>
    <col width="30" customWidth="1" style="77" min="90" max="90"/>
    <col width="30" customWidth="1" style="77" min="91" max="91"/>
    <col width="30" customWidth="1" style="77" min="93" max="93"/>
    <col width="30" customWidth="1" style="77" min="94" max="94"/>
    <col width="30" customWidth="1" style="77" min="96" max="96"/>
    <col width="30" customWidth="1" style="77" min="97" max="97"/>
    <col width="30" customWidth="1" style="77" min="99" max="99"/>
    <col width="30" customWidth="1" style="77" min="100" max="100"/>
    <col width="30" customWidth="1" style="77" min="102" max="102"/>
    <col width="30" customWidth="1" style="77" min="103" max="103"/>
    <col width="30" customWidth="1" style="77" min="105" max="105"/>
    <col width="30" customWidth="1" style="77" min="106" max="106"/>
    <col width="30" customWidth="1" style="77" min="108" max="108"/>
  </cols>
  <sheetData>
    <row r="1">
      <c r="A1" t="inlineStr">
        <is>
          <t>Search-dropdown lists — live from Final Calculation Sheet. Do not edit.</t>
        </is>
      </c>
    </row>
    <row r="3">
      <c r="A3" t="inlineStr">
        <is>
          <t>MAIN (B3): lot no + buyer + lot name</t>
        </is>
      </c>
      <c r="D3" t="inlineStr">
        <is>
          <t>A (#): 1..37</t>
        </is>
      </c>
      <c r="G3" t="inlineStr">
        <is>
          <t>B (Final F)</t>
        </is>
      </c>
      <c r="J3" t="inlineStr">
        <is>
          <t>C (Final G)</t>
        </is>
      </c>
      <c r="M3" t="inlineStr">
        <is>
          <t>D (Final B)</t>
        </is>
      </c>
      <c r="P3" t="inlineStr">
        <is>
          <t>E (Final D)</t>
        </is>
      </c>
      <c r="S3" t="inlineStr">
        <is>
          <t>F (Final A)</t>
        </is>
      </c>
      <c r="V3" t="inlineStr">
        <is>
          <t>G (Final E)</t>
        </is>
      </c>
      <c r="Y3" t="inlineStr">
        <is>
          <t>H (Final C)</t>
        </is>
      </c>
      <c r="AB3" t="inlineStr">
        <is>
          <t>I (Final H)</t>
        </is>
      </c>
      <c r="AE3" t="inlineStr">
        <is>
          <t>J (Final I)</t>
        </is>
      </c>
      <c r="AH3" t="inlineStr">
        <is>
          <t>K (Final J)</t>
        </is>
      </c>
      <c r="AK3" t="inlineStr">
        <is>
          <t>L (Final K)</t>
        </is>
      </c>
      <c r="AN3" t="inlineStr">
        <is>
          <t>M (Final L)</t>
        </is>
      </c>
      <c r="AQ3" t="inlineStr">
        <is>
          <t>N (Final M)</t>
        </is>
      </c>
      <c r="AT3" t="inlineStr">
        <is>
          <t>O (Final N)</t>
        </is>
      </c>
      <c r="AW3" t="inlineStr">
        <is>
          <t>P (Final O)</t>
        </is>
      </c>
      <c r="AZ3" t="inlineStr">
        <is>
          <t>Q (Final P)</t>
        </is>
      </c>
      <c r="BC3" t="inlineStr">
        <is>
          <t>R (Final Q)</t>
        </is>
      </c>
      <c r="BF3" t="inlineStr">
        <is>
          <t>S (Final R)</t>
        </is>
      </c>
      <c r="BI3" t="inlineStr">
        <is>
          <t>T (Final S)</t>
        </is>
      </c>
      <c r="BL3" t="inlineStr">
        <is>
          <t>U (Final T)</t>
        </is>
      </c>
      <c r="BO3" t="inlineStr">
        <is>
          <t>V (Final U)</t>
        </is>
      </c>
      <c r="BR3" t="inlineStr">
        <is>
          <t>W (Final V)</t>
        </is>
      </c>
      <c r="BU3" t="inlineStr">
        <is>
          <t>X (Final W)</t>
        </is>
      </c>
      <c r="BX3" t="inlineStr">
        <is>
          <t>Y (Final X)</t>
        </is>
      </c>
      <c r="CA3" t="inlineStr">
        <is>
          <t>Z (Final Y)</t>
        </is>
      </c>
      <c r="CD3" t="inlineStr">
        <is>
          <t>AA (Final Z)</t>
        </is>
      </c>
      <c r="CG3" t="inlineStr">
        <is>
          <t>AB (Final AA)</t>
        </is>
      </c>
      <c r="CJ3" t="inlineStr">
        <is>
          <t>AC (Final AB)</t>
        </is>
      </c>
      <c r="CM3" t="inlineStr">
        <is>
          <t>AD (Final AC)</t>
        </is>
      </c>
      <c r="CP3" t="inlineStr">
        <is>
          <t>AE (Final AD)</t>
        </is>
      </c>
      <c r="CS3" t="inlineStr">
        <is>
          <t>AF (Final AE)</t>
        </is>
      </c>
      <c r="CV3" t="inlineStr">
        <is>
          <t>AG (Final AF)</t>
        </is>
      </c>
      <c r="CY3" t="inlineStr">
        <is>
          <t>AH (Final AG)</t>
        </is>
      </c>
      <c r="DB3" t="inlineStr">
        <is>
          <t>AI (Payment Status)</t>
        </is>
      </c>
    </row>
    <row r="4">
      <c r="A4">
        <f>IF('Final Calculation Sheet'!$F$4="","",'Final Calculation Sheet'!$F$4)</f>
        <v/>
      </c>
      <c r="B4">
        <f>IF(AND(A4&lt;&gt;"",COUNTIF(A$4:A4,A4)=1),1,0)</f>
        <v/>
      </c>
      <c r="C4">
        <f>IF(ROW()-3&gt;MAX(B$4:B$114),"",INDEX(A$4:A$114,MATCH(ROW()-3,B$4:B$114,0)))</f>
        <v/>
      </c>
      <c r="D4">
        <f>ROW()-3</f>
        <v/>
      </c>
      <c r="E4">
        <f>IF(AND(D4&lt;&gt;"",COUNTIF(D$4:D4,D4)=1),1,0)</f>
        <v/>
      </c>
      <c r="F4">
        <f>IF(ROW()-3&gt;MAX(E$4:E$40),"",INDEX(D$4:D$40,MATCH(ROW()-3,E$4:E$40,0)))</f>
        <v/>
      </c>
      <c r="G4">
        <f>IF('Final Calculation Sheet'!$F$4="","",'Final Calculation Sheet'!$F$4)</f>
        <v/>
      </c>
      <c r="H4">
        <f>IF(AND(G4&lt;&gt;"",COUNTIF(G$4:G4,G4)=1),1,0)</f>
        <v/>
      </c>
      <c r="I4">
        <f>IF(ROW()-3&gt;MAX(H$4:H$40),"",INDEX(G$4:G$40,MATCH(ROW()-3,H$4:H$40,0)))</f>
        <v/>
      </c>
      <c r="J4">
        <f>IF('Final Calculation Sheet'!$G$4="","",'Final Calculation Sheet'!$G$4)</f>
        <v/>
      </c>
      <c r="K4">
        <f>IF(AND(J4&lt;&gt;"",COUNTIF(J$4:J4,J4)=1),1,0)</f>
        <v/>
      </c>
      <c r="L4">
        <f>IF(ROW()-3&gt;MAX(K$4:K$40),"",INDEX(J$4:J$40,MATCH(ROW()-3,K$4:K$40,0)))</f>
        <v/>
      </c>
      <c r="M4">
        <f>IF('Final Calculation Sheet'!$B$4="","",'Final Calculation Sheet'!$B$4)</f>
        <v/>
      </c>
      <c r="N4">
        <f>IF(AND(M4&lt;&gt;"",COUNTIF(M$4:M4,M4)=1),1,0)</f>
        <v/>
      </c>
      <c r="O4">
        <f>IF(ROW()-3&gt;MAX(N$4:N$40),"",INDEX(M$4:M$40,MATCH(ROW()-3,N$4:N$40,0)))</f>
        <v/>
      </c>
      <c r="P4">
        <f>IF('Final Calculation Sheet'!$D$4="","",'Final Calculation Sheet'!$D$4)</f>
        <v/>
      </c>
      <c r="Q4">
        <f>IF(AND(P4&lt;&gt;"",COUNTIF(P$4:P4,P4)=1),1,0)</f>
        <v/>
      </c>
      <c r="R4">
        <f>IF(ROW()-3&gt;MAX(Q$4:Q$40),"",INDEX(P$4:P$40,MATCH(ROW()-3,Q$4:Q$40,0)))</f>
        <v/>
      </c>
      <c r="S4">
        <f>IF('Final Calculation Sheet'!$A$4="","",'Final Calculation Sheet'!$A$4)</f>
        <v/>
      </c>
      <c r="T4">
        <f>IF(AND(S4&lt;&gt;"",COUNTIF(S$4:S4,S4)=1),1,0)</f>
        <v/>
      </c>
      <c r="U4">
        <f>IF(ROW()-3&gt;MAX(T$4:T$40),"",INDEX(S$4:S$40,MATCH(ROW()-3,T$4:T$40,0)))</f>
        <v/>
      </c>
      <c r="V4">
        <f>IF('Final Calculation Sheet'!$E$4="","",'Final Calculation Sheet'!$E$4)</f>
        <v/>
      </c>
      <c r="W4">
        <f>IF(AND(V4&lt;&gt;"",COUNTIF(V$4:V4,V4)=1),1,0)</f>
        <v/>
      </c>
      <c r="X4">
        <f>IF(ROW()-3&gt;MAX(W$4:W$40),"",INDEX(V$4:V$40,MATCH(ROW()-3,W$4:W$40,0)))</f>
        <v/>
      </c>
      <c r="Y4">
        <f>IF('Final Calculation Sheet'!$C$4="","",'Final Calculation Sheet'!$C$4)</f>
        <v/>
      </c>
      <c r="Z4">
        <f>IF(AND(Y4&lt;&gt;"",COUNTIF(Y$4:Y4,Y4)=1),1,0)</f>
        <v/>
      </c>
      <c r="AA4">
        <f>IF(ROW()-3&gt;MAX(Z$4:Z$40),"",INDEX(Y$4:Y$40,MATCH(ROW()-3,Z$4:Z$40,0)))</f>
        <v/>
      </c>
      <c r="AB4">
        <f>IF('Final Calculation Sheet'!$H$4="","",'Final Calculation Sheet'!$H$4)</f>
        <v/>
      </c>
      <c r="AC4">
        <f>IF(AND(AB4&lt;&gt;"",COUNTIF(AB$4:AB4,AB4)=1),1,0)</f>
        <v/>
      </c>
      <c r="AD4">
        <f>IF(ROW()-3&gt;MAX(AC$4:AC$40),"",INDEX(AB$4:AB$40,MATCH(ROW()-3,AC$4:AC$40,0)))</f>
        <v/>
      </c>
      <c r="AE4">
        <f>IF('Final Calculation Sheet'!$I$4="","",'Final Calculation Sheet'!$I$4)</f>
        <v/>
      </c>
      <c r="AF4">
        <f>IF(AND(AE4&lt;&gt;"",COUNTIF(AE$4:AE4,AE4)=1),1,0)</f>
        <v/>
      </c>
      <c r="AG4">
        <f>IF(ROW()-3&gt;MAX(AF$4:AF$40),"",INDEX(AE$4:AE$40,MATCH(ROW()-3,AF$4:AF$40,0)))</f>
        <v/>
      </c>
      <c r="AH4">
        <f>IF('Final Calculation Sheet'!$J$4="","",'Final Calculation Sheet'!$J$4)</f>
        <v/>
      </c>
      <c r="AI4">
        <f>IF(AND(AH4&lt;&gt;"",COUNTIF(AH$4:AH4,AH4)=1),1,0)</f>
        <v/>
      </c>
      <c r="AJ4">
        <f>IF(ROW()-3&gt;MAX(AI$4:AI$40),"",INDEX(AH$4:AH$40,MATCH(ROW()-3,AI$4:AI$40,0)))</f>
        <v/>
      </c>
      <c r="AK4">
        <f>IF('Final Calculation Sheet'!$K$4="","",'Final Calculation Sheet'!$K$4)</f>
        <v/>
      </c>
      <c r="AL4">
        <f>IF(AND(AK4&lt;&gt;"",COUNTIF(AK$4:AK4,AK4)=1),1,0)</f>
        <v/>
      </c>
      <c r="AM4">
        <f>IF(ROW()-3&gt;MAX(AL$4:AL$40),"",INDEX(AK$4:AK$40,MATCH(ROW()-3,AL$4:AL$40,0)))</f>
        <v/>
      </c>
      <c r="AN4">
        <f>IF('Final Calculation Sheet'!$L$4="","",'Final Calculation Sheet'!$L$4)</f>
        <v/>
      </c>
      <c r="AO4">
        <f>IF(AND(AN4&lt;&gt;"",COUNTIF(AN$4:AN4,AN4)=1),1,0)</f>
        <v/>
      </c>
      <c r="AP4">
        <f>IF(ROW()-3&gt;MAX(AO$4:AO$40),"",INDEX(AN$4:AN$40,MATCH(ROW()-3,AO$4:AO$40,0)))</f>
        <v/>
      </c>
      <c r="AQ4">
        <f>IF('Final Calculation Sheet'!$M$4="","",'Final Calculation Sheet'!$M$4)</f>
        <v/>
      </c>
      <c r="AR4">
        <f>IF(AND(AQ4&lt;&gt;"",COUNTIF(AQ$4:AQ4,AQ4)=1),1,0)</f>
        <v/>
      </c>
      <c r="AS4">
        <f>IF(ROW()-3&gt;MAX(AR$4:AR$40),"",INDEX(AQ$4:AQ$40,MATCH(ROW()-3,AR$4:AR$40,0)))</f>
        <v/>
      </c>
      <c r="AT4">
        <f>IF('Final Calculation Sheet'!$N$4="","",'Final Calculation Sheet'!$N$4)</f>
        <v/>
      </c>
      <c r="AU4">
        <f>IF(AND(AT4&lt;&gt;"",COUNTIF(AT$4:AT4,AT4)=1),1,0)</f>
        <v/>
      </c>
      <c r="AV4">
        <f>IF(ROW()-3&gt;MAX(AU$4:AU$40),"",INDEX(AT$4:AT$40,MATCH(ROW()-3,AU$4:AU$40,0)))</f>
        <v/>
      </c>
      <c r="AW4">
        <f>IF('Final Calculation Sheet'!$O$4="","",'Final Calculation Sheet'!$O$4)</f>
        <v/>
      </c>
      <c r="AX4">
        <f>IF(AND(AW4&lt;&gt;"",COUNTIF(AW$4:AW4,AW4)=1),1,0)</f>
        <v/>
      </c>
      <c r="AY4">
        <f>IF(ROW()-3&gt;MAX(AX$4:AX$40),"",INDEX(AW$4:AW$40,MATCH(ROW()-3,AX$4:AX$40,0)))</f>
        <v/>
      </c>
      <c r="AZ4">
        <f>IF('Final Calculation Sheet'!$P$4="","",'Final Calculation Sheet'!$P$4)</f>
        <v/>
      </c>
      <c r="BA4">
        <f>IF(AND(AZ4&lt;&gt;"",COUNTIF(AZ$4:AZ4,AZ4)=1),1,0)</f>
        <v/>
      </c>
      <c r="BB4">
        <f>IF(ROW()-3&gt;MAX(BA$4:BA$40),"",INDEX(AZ$4:AZ$40,MATCH(ROW()-3,BA$4:BA$40,0)))</f>
        <v/>
      </c>
      <c r="BC4">
        <f>IF('Final Calculation Sheet'!$Q$4="","",'Final Calculation Sheet'!$Q$4)</f>
        <v/>
      </c>
      <c r="BD4">
        <f>IF(AND(BC4&lt;&gt;"",COUNTIF(BC$4:BC4,BC4)=1),1,0)</f>
        <v/>
      </c>
      <c r="BE4">
        <f>IF(ROW()-3&gt;MAX(BD$4:BD$40),"",INDEX(BC$4:BC$40,MATCH(ROW()-3,BD$4:BD$40,0)))</f>
        <v/>
      </c>
      <c r="BF4">
        <f>IF('Final Calculation Sheet'!$R$4="","",'Final Calculation Sheet'!$R$4)</f>
        <v/>
      </c>
      <c r="BG4">
        <f>IF(AND(BF4&lt;&gt;"",COUNTIF(BF$4:BF4,BF4)=1),1,0)</f>
        <v/>
      </c>
      <c r="BH4">
        <f>IF(ROW()-3&gt;MAX(BG$4:BG$40),"",INDEX(BF$4:BF$40,MATCH(ROW()-3,BG$4:BG$40,0)))</f>
        <v/>
      </c>
      <c r="BI4">
        <f>IF('Final Calculation Sheet'!$S$4="","",'Final Calculation Sheet'!$S$4)</f>
        <v/>
      </c>
      <c r="BJ4">
        <f>IF(AND(BI4&lt;&gt;"",COUNTIF(BI$4:BI4,BI4)=1),1,0)</f>
        <v/>
      </c>
      <c r="BK4">
        <f>IF(ROW()-3&gt;MAX(BJ$4:BJ$40),"",INDEX(BI$4:BI$40,MATCH(ROW()-3,BJ$4:BJ$40,0)))</f>
        <v/>
      </c>
      <c r="BL4">
        <f>IF('Final Calculation Sheet'!$T$4="","",'Final Calculation Sheet'!$T$4)</f>
        <v/>
      </c>
      <c r="BM4">
        <f>IF(AND(BL4&lt;&gt;"",COUNTIF(BL$4:BL4,BL4)=1),1,0)</f>
        <v/>
      </c>
      <c r="BN4">
        <f>IF(ROW()-3&gt;MAX(BM$4:BM$40),"",INDEX(BL$4:BL$40,MATCH(ROW()-3,BM$4:BM$40,0)))</f>
        <v/>
      </c>
      <c r="BO4">
        <f>IF('Final Calculation Sheet'!$U$4="","",'Final Calculation Sheet'!$U$4)</f>
        <v/>
      </c>
      <c r="BP4">
        <f>IF(AND(BO4&lt;&gt;"",COUNTIF(BO$4:BO4,BO4)=1),1,0)</f>
        <v/>
      </c>
      <c r="BQ4">
        <f>IF(ROW()-3&gt;MAX(BP$4:BP$40),"",INDEX(BO$4:BO$40,MATCH(ROW()-3,BP$4:BP$40,0)))</f>
        <v/>
      </c>
      <c r="BR4">
        <f>IF('Final Calculation Sheet'!$V$4="","",'Final Calculation Sheet'!$V$4)</f>
        <v/>
      </c>
      <c r="BS4">
        <f>IF(AND(BR4&lt;&gt;"",COUNTIF(BR$4:BR4,BR4)=1),1,0)</f>
        <v/>
      </c>
      <c r="BT4">
        <f>IF(ROW()-3&gt;MAX(BS$4:BS$40),"",INDEX(BR$4:BR$40,MATCH(ROW()-3,BS$4:BS$40,0)))</f>
        <v/>
      </c>
      <c r="BU4">
        <f>IF('Final Calculation Sheet'!$W$4="","",'Final Calculation Sheet'!$W$4)</f>
        <v/>
      </c>
      <c r="BV4">
        <f>IF(AND(BU4&lt;&gt;"",COUNTIF(BU$4:BU4,BU4)=1),1,0)</f>
        <v/>
      </c>
      <c r="BW4">
        <f>IF(ROW()-3&gt;MAX(BV$4:BV$40),"",INDEX(BU$4:BU$40,MATCH(ROW()-3,BV$4:BV$40,0)))</f>
        <v/>
      </c>
      <c r="BX4">
        <f>IF('Final Calculation Sheet'!$X$4="","",'Final Calculation Sheet'!$X$4)</f>
        <v/>
      </c>
      <c r="BY4">
        <f>IF(AND(BX4&lt;&gt;"",COUNTIF(BX$4:BX4,BX4)=1),1,0)</f>
        <v/>
      </c>
      <c r="BZ4">
        <f>IF(ROW()-3&gt;MAX(BY$4:BY$40),"",INDEX(BX$4:BX$40,MATCH(ROW()-3,BY$4:BY$40,0)))</f>
        <v/>
      </c>
      <c r="CA4">
        <f>IF('Final Calculation Sheet'!$Y$4="","",'Final Calculation Sheet'!$Y$4)</f>
        <v/>
      </c>
      <c r="CB4">
        <f>IF(AND(CA4&lt;&gt;"",COUNTIF(CA$4:CA4,CA4)=1),1,0)</f>
        <v/>
      </c>
      <c r="CC4">
        <f>IF(ROW()-3&gt;MAX(CB$4:CB$40),"",INDEX(CA$4:CA$40,MATCH(ROW()-3,CB$4:CB$40,0)))</f>
        <v/>
      </c>
      <c r="CD4">
        <f>IF('Final Calculation Sheet'!$Z$4="","",'Final Calculation Sheet'!$Z$4)</f>
        <v/>
      </c>
      <c r="CE4">
        <f>IF(AND(CD4&lt;&gt;"",COUNTIF(CD$4:CD4,CD4)=1),1,0)</f>
        <v/>
      </c>
      <c r="CF4">
        <f>IF(ROW()-3&gt;MAX(CE$4:CE$40),"",INDEX(CD$4:CD$40,MATCH(ROW()-3,CE$4:CE$40,0)))</f>
        <v/>
      </c>
      <c r="CG4">
        <f>IF('Final Calculation Sheet'!$AA$4="","",'Final Calculation Sheet'!$AA$4)</f>
        <v/>
      </c>
      <c r="CH4">
        <f>IF(AND(CG4&lt;&gt;"",COUNTIF(CG$4:CG4,CG4)=1),1,0)</f>
        <v/>
      </c>
      <c r="CI4">
        <f>IF(ROW()-3&gt;MAX(CH$4:CH$40),"",INDEX(CG$4:CG$40,MATCH(ROW()-3,CH$4:CH$40,0)))</f>
        <v/>
      </c>
      <c r="CJ4">
        <f>IF('Final Calculation Sheet'!$AB$4="","",'Final Calculation Sheet'!$AB$4)</f>
        <v/>
      </c>
      <c r="CK4">
        <f>IF(AND(CJ4&lt;&gt;"",COUNTIF(CJ$4:CJ4,CJ4)=1),1,0)</f>
        <v/>
      </c>
      <c r="CL4">
        <f>IF(ROW()-3&gt;MAX(CK$4:CK$40),"",INDEX(CJ$4:CJ$40,MATCH(ROW()-3,CK$4:CK$40,0)))</f>
        <v/>
      </c>
      <c r="CM4">
        <f>IF('Final Calculation Sheet'!$AC$4="","",'Final Calculation Sheet'!$AC$4)</f>
        <v/>
      </c>
      <c r="CN4">
        <f>IF(AND(CM4&lt;&gt;"",COUNTIF(CM$4:CM4,CM4)=1),1,0)</f>
        <v/>
      </c>
      <c r="CO4">
        <f>IF(ROW()-3&gt;MAX(CN$4:CN$40),"",INDEX(CM$4:CM$40,MATCH(ROW()-3,CN$4:CN$40,0)))</f>
        <v/>
      </c>
      <c r="CP4">
        <f>IF('Final Calculation Sheet'!$AD$4="","",'Final Calculation Sheet'!$AD$4)</f>
        <v/>
      </c>
      <c r="CQ4">
        <f>IF(AND(CP4&lt;&gt;"",COUNTIF(CP$4:CP4,CP4)=1),1,0)</f>
        <v/>
      </c>
      <c r="CR4">
        <f>IF(ROW()-3&gt;MAX(CQ$4:CQ$40),"",INDEX(CP$4:CP$40,MATCH(ROW()-3,CQ$4:CQ$40,0)))</f>
        <v/>
      </c>
      <c r="CS4">
        <f>IF('Final Calculation Sheet'!$AE$4="","",'Final Calculation Sheet'!$AE$4)</f>
        <v/>
      </c>
      <c r="CT4">
        <f>IF(AND(CS4&lt;&gt;"",COUNTIF(CS$4:CS4,CS4)=1),1,0)</f>
        <v/>
      </c>
      <c r="CU4">
        <f>IF(ROW()-3&gt;MAX(CT$4:CT$40),"",INDEX(CS$4:CS$40,MATCH(ROW()-3,CT$4:CT$40,0)))</f>
        <v/>
      </c>
      <c r="CV4">
        <f>IF('Final Calculation Sheet'!$AF$4="","",'Final Calculation Sheet'!$AF$4)</f>
        <v/>
      </c>
      <c r="CW4">
        <f>IF(AND(CV4&lt;&gt;"",COUNTIF(CV$4:CV4,CV4)=1),1,0)</f>
        <v/>
      </c>
      <c r="CX4">
        <f>IF(ROW()-3&gt;MAX(CW$4:CW$40),"",INDEX(CV$4:CV$40,MATCH(ROW()-3,CW$4:CW$40,0)))</f>
        <v/>
      </c>
      <c r="CY4">
        <f>IF('Final Calculation Sheet'!$AG$4="","",'Final Calculation Sheet'!$AG$4)</f>
        <v/>
      </c>
      <c r="CZ4">
        <f>IF(AND(CY4&lt;&gt;"",COUNTIF(CY$4:CY4,CY4)=1),1,0)</f>
        <v/>
      </c>
      <c r="DA4">
        <f>IF(ROW()-3&gt;MAX(CZ$4:CZ$40),"",INDEX(CY$4:CY$40,MATCH(ROW()-3,CZ$4:CZ$40,0)))</f>
        <v/>
      </c>
      <c r="DB4" t="inlineStr">
        <is>
          <t>SETTLED</t>
        </is>
      </c>
      <c r="DC4">
        <f>IF(AND(DB4&lt;&gt;"",COUNTIF(DB$4:DB4,DB4)=1),1,0)</f>
        <v/>
      </c>
      <c r="DD4">
        <f>IF(ROW()-3&gt;MAX(DC$4:DC$40),"",INDEX(DB$4:DB$40,MATCH(ROW()-3,DC$4:DC$40,0)))</f>
        <v/>
      </c>
    </row>
    <row r="5">
      <c r="A5">
        <f>IF('Final Calculation Sheet'!$F$5="","",'Final Calculation Sheet'!$F$5)</f>
        <v/>
      </c>
      <c r="B5">
        <f>B4+IF(AND(A5&lt;&gt;"",COUNTIF(A$4:A5,A5)=1),1,0)</f>
        <v/>
      </c>
      <c r="C5">
        <f>IF(ROW()-3&gt;MAX(B$4:B$114),"",INDEX(A$4:A$114,MATCH(ROW()-3,B$4:B$114,0)))</f>
        <v/>
      </c>
      <c r="D5">
        <f>ROW()-3</f>
        <v/>
      </c>
      <c r="E5">
        <f>E4+IF(AND(D5&lt;&gt;"",COUNTIF(D$4:D5,D5)=1),1,0)</f>
        <v/>
      </c>
      <c r="F5">
        <f>IF(ROW()-3&gt;MAX(E$4:E$40),"",INDEX(D$4:D$40,MATCH(ROW()-3,E$4:E$40,0)))</f>
        <v/>
      </c>
      <c r="G5">
        <f>IF('Final Calculation Sheet'!$F$5="","",'Final Calculation Sheet'!$F$5)</f>
        <v/>
      </c>
      <c r="H5">
        <f>H4+IF(AND(G5&lt;&gt;"",COUNTIF(G$4:G5,G5)=1),1,0)</f>
        <v/>
      </c>
      <c r="I5">
        <f>IF(ROW()-3&gt;MAX(H$4:H$40),"",INDEX(G$4:G$40,MATCH(ROW()-3,H$4:H$40,0)))</f>
        <v/>
      </c>
      <c r="J5">
        <f>IF('Final Calculation Sheet'!$G$5="","",'Final Calculation Sheet'!$G$5)</f>
        <v/>
      </c>
      <c r="K5">
        <f>K4+IF(AND(J5&lt;&gt;"",COUNTIF(J$4:J5,J5)=1),1,0)</f>
        <v/>
      </c>
      <c r="L5">
        <f>IF(ROW()-3&gt;MAX(K$4:K$40),"",INDEX(J$4:J$40,MATCH(ROW()-3,K$4:K$40,0)))</f>
        <v/>
      </c>
      <c r="M5">
        <f>IF('Final Calculation Sheet'!$B$5="","",'Final Calculation Sheet'!$B$5)</f>
        <v/>
      </c>
      <c r="N5">
        <f>N4+IF(AND(M5&lt;&gt;"",COUNTIF(M$4:M5,M5)=1),1,0)</f>
        <v/>
      </c>
      <c r="O5">
        <f>IF(ROW()-3&gt;MAX(N$4:N$40),"",INDEX(M$4:M$40,MATCH(ROW()-3,N$4:N$40,0)))</f>
        <v/>
      </c>
      <c r="P5">
        <f>IF('Final Calculation Sheet'!$D$5="","",'Final Calculation Sheet'!$D$5)</f>
        <v/>
      </c>
      <c r="Q5">
        <f>Q4+IF(AND(P5&lt;&gt;"",COUNTIF(P$4:P5,P5)=1),1,0)</f>
        <v/>
      </c>
      <c r="R5">
        <f>IF(ROW()-3&gt;MAX(Q$4:Q$40),"",INDEX(P$4:P$40,MATCH(ROW()-3,Q$4:Q$40,0)))</f>
        <v/>
      </c>
      <c r="S5">
        <f>IF('Final Calculation Sheet'!$A$5="","",'Final Calculation Sheet'!$A$5)</f>
        <v/>
      </c>
      <c r="T5">
        <f>T4+IF(AND(S5&lt;&gt;"",COUNTIF(S$4:S5,S5)=1),1,0)</f>
        <v/>
      </c>
      <c r="U5">
        <f>IF(ROW()-3&gt;MAX(T$4:T$40),"",INDEX(S$4:S$40,MATCH(ROW()-3,T$4:T$40,0)))</f>
        <v/>
      </c>
      <c r="V5">
        <f>IF('Final Calculation Sheet'!$E$5="","",'Final Calculation Sheet'!$E$5)</f>
        <v/>
      </c>
      <c r="W5">
        <f>W4+IF(AND(V5&lt;&gt;"",COUNTIF(V$4:V5,V5)=1),1,0)</f>
        <v/>
      </c>
      <c r="X5">
        <f>IF(ROW()-3&gt;MAX(W$4:W$40),"",INDEX(V$4:V$40,MATCH(ROW()-3,W$4:W$40,0)))</f>
        <v/>
      </c>
      <c r="Y5">
        <f>IF('Final Calculation Sheet'!$C$5="","",'Final Calculation Sheet'!$C$5)</f>
        <v/>
      </c>
      <c r="Z5">
        <f>Z4+IF(AND(Y5&lt;&gt;"",COUNTIF(Y$4:Y5,Y5)=1),1,0)</f>
        <v/>
      </c>
      <c r="AA5">
        <f>IF(ROW()-3&gt;MAX(Z$4:Z$40),"",INDEX(Y$4:Y$40,MATCH(ROW()-3,Z$4:Z$40,0)))</f>
        <v/>
      </c>
      <c r="AB5">
        <f>IF('Final Calculation Sheet'!$H$5="","",'Final Calculation Sheet'!$H$5)</f>
        <v/>
      </c>
      <c r="AC5">
        <f>AC4+IF(AND(AB5&lt;&gt;"",COUNTIF(AB$4:AB5,AB5)=1),1,0)</f>
        <v/>
      </c>
      <c r="AD5">
        <f>IF(ROW()-3&gt;MAX(AC$4:AC$40),"",INDEX(AB$4:AB$40,MATCH(ROW()-3,AC$4:AC$40,0)))</f>
        <v/>
      </c>
      <c r="AE5">
        <f>IF('Final Calculation Sheet'!$I$5="","",'Final Calculation Sheet'!$I$5)</f>
        <v/>
      </c>
      <c r="AF5">
        <f>AF4+IF(AND(AE5&lt;&gt;"",COUNTIF(AE$4:AE5,AE5)=1),1,0)</f>
        <v/>
      </c>
      <c r="AG5">
        <f>IF(ROW()-3&gt;MAX(AF$4:AF$40),"",INDEX(AE$4:AE$40,MATCH(ROW()-3,AF$4:AF$40,0)))</f>
        <v/>
      </c>
      <c r="AH5">
        <f>IF('Final Calculation Sheet'!$J$5="","",'Final Calculation Sheet'!$J$5)</f>
        <v/>
      </c>
      <c r="AI5">
        <f>AI4+IF(AND(AH5&lt;&gt;"",COUNTIF(AH$4:AH5,AH5)=1),1,0)</f>
        <v/>
      </c>
      <c r="AJ5">
        <f>IF(ROW()-3&gt;MAX(AI$4:AI$40),"",INDEX(AH$4:AH$40,MATCH(ROW()-3,AI$4:AI$40,0)))</f>
        <v/>
      </c>
      <c r="AK5">
        <f>IF('Final Calculation Sheet'!$K$5="","",'Final Calculation Sheet'!$K$5)</f>
        <v/>
      </c>
      <c r="AL5">
        <f>AL4+IF(AND(AK5&lt;&gt;"",COUNTIF(AK$4:AK5,AK5)=1),1,0)</f>
        <v/>
      </c>
      <c r="AM5">
        <f>IF(ROW()-3&gt;MAX(AL$4:AL$40),"",INDEX(AK$4:AK$40,MATCH(ROW()-3,AL$4:AL$40,0)))</f>
        <v/>
      </c>
      <c r="AN5">
        <f>IF('Final Calculation Sheet'!$L$5="","",'Final Calculation Sheet'!$L$5)</f>
        <v/>
      </c>
      <c r="AO5">
        <f>AO4+IF(AND(AN5&lt;&gt;"",COUNTIF(AN$4:AN5,AN5)=1),1,0)</f>
        <v/>
      </c>
      <c r="AP5">
        <f>IF(ROW()-3&gt;MAX(AO$4:AO$40),"",INDEX(AN$4:AN$40,MATCH(ROW()-3,AO$4:AO$40,0)))</f>
        <v/>
      </c>
      <c r="AQ5">
        <f>IF('Final Calculation Sheet'!$M$5="","",'Final Calculation Sheet'!$M$5)</f>
        <v/>
      </c>
      <c r="AR5">
        <f>AR4+IF(AND(AQ5&lt;&gt;"",COUNTIF(AQ$4:AQ5,AQ5)=1),1,0)</f>
        <v/>
      </c>
      <c r="AS5">
        <f>IF(ROW()-3&gt;MAX(AR$4:AR$40),"",INDEX(AQ$4:AQ$40,MATCH(ROW()-3,AR$4:AR$40,0)))</f>
        <v/>
      </c>
      <c r="AT5">
        <f>IF('Final Calculation Sheet'!$N$5="","",'Final Calculation Sheet'!$N$5)</f>
        <v/>
      </c>
      <c r="AU5">
        <f>AU4+IF(AND(AT5&lt;&gt;"",COUNTIF(AT$4:AT5,AT5)=1),1,0)</f>
        <v/>
      </c>
      <c r="AV5">
        <f>IF(ROW()-3&gt;MAX(AU$4:AU$40),"",INDEX(AT$4:AT$40,MATCH(ROW()-3,AU$4:AU$40,0)))</f>
        <v/>
      </c>
      <c r="AW5">
        <f>IF('Final Calculation Sheet'!$O$5="","",'Final Calculation Sheet'!$O$5)</f>
        <v/>
      </c>
      <c r="AX5">
        <f>AX4+IF(AND(AW5&lt;&gt;"",COUNTIF(AW$4:AW5,AW5)=1),1,0)</f>
        <v/>
      </c>
      <c r="AY5">
        <f>IF(ROW()-3&gt;MAX(AX$4:AX$40),"",INDEX(AW$4:AW$40,MATCH(ROW()-3,AX$4:AX$40,0)))</f>
        <v/>
      </c>
      <c r="AZ5">
        <f>IF('Final Calculation Sheet'!$P$5="","",'Final Calculation Sheet'!$P$5)</f>
        <v/>
      </c>
      <c r="BA5">
        <f>BA4+IF(AND(AZ5&lt;&gt;"",COUNTIF(AZ$4:AZ5,AZ5)=1),1,0)</f>
        <v/>
      </c>
      <c r="BB5">
        <f>IF(ROW()-3&gt;MAX(BA$4:BA$40),"",INDEX(AZ$4:AZ$40,MATCH(ROW()-3,BA$4:BA$40,0)))</f>
        <v/>
      </c>
      <c r="BC5">
        <f>IF('Final Calculation Sheet'!$Q$5="","",'Final Calculation Sheet'!$Q$5)</f>
        <v/>
      </c>
      <c r="BD5">
        <f>BD4+IF(AND(BC5&lt;&gt;"",COUNTIF(BC$4:BC5,BC5)=1),1,0)</f>
        <v/>
      </c>
      <c r="BE5">
        <f>IF(ROW()-3&gt;MAX(BD$4:BD$40),"",INDEX(BC$4:BC$40,MATCH(ROW()-3,BD$4:BD$40,0)))</f>
        <v/>
      </c>
      <c r="BF5">
        <f>IF('Final Calculation Sheet'!$R$5="","",'Final Calculation Sheet'!$R$5)</f>
        <v/>
      </c>
      <c r="BG5">
        <f>BG4+IF(AND(BF5&lt;&gt;"",COUNTIF(BF$4:BF5,BF5)=1),1,0)</f>
        <v/>
      </c>
      <c r="BH5">
        <f>IF(ROW()-3&gt;MAX(BG$4:BG$40),"",INDEX(BF$4:BF$40,MATCH(ROW()-3,BG$4:BG$40,0)))</f>
        <v/>
      </c>
      <c r="BI5">
        <f>IF('Final Calculation Sheet'!$S$5="","",'Final Calculation Sheet'!$S$5)</f>
        <v/>
      </c>
      <c r="BJ5">
        <f>BJ4+IF(AND(BI5&lt;&gt;"",COUNTIF(BI$4:BI5,BI5)=1),1,0)</f>
        <v/>
      </c>
      <c r="BK5">
        <f>IF(ROW()-3&gt;MAX(BJ$4:BJ$40),"",INDEX(BI$4:BI$40,MATCH(ROW()-3,BJ$4:BJ$40,0)))</f>
        <v/>
      </c>
      <c r="BL5">
        <f>IF('Final Calculation Sheet'!$T$5="","",'Final Calculation Sheet'!$T$5)</f>
        <v/>
      </c>
      <c r="BM5">
        <f>BM4+IF(AND(BL5&lt;&gt;"",COUNTIF(BL$4:BL5,BL5)=1),1,0)</f>
        <v/>
      </c>
      <c r="BN5">
        <f>IF(ROW()-3&gt;MAX(BM$4:BM$40),"",INDEX(BL$4:BL$40,MATCH(ROW()-3,BM$4:BM$40,0)))</f>
        <v/>
      </c>
      <c r="BO5">
        <f>IF('Final Calculation Sheet'!$U$5="","",'Final Calculation Sheet'!$U$5)</f>
        <v/>
      </c>
      <c r="BP5">
        <f>BP4+IF(AND(BO5&lt;&gt;"",COUNTIF(BO$4:BO5,BO5)=1),1,0)</f>
        <v/>
      </c>
      <c r="BQ5">
        <f>IF(ROW()-3&gt;MAX(BP$4:BP$40),"",INDEX(BO$4:BO$40,MATCH(ROW()-3,BP$4:BP$40,0)))</f>
        <v/>
      </c>
      <c r="BR5">
        <f>IF('Final Calculation Sheet'!$V$5="","",'Final Calculation Sheet'!$V$5)</f>
        <v/>
      </c>
      <c r="BS5">
        <f>BS4+IF(AND(BR5&lt;&gt;"",COUNTIF(BR$4:BR5,BR5)=1),1,0)</f>
        <v/>
      </c>
      <c r="BT5">
        <f>IF(ROW()-3&gt;MAX(BS$4:BS$40),"",INDEX(BR$4:BR$40,MATCH(ROW()-3,BS$4:BS$40,0)))</f>
        <v/>
      </c>
      <c r="BU5">
        <f>IF('Final Calculation Sheet'!$W$5="","",'Final Calculation Sheet'!$W$5)</f>
        <v/>
      </c>
      <c r="BV5">
        <f>BV4+IF(AND(BU5&lt;&gt;"",COUNTIF(BU$4:BU5,BU5)=1),1,0)</f>
        <v/>
      </c>
      <c r="BW5">
        <f>IF(ROW()-3&gt;MAX(BV$4:BV$40),"",INDEX(BU$4:BU$40,MATCH(ROW()-3,BV$4:BV$40,0)))</f>
        <v/>
      </c>
      <c r="BX5">
        <f>IF('Final Calculation Sheet'!$X$5="","",'Final Calculation Sheet'!$X$5)</f>
        <v/>
      </c>
      <c r="BY5">
        <f>BY4+IF(AND(BX5&lt;&gt;"",COUNTIF(BX$4:BX5,BX5)=1),1,0)</f>
        <v/>
      </c>
      <c r="BZ5">
        <f>IF(ROW()-3&gt;MAX(BY$4:BY$40),"",INDEX(BX$4:BX$40,MATCH(ROW()-3,BY$4:BY$40,0)))</f>
        <v/>
      </c>
      <c r="CA5">
        <f>IF('Final Calculation Sheet'!$Y$5="","",'Final Calculation Sheet'!$Y$5)</f>
        <v/>
      </c>
      <c r="CB5">
        <f>CB4+IF(AND(CA5&lt;&gt;"",COUNTIF(CA$4:CA5,CA5)=1),1,0)</f>
        <v/>
      </c>
      <c r="CC5">
        <f>IF(ROW()-3&gt;MAX(CB$4:CB$40),"",INDEX(CA$4:CA$40,MATCH(ROW()-3,CB$4:CB$40,0)))</f>
        <v/>
      </c>
      <c r="CD5">
        <f>IF('Final Calculation Sheet'!$Z$5="","",'Final Calculation Sheet'!$Z$5)</f>
        <v/>
      </c>
      <c r="CE5">
        <f>CE4+IF(AND(CD5&lt;&gt;"",COUNTIF(CD$4:CD5,CD5)=1),1,0)</f>
        <v/>
      </c>
      <c r="CF5">
        <f>IF(ROW()-3&gt;MAX(CE$4:CE$40),"",INDEX(CD$4:CD$40,MATCH(ROW()-3,CE$4:CE$40,0)))</f>
        <v/>
      </c>
      <c r="CG5">
        <f>IF('Final Calculation Sheet'!$AA$5="","",'Final Calculation Sheet'!$AA$5)</f>
        <v/>
      </c>
      <c r="CH5">
        <f>CH4+IF(AND(CG5&lt;&gt;"",COUNTIF(CG$4:CG5,CG5)=1),1,0)</f>
        <v/>
      </c>
      <c r="CI5">
        <f>IF(ROW()-3&gt;MAX(CH$4:CH$40),"",INDEX(CG$4:CG$40,MATCH(ROW()-3,CH$4:CH$40,0)))</f>
        <v/>
      </c>
      <c r="CJ5">
        <f>IF('Final Calculation Sheet'!$AB$5="","",'Final Calculation Sheet'!$AB$5)</f>
        <v/>
      </c>
      <c r="CK5">
        <f>CK4+IF(AND(CJ5&lt;&gt;"",COUNTIF(CJ$4:CJ5,CJ5)=1),1,0)</f>
        <v/>
      </c>
      <c r="CL5">
        <f>IF(ROW()-3&gt;MAX(CK$4:CK$40),"",INDEX(CJ$4:CJ$40,MATCH(ROW()-3,CK$4:CK$40,0)))</f>
        <v/>
      </c>
      <c r="CM5">
        <f>IF('Final Calculation Sheet'!$AC$5="","",'Final Calculation Sheet'!$AC$5)</f>
        <v/>
      </c>
      <c r="CN5">
        <f>CN4+IF(AND(CM5&lt;&gt;"",COUNTIF(CM$4:CM5,CM5)=1),1,0)</f>
        <v/>
      </c>
      <c r="CO5">
        <f>IF(ROW()-3&gt;MAX(CN$4:CN$40),"",INDEX(CM$4:CM$40,MATCH(ROW()-3,CN$4:CN$40,0)))</f>
        <v/>
      </c>
      <c r="CP5">
        <f>IF('Final Calculation Sheet'!$AD$5="","",'Final Calculation Sheet'!$AD$5)</f>
        <v/>
      </c>
      <c r="CQ5">
        <f>CQ4+IF(AND(CP5&lt;&gt;"",COUNTIF(CP$4:CP5,CP5)=1),1,0)</f>
        <v/>
      </c>
      <c r="CR5">
        <f>IF(ROW()-3&gt;MAX(CQ$4:CQ$40),"",INDEX(CP$4:CP$40,MATCH(ROW()-3,CQ$4:CQ$40,0)))</f>
        <v/>
      </c>
      <c r="CS5">
        <f>IF('Final Calculation Sheet'!$AE$5="","",'Final Calculation Sheet'!$AE$5)</f>
        <v/>
      </c>
      <c r="CT5">
        <f>CT4+IF(AND(CS5&lt;&gt;"",COUNTIF(CS$4:CS5,CS5)=1),1,0)</f>
        <v/>
      </c>
      <c r="CU5">
        <f>IF(ROW()-3&gt;MAX(CT$4:CT$40),"",INDEX(CS$4:CS$40,MATCH(ROW()-3,CT$4:CT$40,0)))</f>
        <v/>
      </c>
      <c r="CV5">
        <f>IF('Final Calculation Sheet'!$AF$5="","",'Final Calculation Sheet'!$AF$5)</f>
        <v/>
      </c>
      <c r="CW5">
        <f>CW4+IF(AND(CV5&lt;&gt;"",COUNTIF(CV$4:CV5,CV5)=1),1,0)</f>
        <v/>
      </c>
      <c r="CX5">
        <f>IF(ROW()-3&gt;MAX(CW$4:CW$40),"",INDEX(CV$4:CV$40,MATCH(ROW()-3,CW$4:CW$40,0)))</f>
        <v/>
      </c>
      <c r="CY5">
        <f>IF('Final Calculation Sheet'!$AG$5="","",'Final Calculation Sheet'!$AG$5)</f>
        <v/>
      </c>
      <c r="CZ5">
        <f>CZ4+IF(AND(CY5&lt;&gt;"",COUNTIF(CY$4:CY5,CY5)=1),1,0)</f>
        <v/>
      </c>
      <c r="DA5">
        <f>IF(ROW()-3&gt;MAX(CZ$4:CZ$40),"",INDEX(CY$4:CY$40,MATCH(ROW()-3,CZ$4:CZ$40,0)))</f>
        <v/>
      </c>
      <c r="DB5" t="inlineStr">
        <is>
          <t>OUTSTANDING</t>
        </is>
      </c>
      <c r="DC5">
        <f>DC4+IF(AND(DB5&lt;&gt;"",COUNTIF(DB$4:DB5,DB5)=1),1,0)</f>
        <v/>
      </c>
      <c r="DD5">
        <f>IF(ROW()-3&gt;MAX(DC$4:DC$40),"",INDEX(DB$4:DB$40,MATCH(ROW()-3,DC$4:DC$40,0)))</f>
        <v/>
      </c>
    </row>
    <row r="6">
      <c r="A6">
        <f>IF('Final Calculation Sheet'!$F$6="","",'Final Calculation Sheet'!$F$6)</f>
        <v/>
      </c>
      <c r="B6">
        <f>B5+IF(AND(A6&lt;&gt;"",COUNTIF(A$4:A6,A6)=1),1,0)</f>
        <v/>
      </c>
      <c r="C6">
        <f>IF(ROW()-3&gt;MAX(B$4:B$114),"",INDEX(A$4:A$114,MATCH(ROW()-3,B$4:B$114,0)))</f>
        <v/>
      </c>
      <c r="D6">
        <f>ROW()-3</f>
        <v/>
      </c>
      <c r="E6">
        <f>E5+IF(AND(D6&lt;&gt;"",COUNTIF(D$4:D6,D6)=1),1,0)</f>
        <v/>
      </c>
      <c r="F6">
        <f>IF(ROW()-3&gt;MAX(E$4:E$40),"",INDEX(D$4:D$40,MATCH(ROW()-3,E$4:E$40,0)))</f>
        <v/>
      </c>
      <c r="G6">
        <f>IF('Final Calculation Sheet'!$F$6="","",'Final Calculation Sheet'!$F$6)</f>
        <v/>
      </c>
      <c r="H6">
        <f>H5+IF(AND(G6&lt;&gt;"",COUNTIF(G$4:G6,G6)=1),1,0)</f>
        <v/>
      </c>
      <c r="I6">
        <f>IF(ROW()-3&gt;MAX(H$4:H$40),"",INDEX(G$4:G$40,MATCH(ROW()-3,H$4:H$40,0)))</f>
        <v/>
      </c>
      <c r="J6">
        <f>IF('Final Calculation Sheet'!$G$6="","",'Final Calculation Sheet'!$G$6)</f>
        <v/>
      </c>
      <c r="K6">
        <f>K5+IF(AND(J6&lt;&gt;"",COUNTIF(J$4:J6,J6)=1),1,0)</f>
        <v/>
      </c>
      <c r="L6">
        <f>IF(ROW()-3&gt;MAX(K$4:K$40),"",INDEX(J$4:J$40,MATCH(ROW()-3,K$4:K$40,0)))</f>
        <v/>
      </c>
      <c r="M6">
        <f>IF('Final Calculation Sheet'!$B$6="","",'Final Calculation Sheet'!$B$6)</f>
        <v/>
      </c>
      <c r="N6">
        <f>N5+IF(AND(M6&lt;&gt;"",COUNTIF(M$4:M6,M6)=1),1,0)</f>
        <v/>
      </c>
      <c r="O6">
        <f>IF(ROW()-3&gt;MAX(N$4:N$40),"",INDEX(M$4:M$40,MATCH(ROW()-3,N$4:N$40,0)))</f>
        <v/>
      </c>
      <c r="P6">
        <f>IF('Final Calculation Sheet'!$D$6="","",'Final Calculation Sheet'!$D$6)</f>
        <v/>
      </c>
      <c r="Q6">
        <f>Q5+IF(AND(P6&lt;&gt;"",COUNTIF(P$4:P6,P6)=1),1,0)</f>
        <v/>
      </c>
      <c r="R6">
        <f>IF(ROW()-3&gt;MAX(Q$4:Q$40),"",INDEX(P$4:P$40,MATCH(ROW()-3,Q$4:Q$40,0)))</f>
        <v/>
      </c>
      <c r="S6">
        <f>IF('Final Calculation Sheet'!$A$6="","",'Final Calculation Sheet'!$A$6)</f>
        <v/>
      </c>
      <c r="T6">
        <f>T5+IF(AND(S6&lt;&gt;"",COUNTIF(S$4:S6,S6)=1),1,0)</f>
        <v/>
      </c>
      <c r="U6">
        <f>IF(ROW()-3&gt;MAX(T$4:T$40),"",INDEX(S$4:S$40,MATCH(ROW()-3,T$4:T$40,0)))</f>
        <v/>
      </c>
      <c r="V6">
        <f>IF('Final Calculation Sheet'!$E$6="","",'Final Calculation Sheet'!$E$6)</f>
        <v/>
      </c>
      <c r="W6">
        <f>W5+IF(AND(V6&lt;&gt;"",COUNTIF(V$4:V6,V6)=1),1,0)</f>
        <v/>
      </c>
      <c r="X6">
        <f>IF(ROW()-3&gt;MAX(W$4:W$40),"",INDEX(V$4:V$40,MATCH(ROW()-3,W$4:W$40,0)))</f>
        <v/>
      </c>
      <c r="Y6">
        <f>IF('Final Calculation Sheet'!$C$6="","",'Final Calculation Sheet'!$C$6)</f>
        <v/>
      </c>
      <c r="Z6">
        <f>Z5+IF(AND(Y6&lt;&gt;"",COUNTIF(Y$4:Y6,Y6)=1),1,0)</f>
        <v/>
      </c>
      <c r="AA6">
        <f>IF(ROW()-3&gt;MAX(Z$4:Z$40),"",INDEX(Y$4:Y$40,MATCH(ROW()-3,Z$4:Z$40,0)))</f>
        <v/>
      </c>
      <c r="AB6">
        <f>IF('Final Calculation Sheet'!$H$6="","",'Final Calculation Sheet'!$H$6)</f>
        <v/>
      </c>
      <c r="AC6">
        <f>AC5+IF(AND(AB6&lt;&gt;"",COUNTIF(AB$4:AB6,AB6)=1),1,0)</f>
        <v/>
      </c>
      <c r="AD6">
        <f>IF(ROW()-3&gt;MAX(AC$4:AC$40),"",INDEX(AB$4:AB$40,MATCH(ROW()-3,AC$4:AC$40,0)))</f>
        <v/>
      </c>
      <c r="AE6">
        <f>IF('Final Calculation Sheet'!$I$6="","",'Final Calculation Sheet'!$I$6)</f>
        <v/>
      </c>
      <c r="AF6">
        <f>AF5+IF(AND(AE6&lt;&gt;"",COUNTIF(AE$4:AE6,AE6)=1),1,0)</f>
        <v/>
      </c>
      <c r="AG6">
        <f>IF(ROW()-3&gt;MAX(AF$4:AF$40),"",INDEX(AE$4:AE$40,MATCH(ROW()-3,AF$4:AF$40,0)))</f>
        <v/>
      </c>
      <c r="AH6">
        <f>IF('Final Calculation Sheet'!$J$6="","",'Final Calculation Sheet'!$J$6)</f>
        <v/>
      </c>
      <c r="AI6">
        <f>AI5+IF(AND(AH6&lt;&gt;"",COUNTIF(AH$4:AH6,AH6)=1),1,0)</f>
        <v/>
      </c>
      <c r="AJ6">
        <f>IF(ROW()-3&gt;MAX(AI$4:AI$40),"",INDEX(AH$4:AH$40,MATCH(ROW()-3,AI$4:AI$40,0)))</f>
        <v/>
      </c>
      <c r="AK6">
        <f>IF('Final Calculation Sheet'!$K$6="","",'Final Calculation Sheet'!$K$6)</f>
        <v/>
      </c>
      <c r="AL6">
        <f>AL5+IF(AND(AK6&lt;&gt;"",COUNTIF(AK$4:AK6,AK6)=1),1,0)</f>
        <v/>
      </c>
      <c r="AM6">
        <f>IF(ROW()-3&gt;MAX(AL$4:AL$40),"",INDEX(AK$4:AK$40,MATCH(ROW()-3,AL$4:AL$40,0)))</f>
        <v/>
      </c>
      <c r="AN6">
        <f>IF('Final Calculation Sheet'!$L$6="","",'Final Calculation Sheet'!$L$6)</f>
        <v/>
      </c>
      <c r="AO6">
        <f>AO5+IF(AND(AN6&lt;&gt;"",COUNTIF(AN$4:AN6,AN6)=1),1,0)</f>
        <v/>
      </c>
      <c r="AP6">
        <f>IF(ROW()-3&gt;MAX(AO$4:AO$40),"",INDEX(AN$4:AN$40,MATCH(ROW()-3,AO$4:AO$40,0)))</f>
        <v/>
      </c>
      <c r="AQ6">
        <f>IF('Final Calculation Sheet'!$M$6="","",'Final Calculation Sheet'!$M$6)</f>
        <v/>
      </c>
      <c r="AR6">
        <f>AR5+IF(AND(AQ6&lt;&gt;"",COUNTIF(AQ$4:AQ6,AQ6)=1),1,0)</f>
        <v/>
      </c>
      <c r="AS6">
        <f>IF(ROW()-3&gt;MAX(AR$4:AR$40),"",INDEX(AQ$4:AQ$40,MATCH(ROW()-3,AR$4:AR$40,0)))</f>
        <v/>
      </c>
      <c r="AT6">
        <f>IF('Final Calculation Sheet'!$N$6="","",'Final Calculation Sheet'!$N$6)</f>
        <v/>
      </c>
      <c r="AU6">
        <f>AU5+IF(AND(AT6&lt;&gt;"",COUNTIF(AT$4:AT6,AT6)=1),1,0)</f>
        <v/>
      </c>
      <c r="AV6">
        <f>IF(ROW()-3&gt;MAX(AU$4:AU$40),"",INDEX(AT$4:AT$40,MATCH(ROW()-3,AU$4:AU$40,0)))</f>
        <v/>
      </c>
      <c r="AW6">
        <f>IF('Final Calculation Sheet'!$O$6="","",'Final Calculation Sheet'!$O$6)</f>
        <v/>
      </c>
      <c r="AX6">
        <f>AX5+IF(AND(AW6&lt;&gt;"",COUNTIF(AW$4:AW6,AW6)=1),1,0)</f>
        <v/>
      </c>
      <c r="AY6">
        <f>IF(ROW()-3&gt;MAX(AX$4:AX$40),"",INDEX(AW$4:AW$40,MATCH(ROW()-3,AX$4:AX$40,0)))</f>
        <v/>
      </c>
      <c r="AZ6">
        <f>IF('Final Calculation Sheet'!$P$6="","",'Final Calculation Sheet'!$P$6)</f>
        <v/>
      </c>
      <c r="BA6">
        <f>BA5+IF(AND(AZ6&lt;&gt;"",COUNTIF(AZ$4:AZ6,AZ6)=1),1,0)</f>
        <v/>
      </c>
      <c r="BB6">
        <f>IF(ROW()-3&gt;MAX(BA$4:BA$40),"",INDEX(AZ$4:AZ$40,MATCH(ROW()-3,BA$4:BA$40,0)))</f>
        <v/>
      </c>
      <c r="BC6">
        <f>IF('Final Calculation Sheet'!$Q$6="","",'Final Calculation Sheet'!$Q$6)</f>
        <v/>
      </c>
      <c r="BD6">
        <f>BD5+IF(AND(BC6&lt;&gt;"",COUNTIF(BC$4:BC6,BC6)=1),1,0)</f>
        <v/>
      </c>
      <c r="BE6">
        <f>IF(ROW()-3&gt;MAX(BD$4:BD$40),"",INDEX(BC$4:BC$40,MATCH(ROW()-3,BD$4:BD$40,0)))</f>
        <v/>
      </c>
      <c r="BF6">
        <f>IF('Final Calculation Sheet'!$R$6="","",'Final Calculation Sheet'!$R$6)</f>
        <v/>
      </c>
      <c r="BG6">
        <f>BG5+IF(AND(BF6&lt;&gt;"",COUNTIF(BF$4:BF6,BF6)=1),1,0)</f>
        <v/>
      </c>
      <c r="BH6">
        <f>IF(ROW()-3&gt;MAX(BG$4:BG$40),"",INDEX(BF$4:BF$40,MATCH(ROW()-3,BG$4:BG$40,0)))</f>
        <v/>
      </c>
      <c r="BI6">
        <f>IF('Final Calculation Sheet'!$S$6="","",'Final Calculation Sheet'!$S$6)</f>
        <v/>
      </c>
      <c r="BJ6">
        <f>BJ5+IF(AND(BI6&lt;&gt;"",COUNTIF(BI$4:BI6,BI6)=1),1,0)</f>
        <v/>
      </c>
      <c r="BK6">
        <f>IF(ROW()-3&gt;MAX(BJ$4:BJ$40),"",INDEX(BI$4:BI$40,MATCH(ROW()-3,BJ$4:BJ$40,0)))</f>
        <v/>
      </c>
      <c r="BL6">
        <f>IF('Final Calculation Sheet'!$T$6="","",'Final Calculation Sheet'!$T$6)</f>
        <v/>
      </c>
      <c r="BM6">
        <f>BM5+IF(AND(BL6&lt;&gt;"",COUNTIF(BL$4:BL6,BL6)=1),1,0)</f>
        <v/>
      </c>
      <c r="BN6">
        <f>IF(ROW()-3&gt;MAX(BM$4:BM$40),"",INDEX(BL$4:BL$40,MATCH(ROW()-3,BM$4:BM$40,0)))</f>
        <v/>
      </c>
      <c r="BO6">
        <f>IF('Final Calculation Sheet'!$U$6="","",'Final Calculation Sheet'!$U$6)</f>
        <v/>
      </c>
      <c r="BP6">
        <f>BP5+IF(AND(BO6&lt;&gt;"",COUNTIF(BO$4:BO6,BO6)=1),1,0)</f>
        <v/>
      </c>
      <c r="BQ6">
        <f>IF(ROW()-3&gt;MAX(BP$4:BP$40),"",INDEX(BO$4:BO$40,MATCH(ROW()-3,BP$4:BP$40,0)))</f>
        <v/>
      </c>
      <c r="BR6">
        <f>IF('Final Calculation Sheet'!$V$6="","",'Final Calculation Sheet'!$V$6)</f>
        <v/>
      </c>
      <c r="BS6">
        <f>BS5+IF(AND(BR6&lt;&gt;"",COUNTIF(BR$4:BR6,BR6)=1),1,0)</f>
        <v/>
      </c>
      <c r="BT6">
        <f>IF(ROW()-3&gt;MAX(BS$4:BS$40),"",INDEX(BR$4:BR$40,MATCH(ROW()-3,BS$4:BS$40,0)))</f>
        <v/>
      </c>
      <c r="BU6">
        <f>IF('Final Calculation Sheet'!$W$6="","",'Final Calculation Sheet'!$W$6)</f>
        <v/>
      </c>
      <c r="BV6">
        <f>BV5+IF(AND(BU6&lt;&gt;"",COUNTIF(BU$4:BU6,BU6)=1),1,0)</f>
        <v/>
      </c>
      <c r="BW6">
        <f>IF(ROW()-3&gt;MAX(BV$4:BV$40),"",INDEX(BU$4:BU$40,MATCH(ROW()-3,BV$4:BV$40,0)))</f>
        <v/>
      </c>
      <c r="BX6">
        <f>IF('Final Calculation Sheet'!$X$6="","",'Final Calculation Sheet'!$X$6)</f>
        <v/>
      </c>
      <c r="BY6">
        <f>BY5+IF(AND(BX6&lt;&gt;"",COUNTIF(BX$4:BX6,BX6)=1),1,0)</f>
        <v/>
      </c>
      <c r="BZ6">
        <f>IF(ROW()-3&gt;MAX(BY$4:BY$40),"",INDEX(BX$4:BX$40,MATCH(ROW()-3,BY$4:BY$40,0)))</f>
        <v/>
      </c>
      <c r="CA6">
        <f>IF('Final Calculation Sheet'!$Y$6="","",'Final Calculation Sheet'!$Y$6)</f>
        <v/>
      </c>
      <c r="CB6">
        <f>CB5+IF(AND(CA6&lt;&gt;"",COUNTIF(CA$4:CA6,CA6)=1),1,0)</f>
        <v/>
      </c>
      <c r="CC6">
        <f>IF(ROW()-3&gt;MAX(CB$4:CB$40),"",INDEX(CA$4:CA$40,MATCH(ROW()-3,CB$4:CB$40,0)))</f>
        <v/>
      </c>
      <c r="CD6">
        <f>IF('Final Calculation Sheet'!$Z$6="","",'Final Calculation Sheet'!$Z$6)</f>
        <v/>
      </c>
      <c r="CE6">
        <f>CE5+IF(AND(CD6&lt;&gt;"",COUNTIF(CD$4:CD6,CD6)=1),1,0)</f>
        <v/>
      </c>
      <c r="CF6">
        <f>IF(ROW()-3&gt;MAX(CE$4:CE$40),"",INDEX(CD$4:CD$40,MATCH(ROW()-3,CE$4:CE$40,0)))</f>
        <v/>
      </c>
      <c r="CG6">
        <f>IF('Final Calculation Sheet'!$AA$6="","",'Final Calculation Sheet'!$AA$6)</f>
        <v/>
      </c>
      <c r="CH6">
        <f>CH5+IF(AND(CG6&lt;&gt;"",COUNTIF(CG$4:CG6,CG6)=1),1,0)</f>
        <v/>
      </c>
      <c r="CI6">
        <f>IF(ROW()-3&gt;MAX(CH$4:CH$40),"",INDEX(CG$4:CG$40,MATCH(ROW()-3,CH$4:CH$40,0)))</f>
        <v/>
      </c>
      <c r="CJ6">
        <f>IF('Final Calculation Sheet'!$AB$6="","",'Final Calculation Sheet'!$AB$6)</f>
        <v/>
      </c>
      <c r="CK6">
        <f>CK5+IF(AND(CJ6&lt;&gt;"",COUNTIF(CJ$4:CJ6,CJ6)=1),1,0)</f>
        <v/>
      </c>
      <c r="CL6">
        <f>IF(ROW()-3&gt;MAX(CK$4:CK$40),"",INDEX(CJ$4:CJ$40,MATCH(ROW()-3,CK$4:CK$40,0)))</f>
        <v/>
      </c>
      <c r="CM6">
        <f>IF('Final Calculation Sheet'!$AC$6="","",'Final Calculation Sheet'!$AC$6)</f>
        <v/>
      </c>
      <c r="CN6">
        <f>CN5+IF(AND(CM6&lt;&gt;"",COUNTIF(CM$4:CM6,CM6)=1),1,0)</f>
        <v/>
      </c>
      <c r="CO6">
        <f>IF(ROW()-3&gt;MAX(CN$4:CN$40),"",INDEX(CM$4:CM$40,MATCH(ROW()-3,CN$4:CN$40,0)))</f>
        <v/>
      </c>
      <c r="CP6">
        <f>IF('Final Calculation Sheet'!$AD$6="","",'Final Calculation Sheet'!$AD$6)</f>
        <v/>
      </c>
      <c r="CQ6">
        <f>CQ5+IF(AND(CP6&lt;&gt;"",COUNTIF(CP$4:CP6,CP6)=1),1,0)</f>
        <v/>
      </c>
      <c r="CR6">
        <f>IF(ROW()-3&gt;MAX(CQ$4:CQ$40),"",INDEX(CP$4:CP$40,MATCH(ROW()-3,CQ$4:CQ$40,0)))</f>
        <v/>
      </c>
      <c r="CS6">
        <f>IF('Final Calculation Sheet'!$AE$6="","",'Final Calculation Sheet'!$AE$6)</f>
        <v/>
      </c>
      <c r="CT6">
        <f>CT5+IF(AND(CS6&lt;&gt;"",COUNTIF(CS$4:CS6,CS6)=1),1,0)</f>
        <v/>
      </c>
      <c r="CU6">
        <f>IF(ROW()-3&gt;MAX(CT$4:CT$40),"",INDEX(CS$4:CS$40,MATCH(ROW()-3,CT$4:CT$40,0)))</f>
        <v/>
      </c>
      <c r="CV6">
        <f>IF('Final Calculation Sheet'!$AF$6="","",'Final Calculation Sheet'!$AF$6)</f>
        <v/>
      </c>
      <c r="CW6">
        <f>CW5+IF(AND(CV6&lt;&gt;"",COUNTIF(CV$4:CV6,CV6)=1),1,0)</f>
        <v/>
      </c>
      <c r="CX6">
        <f>IF(ROW()-3&gt;MAX(CW$4:CW$40),"",INDEX(CV$4:CV$40,MATCH(ROW()-3,CW$4:CW$40,0)))</f>
        <v/>
      </c>
      <c r="CY6">
        <f>IF('Final Calculation Sheet'!$AG$6="","",'Final Calculation Sheet'!$AG$6)</f>
        <v/>
      </c>
      <c r="CZ6">
        <f>CZ5+IF(AND(CY6&lt;&gt;"",COUNTIF(CY$4:CY6,CY6)=1),1,0)</f>
        <v/>
      </c>
      <c r="DA6">
        <f>IF(ROW()-3&gt;MAX(CZ$4:CZ$40),"",INDEX(CY$4:CY$40,MATCH(ROW()-3,CZ$4:CZ$40,0)))</f>
        <v/>
      </c>
      <c r="DC6">
        <f>DC5+IF(AND(DB6&lt;&gt;"",COUNTIF(DB$4:DB6,DB6)=1),1,0)</f>
        <v/>
      </c>
      <c r="DD6">
        <f>IF(ROW()-3&gt;MAX(DC$4:DC$40),"",INDEX(DB$4:DB$40,MATCH(ROW()-3,DC$4:DC$40,0)))</f>
        <v/>
      </c>
    </row>
    <row r="7">
      <c r="A7">
        <f>IF('Final Calculation Sheet'!$F$7="","",'Final Calculation Sheet'!$F$7)</f>
        <v/>
      </c>
      <c r="B7">
        <f>B6+IF(AND(A7&lt;&gt;"",COUNTIF(A$4:A7,A7)=1),1,0)</f>
        <v/>
      </c>
      <c r="C7">
        <f>IF(ROW()-3&gt;MAX(B$4:B$114),"",INDEX(A$4:A$114,MATCH(ROW()-3,B$4:B$114,0)))</f>
        <v/>
      </c>
      <c r="D7">
        <f>ROW()-3</f>
        <v/>
      </c>
      <c r="E7">
        <f>E6+IF(AND(D7&lt;&gt;"",COUNTIF(D$4:D7,D7)=1),1,0)</f>
        <v/>
      </c>
      <c r="F7">
        <f>IF(ROW()-3&gt;MAX(E$4:E$40),"",INDEX(D$4:D$40,MATCH(ROW()-3,E$4:E$40,0)))</f>
        <v/>
      </c>
      <c r="G7">
        <f>IF('Final Calculation Sheet'!$F$7="","",'Final Calculation Sheet'!$F$7)</f>
        <v/>
      </c>
      <c r="H7">
        <f>H6+IF(AND(G7&lt;&gt;"",COUNTIF(G$4:G7,G7)=1),1,0)</f>
        <v/>
      </c>
      <c r="I7">
        <f>IF(ROW()-3&gt;MAX(H$4:H$40),"",INDEX(G$4:G$40,MATCH(ROW()-3,H$4:H$40,0)))</f>
        <v/>
      </c>
      <c r="J7">
        <f>IF('Final Calculation Sheet'!$G$7="","",'Final Calculation Sheet'!$G$7)</f>
        <v/>
      </c>
      <c r="K7">
        <f>K6+IF(AND(J7&lt;&gt;"",COUNTIF(J$4:J7,J7)=1),1,0)</f>
        <v/>
      </c>
      <c r="L7">
        <f>IF(ROW()-3&gt;MAX(K$4:K$40),"",INDEX(J$4:J$40,MATCH(ROW()-3,K$4:K$40,0)))</f>
        <v/>
      </c>
      <c r="M7">
        <f>IF('Final Calculation Sheet'!$B$7="","",'Final Calculation Sheet'!$B$7)</f>
        <v/>
      </c>
      <c r="N7">
        <f>N6+IF(AND(M7&lt;&gt;"",COUNTIF(M$4:M7,M7)=1),1,0)</f>
        <v/>
      </c>
      <c r="O7">
        <f>IF(ROW()-3&gt;MAX(N$4:N$40),"",INDEX(M$4:M$40,MATCH(ROW()-3,N$4:N$40,0)))</f>
        <v/>
      </c>
      <c r="P7">
        <f>IF('Final Calculation Sheet'!$D$7="","",'Final Calculation Sheet'!$D$7)</f>
        <v/>
      </c>
      <c r="Q7">
        <f>Q6+IF(AND(P7&lt;&gt;"",COUNTIF(P$4:P7,P7)=1),1,0)</f>
        <v/>
      </c>
      <c r="R7">
        <f>IF(ROW()-3&gt;MAX(Q$4:Q$40),"",INDEX(P$4:P$40,MATCH(ROW()-3,Q$4:Q$40,0)))</f>
        <v/>
      </c>
      <c r="S7">
        <f>IF('Final Calculation Sheet'!$A$7="","",'Final Calculation Sheet'!$A$7)</f>
        <v/>
      </c>
      <c r="T7">
        <f>T6+IF(AND(S7&lt;&gt;"",COUNTIF(S$4:S7,S7)=1),1,0)</f>
        <v/>
      </c>
      <c r="U7">
        <f>IF(ROW()-3&gt;MAX(T$4:T$40),"",INDEX(S$4:S$40,MATCH(ROW()-3,T$4:T$40,0)))</f>
        <v/>
      </c>
      <c r="V7">
        <f>IF('Final Calculation Sheet'!$E$7="","",'Final Calculation Sheet'!$E$7)</f>
        <v/>
      </c>
      <c r="W7">
        <f>W6+IF(AND(V7&lt;&gt;"",COUNTIF(V$4:V7,V7)=1),1,0)</f>
        <v/>
      </c>
      <c r="X7">
        <f>IF(ROW()-3&gt;MAX(W$4:W$40),"",INDEX(V$4:V$40,MATCH(ROW()-3,W$4:W$40,0)))</f>
        <v/>
      </c>
      <c r="Y7">
        <f>IF('Final Calculation Sheet'!$C$7="","",'Final Calculation Sheet'!$C$7)</f>
        <v/>
      </c>
      <c r="Z7">
        <f>Z6+IF(AND(Y7&lt;&gt;"",COUNTIF(Y$4:Y7,Y7)=1),1,0)</f>
        <v/>
      </c>
      <c r="AA7">
        <f>IF(ROW()-3&gt;MAX(Z$4:Z$40),"",INDEX(Y$4:Y$40,MATCH(ROW()-3,Z$4:Z$40,0)))</f>
        <v/>
      </c>
      <c r="AB7">
        <f>IF('Final Calculation Sheet'!$H$7="","",'Final Calculation Sheet'!$H$7)</f>
        <v/>
      </c>
      <c r="AC7">
        <f>AC6+IF(AND(AB7&lt;&gt;"",COUNTIF(AB$4:AB7,AB7)=1),1,0)</f>
        <v/>
      </c>
      <c r="AD7">
        <f>IF(ROW()-3&gt;MAX(AC$4:AC$40),"",INDEX(AB$4:AB$40,MATCH(ROW()-3,AC$4:AC$40,0)))</f>
        <v/>
      </c>
      <c r="AE7">
        <f>IF('Final Calculation Sheet'!$I$7="","",'Final Calculation Sheet'!$I$7)</f>
        <v/>
      </c>
      <c r="AF7">
        <f>AF6+IF(AND(AE7&lt;&gt;"",COUNTIF(AE$4:AE7,AE7)=1),1,0)</f>
        <v/>
      </c>
      <c r="AG7">
        <f>IF(ROW()-3&gt;MAX(AF$4:AF$40),"",INDEX(AE$4:AE$40,MATCH(ROW()-3,AF$4:AF$40,0)))</f>
        <v/>
      </c>
      <c r="AH7">
        <f>IF('Final Calculation Sheet'!$J$7="","",'Final Calculation Sheet'!$J$7)</f>
        <v/>
      </c>
      <c r="AI7">
        <f>AI6+IF(AND(AH7&lt;&gt;"",COUNTIF(AH$4:AH7,AH7)=1),1,0)</f>
        <v/>
      </c>
      <c r="AJ7">
        <f>IF(ROW()-3&gt;MAX(AI$4:AI$40),"",INDEX(AH$4:AH$40,MATCH(ROW()-3,AI$4:AI$40,0)))</f>
        <v/>
      </c>
      <c r="AK7">
        <f>IF('Final Calculation Sheet'!$K$7="","",'Final Calculation Sheet'!$K$7)</f>
        <v/>
      </c>
      <c r="AL7">
        <f>AL6+IF(AND(AK7&lt;&gt;"",COUNTIF(AK$4:AK7,AK7)=1),1,0)</f>
        <v/>
      </c>
      <c r="AM7">
        <f>IF(ROW()-3&gt;MAX(AL$4:AL$40),"",INDEX(AK$4:AK$40,MATCH(ROW()-3,AL$4:AL$40,0)))</f>
        <v/>
      </c>
      <c r="AN7">
        <f>IF('Final Calculation Sheet'!$L$7="","",'Final Calculation Sheet'!$L$7)</f>
        <v/>
      </c>
      <c r="AO7">
        <f>AO6+IF(AND(AN7&lt;&gt;"",COUNTIF(AN$4:AN7,AN7)=1),1,0)</f>
        <v/>
      </c>
      <c r="AP7">
        <f>IF(ROW()-3&gt;MAX(AO$4:AO$40),"",INDEX(AN$4:AN$40,MATCH(ROW()-3,AO$4:AO$40,0)))</f>
        <v/>
      </c>
      <c r="AQ7">
        <f>IF('Final Calculation Sheet'!$M$7="","",'Final Calculation Sheet'!$M$7)</f>
        <v/>
      </c>
      <c r="AR7">
        <f>AR6+IF(AND(AQ7&lt;&gt;"",COUNTIF(AQ$4:AQ7,AQ7)=1),1,0)</f>
        <v/>
      </c>
      <c r="AS7">
        <f>IF(ROW()-3&gt;MAX(AR$4:AR$40),"",INDEX(AQ$4:AQ$40,MATCH(ROW()-3,AR$4:AR$40,0)))</f>
        <v/>
      </c>
      <c r="AT7">
        <f>IF('Final Calculation Sheet'!$N$7="","",'Final Calculation Sheet'!$N$7)</f>
        <v/>
      </c>
      <c r="AU7">
        <f>AU6+IF(AND(AT7&lt;&gt;"",COUNTIF(AT$4:AT7,AT7)=1),1,0)</f>
        <v/>
      </c>
      <c r="AV7">
        <f>IF(ROW()-3&gt;MAX(AU$4:AU$40),"",INDEX(AT$4:AT$40,MATCH(ROW()-3,AU$4:AU$40,0)))</f>
        <v/>
      </c>
      <c r="AW7">
        <f>IF('Final Calculation Sheet'!$O$7="","",'Final Calculation Sheet'!$O$7)</f>
        <v/>
      </c>
      <c r="AX7">
        <f>AX6+IF(AND(AW7&lt;&gt;"",COUNTIF(AW$4:AW7,AW7)=1),1,0)</f>
        <v/>
      </c>
      <c r="AY7">
        <f>IF(ROW()-3&gt;MAX(AX$4:AX$40),"",INDEX(AW$4:AW$40,MATCH(ROW()-3,AX$4:AX$40,0)))</f>
        <v/>
      </c>
      <c r="AZ7">
        <f>IF('Final Calculation Sheet'!$P$7="","",'Final Calculation Sheet'!$P$7)</f>
        <v/>
      </c>
      <c r="BA7">
        <f>BA6+IF(AND(AZ7&lt;&gt;"",COUNTIF(AZ$4:AZ7,AZ7)=1),1,0)</f>
        <v/>
      </c>
      <c r="BB7">
        <f>IF(ROW()-3&gt;MAX(BA$4:BA$40),"",INDEX(AZ$4:AZ$40,MATCH(ROW()-3,BA$4:BA$40,0)))</f>
        <v/>
      </c>
      <c r="BC7">
        <f>IF('Final Calculation Sheet'!$Q$7="","",'Final Calculation Sheet'!$Q$7)</f>
        <v/>
      </c>
      <c r="BD7">
        <f>BD6+IF(AND(BC7&lt;&gt;"",COUNTIF(BC$4:BC7,BC7)=1),1,0)</f>
        <v/>
      </c>
      <c r="BE7">
        <f>IF(ROW()-3&gt;MAX(BD$4:BD$40),"",INDEX(BC$4:BC$40,MATCH(ROW()-3,BD$4:BD$40,0)))</f>
        <v/>
      </c>
      <c r="BF7">
        <f>IF('Final Calculation Sheet'!$R$7="","",'Final Calculation Sheet'!$R$7)</f>
        <v/>
      </c>
      <c r="BG7">
        <f>BG6+IF(AND(BF7&lt;&gt;"",COUNTIF(BF$4:BF7,BF7)=1),1,0)</f>
        <v/>
      </c>
      <c r="BH7">
        <f>IF(ROW()-3&gt;MAX(BG$4:BG$40),"",INDEX(BF$4:BF$40,MATCH(ROW()-3,BG$4:BG$40,0)))</f>
        <v/>
      </c>
      <c r="BI7">
        <f>IF('Final Calculation Sheet'!$S$7="","",'Final Calculation Sheet'!$S$7)</f>
        <v/>
      </c>
      <c r="BJ7">
        <f>BJ6+IF(AND(BI7&lt;&gt;"",COUNTIF(BI$4:BI7,BI7)=1),1,0)</f>
        <v/>
      </c>
      <c r="BK7">
        <f>IF(ROW()-3&gt;MAX(BJ$4:BJ$40),"",INDEX(BI$4:BI$40,MATCH(ROW()-3,BJ$4:BJ$40,0)))</f>
        <v/>
      </c>
      <c r="BL7">
        <f>IF('Final Calculation Sheet'!$T$7="","",'Final Calculation Sheet'!$T$7)</f>
        <v/>
      </c>
      <c r="BM7">
        <f>BM6+IF(AND(BL7&lt;&gt;"",COUNTIF(BL$4:BL7,BL7)=1),1,0)</f>
        <v/>
      </c>
      <c r="BN7">
        <f>IF(ROW()-3&gt;MAX(BM$4:BM$40),"",INDEX(BL$4:BL$40,MATCH(ROW()-3,BM$4:BM$40,0)))</f>
        <v/>
      </c>
      <c r="BO7">
        <f>IF('Final Calculation Sheet'!$U$7="","",'Final Calculation Sheet'!$U$7)</f>
        <v/>
      </c>
      <c r="BP7">
        <f>BP6+IF(AND(BO7&lt;&gt;"",COUNTIF(BO$4:BO7,BO7)=1),1,0)</f>
        <v/>
      </c>
      <c r="BQ7">
        <f>IF(ROW()-3&gt;MAX(BP$4:BP$40),"",INDEX(BO$4:BO$40,MATCH(ROW()-3,BP$4:BP$40,0)))</f>
        <v/>
      </c>
      <c r="BR7">
        <f>IF('Final Calculation Sheet'!$V$7="","",'Final Calculation Sheet'!$V$7)</f>
        <v/>
      </c>
      <c r="BS7">
        <f>BS6+IF(AND(BR7&lt;&gt;"",COUNTIF(BR$4:BR7,BR7)=1),1,0)</f>
        <v/>
      </c>
      <c r="BT7">
        <f>IF(ROW()-3&gt;MAX(BS$4:BS$40),"",INDEX(BR$4:BR$40,MATCH(ROW()-3,BS$4:BS$40,0)))</f>
        <v/>
      </c>
      <c r="BU7">
        <f>IF('Final Calculation Sheet'!$W$7="","",'Final Calculation Sheet'!$W$7)</f>
        <v/>
      </c>
      <c r="BV7">
        <f>BV6+IF(AND(BU7&lt;&gt;"",COUNTIF(BU$4:BU7,BU7)=1),1,0)</f>
        <v/>
      </c>
      <c r="BW7">
        <f>IF(ROW()-3&gt;MAX(BV$4:BV$40),"",INDEX(BU$4:BU$40,MATCH(ROW()-3,BV$4:BV$40,0)))</f>
        <v/>
      </c>
      <c r="BX7">
        <f>IF('Final Calculation Sheet'!$X$7="","",'Final Calculation Sheet'!$X$7)</f>
        <v/>
      </c>
      <c r="BY7">
        <f>BY6+IF(AND(BX7&lt;&gt;"",COUNTIF(BX$4:BX7,BX7)=1),1,0)</f>
        <v/>
      </c>
      <c r="BZ7">
        <f>IF(ROW()-3&gt;MAX(BY$4:BY$40),"",INDEX(BX$4:BX$40,MATCH(ROW()-3,BY$4:BY$40,0)))</f>
        <v/>
      </c>
      <c r="CA7">
        <f>IF('Final Calculation Sheet'!$Y$7="","",'Final Calculation Sheet'!$Y$7)</f>
        <v/>
      </c>
      <c r="CB7">
        <f>CB6+IF(AND(CA7&lt;&gt;"",COUNTIF(CA$4:CA7,CA7)=1),1,0)</f>
        <v/>
      </c>
      <c r="CC7">
        <f>IF(ROW()-3&gt;MAX(CB$4:CB$40),"",INDEX(CA$4:CA$40,MATCH(ROW()-3,CB$4:CB$40,0)))</f>
        <v/>
      </c>
      <c r="CD7">
        <f>IF('Final Calculation Sheet'!$Z$7="","",'Final Calculation Sheet'!$Z$7)</f>
        <v/>
      </c>
      <c r="CE7">
        <f>CE6+IF(AND(CD7&lt;&gt;"",COUNTIF(CD$4:CD7,CD7)=1),1,0)</f>
        <v/>
      </c>
      <c r="CF7">
        <f>IF(ROW()-3&gt;MAX(CE$4:CE$40),"",INDEX(CD$4:CD$40,MATCH(ROW()-3,CE$4:CE$40,0)))</f>
        <v/>
      </c>
      <c r="CG7">
        <f>IF('Final Calculation Sheet'!$AA$7="","",'Final Calculation Sheet'!$AA$7)</f>
        <v/>
      </c>
      <c r="CH7">
        <f>CH6+IF(AND(CG7&lt;&gt;"",COUNTIF(CG$4:CG7,CG7)=1),1,0)</f>
        <v/>
      </c>
      <c r="CI7">
        <f>IF(ROW()-3&gt;MAX(CH$4:CH$40),"",INDEX(CG$4:CG$40,MATCH(ROW()-3,CH$4:CH$40,0)))</f>
        <v/>
      </c>
      <c r="CJ7">
        <f>IF('Final Calculation Sheet'!$AB$7="","",'Final Calculation Sheet'!$AB$7)</f>
        <v/>
      </c>
      <c r="CK7">
        <f>CK6+IF(AND(CJ7&lt;&gt;"",COUNTIF(CJ$4:CJ7,CJ7)=1),1,0)</f>
        <v/>
      </c>
      <c r="CL7">
        <f>IF(ROW()-3&gt;MAX(CK$4:CK$40),"",INDEX(CJ$4:CJ$40,MATCH(ROW()-3,CK$4:CK$40,0)))</f>
        <v/>
      </c>
      <c r="CM7">
        <f>IF('Final Calculation Sheet'!$AC$7="","",'Final Calculation Sheet'!$AC$7)</f>
        <v/>
      </c>
      <c r="CN7">
        <f>CN6+IF(AND(CM7&lt;&gt;"",COUNTIF(CM$4:CM7,CM7)=1),1,0)</f>
        <v/>
      </c>
      <c r="CO7">
        <f>IF(ROW()-3&gt;MAX(CN$4:CN$40),"",INDEX(CM$4:CM$40,MATCH(ROW()-3,CN$4:CN$40,0)))</f>
        <v/>
      </c>
      <c r="CP7">
        <f>IF('Final Calculation Sheet'!$AD$7="","",'Final Calculation Sheet'!$AD$7)</f>
        <v/>
      </c>
      <c r="CQ7">
        <f>CQ6+IF(AND(CP7&lt;&gt;"",COUNTIF(CP$4:CP7,CP7)=1),1,0)</f>
        <v/>
      </c>
      <c r="CR7">
        <f>IF(ROW()-3&gt;MAX(CQ$4:CQ$40),"",INDEX(CP$4:CP$40,MATCH(ROW()-3,CQ$4:CQ$40,0)))</f>
        <v/>
      </c>
      <c r="CS7">
        <f>IF('Final Calculation Sheet'!$AE$7="","",'Final Calculation Sheet'!$AE$7)</f>
        <v/>
      </c>
      <c r="CT7">
        <f>CT6+IF(AND(CS7&lt;&gt;"",COUNTIF(CS$4:CS7,CS7)=1),1,0)</f>
        <v/>
      </c>
      <c r="CU7">
        <f>IF(ROW()-3&gt;MAX(CT$4:CT$40),"",INDEX(CS$4:CS$40,MATCH(ROW()-3,CT$4:CT$40,0)))</f>
        <v/>
      </c>
      <c r="CV7">
        <f>IF('Final Calculation Sheet'!$AF$7="","",'Final Calculation Sheet'!$AF$7)</f>
        <v/>
      </c>
      <c r="CW7">
        <f>CW6+IF(AND(CV7&lt;&gt;"",COUNTIF(CV$4:CV7,CV7)=1),1,0)</f>
        <v/>
      </c>
      <c r="CX7">
        <f>IF(ROW()-3&gt;MAX(CW$4:CW$40),"",INDEX(CV$4:CV$40,MATCH(ROW()-3,CW$4:CW$40,0)))</f>
        <v/>
      </c>
      <c r="CY7">
        <f>IF('Final Calculation Sheet'!$AG$7="","",'Final Calculation Sheet'!$AG$7)</f>
        <v/>
      </c>
      <c r="CZ7">
        <f>CZ6+IF(AND(CY7&lt;&gt;"",COUNTIF(CY$4:CY7,CY7)=1),1,0)</f>
        <v/>
      </c>
      <c r="DA7">
        <f>IF(ROW()-3&gt;MAX(CZ$4:CZ$40),"",INDEX(CY$4:CY$40,MATCH(ROW()-3,CZ$4:CZ$40,0)))</f>
        <v/>
      </c>
      <c r="DC7">
        <f>DC6+IF(AND(DB7&lt;&gt;"",COUNTIF(DB$4:DB7,DB7)=1),1,0)</f>
        <v/>
      </c>
      <c r="DD7">
        <f>IF(ROW()-3&gt;MAX(DC$4:DC$40),"",INDEX(DB$4:DB$40,MATCH(ROW()-3,DC$4:DC$40,0)))</f>
        <v/>
      </c>
    </row>
    <row r="8">
      <c r="A8">
        <f>IF('Final Calculation Sheet'!$F$8="","",'Final Calculation Sheet'!$F$8)</f>
        <v/>
      </c>
      <c r="B8">
        <f>B7+IF(AND(A8&lt;&gt;"",COUNTIF(A$4:A8,A8)=1),1,0)</f>
        <v/>
      </c>
      <c r="C8">
        <f>IF(ROW()-3&gt;MAX(B$4:B$114),"",INDEX(A$4:A$114,MATCH(ROW()-3,B$4:B$114,0)))</f>
        <v/>
      </c>
      <c r="D8">
        <f>ROW()-3</f>
        <v/>
      </c>
      <c r="E8">
        <f>E7+IF(AND(D8&lt;&gt;"",COUNTIF(D$4:D8,D8)=1),1,0)</f>
        <v/>
      </c>
      <c r="F8">
        <f>IF(ROW()-3&gt;MAX(E$4:E$40),"",INDEX(D$4:D$40,MATCH(ROW()-3,E$4:E$40,0)))</f>
        <v/>
      </c>
      <c r="G8">
        <f>IF('Final Calculation Sheet'!$F$8="","",'Final Calculation Sheet'!$F$8)</f>
        <v/>
      </c>
      <c r="H8">
        <f>H7+IF(AND(G8&lt;&gt;"",COUNTIF(G$4:G8,G8)=1),1,0)</f>
        <v/>
      </c>
      <c r="I8">
        <f>IF(ROW()-3&gt;MAX(H$4:H$40),"",INDEX(G$4:G$40,MATCH(ROW()-3,H$4:H$40,0)))</f>
        <v/>
      </c>
      <c r="J8">
        <f>IF('Final Calculation Sheet'!$G$8="","",'Final Calculation Sheet'!$G$8)</f>
        <v/>
      </c>
      <c r="K8">
        <f>K7+IF(AND(J8&lt;&gt;"",COUNTIF(J$4:J8,J8)=1),1,0)</f>
        <v/>
      </c>
      <c r="L8">
        <f>IF(ROW()-3&gt;MAX(K$4:K$40),"",INDEX(J$4:J$40,MATCH(ROW()-3,K$4:K$40,0)))</f>
        <v/>
      </c>
      <c r="M8">
        <f>IF('Final Calculation Sheet'!$B$8="","",'Final Calculation Sheet'!$B$8)</f>
        <v/>
      </c>
      <c r="N8">
        <f>N7+IF(AND(M8&lt;&gt;"",COUNTIF(M$4:M8,M8)=1),1,0)</f>
        <v/>
      </c>
      <c r="O8">
        <f>IF(ROW()-3&gt;MAX(N$4:N$40),"",INDEX(M$4:M$40,MATCH(ROW()-3,N$4:N$40,0)))</f>
        <v/>
      </c>
      <c r="P8">
        <f>IF('Final Calculation Sheet'!$D$8="","",'Final Calculation Sheet'!$D$8)</f>
        <v/>
      </c>
      <c r="Q8">
        <f>Q7+IF(AND(P8&lt;&gt;"",COUNTIF(P$4:P8,P8)=1),1,0)</f>
        <v/>
      </c>
      <c r="R8">
        <f>IF(ROW()-3&gt;MAX(Q$4:Q$40),"",INDEX(P$4:P$40,MATCH(ROW()-3,Q$4:Q$40,0)))</f>
        <v/>
      </c>
      <c r="S8">
        <f>IF('Final Calculation Sheet'!$A$8="","",'Final Calculation Sheet'!$A$8)</f>
        <v/>
      </c>
      <c r="T8">
        <f>T7+IF(AND(S8&lt;&gt;"",COUNTIF(S$4:S8,S8)=1),1,0)</f>
        <v/>
      </c>
      <c r="U8">
        <f>IF(ROW()-3&gt;MAX(T$4:T$40),"",INDEX(S$4:S$40,MATCH(ROW()-3,T$4:T$40,0)))</f>
        <v/>
      </c>
      <c r="V8">
        <f>IF('Final Calculation Sheet'!$E$8="","",'Final Calculation Sheet'!$E$8)</f>
        <v/>
      </c>
      <c r="W8">
        <f>W7+IF(AND(V8&lt;&gt;"",COUNTIF(V$4:V8,V8)=1),1,0)</f>
        <v/>
      </c>
      <c r="X8">
        <f>IF(ROW()-3&gt;MAX(W$4:W$40),"",INDEX(V$4:V$40,MATCH(ROW()-3,W$4:W$40,0)))</f>
        <v/>
      </c>
      <c r="Y8">
        <f>IF('Final Calculation Sheet'!$C$8="","",'Final Calculation Sheet'!$C$8)</f>
        <v/>
      </c>
      <c r="Z8">
        <f>Z7+IF(AND(Y8&lt;&gt;"",COUNTIF(Y$4:Y8,Y8)=1),1,0)</f>
        <v/>
      </c>
      <c r="AA8">
        <f>IF(ROW()-3&gt;MAX(Z$4:Z$40),"",INDEX(Y$4:Y$40,MATCH(ROW()-3,Z$4:Z$40,0)))</f>
        <v/>
      </c>
      <c r="AB8">
        <f>IF('Final Calculation Sheet'!$H$8="","",'Final Calculation Sheet'!$H$8)</f>
        <v/>
      </c>
      <c r="AC8">
        <f>AC7+IF(AND(AB8&lt;&gt;"",COUNTIF(AB$4:AB8,AB8)=1),1,0)</f>
        <v/>
      </c>
      <c r="AD8">
        <f>IF(ROW()-3&gt;MAX(AC$4:AC$40),"",INDEX(AB$4:AB$40,MATCH(ROW()-3,AC$4:AC$40,0)))</f>
        <v/>
      </c>
      <c r="AE8">
        <f>IF('Final Calculation Sheet'!$I$8="","",'Final Calculation Sheet'!$I$8)</f>
        <v/>
      </c>
      <c r="AF8">
        <f>AF7+IF(AND(AE8&lt;&gt;"",COUNTIF(AE$4:AE8,AE8)=1),1,0)</f>
        <v/>
      </c>
      <c r="AG8">
        <f>IF(ROW()-3&gt;MAX(AF$4:AF$40),"",INDEX(AE$4:AE$40,MATCH(ROW()-3,AF$4:AF$40,0)))</f>
        <v/>
      </c>
      <c r="AH8">
        <f>IF('Final Calculation Sheet'!$J$8="","",'Final Calculation Sheet'!$J$8)</f>
        <v/>
      </c>
      <c r="AI8">
        <f>AI7+IF(AND(AH8&lt;&gt;"",COUNTIF(AH$4:AH8,AH8)=1),1,0)</f>
        <v/>
      </c>
      <c r="AJ8">
        <f>IF(ROW()-3&gt;MAX(AI$4:AI$40),"",INDEX(AH$4:AH$40,MATCH(ROW()-3,AI$4:AI$40,0)))</f>
        <v/>
      </c>
      <c r="AK8">
        <f>IF('Final Calculation Sheet'!$K$8="","",'Final Calculation Sheet'!$K$8)</f>
        <v/>
      </c>
      <c r="AL8">
        <f>AL7+IF(AND(AK8&lt;&gt;"",COUNTIF(AK$4:AK8,AK8)=1),1,0)</f>
        <v/>
      </c>
      <c r="AM8">
        <f>IF(ROW()-3&gt;MAX(AL$4:AL$40),"",INDEX(AK$4:AK$40,MATCH(ROW()-3,AL$4:AL$40,0)))</f>
        <v/>
      </c>
      <c r="AN8">
        <f>IF('Final Calculation Sheet'!$L$8="","",'Final Calculation Sheet'!$L$8)</f>
        <v/>
      </c>
      <c r="AO8">
        <f>AO7+IF(AND(AN8&lt;&gt;"",COUNTIF(AN$4:AN8,AN8)=1),1,0)</f>
        <v/>
      </c>
      <c r="AP8">
        <f>IF(ROW()-3&gt;MAX(AO$4:AO$40),"",INDEX(AN$4:AN$40,MATCH(ROW()-3,AO$4:AO$40,0)))</f>
        <v/>
      </c>
      <c r="AQ8">
        <f>IF('Final Calculation Sheet'!$M$8="","",'Final Calculation Sheet'!$M$8)</f>
        <v/>
      </c>
      <c r="AR8">
        <f>AR7+IF(AND(AQ8&lt;&gt;"",COUNTIF(AQ$4:AQ8,AQ8)=1),1,0)</f>
        <v/>
      </c>
      <c r="AS8">
        <f>IF(ROW()-3&gt;MAX(AR$4:AR$40),"",INDEX(AQ$4:AQ$40,MATCH(ROW()-3,AR$4:AR$40,0)))</f>
        <v/>
      </c>
      <c r="AT8">
        <f>IF('Final Calculation Sheet'!$N$8="","",'Final Calculation Sheet'!$N$8)</f>
        <v/>
      </c>
      <c r="AU8">
        <f>AU7+IF(AND(AT8&lt;&gt;"",COUNTIF(AT$4:AT8,AT8)=1),1,0)</f>
        <v/>
      </c>
      <c r="AV8">
        <f>IF(ROW()-3&gt;MAX(AU$4:AU$40),"",INDEX(AT$4:AT$40,MATCH(ROW()-3,AU$4:AU$40,0)))</f>
        <v/>
      </c>
      <c r="AW8">
        <f>IF('Final Calculation Sheet'!$O$8="","",'Final Calculation Sheet'!$O$8)</f>
        <v/>
      </c>
      <c r="AX8">
        <f>AX7+IF(AND(AW8&lt;&gt;"",COUNTIF(AW$4:AW8,AW8)=1),1,0)</f>
        <v/>
      </c>
      <c r="AY8">
        <f>IF(ROW()-3&gt;MAX(AX$4:AX$40),"",INDEX(AW$4:AW$40,MATCH(ROW()-3,AX$4:AX$40,0)))</f>
        <v/>
      </c>
      <c r="AZ8">
        <f>IF('Final Calculation Sheet'!$P$8="","",'Final Calculation Sheet'!$P$8)</f>
        <v/>
      </c>
      <c r="BA8">
        <f>BA7+IF(AND(AZ8&lt;&gt;"",COUNTIF(AZ$4:AZ8,AZ8)=1),1,0)</f>
        <v/>
      </c>
      <c r="BB8">
        <f>IF(ROW()-3&gt;MAX(BA$4:BA$40),"",INDEX(AZ$4:AZ$40,MATCH(ROW()-3,BA$4:BA$40,0)))</f>
        <v/>
      </c>
      <c r="BC8">
        <f>IF('Final Calculation Sheet'!$Q$8="","",'Final Calculation Sheet'!$Q$8)</f>
        <v/>
      </c>
      <c r="BD8">
        <f>BD7+IF(AND(BC8&lt;&gt;"",COUNTIF(BC$4:BC8,BC8)=1),1,0)</f>
        <v/>
      </c>
      <c r="BE8">
        <f>IF(ROW()-3&gt;MAX(BD$4:BD$40),"",INDEX(BC$4:BC$40,MATCH(ROW()-3,BD$4:BD$40,0)))</f>
        <v/>
      </c>
      <c r="BF8">
        <f>IF('Final Calculation Sheet'!$R$8="","",'Final Calculation Sheet'!$R$8)</f>
        <v/>
      </c>
      <c r="BG8">
        <f>BG7+IF(AND(BF8&lt;&gt;"",COUNTIF(BF$4:BF8,BF8)=1),1,0)</f>
        <v/>
      </c>
      <c r="BH8">
        <f>IF(ROW()-3&gt;MAX(BG$4:BG$40),"",INDEX(BF$4:BF$40,MATCH(ROW()-3,BG$4:BG$40,0)))</f>
        <v/>
      </c>
      <c r="BI8">
        <f>IF('Final Calculation Sheet'!$S$8="","",'Final Calculation Sheet'!$S$8)</f>
        <v/>
      </c>
      <c r="BJ8">
        <f>BJ7+IF(AND(BI8&lt;&gt;"",COUNTIF(BI$4:BI8,BI8)=1),1,0)</f>
        <v/>
      </c>
      <c r="BK8">
        <f>IF(ROW()-3&gt;MAX(BJ$4:BJ$40),"",INDEX(BI$4:BI$40,MATCH(ROW()-3,BJ$4:BJ$40,0)))</f>
        <v/>
      </c>
      <c r="BL8">
        <f>IF('Final Calculation Sheet'!$T$8="","",'Final Calculation Sheet'!$T$8)</f>
        <v/>
      </c>
      <c r="BM8">
        <f>BM7+IF(AND(BL8&lt;&gt;"",COUNTIF(BL$4:BL8,BL8)=1),1,0)</f>
        <v/>
      </c>
      <c r="BN8">
        <f>IF(ROW()-3&gt;MAX(BM$4:BM$40),"",INDEX(BL$4:BL$40,MATCH(ROW()-3,BM$4:BM$40,0)))</f>
        <v/>
      </c>
      <c r="BO8">
        <f>IF('Final Calculation Sheet'!$U$8="","",'Final Calculation Sheet'!$U$8)</f>
        <v/>
      </c>
      <c r="BP8">
        <f>BP7+IF(AND(BO8&lt;&gt;"",COUNTIF(BO$4:BO8,BO8)=1),1,0)</f>
        <v/>
      </c>
      <c r="BQ8">
        <f>IF(ROW()-3&gt;MAX(BP$4:BP$40),"",INDEX(BO$4:BO$40,MATCH(ROW()-3,BP$4:BP$40,0)))</f>
        <v/>
      </c>
      <c r="BR8">
        <f>IF('Final Calculation Sheet'!$V$8="","",'Final Calculation Sheet'!$V$8)</f>
        <v/>
      </c>
      <c r="BS8">
        <f>BS7+IF(AND(BR8&lt;&gt;"",COUNTIF(BR$4:BR8,BR8)=1),1,0)</f>
        <v/>
      </c>
      <c r="BT8">
        <f>IF(ROW()-3&gt;MAX(BS$4:BS$40),"",INDEX(BR$4:BR$40,MATCH(ROW()-3,BS$4:BS$40,0)))</f>
        <v/>
      </c>
      <c r="BU8">
        <f>IF('Final Calculation Sheet'!$W$8="","",'Final Calculation Sheet'!$W$8)</f>
        <v/>
      </c>
      <c r="BV8">
        <f>BV7+IF(AND(BU8&lt;&gt;"",COUNTIF(BU$4:BU8,BU8)=1),1,0)</f>
        <v/>
      </c>
      <c r="BW8">
        <f>IF(ROW()-3&gt;MAX(BV$4:BV$40),"",INDEX(BU$4:BU$40,MATCH(ROW()-3,BV$4:BV$40,0)))</f>
        <v/>
      </c>
      <c r="BX8">
        <f>IF('Final Calculation Sheet'!$X$8="","",'Final Calculation Sheet'!$X$8)</f>
        <v/>
      </c>
      <c r="BY8">
        <f>BY7+IF(AND(BX8&lt;&gt;"",COUNTIF(BX$4:BX8,BX8)=1),1,0)</f>
        <v/>
      </c>
      <c r="BZ8">
        <f>IF(ROW()-3&gt;MAX(BY$4:BY$40),"",INDEX(BX$4:BX$40,MATCH(ROW()-3,BY$4:BY$40,0)))</f>
        <v/>
      </c>
      <c r="CA8">
        <f>IF('Final Calculation Sheet'!$Y$8="","",'Final Calculation Sheet'!$Y$8)</f>
        <v/>
      </c>
      <c r="CB8">
        <f>CB7+IF(AND(CA8&lt;&gt;"",COUNTIF(CA$4:CA8,CA8)=1),1,0)</f>
        <v/>
      </c>
      <c r="CC8">
        <f>IF(ROW()-3&gt;MAX(CB$4:CB$40),"",INDEX(CA$4:CA$40,MATCH(ROW()-3,CB$4:CB$40,0)))</f>
        <v/>
      </c>
      <c r="CD8">
        <f>IF('Final Calculation Sheet'!$Z$8="","",'Final Calculation Sheet'!$Z$8)</f>
        <v/>
      </c>
      <c r="CE8">
        <f>CE7+IF(AND(CD8&lt;&gt;"",COUNTIF(CD$4:CD8,CD8)=1),1,0)</f>
        <v/>
      </c>
      <c r="CF8">
        <f>IF(ROW()-3&gt;MAX(CE$4:CE$40),"",INDEX(CD$4:CD$40,MATCH(ROW()-3,CE$4:CE$40,0)))</f>
        <v/>
      </c>
      <c r="CG8">
        <f>IF('Final Calculation Sheet'!$AA$8="","",'Final Calculation Sheet'!$AA$8)</f>
        <v/>
      </c>
      <c r="CH8">
        <f>CH7+IF(AND(CG8&lt;&gt;"",COUNTIF(CG$4:CG8,CG8)=1),1,0)</f>
        <v/>
      </c>
      <c r="CI8">
        <f>IF(ROW()-3&gt;MAX(CH$4:CH$40),"",INDEX(CG$4:CG$40,MATCH(ROW()-3,CH$4:CH$40,0)))</f>
        <v/>
      </c>
      <c r="CJ8">
        <f>IF('Final Calculation Sheet'!$AB$8="","",'Final Calculation Sheet'!$AB$8)</f>
        <v/>
      </c>
      <c r="CK8">
        <f>CK7+IF(AND(CJ8&lt;&gt;"",COUNTIF(CJ$4:CJ8,CJ8)=1),1,0)</f>
        <v/>
      </c>
      <c r="CL8">
        <f>IF(ROW()-3&gt;MAX(CK$4:CK$40),"",INDEX(CJ$4:CJ$40,MATCH(ROW()-3,CK$4:CK$40,0)))</f>
        <v/>
      </c>
      <c r="CM8">
        <f>IF('Final Calculation Sheet'!$AC$8="","",'Final Calculation Sheet'!$AC$8)</f>
        <v/>
      </c>
      <c r="CN8">
        <f>CN7+IF(AND(CM8&lt;&gt;"",COUNTIF(CM$4:CM8,CM8)=1),1,0)</f>
        <v/>
      </c>
      <c r="CO8">
        <f>IF(ROW()-3&gt;MAX(CN$4:CN$40),"",INDEX(CM$4:CM$40,MATCH(ROW()-3,CN$4:CN$40,0)))</f>
        <v/>
      </c>
      <c r="CP8">
        <f>IF('Final Calculation Sheet'!$AD$8="","",'Final Calculation Sheet'!$AD$8)</f>
        <v/>
      </c>
      <c r="CQ8">
        <f>CQ7+IF(AND(CP8&lt;&gt;"",COUNTIF(CP$4:CP8,CP8)=1),1,0)</f>
        <v/>
      </c>
      <c r="CR8">
        <f>IF(ROW()-3&gt;MAX(CQ$4:CQ$40),"",INDEX(CP$4:CP$40,MATCH(ROW()-3,CQ$4:CQ$40,0)))</f>
        <v/>
      </c>
      <c r="CS8">
        <f>IF('Final Calculation Sheet'!$AE$8="","",'Final Calculation Sheet'!$AE$8)</f>
        <v/>
      </c>
      <c r="CT8">
        <f>CT7+IF(AND(CS8&lt;&gt;"",COUNTIF(CS$4:CS8,CS8)=1),1,0)</f>
        <v/>
      </c>
      <c r="CU8">
        <f>IF(ROW()-3&gt;MAX(CT$4:CT$40),"",INDEX(CS$4:CS$40,MATCH(ROW()-3,CT$4:CT$40,0)))</f>
        <v/>
      </c>
      <c r="CV8">
        <f>IF('Final Calculation Sheet'!$AF$8="","",'Final Calculation Sheet'!$AF$8)</f>
        <v/>
      </c>
      <c r="CW8">
        <f>CW7+IF(AND(CV8&lt;&gt;"",COUNTIF(CV$4:CV8,CV8)=1),1,0)</f>
        <v/>
      </c>
      <c r="CX8">
        <f>IF(ROW()-3&gt;MAX(CW$4:CW$40),"",INDEX(CV$4:CV$40,MATCH(ROW()-3,CW$4:CW$40,0)))</f>
        <v/>
      </c>
      <c r="CY8">
        <f>IF('Final Calculation Sheet'!$AG$8="","",'Final Calculation Sheet'!$AG$8)</f>
        <v/>
      </c>
      <c r="CZ8">
        <f>CZ7+IF(AND(CY8&lt;&gt;"",COUNTIF(CY$4:CY8,CY8)=1),1,0)</f>
        <v/>
      </c>
      <c r="DA8">
        <f>IF(ROW()-3&gt;MAX(CZ$4:CZ$40),"",INDEX(CY$4:CY$40,MATCH(ROW()-3,CZ$4:CZ$40,0)))</f>
        <v/>
      </c>
      <c r="DC8">
        <f>DC7+IF(AND(DB8&lt;&gt;"",COUNTIF(DB$4:DB8,DB8)=1),1,0)</f>
        <v/>
      </c>
      <c r="DD8">
        <f>IF(ROW()-3&gt;MAX(DC$4:DC$40),"",INDEX(DB$4:DB$40,MATCH(ROW()-3,DC$4:DC$40,0)))</f>
        <v/>
      </c>
    </row>
    <row r="9">
      <c r="A9">
        <f>IF('Final Calculation Sheet'!$F$9="","",'Final Calculation Sheet'!$F$9)</f>
        <v/>
      </c>
      <c r="B9">
        <f>B8+IF(AND(A9&lt;&gt;"",COUNTIF(A$4:A9,A9)=1),1,0)</f>
        <v/>
      </c>
      <c r="C9">
        <f>IF(ROW()-3&gt;MAX(B$4:B$114),"",INDEX(A$4:A$114,MATCH(ROW()-3,B$4:B$114,0)))</f>
        <v/>
      </c>
      <c r="D9">
        <f>ROW()-3</f>
        <v/>
      </c>
      <c r="E9">
        <f>E8+IF(AND(D9&lt;&gt;"",COUNTIF(D$4:D9,D9)=1),1,0)</f>
        <v/>
      </c>
      <c r="F9">
        <f>IF(ROW()-3&gt;MAX(E$4:E$40),"",INDEX(D$4:D$40,MATCH(ROW()-3,E$4:E$40,0)))</f>
        <v/>
      </c>
      <c r="G9">
        <f>IF('Final Calculation Sheet'!$F$9="","",'Final Calculation Sheet'!$F$9)</f>
        <v/>
      </c>
      <c r="H9">
        <f>H8+IF(AND(G9&lt;&gt;"",COUNTIF(G$4:G9,G9)=1),1,0)</f>
        <v/>
      </c>
      <c r="I9">
        <f>IF(ROW()-3&gt;MAX(H$4:H$40),"",INDEX(G$4:G$40,MATCH(ROW()-3,H$4:H$40,0)))</f>
        <v/>
      </c>
      <c r="J9">
        <f>IF('Final Calculation Sheet'!$G$9="","",'Final Calculation Sheet'!$G$9)</f>
        <v/>
      </c>
      <c r="K9">
        <f>K8+IF(AND(J9&lt;&gt;"",COUNTIF(J$4:J9,J9)=1),1,0)</f>
        <v/>
      </c>
      <c r="L9">
        <f>IF(ROW()-3&gt;MAX(K$4:K$40),"",INDEX(J$4:J$40,MATCH(ROW()-3,K$4:K$40,0)))</f>
        <v/>
      </c>
      <c r="M9">
        <f>IF('Final Calculation Sheet'!$B$9="","",'Final Calculation Sheet'!$B$9)</f>
        <v/>
      </c>
      <c r="N9">
        <f>N8+IF(AND(M9&lt;&gt;"",COUNTIF(M$4:M9,M9)=1),1,0)</f>
        <v/>
      </c>
      <c r="O9">
        <f>IF(ROW()-3&gt;MAX(N$4:N$40),"",INDEX(M$4:M$40,MATCH(ROW()-3,N$4:N$40,0)))</f>
        <v/>
      </c>
      <c r="P9">
        <f>IF('Final Calculation Sheet'!$D$9="","",'Final Calculation Sheet'!$D$9)</f>
        <v/>
      </c>
      <c r="Q9">
        <f>Q8+IF(AND(P9&lt;&gt;"",COUNTIF(P$4:P9,P9)=1),1,0)</f>
        <v/>
      </c>
      <c r="R9">
        <f>IF(ROW()-3&gt;MAX(Q$4:Q$40),"",INDEX(P$4:P$40,MATCH(ROW()-3,Q$4:Q$40,0)))</f>
        <v/>
      </c>
      <c r="S9">
        <f>IF('Final Calculation Sheet'!$A$9="","",'Final Calculation Sheet'!$A$9)</f>
        <v/>
      </c>
      <c r="T9">
        <f>T8+IF(AND(S9&lt;&gt;"",COUNTIF(S$4:S9,S9)=1),1,0)</f>
        <v/>
      </c>
      <c r="U9">
        <f>IF(ROW()-3&gt;MAX(T$4:T$40),"",INDEX(S$4:S$40,MATCH(ROW()-3,T$4:T$40,0)))</f>
        <v/>
      </c>
      <c r="V9">
        <f>IF('Final Calculation Sheet'!$E$9="","",'Final Calculation Sheet'!$E$9)</f>
        <v/>
      </c>
      <c r="W9">
        <f>W8+IF(AND(V9&lt;&gt;"",COUNTIF(V$4:V9,V9)=1),1,0)</f>
        <v/>
      </c>
      <c r="X9">
        <f>IF(ROW()-3&gt;MAX(W$4:W$40),"",INDEX(V$4:V$40,MATCH(ROW()-3,W$4:W$40,0)))</f>
        <v/>
      </c>
      <c r="Y9">
        <f>IF('Final Calculation Sheet'!$C$9="","",'Final Calculation Sheet'!$C$9)</f>
        <v/>
      </c>
      <c r="Z9">
        <f>Z8+IF(AND(Y9&lt;&gt;"",COUNTIF(Y$4:Y9,Y9)=1),1,0)</f>
        <v/>
      </c>
      <c r="AA9">
        <f>IF(ROW()-3&gt;MAX(Z$4:Z$40),"",INDEX(Y$4:Y$40,MATCH(ROW()-3,Z$4:Z$40,0)))</f>
        <v/>
      </c>
      <c r="AB9">
        <f>IF('Final Calculation Sheet'!$H$9="","",'Final Calculation Sheet'!$H$9)</f>
        <v/>
      </c>
      <c r="AC9">
        <f>AC8+IF(AND(AB9&lt;&gt;"",COUNTIF(AB$4:AB9,AB9)=1),1,0)</f>
        <v/>
      </c>
      <c r="AD9">
        <f>IF(ROW()-3&gt;MAX(AC$4:AC$40),"",INDEX(AB$4:AB$40,MATCH(ROW()-3,AC$4:AC$40,0)))</f>
        <v/>
      </c>
      <c r="AE9">
        <f>IF('Final Calculation Sheet'!$I$9="","",'Final Calculation Sheet'!$I$9)</f>
        <v/>
      </c>
      <c r="AF9">
        <f>AF8+IF(AND(AE9&lt;&gt;"",COUNTIF(AE$4:AE9,AE9)=1),1,0)</f>
        <v/>
      </c>
      <c r="AG9">
        <f>IF(ROW()-3&gt;MAX(AF$4:AF$40),"",INDEX(AE$4:AE$40,MATCH(ROW()-3,AF$4:AF$40,0)))</f>
        <v/>
      </c>
      <c r="AH9">
        <f>IF('Final Calculation Sheet'!$J$9="","",'Final Calculation Sheet'!$J$9)</f>
        <v/>
      </c>
      <c r="AI9">
        <f>AI8+IF(AND(AH9&lt;&gt;"",COUNTIF(AH$4:AH9,AH9)=1),1,0)</f>
        <v/>
      </c>
      <c r="AJ9">
        <f>IF(ROW()-3&gt;MAX(AI$4:AI$40),"",INDEX(AH$4:AH$40,MATCH(ROW()-3,AI$4:AI$40,0)))</f>
        <v/>
      </c>
      <c r="AK9">
        <f>IF('Final Calculation Sheet'!$K$9="","",'Final Calculation Sheet'!$K$9)</f>
        <v/>
      </c>
      <c r="AL9">
        <f>AL8+IF(AND(AK9&lt;&gt;"",COUNTIF(AK$4:AK9,AK9)=1),1,0)</f>
        <v/>
      </c>
      <c r="AM9">
        <f>IF(ROW()-3&gt;MAX(AL$4:AL$40),"",INDEX(AK$4:AK$40,MATCH(ROW()-3,AL$4:AL$40,0)))</f>
        <v/>
      </c>
      <c r="AN9">
        <f>IF('Final Calculation Sheet'!$L$9="","",'Final Calculation Sheet'!$L$9)</f>
        <v/>
      </c>
      <c r="AO9">
        <f>AO8+IF(AND(AN9&lt;&gt;"",COUNTIF(AN$4:AN9,AN9)=1),1,0)</f>
        <v/>
      </c>
      <c r="AP9">
        <f>IF(ROW()-3&gt;MAX(AO$4:AO$40),"",INDEX(AN$4:AN$40,MATCH(ROW()-3,AO$4:AO$40,0)))</f>
        <v/>
      </c>
      <c r="AQ9">
        <f>IF('Final Calculation Sheet'!$M$9="","",'Final Calculation Sheet'!$M$9)</f>
        <v/>
      </c>
      <c r="AR9">
        <f>AR8+IF(AND(AQ9&lt;&gt;"",COUNTIF(AQ$4:AQ9,AQ9)=1),1,0)</f>
        <v/>
      </c>
      <c r="AS9">
        <f>IF(ROW()-3&gt;MAX(AR$4:AR$40),"",INDEX(AQ$4:AQ$40,MATCH(ROW()-3,AR$4:AR$40,0)))</f>
        <v/>
      </c>
      <c r="AT9">
        <f>IF('Final Calculation Sheet'!$N$9="","",'Final Calculation Sheet'!$N$9)</f>
        <v/>
      </c>
      <c r="AU9">
        <f>AU8+IF(AND(AT9&lt;&gt;"",COUNTIF(AT$4:AT9,AT9)=1),1,0)</f>
        <v/>
      </c>
      <c r="AV9">
        <f>IF(ROW()-3&gt;MAX(AU$4:AU$40),"",INDEX(AT$4:AT$40,MATCH(ROW()-3,AU$4:AU$40,0)))</f>
        <v/>
      </c>
      <c r="AW9">
        <f>IF('Final Calculation Sheet'!$O$9="","",'Final Calculation Sheet'!$O$9)</f>
        <v/>
      </c>
      <c r="AX9">
        <f>AX8+IF(AND(AW9&lt;&gt;"",COUNTIF(AW$4:AW9,AW9)=1),1,0)</f>
        <v/>
      </c>
      <c r="AY9">
        <f>IF(ROW()-3&gt;MAX(AX$4:AX$40),"",INDEX(AW$4:AW$40,MATCH(ROW()-3,AX$4:AX$40,0)))</f>
        <v/>
      </c>
      <c r="AZ9">
        <f>IF('Final Calculation Sheet'!$P$9="","",'Final Calculation Sheet'!$P$9)</f>
        <v/>
      </c>
      <c r="BA9">
        <f>BA8+IF(AND(AZ9&lt;&gt;"",COUNTIF(AZ$4:AZ9,AZ9)=1),1,0)</f>
        <v/>
      </c>
      <c r="BB9">
        <f>IF(ROW()-3&gt;MAX(BA$4:BA$40),"",INDEX(AZ$4:AZ$40,MATCH(ROW()-3,BA$4:BA$40,0)))</f>
        <v/>
      </c>
      <c r="BC9">
        <f>IF('Final Calculation Sheet'!$Q$9="","",'Final Calculation Sheet'!$Q$9)</f>
        <v/>
      </c>
      <c r="BD9">
        <f>BD8+IF(AND(BC9&lt;&gt;"",COUNTIF(BC$4:BC9,BC9)=1),1,0)</f>
        <v/>
      </c>
      <c r="BE9">
        <f>IF(ROW()-3&gt;MAX(BD$4:BD$40),"",INDEX(BC$4:BC$40,MATCH(ROW()-3,BD$4:BD$40,0)))</f>
        <v/>
      </c>
      <c r="BF9">
        <f>IF('Final Calculation Sheet'!$R$9="","",'Final Calculation Sheet'!$R$9)</f>
        <v/>
      </c>
      <c r="BG9">
        <f>BG8+IF(AND(BF9&lt;&gt;"",COUNTIF(BF$4:BF9,BF9)=1),1,0)</f>
        <v/>
      </c>
      <c r="BH9">
        <f>IF(ROW()-3&gt;MAX(BG$4:BG$40),"",INDEX(BF$4:BF$40,MATCH(ROW()-3,BG$4:BG$40,0)))</f>
        <v/>
      </c>
      <c r="BI9">
        <f>IF('Final Calculation Sheet'!$S$9="","",'Final Calculation Sheet'!$S$9)</f>
        <v/>
      </c>
      <c r="BJ9">
        <f>BJ8+IF(AND(BI9&lt;&gt;"",COUNTIF(BI$4:BI9,BI9)=1),1,0)</f>
        <v/>
      </c>
      <c r="BK9">
        <f>IF(ROW()-3&gt;MAX(BJ$4:BJ$40),"",INDEX(BI$4:BI$40,MATCH(ROW()-3,BJ$4:BJ$40,0)))</f>
        <v/>
      </c>
      <c r="BL9">
        <f>IF('Final Calculation Sheet'!$T$9="","",'Final Calculation Sheet'!$T$9)</f>
        <v/>
      </c>
      <c r="BM9">
        <f>BM8+IF(AND(BL9&lt;&gt;"",COUNTIF(BL$4:BL9,BL9)=1),1,0)</f>
        <v/>
      </c>
      <c r="BN9">
        <f>IF(ROW()-3&gt;MAX(BM$4:BM$40),"",INDEX(BL$4:BL$40,MATCH(ROW()-3,BM$4:BM$40,0)))</f>
        <v/>
      </c>
      <c r="BO9">
        <f>IF('Final Calculation Sheet'!$U$9="","",'Final Calculation Sheet'!$U$9)</f>
        <v/>
      </c>
      <c r="BP9">
        <f>BP8+IF(AND(BO9&lt;&gt;"",COUNTIF(BO$4:BO9,BO9)=1),1,0)</f>
        <v/>
      </c>
      <c r="BQ9">
        <f>IF(ROW()-3&gt;MAX(BP$4:BP$40),"",INDEX(BO$4:BO$40,MATCH(ROW()-3,BP$4:BP$40,0)))</f>
        <v/>
      </c>
      <c r="BR9">
        <f>IF('Final Calculation Sheet'!$V$9="","",'Final Calculation Sheet'!$V$9)</f>
        <v/>
      </c>
      <c r="BS9">
        <f>BS8+IF(AND(BR9&lt;&gt;"",COUNTIF(BR$4:BR9,BR9)=1),1,0)</f>
        <v/>
      </c>
      <c r="BT9">
        <f>IF(ROW()-3&gt;MAX(BS$4:BS$40),"",INDEX(BR$4:BR$40,MATCH(ROW()-3,BS$4:BS$40,0)))</f>
        <v/>
      </c>
      <c r="BU9">
        <f>IF('Final Calculation Sheet'!$W$9="","",'Final Calculation Sheet'!$W$9)</f>
        <v/>
      </c>
      <c r="BV9">
        <f>BV8+IF(AND(BU9&lt;&gt;"",COUNTIF(BU$4:BU9,BU9)=1),1,0)</f>
        <v/>
      </c>
      <c r="BW9">
        <f>IF(ROW()-3&gt;MAX(BV$4:BV$40),"",INDEX(BU$4:BU$40,MATCH(ROW()-3,BV$4:BV$40,0)))</f>
        <v/>
      </c>
      <c r="BX9">
        <f>IF('Final Calculation Sheet'!$X$9="","",'Final Calculation Sheet'!$X$9)</f>
        <v/>
      </c>
      <c r="BY9">
        <f>BY8+IF(AND(BX9&lt;&gt;"",COUNTIF(BX$4:BX9,BX9)=1),1,0)</f>
        <v/>
      </c>
      <c r="BZ9">
        <f>IF(ROW()-3&gt;MAX(BY$4:BY$40),"",INDEX(BX$4:BX$40,MATCH(ROW()-3,BY$4:BY$40,0)))</f>
        <v/>
      </c>
      <c r="CA9">
        <f>IF('Final Calculation Sheet'!$Y$9="","",'Final Calculation Sheet'!$Y$9)</f>
        <v/>
      </c>
      <c r="CB9">
        <f>CB8+IF(AND(CA9&lt;&gt;"",COUNTIF(CA$4:CA9,CA9)=1),1,0)</f>
        <v/>
      </c>
      <c r="CC9">
        <f>IF(ROW()-3&gt;MAX(CB$4:CB$40),"",INDEX(CA$4:CA$40,MATCH(ROW()-3,CB$4:CB$40,0)))</f>
        <v/>
      </c>
      <c r="CD9">
        <f>IF('Final Calculation Sheet'!$Z$9="","",'Final Calculation Sheet'!$Z$9)</f>
        <v/>
      </c>
      <c r="CE9">
        <f>CE8+IF(AND(CD9&lt;&gt;"",COUNTIF(CD$4:CD9,CD9)=1),1,0)</f>
        <v/>
      </c>
      <c r="CF9">
        <f>IF(ROW()-3&gt;MAX(CE$4:CE$40),"",INDEX(CD$4:CD$40,MATCH(ROW()-3,CE$4:CE$40,0)))</f>
        <v/>
      </c>
      <c r="CG9">
        <f>IF('Final Calculation Sheet'!$AA$9="","",'Final Calculation Sheet'!$AA$9)</f>
        <v/>
      </c>
      <c r="CH9">
        <f>CH8+IF(AND(CG9&lt;&gt;"",COUNTIF(CG$4:CG9,CG9)=1),1,0)</f>
        <v/>
      </c>
      <c r="CI9">
        <f>IF(ROW()-3&gt;MAX(CH$4:CH$40),"",INDEX(CG$4:CG$40,MATCH(ROW()-3,CH$4:CH$40,0)))</f>
        <v/>
      </c>
      <c r="CJ9">
        <f>IF('Final Calculation Sheet'!$AB$9="","",'Final Calculation Sheet'!$AB$9)</f>
        <v/>
      </c>
      <c r="CK9">
        <f>CK8+IF(AND(CJ9&lt;&gt;"",COUNTIF(CJ$4:CJ9,CJ9)=1),1,0)</f>
        <v/>
      </c>
      <c r="CL9">
        <f>IF(ROW()-3&gt;MAX(CK$4:CK$40),"",INDEX(CJ$4:CJ$40,MATCH(ROW()-3,CK$4:CK$40,0)))</f>
        <v/>
      </c>
      <c r="CM9">
        <f>IF('Final Calculation Sheet'!$AC$9="","",'Final Calculation Sheet'!$AC$9)</f>
        <v/>
      </c>
      <c r="CN9">
        <f>CN8+IF(AND(CM9&lt;&gt;"",COUNTIF(CM$4:CM9,CM9)=1),1,0)</f>
        <v/>
      </c>
      <c r="CO9">
        <f>IF(ROW()-3&gt;MAX(CN$4:CN$40),"",INDEX(CM$4:CM$40,MATCH(ROW()-3,CN$4:CN$40,0)))</f>
        <v/>
      </c>
      <c r="CP9">
        <f>IF('Final Calculation Sheet'!$AD$9="","",'Final Calculation Sheet'!$AD$9)</f>
        <v/>
      </c>
      <c r="CQ9">
        <f>CQ8+IF(AND(CP9&lt;&gt;"",COUNTIF(CP$4:CP9,CP9)=1),1,0)</f>
        <v/>
      </c>
      <c r="CR9">
        <f>IF(ROW()-3&gt;MAX(CQ$4:CQ$40),"",INDEX(CP$4:CP$40,MATCH(ROW()-3,CQ$4:CQ$40,0)))</f>
        <v/>
      </c>
      <c r="CS9">
        <f>IF('Final Calculation Sheet'!$AE$9="","",'Final Calculation Sheet'!$AE$9)</f>
        <v/>
      </c>
      <c r="CT9">
        <f>CT8+IF(AND(CS9&lt;&gt;"",COUNTIF(CS$4:CS9,CS9)=1),1,0)</f>
        <v/>
      </c>
      <c r="CU9">
        <f>IF(ROW()-3&gt;MAX(CT$4:CT$40),"",INDEX(CS$4:CS$40,MATCH(ROW()-3,CT$4:CT$40,0)))</f>
        <v/>
      </c>
      <c r="CV9">
        <f>IF('Final Calculation Sheet'!$AF$9="","",'Final Calculation Sheet'!$AF$9)</f>
        <v/>
      </c>
      <c r="CW9">
        <f>CW8+IF(AND(CV9&lt;&gt;"",COUNTIF(CV$4:CV9,CV9)=1),1,0)</f>
        <v/>
      </c>
      <c r="CX9">
        <f>IF(ROW()-3&gt;MAX(CW$4:CW$40),"",INDEX(CV$4:CV$40,MATCH(ROW()-3,CW$4:CW$40,0)))</f>
        <v/>
      </c>
      <c r="CY9">
        <f>IF('Final Calculation Sheet'!$AG$9="","",'Final Calculation Sheet'!$AG$9)</f>
        <v/>
      </c>
      <c r="CZ9">
        <f>CZ8+IF(AND(CY9&lt;&gt;"",COUNTIF(CY$4:CY9,CY9)=1),1,0)</f>
        <v/>
      </c>
      <c r="DA9">
        <f>IF(ROW()-3&gt;MAX(CZ$4:CZ$40),"",INDEX(CY$4:CY$40,MATCH(ROW()-3,CZ$4:CZ$40,0)))</f>
        <v/>
      </c>
      <c r="DC9">
        <f>DC8+IF(AND(DB9&lt;&gt;"",COUNTIF(DB$4:DB9,DB9)=1),1,0)</f>
        <v/>
      </c>
      <c r="DD9">
        <f>IF(ROW()-3&gt;MAX(DC$4:DC$40),"",INDEX(DB$4:DB$40,MATCH(ROW()-3,DC$4:DC$40,0)))</f>
        <v/>
      </c>
    </row>
    <row r="10">
      <c r="A10">
        <f>IF('Final Calculation Sheet'!$F$10="","",'Final Calculation Sheet'!$F$10)</f>
        <v/>
      </c>
      <c r="B10">
        <f>B9+IF(AND(A10&lt;&gt;"",COUNTIF(A$4:A10,A10)=1),1,0)</f>
        <v/>
      </c>
      <c r="C10">
        <f>IF(ROW()-3&gt;MAX(B$4:B$114),"",INDEX(A$4:A$114,MATCH(ROW()-3,B$4:B$114,0)))</f>
        <v/>
      </c>
      <c r="D10">
        <f>ROW()-3</f>
        <v/>
      </c>
      <c r="E10">
        <f>E9+IF(AND(D10&lt;&gt;"",COUNTIF(D$4:D10,D10)=1),1,0)</f>
        <v/>
      </c>
      <c r="F10">
        <f>IF(ROW()-3&gt;MAX(E$4:E$40),"",INDEX(D$4:D$40,MATCH(ROW()-3,E$4:E$40,0)))</f>
        <v/>
      </c>
      <c r="G10">
        <f>IF('Final Calculation Sheet'!$F$10="","",'Final Calculation Sheet'!$F$10)</f>
        <v/>
      </c>
      <c r="H10">
        <f>H9+IF(AND(G10&lt;&gt;"",COUNTIF(G$4:G10,G10)=1),1,0)</f>
        <v/>
      </c>
      <c r="I10">
        <f>IF(ROW()-3&gt;MAX(H$4:H$40),"",INDEX(G$4:G$40,MATCH(ROW()-3,H$4:H$40,0)))</f>
        <v/>
      </c>
      <c r="J10">
        <f>IF('Final Calculation Sheet'!$G$10="","",'Final Calculation Sheet'!$G$10)</f>
        <v/>
      </c>
      <c r="K10">
        <f>K9+IF(AND(J10&lt;&gt;"",COUNTIF(J$4:J10,J10)=1),1,0)</f>
        <v/>
      </c>
      <c r="L10">
        <f>IF(ROW()-3&gt;MAX(K$4:K$40),"",INDEX(J$4:J$40,MATCH(ROW()-3,K$4:K$40,0)))</f>
        <v/>
      </c>
      <c r="M10">
        <f>IF('Final Calculation Sheet'!$B$10="","",'Final Calculation Sheet'!$B$10)</f>
        <v/>
      </c>
      <c r="N10">
        <f>N9+IF(AND(M10&lt;&gt;"",COUNTIF(M$4:M10,M10)=1),1,0)</f>
        <v/>
      </c>
      <c r="O10">
        <f>IF(ROW()-3&gt;MAX(N$4:N$40),"",INDEX(M$4:M$40,MATCH(ROW()-3,N$4:N$40,0)))</f>
        <v/>
      </c>
      <c r="P10">
        <f>IF('Final Calculation Sheet'!$D$10="","",'Final Calculation Sheet'!$D$10)</f>
        <v/>
      </c>
      <c r="Q10">
        <f>Q9+IF(AND(P10&lt;&gt;"",COUNTIF(P$4:P10,P10)=1),1,0)</f>
        <v/>
      </c>
      <c r="R10">
        <f>IF(ROW()-3&gt;MAX(Q$4:Q$40),"",INDEX(P$4:P$40,MATCH(ROW()-3,Q$4:Q$40,0)))</f>
        <v/>
      </c>
      <c r="S10">
        <f>IF('Final Calculation Sheet'!$A$10="","",'Final Calculation Sheet'!$A$10)</f>
        <v/>
      </c>
      <c r="T10">
        <f>T9+IF(AND(S10&lt;&gt;"",COUNTIF(S$4:S10,S10)=1),1,0)</f>
        <v/>
      </c>
      <c r="U10">
        <f>IF(ROW()-3&gt;MAX(T$4:T$40),"",INDEX(S$4:S$40,MATCH(ROW()-3,T$4:T$40,0)))</f>
        <v/>
      </c>
      <c r="V10">
        <f>IF('Final Calculation Sheet'!$E$10="","",'Final Calculation Sheet'!$E$10)</f>
        <v/>
      </c>
      <c r="W10">
        <f>W9+IF(AND(V10&lt;&gt;"",COUNTIF(V$4:V10,V10)=1),1,0)</f>
        <v/>
      </c>
      <c r="X10">
        <f>IF(ROW()-3&gt;MAX(W$4:W$40),"",INDEX(V$4:V$40,MATCH(ROW()-3,W$4:W$40,0)))</f>
        <v/>
      </c>
      <c r="Y10">
        <f>IF('Final Calculation Sheet'!$C$10="","",'Final Calculation Sheet'!$C$10)</f>
        <v/>
      </c>
      <c r="Z10">
        <f>Z9+IF(AND(Y10&lt;&gt;"",COUNTIF(Y$4:Y10,Y10)=1),1,0)</f>
        <v/>
      </c>
      <c r="AA10">
        <f>IF(ROW()-3&gt;MAX(Z$4:Z$40),"",INDEX(Y$4:Y$40,MATCH(ROW()-3,Z$4:Z$40,0)))</f>
        <v/>
      </c>
      <c r="AB10">
        <f>IF('Final Calculation Sheet'!$H$10="","",'Final Calculation Sheet'!$H$10)</f>
        <v/>
      </c>
      <c r="AC10">
        <f>AC9+IF(AND(AB10&lt;&gt;"",COUNTIF(AB$4:AB10,AB10)=1),1,0)</f>
        <v/>
      </c>
      <c r="AD10">
        <f>IF(ROW()-3&gt;MAX(AC$4:AC$40),"",INDEX(AB$4:AB$40,MATCH(ROW()-3,AC$4:AC$40,0)))</f>
        <v/>
      </c>
      <c r="AE10">
        <f>IF('Final Calculation Sheet'!$I$10="","",'Final Calculation Sheet'!$I$10)</f>
        <v/>
      </c>
      <c r="AF10">
        <f>AF9+IF(AND(AE10&lt;&gt;"",COUNTIF(AE$4:AE10,AE10)=1),1,0)</f>
        <v/>
      </c>
      <c r="AG10">
        <f>IF(ROW()-3&gt;MAX(AF$4:AF$40),"",INDEX(AE$4:AE$40,MATCH(ROW()-3,AF$4:AF$40,0)))</f>
        <v/>
      </c>
      <c r="AH10">
        <f>IF('Final Calculation Sheet'!$J$10="","",'Final Calculation Sheet'!$J$10)</f>
        <v/>
      </c>
      <c r="AI10">
        <f>AI9+IF(AND(AH10&lt;&gt;"",COUNTIF(AH$4:AH10,AH10)=1),1,0)</f>
        <v/>
      </c>
      <c r="AJ10">
        <f>IF(ROW()-3&gt;MAX(AI$4:AI$40),"",INDEX(AH$4:AH$40,MATCH(ROW()-3,AI$4:AI$40,0)))</f>
        <v/>
      </c>
      <c r="AK10">
        <f>IF('Final Calculation Sheet'!$K$10="","",'Final Calculation Sheet'!$K$10)</f>
        <v/>
      </c>
      <c r="AL10">
        <f>AL9+IF(AND(AK10&lt;&gt;"",COUNTIF(AK$4:AK10,AK10)=1),1,0)</f>
        <v/>
      </c>
      <c r="AM10">
        <f>IF(ROW()-3&gt;MAX(AL$4:AL$40),"",INDEX(AK$4:AK$40,MATCH(ROW()-3,AL$4:AL$40,0)))</f>
        <v/>
      </c>
      <c r="AN10">
        <f>IF('Final Calculation Sheet'!$L$10="","",'Final Calculation Sheet'!$L$10)</f>
        <v/>
      </c>
      <c r="AO10">
        <f>AO9+IF(AND(AN10&lt;&gt;"",COUNTIF(AN$4:AN10,AN10)=1),1,0)</f>
        <v/>
      </c>
      <c r="AP10">
        <f>IF(ROW()-3&gt;MAX(AO$4:AO$40),"",INDEX(AN$4:AN$40,MATCH(ROW()-3,AO$4:AO$40,0)))</f>
        <v/>
      </c>
      <c r="AQ10">
        <f>IF('Final Calculation Sheet'!$M$10="","",'Final Calculation Sheet'!$M$10)</f>
        <v/>
      </c>
      <c r="AR10">
        <f>AR9+IF(AND(AQ10&lt;&gt;"",COUNTIF(AQ$4:AQ10,AQ10)=1),1,0)</f>
        <v/>
      </c>
      <c r="AS10">
        <f>IF(ROW()-3&gt;MAX(AR$4:AR$40),"",INDEX(AQ$4:AQ$40,MATCH(ROW()-3,AR$4:AR$40,0)))</f>
        <v/>
      </c>
      <c r="AT10">
        <f>IF('Final Calculation Sheet'!$N$10="","",'Final Calculation Sheet'!$N$10)</f>
        <v/>
      </c>
      <c r="AU10">
        <f>AU9+IF(AND(AT10&lt;&gt;"",COUNTIF(AT$4:AT10,AT10)=1),1,0)</f>
        <v/>
      </c>
      <c r="AV10">
        <f>IF(ROW()-3&gt;MAX(AU$4:AU$40),"",INDEX(AT$4:AT$40,MATCH(ROW()-3,AU$4:AU$40,0)))</f>
        <v/>
      </c>
      <c r="AW10">
        <f>IF('Final Calculation Sheet'!$O$10="","",'Final Calculation Sheet'!$O$10)</f>
        <v/>
      </c>
      <c r="AX10">
        <f>AX9+IF(AND(AW10&lt;&gt;"",COUNTIF(AW$4:AW10,AW10)=1),1,0)</f>
        <v/>
      </c>
      <c r="AY10">
        <f>IF(ROW()-3&gt;MAX(AX$4:AX$40),"",INDEX(AW$4:AW$40,MATCH(ROW()-3,AX$4:AX$40,0)))</f>
        <v/>
      </c>
      <c r="AZ10">
        <f>IF('Final Calculation Sheet'!$P$10="","",'Final Calculation Sheet'!$P$10)</f>
        <v/>
      </c>
      <c r="BA10">
        <f>BA9+IF(AND(AZ10&lt;&gt;"",COUNTIF(AZ$4:AZ10,AZ10)=1),1,0)</f>
        <v/>
      </c>
      <c r="BB10">
        <f>IF(ROW()-3&gt;MAX(BA$4:BA$40),"",INDEX(AZ$4:AZ$40,MATCH(ROW()-3,BA$4:BA$40,0)))</f>
        <v/>
      </c>
      <c r="BC10">
        <f>IF('Final Calculation Sheet'!$Q$10="","",'Final Calculation Sheet'!$Q$10)</f>
        <v/>
      </c>
      <c r="BD10">
        <f>BD9+IF(AND(BC10&lt;&gt;"",COUNTIF(BC$4:BC10,BC10)=1),1,0)</f>
        <v/>
      </c>
      <c r="BE10">
        <f>IF(ROW()-3&gt;MAX(BD$4:BD$40),"",INDEX(BC$4:BC$40,MATCH(ROW()-3,BD$4:BD$40,0)))</f>
        <v/>
      </c>
      <c r="BF10">
        <f>IF('Final Calculation Sheet'!$R$10="","",'Final Calculation Sheet'!$R$10)</f>
        <v/>
      </c>
      <c r="BG10">
        <f>BG9+IF(AND(BF10&lt;&gt;"",COUNTIF(BF$4:BF10,BF10)=1),1,0)</f>
        <v/>
      </c>
      <c r="BH10">
        <f>IF(ROW()-3&gt;MAX(BG$4:BG$40),"",INDEX(BF$4:BF$40,MATCH(ROW()-3,BG$4:BG$40,0)))</f>
        <v/>
      </c>
      <c r="BI10">
        <f>IF('Final Calculation Sheet'!$S$10="","",'Final Calculation Sheet'!$S$10)</f>
        <v/>
      </c>
      <c r="BJ10">
        <f>BJ9+IF(AND(BI10&lt;&gt;"",COUNTIF(BI$4:BI10,BI10)=1),1,0)</f>
        <v/>
      </c>
      <c r="BK10">
        <f>IF(ROW()-3&gt;MAX(BJ$4:BJ$40),"",INDEX(BI$4:BI$40,MATCH(ROW()-3,BJ$4:BJ$40,0)))</f>
        <v/>
      </c>
      <c r="BL10">
        <f>IF('Final Calculation Sheet'!$T$10="","",'Final Calculation Sheet'!$T$10)</f>
        <v/>
      </c>
      <c r="BM10">
        <f>BM9+IF(AND(BL10&lt;&gt;"",COUNTIF(BL$4:BL10,BL10)=1),1,0)</f>
        <v/>
      </c>
      <c r="BN10">
        <f>IF(ROW()-3&gt;MAX(BM$4:BM$40),"",INDEX(BL$4:BL$40,MATCH(ROW()-3,BM$4:BM$40,0)))</f>
        <v/>
      </c>
      <c r="BO10">
        <f>IF('Final Calculation Sheet'!$U$10="","",'Final Calculation Sheet'!$U$10)</f>
        <v/>
      </c>
      <c r="BP10">
        <f>BP9+IF(AND(BO10&lt;&gt;"",COUNTIF(BO$4:BO10,BO10)=1),1,0)</f>
        <v/>
      </c>
      <c r="BQ10">
        <f>IF(ROW()-3&gt;MAX(BP$4:BP$40),"",INDEX(BO$4:BO$40,MATCH(ROW()-3,BP$4:BP$40,0)))</f>
        <v/>
      </c>
      <c r="BR10">
        <f>IF('Final Calculation Sheet'!$V$10="","",'Final Calculation Sheet'!$V$10)</f>
        <v/>
      </c>
      <c r="BS10">
        <f>BS9+IF(AND(BR10&lt;&gt;"",COUNTIF(BR$4:BR10,BR10)=1),1,0)</f>
        <v/>
      </c>
      <c r="BT10">
        <f>IF(ROW()-3&gt;MAX(BS$4:BS$40),"",INDEX(BR$4:BR$40,MATCH(ROW()-3,BS$4:BS$40,0)))</f>
        <v/>
      </c>
      <c r="BU10">
        <f>IF('Final Calculation Sheet'!$W$10="","",'Final Calculation Sheet'!$W$10)</f>
        <v/>
      </c>
      <c r="BV10">
        <f>BV9+IF(AND(BU10&lt;&gt;"",COUNTIF(BU$4:BU10,BU10)=1),1,0)</f>
        <v/>
      </c>
      <c r="BW10">
        <f>IF(ROW()-3&gt;MAX(BV$4:BV$40),"",INDEX(BU$4:BU$40,MATCH(ROW()-3,BV$4:BV$40,0)))</f>
        <v/>
      </c>
      <c r="BX10">
        <f>IF('Final Calculation Sheet'!$X$10="","",'Final Calculation Sheet'!$X$10)</f>
        <v/>
      </c>
      <c r="BY10">
        <f>BY9+IF(AND(BX10&lt;&gt;"",COUNTIF(BX$4:BX10,BX10)=1),1,0)</f>
        <v/>
      </c>
      <c r="BZ10">
        <f>IF(ROW()-3&gt;MAX(BY$4:BY$40),"",INDEX(BX$4:BX$40,MATCH(ROW()-3,BY$4:BY$40,0)))</f>
        <v/>
      </c>
      <c r="CA10">
        <f>IF('Final Calculation Sheet'!$Y$10="","",'Final Calculation Sheet'!$Y$10)</f>
        <v/>
      </c>
      <c r="CB10">
        <f>CB9+IF(AND(CA10&lt;&gt;"",COUNTIF(CA$4:CA10,CA10)=1),1,0)</f>
        <v/>
      </c>
      <c r="CC10">
        <f>IF(ROW()-3&gt;MAX(CB$4:CB$40),"",INDEX(CA$4:CA$40,MATCH(ROW()-3,CB$4:CB$40,0)))</f>
        <v/>
      </c>
      <c r="CD10">
        <f>IF('Final Calculation Sheet'!$Z$10="","",'Final Calculation Sheet'!$Z$10)</f>
        <v/>
      </c>
      <c r="CE10">
        <f>CE9+IF(AND(CD10&lt;&gt;"",COUNTIF(CD$4:CD10,CD10)=1),1,0)</f>
        <v/>
      </c>
      <c r="CF10">
        <f>IF(ROW()-3&gt;MAX(CE$4:CE$40),"",INDEX(CD$4:CD$40,MATCH(ROW()-3,CE$4:CE$40,0)))</f>
        <v/>
      </c>
      <c r="CG10">
        <f>IF('Final Calculation Sheet'!$AA$10="","",'Final Calculation Sheet'!$AA$10)</f>
        <v/>
      </c>
      <c r="CH10">
        <f>CH9+IF(AND(CG10&lt;&gt;"",COUNTIF(CG$4:CG10,CG10)=1),1,0)</f>
        <v/>
      </c>
      <c r="CI10">
        <f>IF(ROW()-3&gt;MAX(CH$4:CH$40),"",INDEX(CG$4:CG$40,MATCH(ROW()-3,CH$4:CH$40,0)))</f>
        <v/>
      </c>
      <c r="CJ10">
        <f>IF('Final Calculation Sheet'!$AB$10="","",'Final Calculation Sheet'!$AB$10)</f>
        <v/>
      </c>
      <c r="CK10">
        <f>CK9+IF(AND(CJ10&lt;&gt;"",COUNTIF(CJ$4:CJ10,CJ10)=1),1,0)</f>
        <v/>
      </c>
      <c r="CL10">
        <f>IF(ROW()-3&gt;MAX(CK$4:CK$40),"",INDEX(CJ$4:CJ$40,MATCH(ROW()-3,CK$4:CK$40,0)))</f>
        <v/>
      </c>
      <c r="CM10">
        <f>IF('Final Calculation Sheet'!$AC$10="","",'Final Calculation Sheet'!$AC$10)</f>
        <v/>
      </c>
      <c r="CN10">
        <f>CN9+IF(AND(CM10&lt;&gt;"",COUNTIF(CM$4:CM10,CM10)=1),1,0)</f>
        <v/>
      </c>
      <c r="CO10">
        <f>IF(ROW()-3&gt;MAX(CN$4:CN$40),"",INDEX(CM$4:CM$40,MATCH(ROW()-3,CN$4:CN$40,0)))</f>
        <v/>
      </c>
      <c r="CP10">
        <f>IF('Final Calculation Sheet'!$AD$10="","",'Final Calculation Sheet'!$AD$10)</f>
        <v/>
      </c>
      <c r="CQ10">
        <f>CQ9+IF(AND(CP10&lt;&gt;"",COUNTIF(CP$4:CP10,CP10)=1),1,0)</f>
        <v/>
      </c>
      <c r="CR10">
        <f>IF(ROW()-3&gt;MAX(CQ$4:CQ$40),"",INDEX(CP$4:CP$40,MATCH(ROW()-3,CQ$4:CQ$40,0)))</f>
        <v/>
      </c>
      <c r="CS10">
        <f>IF('Final Calculation Sheet'!$AE$10="","",'Final Calculation Sheet'!$AE$10)</f>
        <v/>
      </c>
      <c r="CT10">
        <f>CT9+IF(AND(CS10&lt;&gt;"",COUNTIF(CS$4:CS10,CS10)=1),1,0)</f>
        <v/>
      </c>
      <c r="CU10">
        <f>IF(ROW()-3&gt;MAX(CT$4:CT$40),"",INDEX(CS$4:CS$40,MATCH(ROW()-3,CT$4:CT$40,0)))</f>
        <v/>
      </c>
      <c r="CV10">
        <f>IF('Final Calculation Sheet'!$AF$10="","",'Final Calculation Sheet'!$AF$10)</f>
        <v/>
      </c>
      <c r="CW10">
        <f>CW9+IF(AND(CV10&lt;&gt;"",COUNTIF(CV$4:CV10,CV10)=1),1,0)</f>
        <v/>
      </c>
      <c r="CX10">
        <f>IF(ROW()-3&gt;MAX(CW$4:CW$40),"",INDEX(CV$4:CV$40,MATCH(ROW()-3,CW$4:CW$40,0)))</f>
        <v/>
      </c>
      <c r="CY10">
        <f>IF('Final Calculation Sheet'!$AG$10="","",'Final Calculation Sheet'!$AG$10)</f>
        <v/>
      </c>
      <c r="CZ10">
        <f>CZ9+IF(AND(CY10&lt;&gt;"",COUNTIF(CY$4:CY10,CY10)=1),1,0)</f>
        <v/>
      </c>
      <c r="DA10">
        <f>IF(ROW()-3&gt;MAX(CZ$4:CZ$40),"",INDEX(CY$4:CY$40,MATCH(ROW()-3,CZ$4:CZ$40,0)))</f>
        <v/>
      </c>
      <c r="DC10">
        <f>DC9+IF(AND(DB10&lt;&gt;"",COUNTIF(DB$4:DB10,DB10)=1),1,0)</f>
        <v/>
      </c>
      <c r="DD10">
        <f>IF(ROW()-3&gt;MAX(DC$4:DC$40),"",INDEX(DB$4:DB$40,MATCH(ROW()-3,DC$4:DC$40,0)))</f>
        <v/>
      </c>
    </row>
    <row r="11">
      <c r="A11">
        <f>IF('Final Calculation Sheet'!$F$11="","",'Final Calculation Sheet'!$F$11)</f>
        <v/>
      </c>
      <c r="B11">
        <f>B10+IF(AND(A11&lt;&gt;"",COUNTIF(A$4:A11,A11)=1),1,0)</f>
        <v/>
      </c>
      <c r="C11">
        <f>IF(ROW()-3&gt;MAX(B$4:B$114),"",INDEX(A$4:A$114,MATCH(ROW()-3,B$4:B$114,0)))</f>
        <v/>
      </c>
      <c r="D11">
        <f>ROW()-3</f>
        <v/>
      </c>
      <c r="E11">
        <f>E10+IF(AND(D11&lt;&gt;"",COUNTIF(D$4:D11,D11)=1),1,0)</f>
        <v/>
      </c>
      <c r="F11">
        <f>IF(ROW()-3&gt;MAX(E$4:E$40),"",INDEX(D$4:D$40,MATCH(ROW()-3,E$4:E$40,0)))</f>
        <v/>
      </c>
      <c r="G11">
        <f>IF('Final Calculation Sheet'!$F$11="","",'Final Calculation Sheet'!$F$11)</f>
        <v/>
      </c>
      <c r="H11">
        <f>H10+IF(AND(G11&lt;&gt;"",COUNTIF(G$4:G11,G11)=1),1,0)</f>
        <v/>
      </c>
      <c r="I11">
        <f>IF(ROW()-3&gt;MAX(H$4:H$40),"",INDEX(G$4:G$40,MATCH(ROW()-3,H$4:H$40,0)))</f>
        <v/>
      </c>
      <c r="J11">
        <f>IF('Final Calculation Sheet'!$G$11="","",'Final Calculation Sheet'!$G$11)</f>
        <v/>
      </c>
      <c r="K11">
        <f>K10+IF(AND(J11&lt;&gt;"",COUNTIF(J$4:J11,J11)=1),1,0)</f>
        <v/>
      </c>
      <c r="L11">
        <f>IF(ROW()-3&gt;MAX(K$4:K$40),"",INDEX(J$4:J$40,MATCH(ROW()-3,K$4:K$40,0)))</f>
        <v/>
      </c>
      <c r="M11">
        <f>IF('Final Calculation Sheet'!$B$11="","",'Final Calculation Sheet'!$B$11)</f>
        <v/>
      </c>
      <c r="N11">
        <f>N10+IF(AND(M11&lt;&gt;"",COUNTIF(M$4:M11,M11)=1),1,0)</f>
        <v/>
      </c>
      <c r="O11">
        <f>IF(ROW()-3&gt;MAX(N$4:N$40),"",INDEX(M$4:M$40,MATCH(ROW()-3,N$4:N$40,0)))</f>
        <v/>
      </c>
      <c r="P11">
        <f>IF('Final Calculation Sheet'!$D$11="","",'Final Calculation Sheet'!$D$11)</f>
        <v/>
      </c>
      <c r="Q11">
        <f>Q10+IF(AND(P11&lt;&gt;"",COUNTIF(P$4:P11,P11)=1),1,0)</f>
        <v/>
      </c>
      <c r="R11">
        <f>IF(ROW()-3&gt;MAX(Q$4:Q$40),"",INDEX(P$4:P$40,MATCH(ROW()-3,Q$4:Q$40,0)))</f>
        <v/>
      </c>
      <c r="S11">
        <f>IF('Final Calculation Sheet'!$A$11="","",'Final Calculation Sheet'!$A$11)</f>
        <v/>
      </c>
      <c r="T11">
        <f>T10+IF(AND(S11&lt;&gt;"",COUNTIF(S$4:S11,S11)=1),1,0)</f>
        <v/>
      </c>
      <c r="U11">
        <f>IF(ROW()-3&gt;MAX(T$4:T$40),"",INDEX(S$4:S$40,MATCH(ROW()-3,T$4:T$40,0)))</f>
        <v/>
      </c>
      <c r="V11">
        <f>IF('Final Calculation Sheet'!$E$11="","",'Final Calculation Sheet'!$E$11)</f>
        <v/>
      </c>
      <c r="W11">
        <f>W10+IF(AND(V11&lt;&gt;"",COUNTIF(V$4:V11,V11)=1),1,0)</f>
        <v/>
      </c>
      <c r="X11">
        <f>IF(ROW()-3&gt;MAX(W$4:W$40),"",INDEX(V$4:V$40,MATCH(ROW()-3,W$4:W$40,0)))</f>
        <v/>
      </c>
      <c r="Y11">
        <f>IF('Final Calculation Sheet'!$C$11="","",'Final Calculation Sheet'!$C$11)</f>
        <v/>
      </c>
      <c r="Z11">
        <f>Z10+IF(AND(Y11&lt;&gt;"",COUNTIF(Y$4:Y11,Y11)=1),1,0)</f>
        <v/>
      </c>
      <c r="AA11">
        <f>IF(ROW()-3&gt;MAX(Z$4:Z$40),"",INDEX(Y$4:Y$40,MATCH(ROW()-3,Z$4:Z$40,0)))</f>
        <v/>
      </c>
      <c r="AB11">
        <f>IF('Final Calculation Sheet'!$H$11="","",'Final Calculation Sheet'!$H$11)</f>
        <v/>
      </c>
      <c r="AC11">
        <f>AC10+IF(AND(AB11&lt;&gt;"",COUNTIF(AB$4:AB11,AB11)=1),1,0)</f>
        <v/>
      </c>
      <c r="AD11">
        <f>IF(ROW()-3&gt;MAX(AC$4:AC$40),"",INDEX(AB$4:AB$40,MATCH(ROW()-3,AC$4:AC$40,0)))</f>
        <v/>
      </c>
      <c r="AE11">
        <f>IF('Final Calculation Sheet'!$I$11="","",'Final Calculation Sheet'!$I$11)</f>
        <v/>
      </c>
      <c r="AF11">
        <f>AF10+IF(AND(AE11&lt;&gt;"",COUNTIF(AE$4:AE11,AE11)=1),1,0)</f>
        <v/>
      </c>
      <c r="AG11">
        <f>IF(ROW()-3&gt;MAX(AF$4:AF$40),"",INDEX(AE$4:AE$40,MATCH(ROW()-3,AF$4:AF$40,0)))</f>
        <v/>
      </c>
      <c r="AH11">
        <f>IF('Final Calculation Sheet'!$J$11="","",'Final Calculation Sheet'!$J$11)</f>
        <v/>
      </c>
      <c r="AI11">
        <f>AI10+IF(AND(AH11&lt;&gt;"",COUNTIF(AH$4:AH11,AH11)=1),1,0)</f>
        <v/>
      </c>
      <c r="AJ11">
        <f>IF(ROW()-3&gt;MAX(AI$4:AI$40),"",INDEX(AH$4:AH$40,MATCH(ROW()-3,AI$4:AI$40,0)))</f>
        <v/>
      </c>
      <c r="AK11">
        <f>IF('Final Calculation Sheet'!$K$11="","",'Final Calculation Sheet'!$K$11)</f>
        <v/>
      </c>
      <c r="AL11">
        <f>AL10+IF(AND(AK11&lt;&gt;"",COUNTIF(AK$4:AK11,AK11)=1),1,0)</f>
        <v/>
      </c>
      <c r="AM11">
        <f>IF(ROW()-3&gt;MAX(AL$4:AL$40),"",INDEX(AK$4:AK$40,MATCH(ROW()-3,AL$4:AL$40,0)))</f>
        <v/>
      </c>
      <c r="AN11">
        <f>IF('Final Calculation Sheet'!$L$11="","",'Final Calculation Sheet'!$L$11)</f>
        <v/>
      </c>
      <c r="AO11">
        <f>AO10+IF(AND(AN11&lt;&gt;"",COUNTIF(AN$4:AN11,AN11)=1),1,0)</f>
        <v/>
      </c>
      <c r="AP11">
        <f>IF(ROW()-3&gt;MAX(AO$4:AO$40),"",INDEX(AN$4:AN$40,MATCH(ROW()-3,AO$4:AO$40,0)))</f>
        <v/>
      </c>
      <c r="AQ11">
        <f>IF('Final Calculation Sheet'!$M$11="","",'Final Calculation Sheet'!$M$11)</f>
        <v/>
      </c>
      <c r="AR11">
        <f>AR10+IF(AND(AQ11&lt;&gt;"",COUNTIF(AQ$4:AQ11,AQ11)=1),1,0)</f>
        <v/>
      </c>
      <c r="AS11">
        <f>IF(ROW()-3&gt;MAX(AR$4:AR$40),"",INDEX(AQ$4:AQ$40,MATCH(ROW()-3,AR$4:AR$40,0)))</f>
        <v/>
      </c>
      <c r="AT11">
        <f>IF('Final Calculation Sheet'!$N$11="","",'Final Calculation Sheet'!$N$11)</f>
        <v/>
      </c>
      <c r="AU11">
        <f>AU10+IF(AND(AT11&lt;&gt;"",COUNTIF(AT$4:AT11,AT11)=1),1,0)</f>
        <v/>
      </c>
      <c r="AV11">
        <f>IF(ROW()-3&gt;MAX(AU$4:AU$40),"",INDEX(AT$4:AT$40,MATCH(ROW()-3,AU$4:AU$40,0)))</f>
        <v/>
      </c>
      <c r="AW11">
        <f>IF('Final Calculation Sheet'!$O$11="","",'Final Calculation Sheet'!$O$11)</f>
        <v/>
      </c>
      <c r="AX11">
        <f>AX10+IF(AND(AW11&lt;&gt;"",COUNTIF(AW$4:AW11,AW11)=1),1,0)</f>
        <v/>
      </c>
      <c r="AY11">
        <f>IF(ROW()-3&gt;MAX(AX$4:AX$40),"",INDEX(AW$4:AW$40,MATCH(ROW()-3,AX$4:AX$40,0)))</f>
        <v/>
      </c>
      <c r="AZ11">
        <f>IF('Final Calculation Sheet'!$P$11="","",'Final Calculation Sheet'!$P$11)</f>
        <v/>
      </c>
      <c r="BA11">
        <f>BA10+IF(AND(AZ11&lt;&gt;"",COUNTIF(AZ$4:AZ11,AZ11)=1),1,0)</f>
        <v/>
      </c>
      <c r="BB11">
        <f>IF(ROW()-3&gt;MAX(BA$4:BA$40),"",INDEX(AZ$4:AZ$40,MATCH(ROW()-3,BA$4:BA$40,0)))</f>
        <v/>
      </c>
      <c r="BC11">
        <f>IF('Final Calculation Sheet'!$Q$11="","",'Final Calculation Sheet'!$Q$11)</f>
        <v/>
      </c>
      <c r="BD11">
        <f>BD10+IF(AND(BC11&lt;&gt;"",COUNTIF(BC$4:BC11,BC11)=1),1,0)</f>
        <v/>
      </c>
      <c r="BE11">
        <f>IF(ROW()-3&gt;MAX(BD$4:BD$40),"",INDEX(BC$4:BC$40,MATCH(ROW()-3,BD$4:BD$40,0)))</f>
        <v/>
      </c>
      <c r="BF11">
        <f>IF('Final Calculation Sheet'!$R$11="","",'Final Calculation Sheet'!$R$11)</f>
        <v/>
      </c>
      <c r="BG11">
        <f>BG10+IF(AND(BF11&lt;&gt;"",COUNTIF(BF$4:BF11,BF11)=1),1,0)</f>
        <v/>
      </c>
      <c r="BH11">
        <f>IF(ROW()-3&gt;MAX(BG$4:BG$40),"",INDEX(BF$4:BF$40,MATCH(ROW()-3,BG$4:BG$40,0)))</f>
        <v/>
      </c>
      <c r="BI11">
        <f>IF('Final Calculation Sheet'!$S$11="","",'Final Calculation Sheet'!$S$11)</f>
        <v/>
      </c>
      <c r="BJ11">
        <f>BJ10+IF(AND(BI11&lt;&gt;"",COUNTIF(BI$4:BI11,BI11)=1),1,0)</f>
        <v/>
      </c>
      <c r="BK11">
        <f>IF(ROW()-3&gt;MAX(BJ$4:BJ$40),"",INDEX(BI$4:BI$40,MATCH(ROW()-3,BJ$4:BJ$40,0)))</f>
        <v/>
      </c>
      <c r="BL11">
        <f>IF('Final Calculation Sheet'!$T$11="","",'Final Calculation Sheet'!$T$11)</f>
        <v/>
      </c>
      <c r="BM11">
        <f>BM10+IF(AND(BL11&lt;&gt;"",COUNTIF(BL$4:BL11,BL11)=1),1,0)</f>
        <v/>
      </c>
      <c r="BN11">
        <f>IF(ROW()-3&gt;MAX(BM$4:BM$40),"",INDEX(BL$4:BL$40,MATCH(ROW()-3,BM$4:BM$40,0)))</f>
        <v/>
      </c>
      <c r="BO11">
        <f>IF('Final Calculation Sheet'!$U$11="","",'Final Calculation Sheet'!$U$11)</f>
        <v/>
      </c>
      <c r="BP11">
        <f>BP10+IF(AND(BO11&lt;&gt;"",COUNTIF(BO$4:BO11,BO11)=1),1,0)</f>
        <v/>
      </c>
      <c r="BQ11">
        <f>IF(ROW()-3&gt;MAX(BP$4:BP$40),"",INDEX(BO$4:BO$40,MATCH(ROW()-3,BP$4:BP$40,0)))</f>
        <v/>
      </c>
      <c r="BR11">
        <f>IF('Final Calculation Sheet'!$V$11="","",'Final Calculation Sheet'!$V$11)</f>
        <v/>
      </c>
      <c r="BS11">
        <f>BS10+IF(AND(BR11&lt;&gt;"",COUNTIF(BR$4:BR11,BR11)=1),1,0)</f>
        <v/>
      </c>
      <c r="BT11">
        <f>IF(ROW()-3&gt;MAX(BS$4:BS$40),"",INDEX(BR$4:BR$40,MATCH(ROW()-3,BS$4:BS$40,0)))</f>
        <v/>
      </c>
      <c r="BU11">
        <f>IF('Final Calculation Sheet'!$W$11="","",'Final Calculation Sheet'!$W$11)</f>
        <v/>
      </c>
      <c r="BV11">
        <f>BV10+IF(AND(BU11&lt;&gt;"",COUNTIF(BU$4:BU11,BU11)=1),1,0)</f>
        <v/>
      </c>
      <c r="BW11">
        <f>IF(ROW()-3&gt;MAX(BV$4:BV$40),"",INDEX(BU$4:BU$40,MATCH(ROW()-3,BV$4:BV$40,0)))</f>
        <v/>
      </c>
      <c r="BX11">
        <f>IF('Final Calculation Sheet'!$X$11="","",'Final Calculation Sheet'!$X$11)</f>
        <v/>
      </c>
      <c r="BY11">
        <f>BY10+IF(AND(BX11&lt;&gt;"",COUNTIF(BX$4:BX11,BX11)=1),1,0)</f>
        <v/>
      </c>
      <c r="BZ11">
        <f>IF(ROW()-3&gt;MAX(BY$4:BY$40),"",INDEX(BX$4:BX$40,MATCH(ROW()-3,BY$4:BY$40,0)))</f>
        <v/>
      </c>
      <c r="CA11">
        <f>IF('Final Calculation Sheet'!$Y$11="","",'Final Calculation Sheet'!$Y$11)</f>
        <v/>
      </c>
      <c r="CB11">
        <f>CB10+IF(AND(CA11&lt;&gt;"",COUNTIF(CA$4:CA11,CA11)=1),1,0)</f>
        <v/>
      </c>
      <c r="CC11">
        <f>IF(ROW()-3&gt;MAX(CB$4:CB$40),"",INDEX(CA$4:CA$40,MATCH(ROW()-3,CB$4:CB$40,0)))</f>
        <v/>
      </c>
      <c r="CD11">
        <f>IF('Final Calculation Sheet'!$Z$11="","",'Final Calculation Sheet'!$Z$11)</f>
        <v/>
      </c>
      <c r="CE11">
        <f>CE10+IF(AND(CD11&lt;&gt;"",COUNTIF(CD$4:CD11,CD11)=1),1,0)</f>
        <v/>
      </c>
      <c r="CF11">
        <f>IF(ROW()-3&gt;MAX(CE$4:CE$40),"",INDEX(CD$4:CD$40,MATCH(ROW()-3,CE$4:CE$40,0)))</f>
        <v/>
      </c>
      <c r="CG11">
        <f>IF('Final Calculation Sheet'!$AA$11="","",'Final Calculation Sheet'!$AA$11)</f>
        <v/>
      </c>
      <c r="CH11">
        <f>CH10+IF(AND(CG11&lt;&gt;"",COUNTIF(CG$4:CG11,CG11)=1),1,0)</f>
        <v/>
      </c>
      <c r="CI11">
        <f>IF(ROW()-3&gt;MAX(CH$4:CH$40),"",INDEX(CG$4:CG$40,MATCH(ROW()-3,CH$4:CH$40,0)))</f>
        <v/>
      </c>
      <c r="CJ11">
        <f>IF('Final Calculation Sheet'!$AB$11="","",'Final Calculation Sheet'!$AB$11)</f>
        <v/>
      </c>
      <c r="CK11">
        <f>CK10+IF(AND(CJ11&lt;&gt;"",COUNTIF(CJ$4:CJ11,CJ11)=1),1,0)</f>
        <v/>
      </c>
      <c r="CL11">
        <f>IF(ROW()-3&gt;MAX(CK$4:CK$40),"",INDEX(CJ$4:CJ$40,MATCH(ROW()-3,CK$4:CK$40,0)))</f>
        <v/>
      </c>
      <c r="CM11">
        <f>IF('Final Calculation Sheet'!$AC$11="","",'Final Calculation Sheet'!$AC$11)</f>
        <v/>
      </c>
      <c r="CN11">
        <f>CN10+IF(AND(CM11&lt;&gt;"",COUNTIF(CM$4:CM11,CM11)=1),1,0)</f>
        <v/>
      </c>
      <c r="CO11">
        <f>IF(ROW()-3&gt;MAX(CN$4:CN$40),"",INDEX(CM$4:CM$40,MATCH(ROW()-3,CN$4:CN$40,0)))</f>
        <v/>
      </c>
      <c r="CP11">
        <f>IF('Final Calculation Sheet'!$AD$11="","",'Final Calculation Sheet'!$AD$11)</f>
        <v/>
      </c>
      <c r="CQ11">
        <f>CQ10+IF(AND(CP11&lt;&gt;"",COUNTIF(CP$4:CP11,CP11)=1),1,0)</f>
        <v/>
      </c>
      <c r="CR11">
        <f>IF(ROW()-3&gt;MAX(CQ$4:CQ$40),"",INDEX(CP$4:CP$40,MATCH(ROW()-3,CQ$4:CQ$40,0)))</f>
        <v/>
      </c>
      <c r="CS11">
        <f>IF('Final Calculation Sheet'!$AE$11="","",'Final Calculation Sheet'!$AE$11)</f>
        <v/>
      </c>
      <c r="CT11">
        <f>CT10+IF(AND(CS11&lt;&gt;"",COUNTIF(CS$4:CS11,CS11)=1),1,0)</f>
        <v/>
      </c>
      <c r="CU11">
        <f>IF(ROW()-3&gt;MAX(CT$4:CT$40),"",INDEX(CS$4:CS$40,MATCH(ROW()-3,CT$4:CT$40,0)))</f>
        <v/>
      </c>
      <c r="CV11">
        <f>IF('Final Calculation Sheet'!$AF$11="","",'Final Calculation Sheet'!$AF$11)</f>
        <v/>
      </c>
      <c r="CW11">
        <f>CW10+IF(AND(CV11&lt;&gt;"",COUNTIF(CV$4:CV11,CV11)=1),1,0)</f>
        <v/>
      </c>
      <c r="CX11">
        <f>IF(ROW()-3&gt;MAX(CW$4:CW$40),"",INDEX(CV$4:CV$40,MATCH(ROW()-3,CW$4:CW$40,0)))</f>
        <v/>
      </c>
      <c r="CY11">
        <f>IF('Final Calculation Sheet'!$AG$11="","",'Final Calculation Sheet'!$AG$11)</f>
        <v/>
      </c>
      <c r="CZ11">
        <f>CZ10+IF(AND(CY11&lt;&gt;"",COUNTIF(CY$4:CY11,CY11)=1),1,0)</f>
        <v/>
      </c>
      <c r="DA11">
        <f>IF(ROW()-3&gt;MAX(CZ$4:CZ$40),"",INDEX(CY$4:CY$40,MATCH(ROW()-3,CZ$4:CZ$40,0)))</f>
        <v/>
      </c>
      <c r="DC11">
        <f>DC10+IF(AND(DB11&lt;&gt;"",COUNTIF(DB$4:DB11,DB11)=1),1,0)</f>
        <v/>
      </c>
      <c r="DD11">
        <f>IF(ROW()-3&gt;MAX(DC$4:DC$40),"",INDEX(DB$4:DB$40,MATCH(ROW()-3,DC$4:DC$40,0)))</f>
        <v/>
      </c>
    </row>
    <row r="12">
      <c r="A12">
        <f>IF('Final Calculation Sheet'!$F$12="","",'Final Calculation Sheet'!$F$12)</f>
        <v/>
      </c>
      <c r="B12">
        <f>B11+IF(AND(A12&lt;&gt;"",COUNTIF(A$4:A12,A12)=1),1,0)</f>
        <v/>
      </c>
      <c r="C12">
        <f>IF(ROW()-3&gt;MAX(B$4:B$114),"",INDEX(A$4:A$114,MATCH(ROW()-3,B$4:B$114,0)))</f>
        <v/>
      </c>
      <c r="D12">
        <f>ROW()-3</f>
        <v/>
      </c>
      <c r="E12">
        <f>E11+IF(AND(D12&lt;&gt;"",COUNTIF(D$4:D12,D12)=1),1,0)</f>
        <v/>
      </c>
      <c r="F12">
        <f>IF(ROW()-3&gt;MAX(E$4:E$40),"",INDEX(D$4:D$40,MATCH(ROW()-3,E$4:E$40,0)))</f>
        <v/>
      </c>
      <c r="G12">
        <f>IF('Final Calculation Sheet'!$F$12="","",'Final Calculation Sheet'!$F$12)</f>
        <v/>
      </c>
      <c r="H12">
        <f>H11+IF(AND(G12&lt;&gt;"",COUNTIF(G$4:G12,G12)=1),1,0)</f>
        <v/>
      </c>
      <c r="I12">
        <f>IF(ROW()-3&gt;MAX(H$4:H$40),"",INDEX(G$4:G$40,MATCH(ROW()-3,H$4:H$40,0)))</f>
        <v/>
      </c>
      <c r="J12">
        <f>IF('Final Calculation Sheet'!$G$12="","",'Final Calculation Sheet'!$G$12)</f>
        <v/>
      </c>
      <c r="K12">
        <f>K11+IF(AND(J12&lt;&gt;"",COUNTIF(J$4:J12,J12)=1),1,0)</f>
        <v/>
      </c>
      <c r="L12">
        <f>IF(ROW()-3&gt;MAX(K$4:K$40),"",INDEX(J$4:J$40,MATCH(ROW()-3,K$4:K$40,0)))</f>
        <v/>
      </c>
      <c r="M12">
        <f>IF('Final Calculation Sheet'!$B$12="","",'Final Calculation Sheet'!$B$12)</f>
        <v/>
      </c>
      <c r="N12">
        <f>N11+IF(AND(M12&lt;&gt;"",COUNTIF(M$4:M12,M12)=1),1,0)</f>
        <v/>
      </c>
      <c r="O12">
        <f>IF(ROW()-3&gt;MAX(N$4:N$40),"",INDEX(M$4:M$40,MATCH(ROW()-3,N$4:N$40,0)))</f>
        <v/>
      </c>
      <c r="P12">
        <f>IF('Final Calculation Sheet'!$D$12="","",'Final Calculation Sheet'!$D$12)</f>
        <v/>
      </c>
      <c r="Q12">
        <f>Q11+IF(AND(P12&lt;&gt;"",COUNTIF(P$4:P12,P12)=1),1,0)</f>
        <v/>
      </c>
      <c r="R12">
        <f>IF(ROW()-3&gt;MAX(Q$4:Q$40),"",INDEX(P$4:P$40,MATCH(ROW()-3,Q$4:Q$40,0)))</f>
        <v/>
      </c>
      <c r="S12">
        <f>IF('Final Calculation Sheet'!$A$12="","",'Final Calculation Sheet'!$A$12)</f>
        <v/>
      </c>
      <c r="T12">
        <f>T11+IF(AND(S12&lt;&gt;"",COUNTIF(S$4:S12,S12)=1),1,0)</f>
        <v/>
      </c>
      <c r="U12">
        <f>IF(ROW()-3&gt;MAX(T$4:T$40),"",INDEX(S$4:S$40,MATCH(ROW()-3,T$4:T$40,0)))</f>
        <v/>
      </c>
      <c r="V12">
        <f>IF('Final Calculation Sheet'!$E$12="","",'Final Calculation Sheet'!$E$12)</f>
        <v/>
      </c>
      <c r="W12">
        <f>W11+IF(AND(V12&lt;&gt;"",COUNTIF(V$4:V12,V12)=1),1,0)</f>
        <v/>
      </c>
      <c r="X12">
        <f>IF(ROW()-3&gt;MAX(W$4:W$40),"",INDEX(V$4:V$40,MATCH(ROW()-3,W$4:W$40,0)))</f>
        <v/>
      </c>
      <c r="Y12">
        <f>IF('Final Calculation Sheet'!$C$12="","",'Final Calculation Sheet'!$C$12)</f>
        <v/>
      </c>
      <c r="Z12">
        <f>Z11+IF(AND(Y12&lt;&gt;"",COUNTIF(Y$4:Y12,Y12)=1),1,0)</f>
        <v/>
      </c>
      <c r="AA12">
        <f>IF(ROW()-3&gt;MAX(Z$4:Z$40),"",INDEX(Y$4:Y$40,MATCH(ROW()-3,Z$4:Z$40,0)))</f>
        <v/>
      </c>
      <c r="AB12">
        <f>IF('Final Calculation Sheet'!$H$12="","",'Final Calculation Sheet'!$H$12)</f>
        <v/>
      </c>
      <c r="AC12">
        <f>AC11+IF(AND(AB12&lt;&gt;"",COUNTIF(AB$4:AB12,AB12)=1),1,0)</f>
        <v/>
      </c>
      <c r="AD12">
        <f>IF(ROW()-3&gt;MAX(AC$4:AC$40),"",INDEX(AB$4:AB$40,MATCH(ROW()-3,AC$4:AC$40,0)))</f>
        <v/>
      </c>
      <c r="AE12">
        <f>IF('Final Calculation Sheet'!$I$12="","",'Final Calculation Sheet'!$I$12)</f>
        <v/>
      </c>
      <c r="AF12">
        <f>AF11+IF(AND(AE12&lt;&gt;"",COUNTIF(AE$4:AE12,AE12)=1),1,0)</f>
        <v/>
      </c>
      <c r="AG12">
        <f>IF(ROW()-3&gt;MAX(AF$4:AF$40),"",INDEX(AE$4:AE$40,MATCH(ROW()-3,AF$4:AF$40,0)))</f>
        <v/>
      </c>
      <c r="AH12">
        <f>IF('Final Calculation Sheet'!$J$12="","",'Final Calculation Sheet'!$J$12)</f>
        <v/>
      </c>
      <c r="AI12">
        <f>AI11+IF(AND(AH12&lt;&gt;"",COUNTIF(AH$4:AH12,AH12)=1),1,0)</f>
        <v/>
      </c>
      <c r="AJ12">
        <f>IF(ROW()-3&gt;MAX(AI$4:AI$40),"",INDEX(AH$4:AH$40,MATCH(ROW()-3,AI$4:AI$40,0)))</f>
        <v/>
      </c>
      <c r="AK12">
        <f>IF('Final Calculation Sheet'!$K$12="","",'Final Calculation Sheet'!$K$12)</f>
        <v/>
      </c>
      <c r="AL12">
        <f>AL11+IF(AND(AK12&lt;&gt;"",COUNTIF(AK$4:AK12,AK12)=1),1,0)</f>
        <v/>
      </c>
      <c r="AM12">
        <f>IF(ROW()-3&gt;MAX(AL$4:AL$40),"",INDEX(AK$4:AK$40,MATCH(ROW()-3,AL$4:AL$40,0)))</f>
        <v/>
      </c>
      <c r="AN12">
        <f>IF('Final Calculation Sheet'!$L$12="","",'Final Calculation Sheet'!$L$12)</f>
        <v/>
      </c>
      <c r="AO12">
        <f>AO11+IF(AND(AN12&lt;&gt;"",COUNTIF(AN$4:AN12,AN12)=1),1,0)</f>
        <v/>
      </c>
      <c r="AP12">
        <f>IF(ROW()-3&gt;MAX(AO$4:AO$40),"",INDEX(AN$4:AN$40,MATCH(ROW()-3,AO$4:AO$40,0)))</f>
        <v/>
      </c>
      <c r="AQ12">
        <f>IF('Final Calculation Sheet'!$M$12="","",'Final Calculation Sheet'!$M$12)</f>
        <v/>
      </c>
      <c r="AR12">
        <f>AR11+IF(AND(AQ12&lt;&gt;"",COUNTIF(AQ$4:AQ12,AQ12)=1),1,0)</f>
        <v/>
      </c>
      <c r="AS12">
        <f>IF(ROW()-3&gt;MAX(AR$4:AR$40),"",INDEX(AQ$4:AQ$40,MATCH(ROW()-3,AR$4:AR$40,0)))</f>
        <v/>
      </c>
      <c r="AT12">
        <f>IF('Final Calculation Sheet'!$N$12="","",'Final Calculation Sheet'!$N$12)</f>
        <v/>
      </c>
      <c r="AU12">
        <f>AU11+IF(AND(AT12&lt;&gt;"",COUNTIF(AT$4:AT12,AT12)=1),1,0)</f>
        <v/>
      </c>
      <c r="AV12">
        <f>IF(ROW()-3&gt;MAX(AU$4:AU$40),"",INDEX(AT$4:AT$40,MATCH(ROW()-3,AU$4:AU$40,0)))</f>
        <v/>
      </c>
      <c r="AW12">
        <f>IF('Final Calculation Sheet'!$O$12="","",'Final Calculation Sheet'!$O$12)</f>
        <v/>
      </c>
      <c r="AX12">
        <f>AX11+IF(AND(AW12&lt;&gt;"",COUNTIF(AW$4:AW12,AW12)=1),1,0)</f>
        <v/>
      </c>
      <c r="AY12">
        <f>IF(ROW()-3&gt;MAX(AX$4:AX$40),"",INDEX(AW$4:AW$40,MATCH(ROW()-3,AX$4:AX$40,0)))</f>
        <v/>
      </c>
      <c r="AZ12">
        <f>IF('Final Calculation Sheet'!$P$12="","",'Final Calculation Sheet'!$P$12)</f>
        <v/>
      </c>
      <c r="BA12">
        <f>BA11+IF(AND(AZ12&lt;&gt;"",COUNTIF(AZ$4:AZ12,AZ12)=1),1,0)</f>
        <v/>
      </c>
      <c r="BB12">
        <f>IF(ROW()-3&gt;MAX(BA$4:BA$40),"",INDEX(AZ$4:AZ$40,MATCH(ROW()-3,BA$4:BA$40,0)))</f>
        <v/>
      </c>
      <c r="BC12">
        <f>IF('Final Calculation Sheet'!$Q$12="","",'Final Calculation Sheet'!$Q$12)</f>
        <v/>
      </c>
      <c r="BD12">
        <f>BD11+IF(AND(BC12&lt;&gt;"",COUNTIF(BC$4:BC12,BC12)=1),1,0)</f>
        <v/>
      </c>
      <c r="BE12">
        <f>IF(ROW()-3&gt;MAX(BD$4:BD$40),"",INDEX(BC$4:BC$40,MATCH(ROW()-3,BD$4:BD$40,0)))</f>
        <v/>
      </c>
      <c r="BF12">
        <f>IF('Final Calculation Sheet'!$R$12="","",'Final Calculation Sheet'!$R$12)</f>
        <v/>
      </c>
      <c r="BG12">
        <f>BG11+IF(AND(BF12&lt;&gt;"",COUNTIF(BF$4:BF12,BF12)=1),1,0)</f>
        <v/>
      </c>
      <c r="BH12">
        <f>IF(ROW()-3&gt;MAX(BG$4:BG$40),"",INDEX(BF$4:BF$40,MATCH(ROW()-3,BG$4:BG$40,0)))</f>
        <v/>
      </c>
      <c r="BI12">
        <f>IF('Final Calculation Sheet'!$S$12="","",'Final Calculation Sheet'!$S$12)</f>
        <v/>
      </c>
      <c r="BJ12">
        <f>BJ11+IF(AND(BI12&lt;&gt;"",COUNTIF(BI$4:BI12,BI12)=1),1,0)</f>
        <v/>
      </c>
      <c r="BK12">
        <f>IF(ROW()-3&gt;MAX(BJ$4:BJ$40),"",INDEX(BI$4:BI$40,MATCH(ROW()-3,BJ$4:BJ$40,0)))</f>
        <v/>
      </c>
      <c r="BL12">
        <f>IF('Final Calculation Sheet'!$T$12="","",'Final Calculation Sheet'!$T$12)</f>
        <v/>
      </c>
      <c r="BM12">
        <f>BM11+IF(AND(BL12&lt;&gt;"",COUNTIF(BL$4:BL12,BL12)=1),1,0)</f>
        <v/>
      </c>
      <c r="BN12">
        <f>IF(ROW()-3&gt;MAX(BM$4:BM$40),"",INDEX(BL$4:BL$40,MATCH(ROW()-3,BM$4:BM$40,0)))</f>
        <v/>
      </c>
      <c r="BO12">
        <f>IF('Final Calculation Sheet'!$U$12="","",'Final Calculation Sheet'!$U$12)</f>
        <v/>
      </c>
      <c r="BP12">
        <f>BP11+IF(AND(BO12&lt;&gt;"",COUNTIF(BO$4:BO12,BO12)=1),1,0)</f>
        <v/>
      </c>
      <c r="BQ12">
        <f>IF(ROW()-3&gt;MAX(BP$4:BP$40),"",INDEX(BO$4:BO$40,MATCH(ROW()-3,BP$4:BP$40,0)))</f>
        <v/>
      </c>
      <c r="BR12">
        <f>IF('Final Calculation Sheet'!$V$12="","",'Final Calculation Sheet'!$V$12)</f>
        <v/>
      </c>
      <c r="BS12">
        <f>BS11+IF(AND(BR12&lt;&gt;"",COUNTIF(BR$4:BR12,BR12)=1),1,0)</f>
        <v/>
      </c>
      <c r="BT12">
        <f>IF(ROW()-3&gt;MAX(BS$4:BS$40),"",INDEX(BR$4:BR$40,MATCH(ROW()-3,BS$4:BS$40,0)))</f>
        <v/>
      </c>
      <c r="BU12">
        <f>IF('Final Calculation Sheet'!$W$12="","",'Final Calculation Sheet'!$W$12)</f>
        <v/>
      </c>
      <c r="BV12">
        <f>BV11+IF(AND(BU12&lt;&gt;"",COUNTIF(BU$4:BU12,BU12)=1),1,0)</f>
        <v/>
      </c>
      <c r="BW12">
        <f>IF(ROW()-3&gt;MAX(BV$4:BV$40),"",INDEX(BU$4:BU$40,MATCH(ROW()-3,BV$4:BV$40,0)))</f>
        <v/>
      </c>
      <c r="BX12">
        <f>IF('Final Calculation Sheet'!$X$12="","",'Final Calculation Sheet'!$X$12)</f>
        <v/>
      </c>
      <c r="BY12">
        <f>BY11+IF(AND(BX12&lt;&gt;"",COUNTIF(BX$4:BX12,BX12)=1),1,0)</f>
        <v/>
      </c>
      <c r="BZ12">
        <f>IF(ROW()-3&gt;MAX(BY$4:BY$40),"",INDEX(BX$4:BX$40,MATCH(ROW()-3,BY$4:BY$40,0)))</f>
        <v/>
      </c>
      <c r="CA12">
        <f>IF('Final Calculation Sheet'!$Y$12="","",'Final Calculation Sheet'!$Y$12)</f>
        <v/>
      </c>
      <c r="CB12">
        <f>CB11+IF(AND(CA12&lt;&gt;"",COUNTIF(CA$4:CA12,CA12)=1),1,0)</f>
        <v/>
      </c>
      <c r="CC12">
        <f>IF(ROW()-3&gt;MAX(CB$4:CB$40),"",INDEX(CA$4:CA$40,MATCH(ROW()-3,CB$4:CB$40,0)))</f>
        <v/>
      </c>
      <c r="CD12">
        <f>IF('Final Calculation Sheet'!$Z$12="","",'Final Calculation Sheet'!$Z$12)</f>
        <v/>
      </c>
      <c r="CE12">
        <f>CE11+IF(AND(CD12&lt;&gt;"",COUNTIF(CD$4:CD12,CD12)=1),1,0)</f>
        <v/>
      </c>
      <c r="CF12">
        <f>IF(ROW()-3&gt;MAX(CE$4:CE$40),"",INDEX(CD$4:CD$40,MATCH(ROW()-3,CE$4:CE$40,0)))</f>
        <v/>
      </c>
      <c r="CG12">
        <f>IF('Final Calculation Sheet'!$AA$12="","",'Final Calculation Sheet'!$AA$12)</f>
        <v/>
      </c>
      <c r="CH12">
        <f>CH11+IF(AND(CG12&lt;&gt;"",COUNTIF(CG$4:CG12,CG12)=1),1,0)</f>
        <v/>
      </c>
      <c r="CI12">
        <f>IF(ROW()-3&gt;MAX(CH$4:CH$40),"",INDEX(CG$4:CG$40,MATCH(ROW()-3,CH$4:CH$40,0)))</f>
        <v/>
      </c>
      <c r="CJ12">
        <f>IF('Final Calculation Sheet'!$AB$12="","",'Final Calculation Sheet'!$AB$12)</f>
        <v/>
      </c>
      <c r="CK12">
        <f>CK11+IF(AND(CJ12&lt;&gt;"",COUNTIF(CJ$4:CJ12,CJ12)=1),1,0)</f>
        <v/>
      </c>
      <c r="CL12">
        <f>IF(ROW()-3&gt;MAX(CK$4:CK$40),"",INDEX(CJ$4:CJ$40,MATCH(ROW()-3,CK$4:CK$40,0)))</f>
        <v/>
      </c>
      <c r="CM12">
        <f>IF('Final Calculation Sheet'!$AC$12="","",'Final Calculation Sheet'!$AC$12)</f>
        <v/>
      </c>
      <c r="CN12">
        <f>CN11+IF(AND(CM12&lt;&gt;"",COUNTIF(CM$4:CM12,CM12)=1),1,0)</f>
        <v/>
      </c>
      <c r="CO12">
        <f>IF(ROW()-3&gt;MAX(CN$4:CN$40),"",INDEX(CM$4:CM$40,MATCH(ROW()-3,CN$4:CN$40,0)))</f>
        <v/>
      </c>
      <c r="CP12">
        <f>IF('Final Calculation Sheet'!$AD$12="","",'Final Calculation Sheet'!$AD$12)</f>
        <v/>
      </c>
      <c r="CQ12">
        <f>CQ11+IF(AND(CP12&lt;&gt;"",COUNTIF(CP$4:CP12,CP12)=1),1,0)</f>
        <v/>
      </c>
      <c r="CR12">
        <f>IF(ROW()-3&gt;MAX(CQ$4:CQ$40),"",INDEX(CP$4:CP$40,MATCH(ROW()-3,CQ$4:CQ$40,0)))</f>
        <v/>
      </c>
      <c r="CS12">
        <f>IF('Final Calculation Sheet'!$AE$12="","",'Final Calculation Sheet'!$AE$12)</f>
        <v/>
      </c>
      <c r="CT12">
        <f>CT11+IF(AND(CS12&lt;&gt;"",COUNTIF(CS$4:CS12,CS12)=1),1,0)</f>
        <v/>
      </c>
      <c r="CU12">
        <f>IF(ROW()-3&gt;MAX(CT$4:CT$40),"",INDEX(CS$4:CS$40,MATCH(ROW()-3,CT$4:CT$40,0)))</f>
        <v/>
      </c>
      <c r="CV12">
        <f>IF('Final Calculation Sheet'!$AF$12="","",'Final Calculation Sheet'!$AF$12)</f>
        <v/>
      </c>
      <c r="CW12">
        <f>CW11+IF(AND(CV12&lt;&gt;"",COUNTIF(CV$4:CV12,CV12)=1),1,0)</f>
        <v/>
      </c>
      <c r="CX12">
        <f>IF(ROW()-3&gt;MAX(CW$4:CW$40),"",INDEX(CV$4:CV$40,MATCH(ROW()-3,CW$4:CW$40,0)))</f>
        <v/>
      </c>
      <c r="CY12">
        <f>IF('Final Calculation Sheet'!$AG$12="","",'Final Calculation Sheet'!$AG$12)</f>
        <v/>
      </c>
      <c r="CZ12">
        <f>CZ11+IF(AND(CY12&lt;&gt;"",COUNTIF(CY$4:CY12,CY12)=1),1,0)</f>
        <v/>
      </c>
      <c r="DA12">
        <f>IF(ROW()-3&gt;MAX(CZ$4:CZ$40),"",INDEX(CY$4:CY$40,MATCH(ROW()-3,CZ$4:CZ$40,0)))</f>
        <v/>
      </c>
      <c r="DC12">
        <f>DC11+IF(AND(DB12&lt;&gt;"",COUNTIF(DB$4:DB12,DB12)=1),1,0)</f>
        <v/>
      </c>
      <c r="DD12">
        <f>IF(ROW()-3&gt;MAX(DC$4:DC$40),"",INDEX(DB$4:DB$40,MATCH(ROW()-3,DC$4:DC$40,0)))</f>
        <v/>
      </c>
    </row>
    <row r="13">
      <c r="A13">
        <f>IF('Final Calculation Sheet'!$F$13="","",'Final Calculation Sheet'!$F$13)</f>
        <v/>
      </c>
      <c r="B13">
        <f>B12+IF(AND(A13&lt;&gt;"",COUNTIF(A$4:A13,A13)=1),1,0)</f>
        <v/>
      </c>
      <c r="C13">
        <f>IF(ROW()-3&gt;MAX(B$4:B$114),"",INDEX(A$4:A$114,MATCH(ROW()-3,B$4:B$114,0)))</f>
        <v/>
      </c>
      <c r="D13">
        <f>ROW()-3</f>
        <v/>
      </c>
      <c r="E13">
        <f>E12+IF(AND(D13&lt;&gt;"",COUNTIF(D$4:D13,D13)=1),1,0)</f>
        <v/>
      </c>
      <c r="F13">
        <f>IF(ROW()-3&gt;MAX(E$4:E$40),"",INDEX(D$4:D$40,MATCH(ROW()-3,E$4:E$40,0)))</f>
        <v/>
      </c>
      <c r="G13">
        <f>IF('Final Calculation Sheet'!$F$13="","",'Final Calculation Sheet'!$F$13)</f>
        <v/>
      </c>
      <c r="H13">
        <f>H12+IF(AND(G13&lt;&gt;"",COUNTIF(G$4:G13,G13)=1),1,0)</f>
        <v/>
      </c>
      <c r="I13">
        <f>IF(ROW()-3&gt;MAX(H$4:H$40),"",INDEX(G$4:G$40,MATCH(ROW()-3,H$4:H$40,0)))</f>
        <v/>
      </c>
      <c r="J13">
        <f>IF('Final Calculation Sheet'!$G$13="","",'Final Calculation Sheet'!$G$13)</f>
        <v/>
      </c>
      <c r="K13">
        <f>K12+IF(AND(J13&lt;&gt;"",COUNTIF(J$4:J13,J13)=1),1,0)</f>
        <v/>
      </c>
      <c r="L13">
        <f>IF(ROW()-3&gt;MAX(K$4:K$40),"",INDEX(J$4:J$40,MATCH(ROW()-3,K$4:K$40,0)))</f>
        <v/>
      </c>
      <c r="M13">
        <f>IF('Final Calculation Sheet'!$B$13="","",'Final Calculation Sheet'!$B$13)</f>
        <v/>
      </c>
      <c r="N13">
        <f>N12+IF(AND(M13&lt;&gt;"",COUNTIF(M$4:M13,M13)=1),1,0)</f>
        <v/>
      </c>
      <c r="O13">
        <f>IF(ROW()-3&gt;MAX(N$4:N$40),"",INDEX(M$4:M$40,MATCH(ROW()-3,N$4:N$40,0)))</f>
        <v/>
      </c>
      <c r="P13">
        <f>IF('Final Calculation Sheet'!$D$13="","",'Final Calculation Sheet'!$D$13)</f>
        <v/>
      </c>
      <c r="Q13">
        <f>Q12+IF(AND(P13&lt;&gt;"",COUNTIF(P$4:P13,P13)=1),1,0)</f>
        <v/>
      </c>
      <c r="R13">
        <f>IF(ROW()-3&gt;MAX(Q$4:Q$40),"",INDEX(P$4:P$40,MATCH(ROW()-3,Q$4:Q$40,0)))</f>
        <v/>
      </c>
      <c r="S13">
        <f>IF('Final Calculation Sheet'!$A$13="","",'Final Calculation Sheet'!$A$13)</f>
        <v/>
      </c>
      <c r="T13">
        <f>T12+IF(AND(S13&lt;&gt;"",COUNTIF(S$4:S13,S13)=1),1,0)</f>
        <v/>
      </c>
      <c r="U13">
        <f>IF(ROW()-3&gt;MAX(T$4:T$40),"",INDEX(S$4:S$40,MATCH(ROW()-3,T$4:T$40,0)))</f>
        <v/>
      </c>
      <c r="V13">
        <f>IF('Final Calculation Sheet'!$E$13="","",'Final Calculation Sheet'!$E$13)</f>
        <v/>
      </c>
      <c r="W13">
        <f>W12+IF(AND(V13&lt;&gt;"",COUNTIF(V$4:V13,V13)=1),1,0)</f>
        <v/>
      </c>
      <c r="X13">
        <f>IF(ROW()-3&gt;MAX(W$4:W$40),"",INDEX(V$4:V$40,MATCH(ROW()-3,W$4:W$40,0)))</f>
        <v/>
      </c>
      <c r="Y13">
        <f>IF('Final Calculation Sheet'!$C$13="","",'Final Calculation Sheet'!$C$13)</f>
        <v/>
      </c>
      <c r="Z13">
        <f>Z12+IF(AND(Y13&lt;&gt;"",COUNTIF(Y$4:Y13,Y13)=1),1,0)</f>
        <v/>
      </c>
      <c r="AA13">
        <f>IF(ROW()-3&gt;MAX(Z$4:Z$40),"",INDEX(Y$4:Y$40,MATCH(ROW()-3,Z$4:Z$40,0)))</f>
        <v/>
      </c>
      <c r="AB13">
        <f>IF('Final Calculation Sheet'!$H$13="","",'Final Calculation Sheet'!$H$13)</f>
        <v/>
      </c>
      <c r="AC13">
        <f>AC12+IF(AND(AB13&lt;&gt;"",COUNTIF(AB$4:AB13,AB13)=1),1,0)</f>
        <v/>
      </c>
      <c r="AD13">
        <f>IF(ROW()-3&gt;MAX(AC$4:AC$40),"",INDEX(AB$4:AB$40,MATCH(ROW()-3,AC$4:AC$40,0)))</f>
        <v/>
      </c>
      <c r="AE13">
        <f>IF('Final Calculation Sheet'!$I$13="","",'Final Calculation Sheet'!$I$13)</f>
        <v/>
      </c>
      <c r="AF13">
        <f>AF12+IF(AND(AE13&lt;&gt;"",COUNTIF(AE$4:AE13,AE13)=1),1,0)</f>
        <v/>
      </c>
      <c r="AG13">
        <f>IF(ROW()-3&gt;MAX(AF$4:AF$40),"",INDEX(AE$4:AE$40,MATCH(ROW()-3,AF$4:AF$40,0)))</f>
        <v/>
      </c>
      <c r="AH13">
        <f>IF('Final Calculation Sheet'!$J$13="","",'Final Calculation Sheet'!$J$13)</f>
        <v/>
      </c>
      <c r="AI13">
        <f>AI12+IF(AND(AH13&lt;&gt;"",COUNTIF(AH$4:AH13,AH13)=1),1,0)</f>
        <v/>
      </c>
      <c r="AJ13">
        <f>IF(ROW()-3&gt;MAX(AI$4:AI$40),"",INDEX(AH$4:AH$40,MATCH(ROW()-3,AI$4:AI$40,0)))</f>
        <v/>
      </c>
      <c r="AK13">
        <f>IF('Final Calculation Sheet'!$K$13="","",'Final Calculation Sheet'!$K$13)</f>
        <v/>
      </c>
      <c r="AL13">
        <f>AL12+IF(AND(AK13&lt;&gt;"",COUNTIF(AK$4:AK13,AK13)=1),1,0)</f>
        <v/>
      </c>
      <c r="AM13">
        <f>IF(ROW()-3&gt;MAX(AL$4:AL$40),"",INDEX(AK$4:AK$40,MATCH(ROW()-3,AL$4:AL$40,0)))</f>
        <v/>
      </c>
      <c r="AN13">
        <f>IF('Final Calculation Sheet'!$L$13="","",'Final Calculation Sheet'!$L$13)</f>
        <v/>
      </c>
      <c r="AO13">
        <f>AO12+IF(AND(AN13&lt;&gt;"",COUNTIF(AN$4:AN13,AN13)=1),1,0)</f>
        <v/>
      </c>
      <c r="AP13">
        <f>IF(ROW()-3&gt;MAX(AO$4:AO$40),"",INDEX(AN$4:AN$40,MATCH(ROW()-3,AO$4:AO$40,0)))</f>
        <v/>
      </c>
      <c r="AQ13">
        <f>IF('Final Calculation Sheet'!$M$13="","",'Final Calculation Sheet'!$M$13)</f>
        <v/>
      </c>
      <c r="AR13">
        <f>AR12+IF(AND(AQ13&lt;&gt;"",COUNTIF(AQ$4:AQ13,AQ13)=1),1,0)</f>
        <v/>
      </c>
      <c r="AS13">
        <f>IF(ROW()-3&gt;MAX(AR$4:AR$40),"",INDEX(AQ$4:AQ$40,MATCH(ROW()-3,AR$4:AR$40,0)))</f>
        <v/>
      </c>
      <c r="AT13">
        <f>IF('Final Calculation Sheet'!$N$13="","",'Final Calculation Sheet'!$N$13)</f>
        <v/>
      </c>
      <c r="AU13">
        <f>AU12+IF(AND(AT13&lt;&gt;"",COUNTIF(AT$4:AT13,AT13)=1),1,0)</f>
        <v/>
      </c>
      <c r="AV13">
        <f>IF(ROW()-3&gt;MAX(AU$4:AU$40),"",INDEX(AT$4:AT$40,MATCH(ROW()-3,AU$4:AU$40,0)))</f>
        <v/>
      </c>
      <c r="AW13">
        <f>IF('Final Calculation Sheet'!$O$13="","",'Final Calculation Sheet'!$O$13)</f>
        <v/>
      </c>
      <c r="AX13">
        <f>AX12+IF(AND(AW13&lt;&gt;"",COUNTIF(AW$4:AW13,AW13)=1),1,0)</f>
        <v/>
      </c>
      <c r="AY13">
        <f>IF(ROW()-3&gt;MAX(AX$4:AX$40),"",INDEX(AW$4:AW$40,MATCH(ROW()-3,AX$4:AX$40,0)))</f>
        <v/>
      </c>
      <c r="AZ13">
        <f>IF('Final Calculation Sheet'!$P$13="","",'Final Calculation Sheet'!$P$13)</f>
        <v/>
      </c>
      <c r="BA13">
        <f>BA12+IF(AND(AZ13&lt;&gt;"",COUNTIF(AZ$4:AZ13,AZ13)=1),1,0)</f>
        <v/>
      </c>
      <c r="BB13">
        <f>IF(ROW()-3&gt;MAX(BA$4:BA$40),"",INDEX(AZ$4:AZ$40,MATCH(ROW()-3,BA$4:BA$40,0)))</f>
        <v/>
      </c>
      <c r="BC13">
        <f>IF('Final Calculation Sheet'!$Q$13="","",'Final Calculation Sheet'!$Q$13)</f>
        <v/>
      </c>
      <c r="BD13">
        <f>BD12+IF(AND(BC13&lt;&gt;"",COUNTIF(BC$4:BC13,BC13)=1),1,0)</f>
        <v/>
      </c>
      <c r="BE13">
        <f>IF(ROW()-3&gt;MAX(BD$4:BD$40),"",INDEX(BC$4:BC$40,MATCH(ROW()-3,BD$4:BD$40,0)))</f>
        <v/>
      </c>
      <c r="BF13">
        <f>IF('Final Calculation Sheet'!$R$13="","",'Final Calculation Sheet'!$R$13)</f>
        <v/>
      </c>
      <c r="BG13">
        <f>BG12+IF(AND(BF13&lt;&gt;"",COUNTIF(BF$4:BF13,BF13)=1),1,0)</f>
        <v/>
      </c>
      <c r="BH13">
        <f>IF(ROW()-3&gt;MAX(BG$4:BG$40),"",INDEX(BF$4:BF$40,MATCH(ROW()-3,BG$4:BG$40,0)))</f>
        <v/>
      </c>
      <c r="BI13">
        <f>IF('Final Calculation Sheet'!$S$13="","",'Final Calculation Sheet'!$S$13)</f>
        <v/>
      </c>
      <c r="BJ13">
        <f>BJ12+IF(AND(BI13&lt;&gt;"",COUNTIF(BI$4:BI13,BI13)=1),1,0)</f>
        <v/>
      </c>
      <c r="BK13">
        <f>IF(ROW()-3&gt;MAX(BJ$4:BJ$40),"",INDEX(BI$4:BI$40,MATCH(ROW()-3,BJ$4:BJ$40,0)))</f>
        <v/>
      </c>
      <c r="BL13">
        <f>IF('Final Calculation Sheet'!$T$13="","",'Final Calculation Sheet'!$T$13)</f>
        <v/>
      </c>
      <c r="BM13">
        <f>BM12+IF(AND(BL13&lt;&gt;"",COUNTIF(BL$4:BL13,BL13)=1),1,0)</f>
        <v/>
      </c>
      <c r="BN13">
        <f>IF(ROW()-3&gt;MAX(BM$4:BM$40),"",INDEX(BL$4:BL$40,MATCH(ROW()-3,BM$4:BM$40,0)))</f>
        <v/>
      </c>
      <c r="BO13">
        <f>IF('Final Calculation Sheet'!$U$13="","",'Final Calculation Sheet'!$U$13)</f>
        <v/>
      </c>
      <c r="BP13">
        <f>BP12+IF(AND(BO13&lt;&gt;"",COUNTIF(BO$4:BO13,BO13)=1),1,0)</f>
        <v/>
      </c>
      <c r="BQ13">
        <f>IF(ROW()-3&gt;MAX(BP$4:BP$40),"",INDEX(BO$4:BO$40,MATCH(ROW()-3,BP$4:BP$40,0)))</f>
        <v/>
      </c>
      <c r="BR13">
        <f>IF('Final Calculation Sheet'!$V$13="","",'Final Calculation Sheet'!$V$13)</f>
        <v/>
      </c>
      <c r="BS13">
        <f>BS12+IF(AND(BR13&lt;&gt;"",COUNTIF(BR$4:BR13,BR13)=1),1,0)</f>
        <v/>
      </c>
      <c r="BT13">
        <f>IF(ROW()-3&gt;MAX(BS$4:BS$40),"",INDEX(BR$4:BR$40,MATCH(ROW()-3,BS$4:BS$40,0)))</f>
        <v/>
      </c>
      <c r="BU13">
        <f>IF('Final Calculation Sheet'!$W$13="","",'Final Calculation Sheet'!$W$13)</f>
        <v/>
      </c>
      <c r="BV13">
        <f>BV12+IF(AND(BU13&lt;&gt;"",COUNTIF(BU$4:BU13,BU13)=1),1,0)</f>
        <v/>
      </c>
      <c r="BW13">
        <f>IF(ROW()-3&gt;MAX(BV$4:BV$40),"",INDEX(BU$4:BU$40,MATCH(ROW()-3,BV$4:BV$40,0)))</f>
        <v/>
      </c>
      <c r="BX13">
        <f>IF('Final Calculation Sheet'!$X$13="","",'Final Calculation Sheet'!$X$13)</f>
        <v/>
      </c>
      <c r="BY13">
        <f>BY12+IF(AND(BX13&lt;&gt;"",COUNTIF(BX$4:BX13,BX13)=1),1,0)</f>
        <v/>
      </c>
      <c r="BZ13">
        <f>IF(ROW()-3&gt;MAX(BY$4:BY$40),"",INDEX(BX$4:BX$40,MATCH(ROW()-3,BY$4:BY$40,0)))</f>
        <v/>
      </c>
      <c r="CA13">
        <f>IF('Final Calculation Sheet'!$Y$13="","",'Final Calculation Sheet'!$Y$13)</f>
        <v/>
      </c>
      <c r="CB13">
        <f>CB12+IF(AND(CA13&lt;&gt;"",COUNTIF(CA$4:CA13,CA13)=1),1,0)</f>
        <v/>
      </c>
      <c r="CC13">
        <f>IF(ROW()-3&gt;MAX(CB$4:CB$40),"",INDEX(CA$4:CA$40,MATCH(ROW()-3,CB$4:CB$40,0)))</f>
        <v/>
      </c>
      <c r="CD13">
        <f>IF('Final Calculation Sheet'!$Z$13="","",'Final Calculation Sheet'!$Z$13)</f>
        <v/>
      </c>
      <c r="CE13">
        <f>CE12+IF(AND(CD13&lt;&gt;"",COUNTIF(CD$4:CD13,CD13)=1),1,0)</f>
        <v/>
      </c>
      <c r="CF13">
        <f>IF(ROW()-3&gt;MAX(CE$4:CE$40),"",INDEX(CD$4:CD$40,MATCH(ROW()-3,CE$4:CE$40,0)))</f>
        <v/>
      </c>
      <c r="CG13">
        <f>IF('Final Calculation Sheet'!$AA$13="","",'Final Calculation Sheet'!$AA$13)</f>
        <v/>
      </c>
      <c r="CH13">
        <f>CH12+IF(AND(CG13&lt;&gt;"",COUNTIF(CG$4:CG13,CG13)=1),1,0)</f>
        <v/>
      </c>
      <c r="CI13">
        <f>IF(ROW()-3&gt;MAX(CH$4:CH$40),"",INDEX(CG$4:CG$40,MATCH(ROW()-3,CH$4:CH$40,0)))</f>
        <v/>
      </c>
      <c r="CJ13">
        <f>IF('Final Calculation Sheet'!$AB$13="","",'Final Calculation Sheet'!$AB$13)</f>
        <v/>
      </c>
      <c r="CK13">
        <f>CK12+IF(AND(CJ13&lt;&gt;"",COUNTIF(CJ$4:CJ13,CJ13)=1),1,0)</f>
        <v/>
      </c>
      <c r="CL13">
        <f>IF(ROW()-3&gt;MAX(CK$4:CK$40),"",INDEX(CJ$4:CJ$40,MATCH(ROW()-3,CK$4:CK$40,0)))</f>
        <v/>
      </c>
      <c r="CM13">
        <f>IF('Final Calculation Sheet'!$AC$13="","",'Final Calculation Sheet'!$AC$13)</f>
        <v/>
      </c>
      <c r="CN13">
        <f>CN12+IF(AND(CM13&lt;&gt;"",COUNTIF(CM$4:CM13,CM13)=1),1,0)</f>
        <v/>
      </c>
      <c r="CO13">
        <f>IF(ROW()-3&gt;MAX(CN$4:CN$40),"",INDEX(CM$4:CM$40,MATCH(ROW()-3,CN$4:CN$40,0)))</f>
        <v/>
      </c>
      <c r="CP13">
        <f>IF('Final Calculation Sheet'!$AD$13="","",'Final Calculation Sheet'!$AD$13)</f>
        <v/>
      </c>
      <c r="CQ13">
        <f>CQ12+IF(AND(CP13&lt;&gt;"",COUNTIF(CP$4:CP13,CP13)=1),1,0)</f>
        <v/>
      </c>
      <c r="CR13">
        <f>IF(ROW()-3&gt;MAX(CQ$4:CQ$40),"",INDEX(CP$4:CP$40,MATCH(ROW()-3,CQ$4:CQ$40,0)))</f>
        <v/>
      </c>
      <c r="CS13">
        <f>IF('Final Calculation Sheet'!$AE$13="","",'Final Calculation Sheet'!$AE$13)</f>
        <v/>
      </c>
      <c r="CT13">
        <f>CT12+IF(AND(CS13&lt;&gt;"",COUNTIF(CS$4:CS13,CS13)=1),1,0)</f>
        <v/>
      </c>
      <c r="CU13">
        <f>IF(ROW()-3&gt;MAX(CT$4:CT$40),"",INDEX(CS$4:CS$40,MATCH(ROW()-3,CT$4:CT$40,0)))</f>
        <v/>
      </c>
      <c r="CV13">
        <f>IF('Final Calculation Sheet'!$AF$13="","",'Final Calculation Sheet'!$AF$13)</f>
        <v/>
      </c>
      <c r="CW13">
        <f>CW12+IF(AND(CV13&lt;&gt;"",COUNTIF(CV$4:CV13,CV13)=1),1,0)</f>
        <v/>
      </c>
      <c r="CX13">
        <f>IF(ROW()-3&gt;MAX(CW$4:CW$40),"",INDEX(CV$4:CV$40,MATCH(ROW()-3,CW$4:CW$40,0)))</f>
        <v/>
      </c>
      <c r="CY13">
        <f>IF('Final Calculation Sheet'!$AG$13="","",'Final Calculation Sheet'!$AG$13)</f>
        <v/>
      </c>
      <c r="CZ13">
        <f>CZ12+IF(AND(CY13&lt;&gt;"",COUNTIF(CY$4:CY13,CY13)=1),1,0)</f>
        <v/>
      </c>
      <c r="DA13">
        <f>IF(ROW()-3&gt;MAX(CZ$4:CZ$40),"",INDEX(CY$4:CY$40,MATCH(ROW()-3,CZ$4:CZ$40,0)))</f>
        <v/>
      </c>
      <c r="DC13">
        <f>DC12+IF(AND(DB13&lt;&gt;"",COUNTIF(DB$4:DB13,DB13)=1),1,0)</f>
        <v/>
      </c>
      <c r="DD13">
        <f>IF(ROW()-3&gt;MAX(DC$4:DC$40),"",INDEX(DB$4:DB$40,MATCH(ROW()-3,DC$4:DC$40,0)))</f>
        <v/>
      </c>
    </row>
    <row r="14">
      <c r="A14">
        <f>IF('Final Calculation Sheet'!$F$14="","",'Final Calculation Sheet'!$F$14)</f>
        <v/>
      </c>
      <c r="B14">
        <f>B13+IF(AND(A14&lt;&gt;"",COUNTIF(A$4:A14,A14)=1),1,0)</f>
        <v/>
      </c>
      <c r="C14">
        <f>IF(ROW()-3&gt;MAX(B$4:B$114),"",INDEX(A$4:A$114,MATCH(ROW()-3,B$4:B$114,0)))</f>
        <v/>
      </c>
      <c r="D14">
        <f>ROW()-3</f>
        <v/>
      </c>
      <c r="E14">
        <f>E13+IF(AND(D14&lt;&gt;"",COUNTIF(D$4:D14,D14)=1),1,0)</f>
        <v/>
      </c>
      <c r="F14">
        <f>IF(ROW()-3&gt;MAX(E$4:E$40),"",INDEX(D$4:D$40,MATCH(ROW()-3,E$4:E$40,0)))</f>
        <v/>
      </c>
      <c r="G14">
        <f>IF('Final Calculation Sheet'!$F$14="","",'Final Calculation Sheet'!$F$14)</f>
        <v/>
      </c>
      <c r="H14">
        <f>H13+IF(AND(G14&lt;&gt;"",COUNTIF(G$4:G14,G14)=1),1,0)</f>
        <v/>
      </c>
      <c r="I14">
        <f>IF(ROW()-3&gt;MAX(H$4:H$40),"",INDEX(G$4:G$40,MATCH(ROW()-3,H$4:H$40,0)))</f>
        <v/>
      </c>
      <c r="J14">
        <f>IF('Final Calculation Sheet'!$G$14="","",'Final Calculation Sheet'!$G$14)</f>
        <v/>
      </c>
      <c r="K14">
        <f>K13+IF(AND(J14&lt;&gt;"",COUNTIF(J$4:J14,J14)=1),1,0)</f>
        <v/>
      </c>
      <c r="L14">
        <f>IF(ROW()-3&gt;MAX(K$4:K$40),"",INDEX(J$4:J$40,MATCH(ROW()-3,K$4:K$40,0)))</f>
        <v/>
      </c>
      <c r="M14">
        <f>IF('Final Calculation Sheet'!$B$14="","",'Final Calculation Sheet'!$B$14)</f>
        <v/>
      </c>
      <c r="N14">
        <f>N13+IF(AND(M14&lt;&gt;"",COUNTIF(M$4:M14,M14)=1),1,0)</f>
        <v/>
      </c>
      <c r="O14">
        <f>IF(ROW()-3&gt;MAX(N$4:N$40),"",INDEX(M$4:M$40,MATCH(ROW()-3,N$4:N$40,0)))</f>
        <v/>
      </c>
      <c r="P14">
        <f>IF('Final Calculation Sheet'!$D$14="","",'Final Calculation Sheet'!$D$14)</f>
        <v/>
      </c>
      <c r="Q14">
        <f>Q13+IF(AND(P14&lt;&gt;"",COUNTIF(P$4:P14,P14)=1),1,0)</f>
        <v/>
      </c>
      <c r="R14">
        <f>IF(ROW()-3&gt;MAX(Q$4:Q$40),"",INDEX(P$4:P$40,MATCH(ROW()-3,Q$4:Q$40,0)))</f>
        <v/>
      </c>
      <c r="S14">
        <f>IF('Final Calculation Sheet'!$A$14="","",'Final Calculation Sheet'!$A$14)</f>
        <v/>
      </c>
      <c r="T14">
        <f>T13+IF(AND(S14&lt;&gt;"",COUNTIF(S$4:S14,S14)=1),1,0)</f>
        <v/>
      </c>
      <c r="U14">
        <f>IF(ROW()-3&gt;MAX(T$4:T$40),"",INDEX(S$4:S$40,MATCH(ROW()-3,T$4:T$40,0)))</f>
        <v/>
      </c>
      <c r="V14">
        <f>IF('Final Calculation Sheet'!$E$14="","",'Final Calculation Sheet'!$E$14)</f>
        <v/>
      </c>
      <c r="W14">
        <f>W13+IF(AND(V14&lt;&gt;"",COUNTIF(V$4:V14,V14)=1),1,0)</f>
        <v/>
      </c>
      <c r="X14">
        <f>IF(ROW()-3&gt;MAX(W$4:W$40),"",INDEX(V$4:V$40,MATCH(ROW()-3,W$4:W$40,0)))</f>
        <v/>
      </c>
      <c r="Y14">
        <f>IF('Final Calculation Sheet'!$C$14="","",'Final Calculation Sheet'!$C$14)</f>
        <v/>
      </c>
      <c r="Z14">
        <f>Z13+IF(AND(Y14&lt;&gt;"",COUNTIF(Y$4:Y14,Y14)=1),1,0)</f>
        <v/>
      </c>
      <c r="AA14">
        <f>IF(ROW()-3&gt;MAX(Z$4:Z$40),"",INDEX(Y$4:Y$40,MATCH(ROW()-3,Z$4:Z$40,0)))</f>
        <v/>
      </c>
      <c r="AB14">
        <f>IF('Final Calculation Sheet'!$H$14="","",'Final Calculation Sheet'!$H$14)</f>
        <v/>
      </c>
      <c r="AC14">
        <f>AC13+IF(AND(AB14&lt;&gt;"",COUNTIF(AB$4:AB14,AB14)=1),1,0)</f>
        <v/>
      </c>
      <c r="AD14">
        <f>IF(ROW()-3&gt;MAX(AC$4:AC$40),"",INDEX(AB$4:AB$40,MATCH(ROW()-3,AC$4:AC$40,0)))</f>
        <v/>
      </c>
      <c r="AE14">
        <f>IF('Final Calculation Sheet'!$I$14="","",'Final Calculation Sheet'!$I$14)</f>
        <v/>
      </c>
      <c r="AF14">
        <f>AF13+IF(AND(AE14&lt;&gt;"",COUNTIF(AE$4:AE14,AE14)=1),1,0)</f>
        <v/>
      </c>
      <c r="AG14">
        <f>IF(ROW()-3&gt;MAX(AF$4:AF$40),"",INDEX(AE$4:AE$40,MATCH(ROW()-3,AF$4:AF$40,0)))</f>
        <v/>
      </c>
      <c r="AH14">
        <f>IF('Final Calculation Sheet'!$J$14="","",'Final Calculation Sheet'!$J$14)</f>
        <v/>
      </c>
      <c r="AI14">
        <f>AI13+IF(AND(AH14&lt;&gt;"",COUNTIF(AH$4:AH14,AH14)=1),1,0)</f>
        <v/>
      </c>
      <c r="AJ14">
        <f>IF(ROW()-3&gt;MAX(AI$4:AI$40),"",INDEX(AH$4:AH$40,MATCH(ROW()-3,AI$4:AI$40,0)))</f>
        <v/>
      </c>
      <c r="AK14">
        <f>IF('Final Calculation Sheet'!$K$14="","",'Final Calculation Sheet'!$K$14)</f>
        <v/>
      </c>
      <c r="AL14">
        <f>AL13+IF(AND(AK14&lt;&gt;"",COUNTIF(AK$4:AK14,AK14)=1),1,0)</f>
        <v/>
      </c>
      <c r="AM14">
        <f>IF(ROW()-3&gt;MAX(AL$4:AL$40),"",INDEX(AK$4:AK$40,MATCH(ROW()-3,AL$4:AL$40,0)))</f>
        <v/>
      </c>
      <c r="AN14">
        <f>IF('Final Calculation Sheet'!$L$14="","",'Final Calculation Sheet'!$L$14)</f>
        <v/>
      </c>
      <c r="AO14">
        <f>AO13+IF(AND(AN14&lt;&gt;"",COUNTIF(AN$4:AN14,AN14)=1),1,0)</f>
        <v/>
      </c>
      <c r="AP14">
        <f>IF(ROW()-3&gt;MAX(AO$4:AO$40),"",INDEX(AN$4:AN$40,MATCH(ROW()-3,AO$4:AO$40,0)))</f>
        <v/>
      </c>
      <c r="AQ14">
        <f>IF('Final Calculation Sheet'!$M$14="","",'Final Calculation Sheet'!$M$14)</f>
        <v/>
      </c>
      <c r="AR14">
        <f>AR13+IF(AND(AQ14&lt;&gt;"",COUNTIF(AQ$4:AQ14,AQ14)=1),1,0)</f>
        <v/>
      </c>
      <c r="AS14">
        <f>IF(ROW()-3&gt;MAX(AR$4:AR$40),"",INDEX(AQ$4:AQ$40,MATCH(ROW()-3,AR$4:AR$40,0)))</f>
        <v/>
      </c>
      <c r="AT14">
        <f>IF('Final Calculation Sheet'!$N$14="","",'Final Calculation Sheet'!$N$14)</f>
        <v/>
      </c>
      <c r="AU14">
        <f>AU13+IF(AND(AT14&lt;&gt;"",COUNTIF(AT$4:AT14,AT14)=1),1,0)</f>
        <v/>
      </c>
      <c r="AV14">
        <f>IF(ROW()-3&gt;MAX(AU$4:AU$40),"",INDEX(AT$4:AT$40,MATCH(ROW()-3,AU$4:AU$40,0)))</f>
        <v/>
      </c>
      <c r="AW14">
        <f>IF('Final Calculation Sheet'!$O$14="","",'Final Calculation Sheet'!$O$14)</f>
        <v/>
      </c>
      <c r="AX14">
        <f>AX13+IF(AND(AW14&lt;&gt;"",COUNTIF(AW$4:AW14,AW14)=1),1,0)</f>
        <v/>
      </c>
      <c r="AY14">
        <f>IF(ROW()-3&gt;MAX(AX$4:AX$40),"",INDEX(AW$4:AW$40,MATCH(ROW()-3,AX$4:AX$40,0)))</f>
        <v/>
      </c>
      <c r="AZ14">
        <f>IF('Final Calculation Sheet'!$P$14="","",'Final Calculation Sheet'!$P$14)</f>
        <v/>
      </c>
      <c r="BA14">
        <f>BA13+IF(AND(AZ14&lt;&gt;"",COUNTIF(AZ$4:AZ14,AZ14)=1),1,0)</f>
        <v/>
      </c>
      <c r="BB14">
        <f>IF(ROW()-3&gt;MAX(BA$4:BA$40),"",INDEX(AZ$4:AZ$40,MATCH(ROW()-3,BA$4:BA$40,0)))</f>
        <v/>
      </c>
      <c r="BC14">
        <f>IF('Final Calculation Sheet'!$Q$14="","",'Final Calculation Sheet'!$Q$14)</f>
        <v/>
      </c>
      <c r="BD14">
        <f>BD13+IF(AND(BC14&lt;&gt;"",COUNTIF(BC$4:BC14,BC14)=1),1,0)</f>
        <v/>
      </c>
      <c r="BE14">
        <f>IF(ROW()-3&gt;MAX(BD$4:BD$40),"",INDEX(BC$4:BC$40,MATCH(ROW()-3,BD$4:BD$40,0)))</f>
        <v/>
      </c>
      <c r="BF14">
        <f>IF('Final Calculation Sheet'!$R$14="","",'Final Calculation Sheet'!$R$14)</f>
        <v/>
      </c>
      <c r="BG14">
        <f>BG13+IF(AND(BF14&lt;&gt;"",COUNTIF(BF$4:BF14,BF14)=1),1,0)</f>
        <v/>
      </c>
      <c r="BH14">
        <f>IF(ROW()-3&gt;MAX(BG$4:BG$40),"",INDEX(BF$4:BF$40,MATCH(ROW()-3,BG$4:BG$40,0)))</f>
        <v/>
      </c>
      <c r="BI14">
        <f>IF('Final Calculation Sheet'!$S$14="","",'Final Calculation Sheet'!$S$14)</f>
        <v/>
      </c>
      <c r="BJ14">
        <f>BJ13+IF(AND(BI14&lt;&gt;"",COUNTIF(BI$4:BI14,BI14)=1),1,0)</f>
        <v/>
      </c>
      <c r="BK14">
        <f>IF(ROW()-3&gt;MAX(BJ$4:BJ$40),"",INDEX(BI$4:BI$40,MATCH(ROW()-3,BJ$4:BJ$40,0)))</f>
        <v/>
      </c>
      <c r="BL14">
        <f>IF('Final Calculation Sheet'!$T$14="","",'Final Calculation Sheet'!$T$14)</f>
        <v/>
      </c>
      <c r="BM14">
        <f>BM13+IF(AND(BL14&lt;&gt;"",COUNTIF(BL$4:BL14,BL14)=1),1,0)</f>
        <v/>
      </c>
      <c r="BN14">
        <f>IF(ROW()-3&gt;MAX(BM$4:BM$40),"",INDEX(BL$4:BL$40,MATCH(ROW()-3,BM$4:BM$40,0)))</f>
        <v/>
      </c>
      <c r="BO14">
        <f>IF('Final Calculation Sheet'!$U$14="","",'Final Calculation Sheet'!$U$14)</f>
        <v/>
      </c>
      <c r="BP14">
        <f>BP13+IF(AND(BO14&lt;&gt;"",COUNTIF(BO$4:BO14,BO14)=1),1,0)</f>
        <v/>
      </c>
      <c r="BQ14">
        <f>IF(ROW()-3&gt;MAX(BP$4:BP$40),"",INDEX(BO$4:BO$40,MATCH(ROW()-3,BP$4:BP$40,0)))</f>
        <v/>
      </c>
      <c r="BR14">
        <f>IF('Final Calculation Sheet'!$V$14="","",'Final Calculation Sheet'!$V$14)</f>
        <v/>
      </c>
      <c r="BS14">
        <f>BS13+IF(AND(BR14&lt;&gt;"",COUNTIF(BR$4:BR14,BR14)=1),1,0)</f>
        <v/>
      </c>
      <c r="BT14">
        <f>IF(ROW()-3&gt;MAX(BS$4:BS$40),"",INDEX(BR$4:BR$40,MATCH(ROW()-3,BS$4:BS$40,0)))</f>
        <v/>
      </c>
      <c r="BU14">
        <f>IF('Final Calculation Sheet'!$W$14="","",'Final Calculation Sheet'!$W$14)</f>
        <v/>
      </c>
      <c r="BV14">
        <f>BV13+IF(AND(BU14&lt;&gt;"",COUNTIF(BU$4:BU14,BU14)=1),1,0)</f>
        <v/>
      </c>
      <c r="BW14">
        <f>IF(ROW()-3&gt;MAX(BV$4:BV$40),"",INDEX(BU$4:BU$40,MATCH(ROW()-3,BV$4:BV$40,0)))</f>
        <v/>
      </c>
      <c r="BX14">
        <f>IF('Final Calculation Sheet'!$X$14="","",'Final Calculation Sheet'!$X$14)</f>
        <v/>
      </c>
      <c r="BY14">
        <f>BY13+IF(AND(BX14&lt;&gt;"",COUNTIF(BX$4:BX14,BX14)=1),1,0)</f>
        <v/>
      </c>
      <c r="BZ14">
        <f>IF(ROW()-3&gt;MAX(BY$4:BY$40),"",INDEX(BX$4:BX$40,MATCH(ROW()-3,BY$4:BY$40,0)))</f>
        <v/>
      </c>
      <c r="CA14">
        <f>IF('Final Calculation Sheet'!$Y$14="","",'Final Calculation Sheet'!$Y$14)</f>
        <v/>
      </c>
      <c r="CB14">
        <f>CB13+IF(AND(CA14&lt;&gt;"",COUNTIF(CA$4:CA14,CA14)=1),1,0)</f>
        <v/>
      </c>
      <c r="CC14">
        <f>IF(ROW()-3&gt;MAX(CB$4:CB$40),"",INDEX(CA$4:CA$40,MATCH(ROW()-3,CB$4:CB$40,0)))</f>
        <v/>
      </c>
      <c r="CD14">
        <f>IF('Final Calculation Sheet'!$Z$14="","",'Final Calculation Sheet'!$Z$14)</f>
        <v/>
      </c>
      <c r="CE14">
        <f>CE13+IF(AND(CD14&lt;&gt;"",COUNTIF(CD$4:CD14,CD14)=1),1,0)</f>
        <v/>
      </c>
      <c r="CF14">
        <f>IF(ROW()-3&gt;MAX(CE$4:CE$40),"",INDEX(CD$4:CD$40,MATCH(ROW()-3,CE$4:CE$40,0)))</f>
        <v/>
      </c>
      <c r="CG14">
        <f>IF('Final Calculation Sheet'!$AA$14="","",'Final Calculation Sheet'!$AA$14)</f>
        <v/>
      </c>
      <c r="CH14">
        <f>CH13+IF(AND(CG14&lt;&gt;"",COUNTIF(CG$4:CG14,CG14)=1),1,0)</f>
        <v/>
      </c>
      <c r="CI14">
        <f>IF(ROW()-3&gt;MAX(CH$4:CH$40),"",INDEX(CG$4:CG$40,MATCH(ROW()-3,CH$4:CH$40,0)))</f>
        <v/>
      </c>
      <c r="CJ14">
        <f>IF('Final Calculation Sheet'!$AB$14="","",'Final Calculation Sheet'!$AB$14)</f>
        <v/>
      </c>
      <c r="CK14">
        <f>CK13+IF(AND(CJ14&lt;&gt;"",COUNTIF(CJ$4:CJ14,CJ14)=1),1,0)</f>
        <v/>
      </c>
      <c r="CL14">
        <f>IF(ROW()-3&gt;MAX(CK$4:CK$40),"",INDEX(CJ$4:CJ$40,MATCH(ROW()-3,CK$4:CK$40,0)))</f>
        <v/>
      </c>
      <c r="CM14">
        <f>IF('Final Calculation Sheet'!$AC$14="","",'Final Calculation Sheet'!$AC$14)</f>
        <v/>
      </c>
      <c r="CN14">
        <f>CN13+IF(AND(CM14&lt;&gt;"",COUNTIF(CM$4:CM14,CM14)=1),1,0)</f>
        <v/>
      </c>
      <c r="CO14">
        <f>IF(ROW()-3&gt;MAX(CN$4:CN$40),"",INDEX(CM$4:CM$40,MATCH(ROW()-3,CN$4:CN$40,0)))</f>
        <v/>
      </c>
      <c r="CP14">
        <f>IF('Final Calculation Sheet'!$AD$14="","",'Final Calculation Sheet'!$AD$14)</f>
        <v/>
      </c>
      <c r="CQ14">
        <f>CQ13+IF(AND(CP14&lt;&gt;"",COUNTIF(CP$4:CP14,CP14)=1),1,0)</f>
        <v/>
      </c>
      <c r="CR14">
        <f>IF(ROW()-3&gt;MAX(CQ$4:CQ$40),"",INDEX(CP$4:CP$40,MATCH(ROW()-3,CQ$4:CQ$40,0)))</f>
        <v/>
      </c>
      <c r="CS14">
        <f>IF('Final Calculation Sheet'!$AE$14="","",'Final Calculation Sheet'!$AE$14)</f>
        <v/>
      </c>
      <c r="CT14">
        <f>CT13+IF(AND(CS14&lt;&gt;"",COUNTIF(CS$4:CS14,CS14)=1),1,0)</f>
        <v/>
      </c>
      <c r="CU14">
        <f>IF(ROW()-3&gt;MAX(CT$4:CT$40),"",INDEX(CS$4:CS$40,MATCH(ROW()-3,CT$4:CT$40,0)))</f>
        <v/>
      </c>
      <c r="CV14">
        <f>IF('Final Calculation Sheet'!$AF$14="","",'Final Calculation Sheet'!$AF$14)</f>
        <v/>
      </c>
      <c r="CW14">
        <f>CW13+IF(AND(CV14&lt;&gt;"",COUNTIF(CV$4:CV14,CV14)=1),1,0)</f>
        <v/>
      </c>
      <c r="CX14">
        <f>IF(ROW()-3&gt;MAX(CW$4:CW$40),"",INDEX(CV$4:CV$40,MATCH(ROW()-3,CW$4:CW$40,0)))</f>
        <v/>
      </c>
      <c r="CY14">
        <f>IF('Final Calculation Sheet'!$AG$14="","",'Final Calculation Sheet'!$AG$14)</f>
        <v/>
      </c>
      <c r="CZ14">
        <f>CZ13+IF(AND(CY14&lt;&gt;"",COUNTIF(CY$4:CY14,CY14)=1),1,0)</f>
        <v/>
      </c>
      <c r="DA14">
        <f>IF(ROW()-3&gt;MAX(CZ$4:CZ$40),"",INDEX(CY$4:CY$40,MATCH(ROW()-3,CZ$4:CZ$40,0)))</f>
        <v/>
      </c>
      <c r="DC14">
        <f>DC13+IF(AND(DB14&lt;&gt;"",COUNTIF(DB$4:DB14,DB14)=1),1,0)</f>
        <v/>
      </c>
      <c r="DD14">
        <f>IF(ROW()-3&gt;MAX(DC$4:DC$40),"",INDEX(DB$4:DB$40,MATCH(ROW()-3,DC$4:DC$40,0)))</f>
        <v/>
      </c>
    </row>
    <row r="15">
      <c r="A15">
        <f>IF('Final Calculation Sheet'!$F$15="","",'Final Calculation Sheet'!$F$15)</f>
        <v/>
      </c>
      <c r="B15">
        <f>B14+IF(AND(A15&lt;&gt;"",COUNTIF(A$4:A15,A15)=1),1,0)</f>
        <v/>
      </c>
      <c r="C15">
        <f>IF(ROW()-3&gt;MAX(B$4:B$114),"",INDEX(A$4:A$114,MATCH(ROW()-3,B$4:B$114,0)))</f>
        <v/>
      </c>
      <c r="D15">
        <f>ROW()-3</f>
        <v/>
      </c>
      <c r="E15">
        <f>E14+IF(AND(D15&lt;&gt;"",COUNTIF(D$4:D15,D15)=1),1,0)</f>
        <v/>
      </c>
      <c r="F15">
        <f>IF(ROW()-3&gt;MAX(E$4:E$40),"",INDEX(D$4:D$40,MATCH(ROW()-3,E$4:E$40,0)))</f>
        <v/>
      </c>
      <c r="G15">
        <f>IF('Final Calculation Sheet'!$F$15="","",'Final Calculation Sheet'!$F$15)</f>
        <v/>
      </c>
      <c r="H15">
        <f>H14+IF(AND(G15&lt;&gt;"",COUNTIF(G$4:G15,G15)=1),1,0)</f>
        <v/>
      </c>
      <c r="I15">
        <f>IF(ROW()-3&gt;MAX(H$4:H$40),"",INDEX(G$4:G$40,MATCH(ROW()-3,H$4:H$40,0)))</f>
        <v/>
      </c>
      <c r="J15">
        <f>IF('Final Calculation Sheet'!$G$15="","",'Final Calculation Sheet'!$G$15)</f>
        <v/>
      </c>
      <c r="K15">
        <f>K14+IF(AND(J15&lt;&gt;"",COUNTIF(J$4:J15,J15)=1),1,0)</f>
        <v/>
      </c>
      <c r="L15">
        <f>IF(ROW()-3&gt;MAX(K$4:K$40),"",INDEX(J$4:J$40,MATCH(ROW()-3,K$4:K$40,0)))</f>
        <v/>
      </c>
      <c r="M15">
        <f>IF('Final Calculation Sheet'!$B$15="","",'Final Calculation Sheet'!$B$15)</f>
        <v/>
      </c>
      <c r="N15">
        <f>N14+IF(AND(M15&lt;&gt;"",COUNTIF(M$4:M15,M15)=1),1,0)</f>
        <v/>
      </c>
      <c r="O15">
        <f>IF(ROW()-3&gt;MAX(N$4:N$40),"",INDEX(M$4:M$40,MATCH(ROW()-3,N$4:N$40,0)))</f>
        <v/>
      </c>
      <c r="P15">
        <f>IF('Final Calculation Sheet'!$D$15="","",'Final Calculation Sheet'!$D$15)</f>
        <v/>
      </c>
      <c r="Q15">
        <f>Q14+IF(AND(P15&lt;&gt;"",COUNTIF(P$4:P15,P15)=1),1,0)</f>
        <v/>
      </c>
      <c r="R15">
        <f>IF(ROW()-3&gt;MAX(Q$4:Q$40),"",INDEX(P$4:P$40,MATCH(ROW()-3,Q$4:Q$40,0)))</f>
        <v/>
      </c>
      <c r="S15">
        <f>IF('Final Calculation Sheet'!$A$15="","",'Final Calculation Sheet'!$A$15)</f>
        <v/>
      </c>
      <c r="T15">
        <f>T14+IF(AND(S15&lt;&gt;"",COUNTIF(S$4:S15,S15)=1),1,0)</f>
        <v/>
      </c>
      <c r="U15">
        <f>IF(ROW()-3&gt;MAX(T$4:T$40),"",INDEX(S$4:S$40,MATCH(ROW()-3,T$4:T$40,0)))</f>
        <v/>
      </c>
      <c r="V15">
        <f>IF('Final Calculation Sheet'!$E$15="","",'Final Calculation Sheet'!$E$15)</f>
        <v/>
      </c>
      <c r="W15">
        <f>W14+IF(AND(V15&lt;&gt;"",COUNTIF(V$4:V15,V15)=1),1,0)</f>
        <v/>
      </c>
      <c r="X15">
        <f>IF(ROW()-3&gt;MAX(W$4:W$40),"",INDEX(V$4:V$40,MATCH(ROW()-3,W$4:W$40,0)))</f>
        <v/>
      </c>
      <c r="Y15">
        <f>IF('Final Calculation Sheet'!$C$15="","",'Final Calculation Sheet'!$C$15)</f>
        <v/>
      </c>
      <c r="Z15">
        <f>Z14+IF(AND(Y15&lt;&gt;"",COUNTIF(Y$4:Y15,Y15)=1),1,0)</f>
        <v/>
      </c>
      <c r="AA15">
        <f>IF(ROW()-3&gt;MAX(Z$4:Z$40),"",INDEX(Y$4:Y$40,MATCH(ROW()-3,Z$4:Z$40,0)))</f>
        <v/>
      </c>
      <c r="AB15">
        <f>IF('Final Calculation Sheet'!$H$15="","",'Final Calculation Sheet'!$H$15)</f>
        <v/>
      </c>
      <c r="AC15">
        <f>AC14+IF(AND(AB15&lt;&gt;"",COUNTIF(AB$4:AB15,AB15)=1),1,0)</f>
        <v/>
      </c>
      <c r="AD15">
        <f>IF(ROW()-3&gt;MAX(AC$4:AC$40),"",INDEX(AB$4:AB$40,MATCH(ROW()-3,AC$4:AC$40,0)))</f>
        <v/>
      </c>
      <c r="AE15">
        <f>IF('Final Calculation Sheet'!$I$15="","",'Final Calculation Sheet'!$I$15)</f>
        <v/>
      </c>
      <c r="AF15">
        <f>AF14+IF(AND(AE15&lt;&gt;"",COUNTIF(AE$4:AE15,AE15)=1),1,0)</f>
        <v/>
      </c>
      <c r="AG15">
        <f>IF(ROW()-3&gt;MAX(AF$4:AF$40),"",INDEX(AE$4:AE$40,MATCH(ROW()-3,AF$4:AF$40,0)))</f>
        <v/>
      </c>
      <c r="AH15">
        <f>IF('Final Calculation Sheet'!$J$15="","",'Final Calculation Sheet'!$J$15)</f>
        <v/>
      </c>
      <c r="AI15">
        <f>AI14+IF(AND(AH15&lt;&gt;"",COUNTIF(AH$4:AH15,AH15)=1),1,0)</f>
        <v/>
      </c>
      <c r="AJ15">
        <f>IF(ROW()-3&gt;MAX(AI$4:AI$40),"",INDEX(AH$4:AH$40,MATCH(ROW()-3,AI$4:AI$40,0)))</f>
        <v/>
      </c>
      <c r="AK15">
        <f>IF('Final Calculation Sheet'!$K$15="","",'Final Calculation Sheet'!$K$15)</f>
        <v/>
      </c>
      <c r="AL15">
        <f>AL14+IF(AND(AK15&lt;&gt;"",COUNTIF(AK$4:AK15,AK15)=1),1,0)</f>
        <v/>
      </c>
      <c r="AM15">
        <f>IF(ROW()-3&gt;MAX(AL$4:AL$40),"",INDEX(AK$4:AK$40,MATCH(ROW()-3,AL$4:AL$40,0)))</f>
        <v/>
      </c>
      <c r="AN15">
        <f>IF('Final Calculation Sheet'!$L$15="","",'Final Calculation Sheet'!$L$15)</f>
        <v/>
      </c>
      <c r="AO15">
        <f>AO14+IF(AND(AN15&lt;&gt;"",COUNTIF(AN$4:AN15,AN15)=1),1,0)</f>
        <v/>
      </c>
      <c r="AP15">
        <f>IF(ROW()-3&gt;MAX(AO$4:AO$40),"",INDEX(AN$4:AN$40,MATCH(ROW()-3,AO$4:AO$40,0)))</f>
        <v/>
      </c>
      <c r="AQ15">
        <f>IF('Final Calculation Sheet'!$M$15="","",'Final Calculation Sheet'!$M$15)</f>
        <v/>
      </c>
      <c r="AR15">
        <f>AR14+IF(AND(AQ15&lt;&gt;"",COUNTIF(AQ$4:AQ15,AQ15)=1),1,0)</f>
        <v/>
      </c>
      <c r="AS15">
        <f>IF(ROW()-3&gt;MAX(AR$4:AR$40),"",INDEX(AQ$4:AQ$40,MATCH(ROW()-3,AR$4:AR$40,0)))</f>
        <v/>
      </c>
      <c r="AT15">
        <f>IF('Final Calculation Sheet'!$N$15="","",'Final Calculation Sheet'!$N$15)</f>
        <v/>
      </c>
      <c r="AU15">
        <f>AU14+IF(AND(AT15&lt;&gt;"",COUNTIF(AT$4:AT15,AT15)=1),1,0)</f>
        <v/>
      </c>
      <c r="AV15">
        <f>IF(ROW()-3&gt;MAX(AU$4:AU$40),"",INDEX(AT$4:AT$40,MATCH(ROW()-3,AU$4:AU$40,0)))</f>
        <v/>
      </c>
      <c r="AW15">
        <f>IF('Final Calculation Sheet'!$O$15="","",'Final Calculation Sheet'!$O$15)</f>
        <v/>
      </c>
      <c r="AX15">
        <f>AX14+IF(AND(AW15&lt;&gt;"",COUNTIF(AW$4:AW15,AW15)=1),1,0)</f>
        <v/>
      </c>
      <c r="AY15">
        <f>IF(ROW()-3&gt;MAX(AX$4:AX$40),"",INDEX(AW$4:AW$40,MATCH(ROW()-3,AX$4:AX$40,0)))</f>
        <v/>
      </c>
      <c r="AZ15">
        <f>IF('Final Calculation Sheet'!$P$15="","",'Final Calculation Sheet'!$P$15)</f>
        <v/>
      </c>
      <c r="BA15">
        <f>BA14+IF(AND(AZ15&lt;&gt;"",COUNTIF(AZ$4:AZ15,AZ15)=1),1,0)</f>
        <v/>
      </c>
      <c r="BB15">
        <f>IF(ROW()-3&gt;MAX(BA$4:BA$40),"",INDEX(AZ$4:AZ$40,MATCH(ROW()-3,BA$4:BA$40,0)))</f>
        <v/>
      </c>
      <c r="BC15">
        <f>IF('Final Calculation Sheet'!$Q$15="","",'Final Calculation Sheet'!$Q$15)</f>
        <v/>
      </c>
      <c r="BD15">
        <f>BD14+IF(AND(BC15&lt;&gt;"",COUNTIF(BC$4:BC15,BC15)=1),1,0)</f>
        <v/>
      </c>
      <c r="BE15">
        <f>IF(ROW()-3&gt;MAX(BD$4:BD$40),"",INDEX(BC$4:BC$40,MATCH(ROW()-3,BD$4:BD$40,0)))</f>
        <v/>
      </c>
      <c r="BF15">
        <f>IF('Final Calculation Sheet'!$R$15="","",'Final Calculation Sheet'!$R$15)</f>
        <v/>
      </c>
      <c r="BG15">
        <f>BG14+IF(AND(BF15&lt;&gt;"",COUNTIF(BF$4:BF15,BF15)=1),1,0)</f>
        <v/>
      </c>
      <c r="BH15">
        <f>IF(ROW()-3&gt;MAX(BG$4:BG$40),"",INDEX(BF$4:BF$40,MATCH(ROW()-3,BG$4:BG$40,0)))</f>
        <v/>
      </c>
      <c r="BI15">
        <f>IF('Final Calculation Sheet'!$S$15="","",'Final Calculation Sheet'!$S$15)</f>
        <v/>
      </c>
      <c r="BJ15">
        <f>BJ14+IF(AND(BI15&lt;&gt;"",COUNTIF(BI$4:BI15,BI15)=1),1,0)</f>
        <v/>
      </c>
      <c r="BK15">
        <f>IF(ROW()-3&gt;MAX(BJ$4:BJ$40),"",INDEX(BI$4:BI$40,MATCH(ROW()-3,BJ$4:BJ$40,0)))</f>
        <v/>
      </c>
      <c r="BL15">
        <f>IF('Final Calculation Sheet'!$T$15="","",'Final Calculation Sheet'!$T$15)</f>
        <v/>
      </c>
      <c r="BM15">
        <f>BM14+IF(AND(BL15&lt;&gt;"",COUNTIF(BL$4:BL15,BL15)=1),1,0)</f>
        <v/>
      </c>
      <c r="BN15">
        <f>IF(ROW()-3&gt;MAX(BM$4:BM$40),"",INDEX(BL$4:BL$40,MATCH(ROW()-3,BM$4:BM$40,0)))</f>
        <v/>
      </c>
      <c r="BO15">
        <f>IF('Final Calculation Sheet'!$U$15="","",'Final Calculation Sheet'!$U$15)</f>
        <v/>
      </c>
      <c r="BP15">
        <f>BP14+IF(AND(BO15&lt;&gt;"",COUNTIF(BO$4:BO15,BO15)=1),1,0)</f>
        <v/>
      </c>
      <c r="BQ15">
        <f>IF(ROW()-3&gt;MAX(BP$4:BP$40),"",INDEX(BO$4:BO$40,MATCH(ROW()-3,BP$4:BP$40,0)))</f>
        <v/>
      </c>
      <c r="BR15">
        <f>IF('Final Calculation Sheet'!$V$15="","",'Final Calculation Sheet'!$V$15)</f>
        <v/>
      </c>
      <c r="BS15">
        <f>BS14+IF(AND(BR15&lt;&gt;"",COUNTIF(BR$4:BR15,BR15)=1),1,0)</f>
        <v/>
      </c>
      <c r="BT15">
        <f>IF(ROW()-3&gt;MAX(BS$4:BS$40),"",INDEX(BR$4:BR$40,MATCH(ROW()-3,BS$4:BS$40,0)))</f>
        <v/>
      </c>
      <c r="BU15">
        <f>IF('Final Calculation Sheet'!$W$15="","",'Final Calculation Sheet'!$W$15)</f>
        <v/>
      </c>
      <c r="BV15">
        <f>BV14+IF(AND(BU15&lt;&gt;"",COUNTIF(BU$4:BU15,BU15)=1),1,0)</f>
        <v/>
      </c>
      <c r="BW15">
        <f>IF(ROW()-3&gt;MAX(BV$4:BV$40),"",INDEX(BU$4:BU$40,MATCH(ROW()-3,BV$4:BV$40,0)))</f>
        <v/>
      </c>
      <c r="BX15">
        <f>IF('Final Calculation Sheet'!$X$15="","",'Final Calculation Sheet'!$X$15)</f>
        <v/>
      </c>
      <c r="BY15">
        <f>BY14+IF(AND(BX15&lt;&gt;"",COUNTIF(BX$4:BX15,BX15)=1),1,0)</f>
        <v/>
      </c>
      <c r="BZ15">
        <f>IF(ROW()-3&gt;MAX(BY$4:BY$40),"",INDEX(BX$4:BX$40,MATCH(ROW()-3,BY$4:BY$40,0)))</f>
        <v/>
      </c>
      <c r="CA15">
        <f>IF('Final Calculation Sheet'!$Y$15="","",'Final Calculation Sheet'!$Y$15)</f>
        <v/>
      </c>
      <c r="CB15">
        <f>CB14+IF(AND(CA15&lt;&gt;"",COUNTIF(CA$4:CA15,CA15)=1),1,0)</f>
        <v/>
      </c>
      <c r="CC15">
        <f>IF(ROW()-3&gt;MAX(CB$4:CB$40),"",INDEX(CA$4:CA$40,MATCH(ROW()-3,CB$4:CB$40,0)))</f>
        <v/>
      </c>
      <c r="CD15">
        <f>IF('Final Calculation Sheet'!$Z$15="","",'Final Calculation Sheet'!$Z$15)</f>
        <v/>
      </c>
      <c r="CE15">
        <f>CE14+IF(AND(CD15&lt;&gt;"",COUNTIF(CD$4:CD15,CD15)=1),1,0)</f>
        <v/>
      </c>
      <c r="CF15">
        <f>IF(ROW()-3&gt;MAX(CE$4:CE$40),"",INDEX(CD$4:CD$40,MATCH(ROW()-3,CE$4:CE$40,0)))</f>
        <v/>
      </c>
      <c r="CG15">
        <f>IF('Final Calculation Sheet'!$AA$15="","",'Final Calculation Sheet'!$AA$15)</f>
        <v/>
      </c>
      <c r="CH15">
        <f>CH14+IF(AND(CG15&lt;&gt;"",COUNTIF(CG$4:CG15,CG15)=1),1,0)</f>
        <v/>
      </c>
      <c r="CI15">
        <f>IF(ROW()-3&gt;MAX(CH$4:CH$40),"",INDEX(CG$4:CG$40,MATCH(ROW()-3,CH$4:CH$40,0)))</f>
        <v/>
      </c>
      <c r="CJ15">
        <f>IF('Final Calculation Sheet'!$AB$15="","",'Final Calculation Sheet'!$AB$15)</f>
        <v/>
      </c>
      <c r="CK15">
        <f>CK14+IF(AND(CJ15&lt;&gt;"",COUNTIF(CJ$4:CJ15,CJ15)=1),1,0)</f>
        <v/>
      </c>
      <c r="CL15">
        <f>IF(ROW()-3&gt;MAX(CK$4:CK$40),"",INDEX(CJ$4:CJ$40,MATCH(ROW()-3,CK$4:CK$40,0)))</f>
        <v/>
      </c>
      <c r="CM15">
        <f>IF('Final Calculation Sheet'!$AC$15="","",'Final Calculation Sheet'!$AC$15)</f>
        <v/>
      </c>
      <c r="CN15">
        <f>CN14+IF(AND(CM15&lt;&gt;"",COUNTIF(CM$4:CM15,CM15)=1),1,0)</f>
        <v/>
      </c>
      <c r="CO15">
        <f>IF(ROW()-3&gt;MAX(CN$4:CN$40),"",INDEX(CM$4:CM$40,MATCH(ROW()-3,CN$4:CN$40,0)))</f>
        <v/>
      </c>
      <c r="CP15">
        <f>IF('Final Calculation Sheet'!$AD$15="","",'Final Calculation Sheet'!$AD$15)</f>
        <v/>
      </c>
      <c r="CQ15">
        <f>CQ14+IF(AND(CP15&lt;&gt;"",COUNTIF(CP$4:CP15,CP15)=1),1,0)</f>
        <v/>
      </c>
      <c r="CR15">
        <f>IF(ROW()-3&gt;MAX(CQ$4:CQ$40),"",INDEX(CP$4:CP$40,MATCH(ROW()-3,CQ$4:CQ$40,0)))</f>
        <v/>
      </c>
      <c r="CS15">
        <f>IF('Final Calculation Sheet'!$AE$15="","",'Final Calculation Sheet'!$AE$15)</f>
        <v/>
      </c>
      <c r="CT15">
        <f>CT14+IF(AND(CS15&lt;&gt;"",COUNTIF(CS$4:CS15,CS15)=1),1,0)</f>
        <v/>
      </c>
      <c r="CU15">
        <f>IF(ROW()-3&gt;MAX(CT$4:CT$40),"",INDEX(CS$4:CS$40,MATCH(ROW()-3,CT$4:CT$40,0)))</f>
        <v/>
      </c>
      <c r="CV15">
        <f>IF('Final Calculation Sheet'!$AF$15="","",'Final Calculation Sheet'!$AF$15)</f>
        <v/>
      </c>
      <c r="CW15">
        <f>CW14+IF(AND(CV15&lt;&gt;"",COUNTIF(CV$4:CV15,CV15)=1),1,0)</f>
        <v/>
      </c>
      <c r="CX15">
        <f>IF(ROW()-3&gt;MAX(CW$4:CW$40),"",INDEX(CV$4:CV$40,MATCH(ROW()-3,CW$4:CW$40,0)))</f>
        <v/>
      </c>
      <c r="CY15">
        <f>IF('Final Calculation Sheet'!$AG$15="","",'Final Calculation Sheet'!$AG$15)</f>
        <v/>
      </c>
      <c r="CZ15">
        <f>CZ14+IF(AND(CY15&lt;&gt;"",COUNTIF(CY$4:CY15,CY15)=1),1,0)</f>
        <v/>
      </c>
      <c r="DA15">
        <f>IF(ROW()-3&gt;MAX(CZ$4:CZ$40),"",INDEX(CY$4:CY$40,MATCH(ROW()-3,CZ$4:CZ$40,0)))</f>
        <v/>
      </c>
      <c r="DC15">
        <f>DC14+IF(AND(DB15&lt;&gt;"",COUNTIF(DB$4:DB15,DB15)=1),1,0)</f>
        <v/>
      </c>
      <c r="DD15">
        <f>IF(ROW()-3&gt;MAX(DC$4:DC$40),"",INDEX(DB$4:DB$40,MATCH(ROW()-3,DC$4:DC$40,0)))</f>
        <v/>
      </c>
    </row>
    <row r="16">
      <c r="A16">
        <f>IF('Final Calculation Sheet'!$F$16="","",'Final Calculation Sheet'!$F$16)</f>
        <v/>
      </c>
      <c r="B16">
        <f>B15+IF(AND(A16&lt;&gt;"",COUNTIF(A$4:A16,A16)=1),1,0)</f>
        <v/>
      </c>
      <c r="C16">
        <f>IF(ROW()-3&gt;MAX(B$4:B$114),"",INDEX(A$4:A$114,MATCH(ROW()-3,B$4:B$114,0)))</f>
        <v/>
      </c>
      <c r="D16">
        <f>ROW()-3</f>
        <v/>
      </c>
      <c r="E16">
        <f>E15+IF(AND(D16&lt;&gt;"",COUNTIF(D$4:D16,D16)=1),1,0)</f>
        <v/>
      </c>
      <c r="F16">
        <f>IF(ROW()-3&gt;MAX(E$4:E$40),"",INDEX(D$4:D$40,MATCH(ROW()-3,E$4:E$40,0)))</f>
        <v/>
      </c>
      <c r="G16">
        <f>IF('Final Calculation Sheet'!$F$16="","",'Final Calculation Sheet'!$F$16)</f>
        <v/>
      </c>
      <c r="H16">
        <f>H15+IF(AND(G16&lt;&gt;"",COUNTIF(G$4:G16,G16)=1),1,0)</f>
        <v/>
      </c>
      <c r="I16">
        <f>IF(ROW()-3&gt;MAX(H$4:H$40),"",INDEX(G$4:G$40,MATCH(ROW()-3,H$4:H$40,0)))</f>
        <v/>
      </c>
      <c r="J16">
        <f>IF('Final Calculation Sheet'!$G$16="","",'Final Calculation Sheet'!$G$16)</f>
        <v/>
      </c>
      <c r="K16">
        <f>K15+IF(AND(J16&lt;&gt;"",COUNTIF(J$4:J16,J16)=1),1,0)</f>
        <v/>
      </c>
      <c r="L16">
        <f>IF(ROW()-3&gt;MAX(K$4:K$40),"",INDEX(J$4:J$40,MATCH(ROW()-3,K$4:K$40,0)))</f>
        <v/>
      </c>
      <c r="M16">
        <f>IF('Final Calculation Sheet'!$B$16="","",'Final Calculation Sheet'!$B$16)</f>
        <v/>
      </c>
      <c r="N16">
        <f>N15+IF(AND(M16&lt;&gt;"",COUNTIF(M$4:M16,M16)=1),1,0)</f>
        <v/>
      </c>
      <c r="O16">
        <f>IF(ROW()-3&gt;MAX(N$4:N$40),"",INDEX(M$4:M$40,MATCH(ROW()-3,N$4:N$40,0)))</f>
        <v/>
      </c>
      <c r="P16">
        <f>IF('Final Calculation Sheet'!$D$16="","",'Final Calculation Sheet'!$D$16)</f>
        <v/>
      </c>
      <c r="Q16">
        <f>Q15+IF(AND(P16&lt;&gt;"",COUNTIF(P$4:P16,P16)=1),1,0)</f>
        <v/>
      </c>
      <c r="R16">
        <f>IF(ROW()-3&gt;MAX(Q$4:Q$40),"",INDEX(P$4:P$40,MATCH(ROW()-3,Q$4:Q$40,0)))</f>
        <v/>
      </c>
      <c r="S16">
        <f>IF('Final Calculation Sheet'!$A$16="","",'Final Calculation Sheet'!$A$16)</f>
        <v/>
      </c>
      <c r="T16">
        <f>T15+IF(AND(S16&lt;&gt;"",COUNTIF(S$4:S16,S16)=1),1,0)</f>
        <v/>
      </c>
      <c r="U16">
        <f>IF(ROW()-3&gt;MAX(T$4:T$40),"",INDEX(S$4:S$40,MATCH(ROW()-3,T$4:T$40,0)))</f>
        <v/>
      </c>
      <c r="V16">
        <f>IF('Final Calculation Sheet'!$E$16="","",'Final Calculation Sheet'!$E$16)</f>
        <v/>
      </c>
      <c r="W16">
        <f>W15+IF(AND(V16&lt;&gt;"",COUNTIF(V$4:V16,V16)=1),1,0)</f>
        <v/>
      </c>
      <c r="X16">
        <f>IF(ROW()-3&gt;MAX(W$4:W$40),"",INDEX(V$4:V$40,MATCH(ROW()-3,W$4:W$40,0)))</f>
        <v/>
      </c>
      <c r="Y16">
        <f>IF('Final Calculation Sheet'!$C$16="","",'Final Calculation Sheet'!$C$16)</f>
        <v/>
      </c>
      <c r="Z16">
        <f>Z15+IF(AND(Y16&lt;&gt;"",COUNTIF(Y$4:Y16,Y16)=1),1,0)</f>
        <v/>
      </c>
      <c r="AA16">
        <f>IF(ROW()-3&gt;MAX(Z$4:Z$40),"",INDEX(Y$4:Y$40,MATCH(ROW()-3,Z$4:Z$40,0)))</f>
        <v/>
      </c>
      <c r="AB16">
        <f>IF('Final Calculation Sheet'!$H$16="","",'Final Calculation Sheet'!$H$16)</f>
        <v/>
      </c>
      <c r="AC16">
        <f>AC15+IF(AND(AB16&lt;&gt;"",COUNTIF(AB$4:AB16,AB16)=1),1,0)</f>
        <v/>
      </c>
      <c r="AD16">
        <f>IF(ROW()-3&gt;MAX(AC$4:AC$40),"",INDEX(AB$4:AB$40,MATCH(ROW()-3,AC$4:AC$40,0)))</f>
        <v/>
      </c>
      <c r="AE16">
        <f>IF('Final Calculation Sheet'!$I$16="","",'Final Calculation Sheet'!$I$16)</f>
        <v/>
      </c>
      <c r="AF16">
        <f>AF15+IF(AND(AE16&lt;&gt;"",COUNTIF(AE$4:AE16,AE16)=1),1,0)</f>
        <v/>
      </c>
      <c r="AG16">
        <f>IF(ROW()-3&gt;MAX(AF$4:AF$40),"",INDEX(AE$4:AE$40,MATCH(ROW()-3,AF$4:AF$40,0)))</f>
        <v/>
      </c>
      <c r="AH16">
        <f>IF('Final Calculation Sheet'!$J$16="","",'Final Calculation Sheet'!$J$16)</f>
        <v/>
      </c>
      <c r="AI16">
        <f>AI15+IF(AND(AH16&lt;&gt;"",COUNTIF(AH$4:AH16,AH16)=1),1,0)</f>
        <v/>
      </c>
      <c r="AJ16">
        <f>IF(ROW()-3&gt;MAX(AI$4:AI$40),"",INDEX(AH$4:AH$40,MATCH(ROW()-3,AI$4:AI$40,0)))</f>
        <v/>
      </c>
      <c r="AK16">
        <f>IF('Final Calculation Sheet'!$K$16="","",'Final Calculation Sheet'!$K$16)</f>
        <v/>
      </c>
      <c r="AL16">
        <f>AL15+IF(AND(AK16&lt;&gt;"",COUNTIF(AK$4:AK16,AK16)=1),1,0)</f>
        <v/>
      </c>
      <c r="AM16">
        <f>IF(ROW()-3&gt;MAX(AL$4:AL$40),"",INDEX(AK$4:AK$40,MATCH(ROW()-3,AL$4:AL$40,0)))</f>
        <v/>
      </c>
      <c r="AN16">
        <f>IF('Final Calculation Sheet'!$L$16="","",'Final Calculation Sheet'!$L$16)</f>
        <v/>
      </c>
      <c r="AO16">
        <f>AO15+IF(AND(AN16&lt;&gt;"",COUNTIF(AN$4:AN16,AN16)=1),1,0)</f>
        <v/>
      </c>
      <c r="AP16">
        <f>IF(ROW()-3&gt;MAX(AO$4:AO$40),"",INDEX(AN$4:AN$40,MATCH(ROW()-3,AO$4:AO$40,0)))</f>
        <v/>
      </c>
      <c r="AQ16">
        <f>IF('Final Calculation Sheet'!$M$16="","",'Final Calculation Sheet'!$M$16)</f>
        <v/>
      </c>
      <c r="AR16">
        <f>AR15+IF(AND(AQ16&lt;&gt;"",COUNTIF(AQ$4:AQ16,AQ16)=1),1,0)</f>
        <v/>
      </c>
      <c r="AS16">
        <f>IF(ROW()-3&gt;MAX(AR$4:AR$40),"",INDEX(AQ$4:AQ$40,MATCH(ROW()-3,AR$4:AR$40,0)))</f>
        <v/>
      </c>
      <c r="AT16">
        <f>IF('Final Calculation Sheet'!$N$16="","",'Final Calculation Sheet'!$N$16)</f>
        <v/>
      </c>
      <c r="AU16">
        <f>AU15+IF(AND(AT16&lt;&gt;"",COUNTIF(AT$4:AT16,AT16)=1),1,0)</f>
        <v/>
      </c>
      <c r="AV16">
        <f>IF(ROW()-3&gt;MAX(AU$4:AU$40),"",INDEX(AT$4:AT$40,MATCH(ROW()-3,AU$4:AU$40,0)))</f>
        <v/>
      </c>
      <c r="AW16">
        <f>IF('Final Calculation Sheet'!$O$16="","",'Final Calculation Sheet'!$O$16)</f>
        <v/>
      </c>
      <c r="AX16">
        <f>AX15+IF(AND(AW16&lt;&gt;"",COUNTIF(AW$4:AW16,AW16)=1),1,0)</f>
        <v/>
      </c>
      <c r="AY16">
        <f>IF(ROW()-3&gt;MAX(AX$4:AX$40),"",INDEX(AW$4:AW$40,MATCH(ROW()-3,AX$4:AX$40,0)))</f>
        <v/>
      </c>
      <c r="AZ16">
        <f>IF('Final Calculation Sheet'!$P$16="","",'Final Calculation Sheet'!$P$16)</f>
        <v/>
      </c>
      <c r="BA16">
        <f>BA15+IF(AND(AZ16&lt;&gt;"",COUNTIF(AZ$4:AZ16,AZ16)=1),1,0)</f>
        <v/>
      </c>
      <c r="BB16">
        <f>IF(ROW()-3&gt;MAX(BA$4:BA$40),"",INDEX(AZ$4:AZ$40,MATCH(ROW()-3,BA$4:BA$40,0)))</f>
        <v/>
      </c>
      <c r="BC16">
        <f>IF('Final Calculation Sheet'!$Q$16="","",'Final Calculation Sheet'!$Q$16)</f>
        <v/>
      </c>
      <c r="BD16">
        <f>BD15+IF(AND(BC16&lt;&gt;"",COUNTIF(BC$4:BC16,BC16)=1),1,0)</f>
        <v/>
      </c>
      <c r="BE16">
        <f>IF(ROW()-3&gt;MAX(BD$4:BD$40),"",INDEX(BC$4:BC$40,MATCH(ROW()-3,BD$4:BD$40,0)))</f>
        <v/>
      </c>
      <c r="BF16">
        <f>IF('Final Calculation Sheet'!$R$16="","",'Final Calculation Sheet'!$R$16)</f>
        <v/>
      </c>
      <c r="BG16">
        <f>BG15+IF(AND(BF16&lt;&gt;"",COUNTIF(BF$4:BF16,BF16)=1),1,0)</f>
        <v/>
      </c>
      <c r="BH16">
        <f>IF(ROW()-3&gt;MAX(BG$4:BG$40),"",INDEX(BF$4:BF$40,MATCH(ROW()-3,BG$4:BG$40,0)))</f>
        <v/>
      </c>
      <c r="BI16">
        <f>IF('Final Calculation Sheet'!$S$16="","",'Final Calculation Sheet'!$S$16)</f>
        <v/>
      </c>
      <c r="BJ16">
        <f>BJ15+IF(AND(BI16&lt;&gt;"",COUNTIF(BI$4:BI16,BI16)=1),1,0)</f>
        <v/>
      </c>
      <c r="BK16">
        <f>IF(ROW()-3&gt;MAX(BJ$4:BJ$40),"",INDEX(BI$4:BI$40,MATCH(ROW()-3,BJ$4:BJ$40,0)))</f>
        <v/>
      </c>
      <c r="BL16">
        <f>IF('Final Calculation Sheet'!$T$16="","",'Final Calculation Sheet'!$T$16)</f>
        <v/>
      </c>
      <c r="BM16">
        <f>BM15+IF(AND(BL16&lt;&gt;"",COUNTIF(BL$4:BL16,BL16)=1),1,0)</f>
        <v/>
      </c>
      <c r="BN16">
        <f>IF(ROW()-3&gt;MAX(BM$4:BM$40),"",INDEX(BL$4:BL$40,MATCH(ROW()-3,BM$4:BM$40,0)))</f>
        <v/>
      </c>
      <c r="BO16">
        <f>IF('Final Calculation Sheet'!$U$16="","",'Final Calculation Sheet'!$U$16)</f>
        <v/>
      </c>
      <c r="BP16">
        <f>BP15+IF(AND(BO16&lt;&gt;"",COUNTIF(BO$4:BO16,BO16)=1),1,0)</f>
        <v/>
      </c>
      <c r="BQ16">
        <f>IF(ROW()-3&gt;MAX(BP$4:BP$40),"",INDEX(BO$4:BO$40,MATCH(ROW()-3,BP$4:BP$40,0)))</f>
        <v/>
      </c>
      <c r="BR16">
        <f>IF('Final Calculation Sheet'!$V$16="","",'Final Calculation Sheet'!$V$16)</f>
        <v/>
      </c>
      <c r="BS16">
        <f>BS15+IF(AND(BR16&lt;&gt;"",COUNTIF(BR$4:BR16,BR16)=1),1,0)</f>
        <v/>
      </c>
      <c r="BT16">
        <f>IF(ROW()-3&gt;MAX(BS$4:BS$40),"",INDEX(BR$4:BR$40,MATCH(ROW()-3,BS$4:BS$40,0)))</f>
        <v/>
      </c>
      <c r="BU16">
        <f>IF('Final Calculation Sheet'!$W$16="","",'Final Calculation Sheet'!$W$16)</f>
        <v/>
      </c>
      <c r="BV16">
        <f>BV15+IF(AND(BU16&lt;&gt;"",COUNTIF(BU$4:BU16,BU16)=1),1,0)</f>
        <v/>
      </c>
      <c r="BW16">
        <f>IF(ROW()-3&gt;MAX(BV$4:BV$40),"",INDEX(BU$4:BU$40,MATCH(ROW()-3,BV$4:BV$40,0)))</f>
        <v/>
      </c>
      <c r="BX16">
        <f>IF('Final Calculation Sheet'!$X$16="","",'Final Calculation Sheet'!$X$16)</f>
        <v/>
      </c>
      <c r="BY16">
        <f>BY15+IF(AND(BX16&lt;&gt;"",COUNTIF(BX$4:BX16,BX16)=1),1,0)</f>
        <v/>
      </c>
      <c r="BZ16">
        <f>IF(ROW()-3&gt;MAX(BY$4:BY$40),"",INDEX(BX$4:BX$40,MATCH(ROW()-3,BY$4:BY$40,0)))</f>
        <v/>
      </c>
      <c r="CA16">
        <f>IF('Final Calculation Sheet'!$Y$16="","",'Final Calculation Sheet'!$Y$16)</f>
        <v/>
      </c>
      <c r="CB16">
        <f>CB15+IF(AND(CA16&lt;&gt;"",COUNTIF(CA$4:CA16,CA16)=1),1,0)</f>
        <v/>
      </c>
      <c r="CC16">
        <f>IF(ROW()-3&gt;MAX(CB$4:CB$40),"",INDEX(CA$4:CA$40,MATCH(ROW()-3,CB$4:CB$40,0)))</f>
        <v/>
      </c>
      <c r="CD16">
        <f>IF('Final Calculation Sheet'!$Z$16="","",'Final Calculation Sheet'!$Z$16)</f>
        <v/>
      </c>
      <c r="CE16">
        <f>CE15+IF(AND(CD16&lt;&gt;"",COUNTIF(CD$4:CD16,CD16)=1),1,0)</f>
        <v/>
      </c>
      <c r="CF16">
        <f>IF(ROW()-3&gt;MAX(CE$4:CE$40),"",INDEX(CD$4:CD$40,MATCH(ROW()-3,CE$4:CE$40,0)))</f>
        <v/>
      </c>
      <c r="CG16">
        <f>IF('Final Calculation Sheet'!$AA$16="","",'Final Calculation Sheet'!$AA$16)</f>
        <v/>
      </c>
      <c r="CH16">
        <f>CH15+IF(AND(CG16&lt;&gt;"",COUNTIF(CG$4:CG16,CG16)=1),1,0)</f>
        <v/>
      </c>
      <c r="CI16">
        <f>IF(ROW()-3&gt;MAX(CH$4:CH$40),"",INDEX(CG$4:CG$40,MATCH(ROW()-3,CH$4:CH$40,0)))</f>
        <v/>
      </c>
      <c r="CJ16">
        <f>IF('Final Calculation Sheet'!$AB$16="","",'Final Calculation Sheet'!$AB$16)</f>
        <v/>
      </c>
      <c r="CK16">
        <f>CK15+IF(AND(CJ16&lt;&gt;"",COUNTIF(CJ$4:CJ16,CJ16)=1),1,0)</f>
        <v/>
      </c>
      <c r="CL16">
        <f>IF(ROW()-3&gt;MAX(CK$4:CK$40),"",INDEX(CJ$4:CJ$40,MATCH(ROW()-3,CK$4:CK$40,0)))</f>
        <v/>
      </c>
      <c r="CM16">
        <f>IF('Final Calculation Sheet'!$AC$16="","",'Final Calculation Sheet'!$AC$16)</f>
        <v/>
      </c>
      <c r="CN16">
        <f>CN15+IF(AND(CM16&lt;&gt;"",COUNTIF(CM$4:CM16,CM16)=1),1,0)</f>
        <v/>
      </c>
      <c r="CO16">
        <f>IF(ROW()-3&gt;MAX(CN$4:CN$40),"",INDEX(CM$4:CM$40,MATCH(ROW()-3,CN$4:CN$40,0)))</f>
        <v/>
      </c>
      <c r="CP16">
        <f>IF('Final Calculation Sheet'!$AD$16="","",'Final Calculation Sheet'!$AD$16)</f>
        <v/>
      </c>
      <c r="CQ16">
        <f>CQ15+IF(AND(CP16&lt;&gt;"",COUNTIF(CP$4:CP16,CP16)=1),1,0)</f>
        <v/>
      </c>
      <c r="CR16">
        <f>IF(ROW()-3&gt;MAX(CQ$4:CQ$40),"",INDEX(CP$4:CP$40,MATCH(ROW()-3,CQ$4:CQ$40,0)))</f>
        <v/>
      </c>
      <c r="CS16">
        <f>IF('Final Calculation Sheet'!$AE$16="","",'Final Calculation Sheet'!$AE$16)</f>
        <v/>
      </c>
      <c r="CT16">
        <f>CT15+IF(AND(CS16&lt;&gt;"",COUNTIF(CS$4:CS16,CS16)=1),1,0)</f>
        <v/>
      </c>
      <c r="CU16">
        <f>IF(ROW()-3&gt;MAX(CT$4:CT$40),"",INDEX(CS$4:CS$40,MATCH(ROW()-3,CT$4:CT$40,0)))</f>
        <v/>
      </c>
      <c r="CV16">
        <f>IF('Final Calculation Sheet'!$AF$16="","",'Final Calculation Sheet'!$AF$16)</f>
        <v/>
      </c>
      <c r="CW16">
        <f>CW15+IF(AND(CV16&lt;&gt;"",COUNTIF(CV$4:CV16,CV16)=1),1,0)</f>
        <v/>
      </c>
      <c r="CX16">
        <f>IF(ROW()-3&gt;MAX(CW$4:CW$40),"",INDEX(CV$4:CV$40,MATCH(ROW()-3,CW$4:CW$40,0)))</f>
        <v/>
      </c>
      <c r="CY16">
        <f>IF('Final Calculation Sheet'!$AG$16="","",'Final Calculation Sheet'!$AG$16)</f>
        <v/>
      </c>
      <c r="CZ16">
        <f>CZ15+IF(AND(CY16&lt;&gt;"",COUNTIF(CY$4:CY16,CY16)=1),1,0)</f>
        <v/>
      </c>
      <c r="DA16">
        <f>IF(ROW()-3&gt;MAX(CZ$4:CZ$40),"",INDEX(CY$4:CY$40,MATCH(ROW()-3,CZ$4:CZ$40,0)))</f>
        <v/>
      </c>
      <c r="DC16">
        <f>DC15+IF(AND(DB16&lt;&gt;"",COUNTIF(DB$4:DB16,DB16)=1),1,0)</f>
        <v/>
      </c>
      <c r="DD16">
        <f>IF(ROW()-3&gt;MAX(DC$4:DC$40),"",INDEX(DB$4:DB$40,MATCH(ROW()-3,DC$4:DC$40,0)))</f>
        <v/>
      </c>
    </row>
    <row r="17">
      <c r="A17">
        <f>IF('Final Calculation Sheet'!$F$17="","",'Final Calculation Sheet'!$F$17)</f>
        <v/>
      </c>
      <c r="B17">
        <f>B16+IF(AND(A17&lt;&gt;"",COUNTIF(A$4:A17,A17)=1),1,0)</f>
        <v/>
      </c>
      <c r="C17">
        <f>IF(ROW()-3&gt;MAX(B$4:B$114),"",INDEX(A$4:A$114,MATCH(ROW()-3,B$4:B$114,0)))</f>
        <v/>
      </c>
      <c r="D17">
        <f>ROW()-3</f>
        <v/>
      </c>
      <c r="E17">
        <f>E16+IF(AND(D17&lt;&gt;"",COUNTIF(D$4:D17,D17)=1),1,0)</f>
        <v/>
      </c>
      <c r="F17">
        <f>IF(ROW()-3&gt;MAX(E$4:E$40),"",INDEX(D$4:D$40,MATCH(ROW()-3,E$4:E$40,0)))</f>
        <v/>
      </c>
      <c r="G17">
        <f>IF('Final Calculation Sheet'!$F$17="","",'Final Calculation Sheet'!$F$17)</f>
        <v/>
      </c>
      <c r="H17">
        <f>H16+IF(AND(G17&lt;&gt;"",COUNTIF(G$4:G17,G17)=1),1,0)</f>
        <v/>
      </c>
      <c r="I17">
        <f>IF(ROW()-3&gt;MAX(H$4:H$40),"",INDEX(G$4:G$40,MATCH(ROW()-3,H$4:H$40,0)))</f>
        <v/>
      </c>
      <c r="J17">
        <f>IF('Final Calculation Sheet'!$G$17="","",'Final Calculation Sheet'!$G$17)</f>
        <v/>
      </c>
      <c r="K17">
        <f>K16+IF(AND(J17&lt;&gt;"",COUNTIF(J$4:J17,J17)=1),1,0)</f>
        <v/>
      </c>
      <c r="L17">
        <f>IF(ROW()-3&gt;MAX(K$4:K$40),"",INDEX(J$4:J$40,MATCH(ROW()-3,K$4:K$40,0)))</f>
        <v/>
      </c>
      <c r="M17">
        <f>IF('Final Calculation Sheet'!$B$17="","",'Final Calculation Sheet'!$B$17)</f>
        <v/>
      </c>
      <c r="N17">
        <f>N16+IF(AND(M17&lt;&gt;"",COUNTIF(M$4:M17,M17)=1),1,0)</f>
        <v/>
      </c>
      <c r="O17">
        <f>IF(ROW()-3&gt;MAX(N$4:N$40),"",INDEX(M$4:M$40,MATCH(ROW()-3,N$4:N$40,0)))</f>
        <v/>
      </c>
      <c r="P17">
        <f>IF('Final Calculation Sheet'!$D$17="","",'Final Calculation Sheet'!$D$17)</f>
        <v/>
      </c>
      <c r="Q17">
        <f>Q16+IF(AND(P17&lt;&gt;"",COUNTIF(P$4:P17,P17)=1),1,0)</f>
        <v/>
      </c>
      <c r="R17">
        <f>IF(ROW()-3&gt;MAX(Q$4:Q$40),"",INDEX(P$4:P$40,MATCH(ROW()-3,Q$4:Q$40,0)))</f>
        <v/>
      </c>
      <c r="S17">
        <f>IF('Final Calculation Sheet'!$A$17="","",'Final Calculation Sheet'!$A$17)</f>
        <v/>
      </c>
      <c r="T17">
        <f>T16+IF(AND(S17&lt;&gt;"",COUNTIF(S$4:S17,S17)=1),1,0)</f>
        <v/>
      </c>
      <c r="U17">
        <f>IF(ROW()-3&gt;MAX(T$4:T$40),"",INDEX(S$4:S$40,MATCH(ROW()-3,T$4:T$40,0)))</f>
        <v/>
      </c>
      <c r="V17">
        <f>IF('Final Calculation Sheet'!$E$17="","",'Final Calculation Sheet'!$E$17)</f>
        <v/>
      </c>
      <c r="W17">
        <f>W16+IF(AND(V17&lt;&gt;"",COUNTIF(V$4:V17,V17)=1),1,0)</f>
        <v/>
      </c>
      <c r="X17">
        <f>IF(ROW()-3&gt;MAX(W$4:W$40),"",INDEX(V$4:V$40,MATCH(ROW()-3,W$4:W$40,0)))</f>
        <v/>
      </c>
      <c r="Y17">
        <f>IF('Final Calculation Sheet'!$C$17="","",'Final Calculation Sheet'!$C$17)</f>
        <v/>
      </c>
      <c r="Z17">
        <f>Z16+IF(AND(Y17&lt;&gt;"",COUNTIF(Y$4:Y17,Y17)=1),1,0)</f>
        <v/>
      </c>
      <c r="AA17">
        <f>IF(ROW()-3&gt;MAX(Z$4:Z$40),"",INDEX(Y$4:Y$40,MATCH(ROW()-3,Z$4:Z$40,0)))</f>
        <v/>
      </c>
      <c r="AB17">
        <f>IF('Final Calculation Sheet'!$H$17="","",'Final Calculation Sheet'!$H$17)</f>
        <v/>
      </c>
      <c r="AC17">
        <f>AC16+IF(AND(AB17&lt;&gt;"",COUNTIF(AB$4:AB17,AB17)=1),1,0)</f>
        <v/>
      </c>
      <c r="AD17">
        <f>IF(ROW()-3&gt;MAX(AC$4:AC$40),"",INDEX(AB$4:AB$40,MATCH(ROW()-3,AC$4:AC$40,0)))</f>
        <v/>
      </c>
      <c r="AE17">
        <f>IF('Final Calculation Sheet'!$I$17="","",'Final Calculation Sheet'!$I$17)</f>
        <v/>
      </c>
      <c r="AF17">
        <f>AF16+IF(AND(AE17&lt;&gt;"",COUNTIF(AE$4:AE17,AE17)=1),1,0)</f>
        <v/>
      </c>
      <c r="AG17">
        <f>IF(ROW()-3&gt;MAX(AF$4:AF$40),"",INDEX(AE$4:AE$40,MATCH(ROW()-3,AF$4:AF$40,0)))</f>
        <v/>
      </c>
      <c r="AH17">
        <f>IF('Final Calculation Sheet'!$J$17="","",'Final Calculation Sheet'!$J$17)</f>
        <v/>
      </c>
      <c r="AI17">
        <f>AI16+IF(AND(AH17&lt;&gt;"",COUNTIF(AH$4:AH17,AH17)=1),1,0)</f>
        <v/>
      </c>
      <c r="AJ17">
        <f>IF(ROW()-3&gt;MAX(AI$4:AI$40),"",INDEX(AH$4:AH$40,MATCH(ROW()-3,AI$4:AI$40,0)))</f>
        <v/>
      </c>
      <c r="AK17">
        <f>IF('Final Calculation Sheet'!$K$17="","",'Final Calculation Sheet'!$K$17)</f>
        <v/>
      </c>
      <c r="AL17">
        <f>AL16+IF(AND(AK17&lt;&gt;"",COUNTIF(AK$4:AK17,AK17)=1),1,0)</f>
        <v/>
      </c>
      <c r="AM17">
        <f>IF(ROW()-3&gt;MAX(AL$4:AL$40),"",INDEX(AK$4:AK$40,MATCH(ROW()-3,AL$4:AL$40,0)))</f>
        <v/>
      </c>
      <c r="AN17">
        <f>IF('Final Calculation Sheet'!$L$17="","",'Final Calculation Sheet'!$L$17)</f>
        <v/>
      </c>
      <c r="AO17">
        <f>AO16+IF(AND(AN17&lt;&gt;"",COUNTIF(AN$4:AN17,AN17)=1),1,0)</f>
        <v/>
      </c>
      <c r="AP17">
        <f>IF(ROW()-3&gt;MAX(AO$4:AO$40),"",INDEX(AN$4:AN$40,MATCH(ROW()-3,AO$4:AO$40,0)))</f>
        <v/>
      </c>
      <c r="AQ17">
        <f>IF('Final Calculation Sheet'!$M$17="","",'Final Calculation Sheet'!$M$17)</f>
        <v/>
      </c>
      <c r="AR17">
        <f>AR16+IF(AND(AQ17&lt;&gt;"",COUNTIF(AQ$4:AQ17,AQ17)=1),1,0)</f>
        <v/>
      </c>
      <c r="AS17">
        <f>IF(ROW()-3&gt;MAX(AR$4:AR$40),"",INDEX(AQ$4:AQ$40,MATCH(ROW()-3,AR$4:AR$40,0)))</f>
        <v/>
      </c>
      <c r="AT17">
        <f>IF('Final Calculation Sheet'!$N$17="","",'Final Calculation Sheet'!$N$17)</f>
        <v/>
      </c>
      <c r="AU17">
        <f>AU16+IF(AND(AT17&lt;&gt;"",COUNTIF(AT$4:AT17,AT17)=1),1,0)</f>
        <v/>
      </c>
      <c r="AV17">
        <f>IF(ROW()-3&gt;MAX(AU$4:AU$40),"",INDEX(AT$4:AT$40,MATCH(ROW()-3,AU$4:AU$40,0)))</f>
        <v/>
      </c>
      <c r="AW17">
        <f>IF('Final Calculation Sheet'!$O$17="","",'Final Calculation Sheet'!$O$17)</f>
        <v/>
      </c>
      <c r="AX17">
        <f>AX16+IF(AND(AW17&lt;&gt;"",COUNTIF(AW$4:AW17,AW17)=1),1,0)</f>
        <v/>
      </c>
      <c r="AY17">
        <f>IF(ROW()-3&gt;MAX(AX$4:AX$40),"",INDEX(AW$4:AW$40,MATCH(ROW()-3,AX$4:AX$40,0)))</f>
        <v/>
      </c>
      <c r="AZ17">
        <f>IF('Final Calculation Sheet'!$P$17="","",'Final Calculation Sheet'!$P$17)</f>
        <v/>
      </c>
      <c r="BA17">
        <f>BA16+IF(AND(AZ17&lt;&gt;"",COUNTIF(AZ$4:AZ17,AZ17)=1),1,0)</f>
        <v/>
      </c>
      <c r="BB17">
        <f>IF(ROW()-3&gt;MAX(BA$4:BA$40),"",INDEX(AZ$4:AZ$40,MATCH(ROW()-3,BA$4:BA$40,0)))</f>
        <v/>
      </c>
      <c r="BC17">
        <f>IF('Final Calculation Sheet'!$Q$17="","",'Final Calculation Sheet'!$Q$17)</f>
        <v/>
      </c>
      <c r="BD17">
        <f>BD16+IF(AND(BC17&lt;&gt;"",COUNTIF(BC$4:BC17,BC17)=1),1,0)</f>
        <v/>
      </c>
      <c r="BE17">
        <f>IF(ROW()-3&gt;MAX(BD$4:BD$40),"",INDEX(BC$4:BC$40,MATCH(ROW()-3,BD$4:BD$40,0)))</f>
        <v/>
      </c>
      <c r="BF17">
        <f>IF('Final Calculation Sheet'!$R$17="","",'Final Calculation Sheet'!$R$17)</f>
        <v/>
      </c>
      <c r="BG17">
        <f>BG16+IF(AND(BF17&lt;&gt;"",COUNTIF(BF$4:BF17,BF17)=1),1,0)</f>
        <v/>
      </c>
      <c r="BH17">
        <f>IF(ROW()-3&gt;MAX(BG$4:BG$40),"",INDEX(BF$4:BF$40,MATCH(ROW()-3,BG$4:BG$40,0)))</f>
        <v/>
      </c>
      <c r="BI17">
        <f>IF('Final Calculation Sheet'!$S$17="","",'Final Calculation Sheet'!$S$17)</f>
        <v/>
      </c>
      <c r="BJ17">
        <f>BJ16+IF(AND(BI17&lt;&gt;"",COUNTIF(BI$4:BI17,BI17)=1),1,0)</f>
        <v/>
      </c>
      <c r="BK17">
        <f>IF(ROW()-3&gt;MAX(BJ$4:BJ$40),"",INDEX(BI$4:BI$40,MATCH(ROW()-3,BJ$4:BJ$40,0)))</f>
        <v/>
      </c>
      <c r="BL17">
        <f>IF('Final Calculation Sheet'!$T$17="","",'Final Calculation Sheet'!$T$17)</f>
        <v/>
      </c>
      <c r="BM17">
        <f>BM16+IF(AND(BL17&lt;&gt;"",COUNTIF(BL$4:BL17,BL17)=1),1,0)</f>
        <v/>
      </c>
      <c r="BN17">
        <f>IF(ROW()-3&gt;MAX(BM$4:BM$40),"",INDEX(BL$4:BL$40,MATCH(ROW()-3,BM$4:BM$40,0)))</f>
        <v/>
      </c>
      <c r="BO17">
        <f>IF('Final Calculation Sheet'!$U$17="","",'Final Calculation Sheet'!$U$17)</f>
        <v/>
      </c>
      <c r="BP17">
        <f>BP16+IF(AND(BO17&lt;&gt;"",COUNTIF(BO$4:BO17,BO17)=1),1,0)</f>
        <v/>
      </c>
      <c r="BQ17">
        <f>IF(ROW()-3&gt;MAX(BP$4:BP$40),"",INDEX(BO$4:BO$40,MATCH(ROW()-3,BP$4:BP$40,0)))</f>
        <v/>
      </c>
      <c r="BR17">
        <f>IF('Final Calculation Sheet'!$V$17="","",'Final Calculation Sheet'!$V$17)</f>
        <v/>
      </c>
      <c r="BS17">
        <f>BS16+IF(AND(BR17&lt;&gt;"",COUNTIF(BR$4:BR17,BR17)=1),1,0)</f>
        <v/>
      </c>
      <c r="BT17">
        <f>IF(ROW()-3&gt;MAX(BS$4:BS$40),"",INDEX(BR$4:BR$40,MATCH(ROW()-3,BS$4:BS$40,0)))</f>
        <v/>
      </c>
      <c r="BU17">
        <f>IF('Final Calculation Sheet'!$W$17="","",'Final Calculation Sheet'!$W$17)</f>
        <v/>
      </c>
      <c r="BV17">
        <f>BV16+IF(AND(BU17&lt;&gt;"",COUNTIF(BU$4:BU17,BU17)=1),1,0)</f>
        <v/>
      </c>
      <c r="BW17">
        <f>IF(ROW()-3&gt;MAX(BV$4:BV$40),"",INDEX(BU$4:BU$40,MATCH(ROW()-3,BV$4:BV$40,0)))</f>
        <v/>
      </c>
      <c r="BX17">
        <f>IF('Final Calculation Sheet'!$X$17="","",'Final Calculation Sheet'!$X$17)</f>
        <v/>
      </c>
      <c r="BY17">
        <f>BY16+IF(AND(BX17&lt;&gt;"",COUNTIF(BX$4:BX17,BX17)=1),1,0)</f>
        <v/>
      </c>
      <c r="BZ17">
        <f>IF(ROW()-3&gt;MAX(BY$4:BY$40),"",INDEX(BX$4:BX$40,MATCH(ROW()-3,BY$4:BY$40,0)))</f>
        <v/>
      </c>
      <c r="CA17">
        <f>IF('Final Calculation Sheet'!$Y$17="","",'Final Calculation Sheet'!$Y$17)</f>
        <v/>
      </c>
      <c r="CB17">
        <f>CB16+IF(AND(CA17&lt;&gt;"",COUNTIF(CA$4:CA17,CA17)=1),1,0)</f>
        <v/>
      </c>
      <c r="CC17">
        <f>IF(ROW()-3&gt;MAX(CB$4:CB$40),"",INDEX(CA$4:CA$40,MATCH(ROW()-3,CB$4:CB$40,0)))</f>
        <v/>
      </c>
      <c r="CD17">
        <f>IF('Final Calculation Sheet'!$Z$17="","",'Final Calculation Sheet'!$Z$17)</f>
        <v/>
      </c>
      <c r="CE17">
        <f>CE16+IF(AND(CD17&lt;&gt;"",COUNTIF(CD$4:CD17,CD17)=1),1,0)</f>
        <v/>
      </c>
      <c r="CF17">
        <f>IF(ROW()-3&gt;MAX(CE$4:CE$40),"",INDEX(CD$4:CD$40,MATCH(ROW()-3,CE$4:CE$40,0)))</f>
        <v/>
      </c>
      <c r="CG17">
        <f>IF('Final Calculation Sheet'!$AA$17="","",'Final Calculation Sheet'!$AA$17)</f>
        <v/>
      </c>
      <c r="CH17">
        <f>CH16+IF(AND(CG17&lt;&gt;"",COUNTIF(CG$4:CG17,CG17)=1),1,0)</f>
        <v/>
      </c>
      <c r="CI17">
        <f>IF(ROW()-3&gt;MAX(CH$4:CH$40),"",INDEX(CG$4:CG$40,MATCH(ROW()-3,CH$4:CH$40,0)))</f>
        <v/>
      </c>
      <c r="CJ17">
        <f>IF('Final Calculation Sheet'!$AB$17="","",'Final Calculation Sheet'!$AB$17)</f>
        <v/>
      </c>
      <c r="CK17">
        <f>CK16+IF(AND(CJ17&lt;&gt;"",COUNTIF(CJ$4:CJ17,CJ17)=1),1,0)</f>
        <v/>
      </c>
      <c r="CL17">
        <f>IF(ROW()-3&gt;MAX(CK$4:CK$40),"",INDEX(CJ$4:CJ$40,MATCH(ROW()-3,CK$4:CK$40,0)))</f>
        <v/>
      </c>
      <c r="CM17">
        <f>IF('Final Calculation Sheet'!$AC$17="","",'Final Calculation Sheet'!$AC$17)</f>
        <v/>
      </c>
      <c r="CN17">
        <f>CN16+IF(AND(CM17&lt;&gt;"",COUNTIF(CM$4:CM17,CM17)=1),1,0)</f>
        <v/>
      </c>
      <c r="CO17">
        <f>IF(ROW()-3&gt;MAX(CN$4:CN$40),"",INDEX(CM$4:CM$40,MATCH(ROW()-3,CN$4:CN$40,0)))</f>
        <v/>
      </c>
      <c r="CP17">
        <f>IF('Final Calculation Sheet'!$AD$17="","",'Final Calculation Sheet'!$AD$17)</f>
        <v/>
      </c>
      <c r="CQ17">
        <f>CQ16+IF(AND(CP17&lt;&gt;"",COUNTIF(CP$4:CP17,CP17)=1),1,0)</f>
        <v/>
      </c>
      <c r="CR17">
        <f>IF(ROW()-3&gt;MAX(CQ$4:CQ$40),"",INDEX(CP$4:CP$40,MATCH(ROW()-3,CQ$4:CQ$40,0)))</f>
        <v/>
      </c>
      <c r="CS17">
        <f>IF('Final Calculation Sheet'!$AE$17="","",'Final Calculation Sheet'!$AE$17)</f>
        <v/>
      </c>
      <c r="CT17">
        <f>CT16+IF(AND(CS17&lt;&gt;"",COUNTIF(CS$4:CS17,CS17)=1),1,0)</f>
        <v/>
      </c>
      <c r="CU17">
        <f>IF(ROW()-3&gt;MAX(CT$4:CT$40),"",INDEX(CS$4:CS$40,MATCH(ROW()-3,CT$4:CT$40,0)))</f>
        <v/>
      </c>
      <c r="CV17">
        <f>IF('Final Calculation Sheet'!$AF$17="","",'Final Calculation Sheet'!$AF$17)</f>
        <v/>
      </c>
      <c r="CW17">
        <f>CW16+IF(AND(CV17&lt;&gt;"",COUNTIF(CV$4:CV17,CV17)=1),1,0)</f>
        <v/>
      </c>
      <c r="CX17">
        <f>IF(ROW()-3&gt;MAX(CW$4:CW$40),"",INDEX(CV$4:CV$40,MATCH(ROW()-3,CW$4:CW$40,0)))</f>
        <v/>
      </c>
      <c r="CY17">
        <f>IF('Final Calculation Sheet'!$AG$17="","",'Final Calculation Sheet'!$AG$17)</f>
        <v/>
      </c>
      <c r="CZ17">
        <f>CZ16+IF(AND(CY17&lt;&gt;"",COUNTIF(CY$4:CY17,CY17)=1),1,0)</f>
        <v/>
      </c>
      <c r="DA17">
        <f>IF(ROW()-3&gt;MAX(CZ$4:CZ$40),"",INDEX(CY$4:CY$40,MATCH(ROW()-3,CZ$4:CZ$40,0)))</f>
        <v/>
      </c>
      <c r="DC17">
        <f>DC16+IF(AND(DB17&lt;&gt;"",COUNTIF(DB$4:DB17,DB17)=1),1,0)</f>
        <v/>
      </c>
      <c r="DD17">
        <f>IF(ROW()-3&gt;MAX(DC$4:DC$40),"",INDEX(DB$4:DB$40,MATCH(ROW()-3,DC$4:DC$40,0)))</f>
        <v/>
      </c>
    </row>
    <row r="18">
      <c r="A18">
        <f>IF('Final Calculation Sheet'!$F$18="","",'Final Calculation Sheet'!$F$18)</f>
        <v/>
      </c>
      <c r="B18">
        <f>B17+IF(AND(A18&lt;&gt;"",COUNTIF(A$4:A18,A18)=1),1,0)</f>
        <v/>
      </c>
      <c r="C18">
        <f>IF(ROW()-3&gt;MAX(B$4:B$114),"",INDEX(A$4:A$114,MATCH(ROW()-3,B$4:B$114,0)))</f>
        <v/>
      </c>
      <c r="D18">
        <f>ROW()-3</f>
        <v/>
      </c>
      <c r="E18">
        <f>E17+IF(AND(D18&lt;&gt;"",COUNTIF(D$4:D18,D18)=1),1,0)</f>
        <v/>
      </c>
      <c r="F18">
        <f>IF(ROW()-3&gt;MAX(E$4:E$40),"",INDEX(D$4:D$40,MATCH(ROW()-3,E$4:E$40,0)))</f>
        <v/>
      </c>
      <c r="G18">
        <f>IF('Final Calculation Sheet'!$F$18="","",'Final Calculation Sheet'!$F$18)</f>
        <v/>
      </c>
      <c r="H18">
        <f>H17+IF(AND(G18&lt;&gt;"",COUNTIF(G$4:G18,G18)=1),1,0)</f>
        <v/>
      </c>
      <c r="I18">
        <f>IF(ROW()-3&gt;MAX(H$4:H$40),"",INDEX(G$4:G$40,MATCH(ROW()-3,H$4:H$40,0)))</f>
        <v/>
      </c>
      <c r="J18">
        <f>IF('Final Calculation Sheet'!$G$18="","",'Final Calculation Sheet'!$G$18)</f>
        <v/>
      </c>
      <c r="K18">
        <f>K17+IF(AND(J18&lt;&gt;"",COUNTIF(J$4:J18,J18)=1),1,0)</f>
        <v/>
      </c>
      <c r="L18">
        <f>IF(ROW()-3&gt;MAX(K$4:K$40),"",INDEX(J$4:J$40,MATCH(ROW()-3,K$4:K$40,0)))</f>
        <v/>
      </c>
      <c r="M18">
        <f>IF('Final Calculation Sheet'!$B$18="","",'Final Calculation Sheet'!$B$18)</f>
        <v/>
      </c>
      <c r="N18">
        <f>N17+IF(AND(M18&lt;&gt;"",COUNTIF(M$4:M18,M18)=1),1,0)</f>
        <v/>
      </c>
      <c r="O18">
        <f>IF(ROW()-3&gt;MAX(N$4:N$40),"",INDEX(M$4:M$40,MATCH(ROW()-3,N$4:N$40,0)))</f>
        <v/>
      </c>
      <c r="P18">
        <f>IF('Final Calculation Sheet'!$D$18="","",'Final Calculation Sheet'!$D$18)</f>
        <v/>
      </c>
      <c r="Q18">
        <f>Q17+IF(AND(P18&lt;&gt;"",COUNTIF(P$4:P18,P18)=1),1,0)</f>
        <v/>
      </c>
      <c r="R18">
        <f>IF(ROW()-3&gt;MAX(Q$4:Q$40),"",INDEX(P$4:P$40,MATCH(ROW()-3,Q$4:Q$40,0)))</f>
        <v/>
      </c>
      <c r="S18">
        <f>IF('Final Calculation Sheet'!$A$18="","",'Final Calculation Sheet'!$A$18)</f>
        <v/>
      </c>
      <c r="T18">
        <f>T17+IF(AND(S18&lt;&gt;"",COUNTIF(S$4:S18,S18)=1),1,0)</f>
        <v/>
      </c>
      <c r="U18">
        <f>IF(ROW()-3&gt;MAX(T$4:T$40),"",INDEX(S$4:S$40,MATCH(ROW()-3,T$4:T$40,0)))</f>
        <v/>
      </c>
      <c r="V18">
        <f>IF('Final Calculation Sheet'!$E$18="","",'Final Calculation Sheet'!$E$18)</f>
        <v/>
      </c>
      <c r="W18">
        <f>W17+IF(AND(V18&lt;&gt;"",COUNTIF(V$4:V18,V18)=1),1,0)</f>
        <v/>
      </c>
      <c r="X18">
        <f>IF(ROW()-3&gt;MAX(W$4:W$40),"",INDEX(V$4:V$40,MATCH(ROW()-3,W$4:W$40,0)))</f>
        <v/>
      </c>
      <c r="Y18">
        <f>IF('Final Calculation Sheet'!$C$18="","",'Final Calculation Sheet'!$C$18)</f>
        <v/>
      </c>
      <c r="Z18">
        <f>Z17+IF(AND(Y18&lt;&gt;"",COUNTIF(Y$4:Y18,Y18)=1),1,0)</f>
        <v/>
      </c>
      <c r="AA18">
        <f>IF(ROW()-3&gt;MAX(Z$4:Z$40),"",INDEX(Y$4:Y$40,MATCH(ROW()-3,Z$4:Z$40,0)))</f>
        <v/>
      </c>
      <c r="AB18">
        <f>IF('Final Calculation Sheet'!$H$18="","",'Final Calculation Sheet'!$H$18)</f>
        <v/>
      </c>
      <c r="AC18">
        <f>AC17+IF(AND(AB18&lt;&gt;"",COUNTIF(AB$4:AB18,AB18)=1),1,0)</f>
        <v/>
      </c>
      <c r="AD18">
        <f>IF(ROW()-3&gt;MAX(AC$4:AC$40),"",INDEX(AB$4:AB$40,MATCH(ROW()-3,AC$4:AC$40,0)))</f>
        <v/>
      </c>
      <c r="AE18">
        <f>IF('Final Calculation Sheet'!$I$18="","",'Final Calculation Sheet'!$I$18)</f>
        <v/>
      </c>
      <c r="AF18">
        <f>AF17+IF(AND(AE18&lt;&gt;"",COUNTIF(AE$4:AE18,AE18)=1),1,0)</f>
        <v/>
      </c>
      <c r="AG18">
        <f>IF(ROW()-3&gt;MAX(AF$4:AF$40),"",INDEX(AE$4:AE$40,MATCH(ROW()-3,AF$4:AF$40,0)))</f>
        <v/>
      </c>
      <c r="AH18">
        <f>IF('Final Calculation Sheet'!$J$18="","",'Final Calculation Sheet'!$J$18)</f>
        <v/>
      </c>
      <c r="AI18">
        <f>AI17+IF(AND(AH18&lt;&gt;"",COUNTIF(AH$4:AH18,AH18)=1),1,0)</f>
        <v/>
      </c>
      <c r="AJ18">
        <f>IF(ROW()-3&gt;MAX(AI$4:AI$40),"",INDEX(AH$4:AH$40,MATCH(ROW()-3,AI$4:AI$40,0)))</f>
        <v/>
      </c>
      <c r="AK18">
        <f>IF('Final Calculation Sheet'!$K$18="","",'Final Calculation Sheet'!$K$18)</f>
        <v/>
      </c>
      <c r="AL18">
        <f>AL17+IF(AND(AK18&lt;&gt;"",COUNTIF(AK$4:AK18,AK18)=1),1,0)</f>
        <v/>
      </c>
      <c r="AM18">
        <f>IF(ROW()-3&gt;MAX(AL$4:AL$40),"",INDEX(AK$4:AK$40,MATCH(ROW()-3,AL$4:AL$40,0)))</f>
        <v/>
      </c>
      <c r="AN18">
        <f>IF('Final Calculation Sheet'!$L$18="","",'Final Calculation Sheet'!$L$18)</f>
        <v/>
      </c>
      <c r="AO18">
        <f>AO17+IF(AND(AN18&lt;&gt;"",COUNTIF(AN$4:AN18,AN18)=1),1,0)</f>
        <v/>
      </c>
      <c r="AP18">
        <f>IF(ROW()-3&gt;MAX(AO$4:AO$40),"",INDEX(AN$4:AN$40,MATCH(ROW()-3,AO$4:AO$40,0)))</f>
        <v/>
      </c>
      <c r="AQ18">
        <f>IF('Final Calculation Sheet'!$M$18="","",'Final Calculation Sheet'!$M$18)</f>
        <v/>
      </c>
      <c r="AR18">
        <f>AR17+IF(AND(AQ18&lt;&gt;"",COUNTIF(AQ$4:AQ18,AQ18)=1),1,0)</f>
        <v/>
      </c>
      <c r="AS18">
        <f>IF(ROW()-3&gt;MAX(AR$4:AR$40),"",INDEX(AQ$4:AQ$40,MATCH(ROW()-3,AR$4:AR$40,0)))</f>
        <v/>
      </c>
      <c r="AT18">
        <f>IF('Final Calculation Sheet'!$N$18="","",'Final Calculation Sheet'!$N$18)</f>
        <v/>
      </c>
      <c r="AU18">
        <f>AU17+IF(AND(AT18&lt;&gt;"",COUNTIF(AT$4:AT18,AT18)=1),1,0)</f>
        <v/>
      </c>
      <c r="AV18">
        <f>IF(ROW()-3&gt;MAX(AU$4:AU$40),"",INDEX(AT$4:AT$40,MATCH(ROW()-3,AU$4:AU$40,0)))</f>
        <v/>
      </c>
      <c r="AW18">
        <f>IF('Final Calculation Sheet'!$O$18="","",'Final Calculation Sheet'!$O$18)</f>
        <v/>
      </c>
      <c r="AX18">
        <f>AX17+IF(AND(AW18&lt;&gt;"",COUNTIF(AW$4:AW18,AW18)=1),1,0)</f>
        <v/>
      </c>
      <c r="AY18">
        <f>IF(ROW()-3&gt;MAX(AX$4:AX$40),"",INDEX(AW$4:AW$40,MATCH(ROW()-3,AX$4:AX$40,0)))</f>
        <v/>
      </c>
      <c r="AZ18">
        <f>IF('Final Calculation Sheet'!$P$18="","",'Final Calculation Sheet'!$P$18)</f>
        <v/>
      </c>
      <c r="BA18">
        <f>BA17+IF(AND(AZ18&lt;&gt;"",COUNTIF(AZ$4:AZ18,AZ18)=1),1,0)</f>
        <v/>
      </c>
      <c r="BB18">
        <f>IF(ROW()-3&gt;MAX(BA$4:BA$40),"",INDEX(AZ$4:AZ$40,MATCH(ROW()-3,BA$4:BA$40,0)))</f>
        <v/>
      </c>
      <c r="BC18">
        <f>IF('Final Calculation Sheet'!$Q$18="","",'Final Calculation Sheet'!$Q$18)</f>
        <v/>
      </c>
      <c r="BD18">
        <f>BD17+IF(AND(BC18&lt;&gt;"",COUNTIF(BC$4:BC18,BC18)=1),1,0)</f>
        <v/>
      </c>
      <c r="BE18">
        <f>IF(ROW()-3&gt;MAX(BD$4:BD$40),"",INDEX(BC$4:BC$40,MATCH(ROW()-3,BD$4:BD$40,0)))</f>
        <v/>
      </c>
      <c r="BF18">
        <f>IF('Final Calculation Sheet'!$R$18="","",'Final Calculation Sheet'!$R$18)</f>
        <v/>
      </c>
      <c r="BG18">
        <f>BG17+IF(AND(BF18&lt;&gt;"",COUNTIF(BF$4:BF18,BF18)=1),1,0)</f>
        <v/>
      </c>
      <c r="BH18">
        <f>IF(ROW()-3&gt;MAX(BG$4:BG$40),"",INDEX(BF$4:BF$40,MATCH(ROW()-3,BG$4:BG$40,0)))</f>
        <v/>
      </c>
      <c r="BI18">
        <f>IF('Final Calculation Sheet'!$S$18="","",'Final Calculation Sheet'!$S$18)</f>
        <v/>
      </c>
      <c r="BJ18">
        <f>BJ17+IF(AND(BI18&lt;&gt;"",COUNTIF(BI$4:BI18,BI18)=1),1,0)</f>
        <v/>
      </c>
      <c r="BK18">
        <f>IF(ROW()-3&gt;MAX(BJ$4:BJ$40),"",INDEX(BI$4:BI$40,MATCH(ROW()-3,BJ$4:BJ$40,0)))</f>
        <v/>
      </c>
      <c r="BL18">
        <f>IF('Final Calculation Sheet'!$T$18="","",'Final Calculation Sheet'!$T$18)</f>
        <v/>
      </c>
      <c r="BM18">
        <f>BM17+IF(AND(BL18&lt;&gt;"",COUNTIF(BL$4:BL18,BL18)=1),1,0)</f>
        <v/>
      </c>
      <c r="BN18">
        <f>IF(ROW()-3&gt;MAX(BM$4:BM$40),"",INDEX(BL$4:BL$40,MATCH(ROW()-3,BM$4:BM$40,0)))</f>
        <v/>
      </c>
      <c r="BO18">
        <f>IF('Final Calculation Sheet'!$U$18="","",'Final Calculation Sheet'!$U$18)</f>
        <v/>
      </c>
      <c r="BP18">
        <f>BP17+IF(AND(BO18&lt;&gt;"",COUNTIF(BO$4:BO18,BO18)=1),1,0)</f>
        <v/>
      </c>
      <c r="BQ18">
        <f>IF(ROW()-3&gt;MAX(BP$4:BP$40),"",INDEX(BO$4:BO$40,MATCH(ROW()-3,BP$4:BP$40,0)))</f>
        <v/>
      </c>
      <c r="BR18">
        <f>IF('Final Calculation Sheet'!$V$18="","",'Final Calculation Sheet'!$V$18)</f>
        <v/>
      </c>
      <c r="BS18">
        <f>BS17+IF(AND(BR18&lt;&gt;"",COUNTIF(BR$4:BR18,BR18)=1),1,0)</f>
        <v/>
      </c>
      <c r="BT18">
        <f>IF(ROW()-3&gt;MAX(BS$4:BS$40),"",INDEX(BR$4:BR$40,MATCH(ROW()-3,BS$4:BS$40,0)))</f>
        <v/>
      </c>
      <c r="BU18">
        <f>IF('Final Calculation Sheet'!$W$18="","",'Final Calculation Sheet'!$W$18)</f>
        <v/>
      </c>
      <c r="BV18">
        <f>BV17+IF(AND(BU18&lt;&gt;"",COUNTIF(BU$4:BU18,BU18)=1),1,0)</f>
        <v/>
      </c>
      <c r="BW18">
        <f>IF(ROW()-3&gt;MAX(BV$4:BV$40),"",INDEX(BU$4:BU$40,MATCH(ROW()-3,BV$4:BV$40,0)))</f>
        <v/>
      </c>
      <c r="BX18">
        <f>IF('Final Calculation Sheet'!$X$18="","",'Final Calculation Sheet'!$X$18)</f>
        <v/>
      </c>
      <c r="BY18">
        <f>BY17+IF(AND(BX18&lt;&gt;"",COUNTIF(BX$4:BX18,BX18)=1),1,0)</f>
        <v/>
      </c>
      <c r="BZ18">
        <f>IF(ROW()-3&gt;MAX(BY$4:BY$40),"",INDEX(BX$4:BX$40,MATCH(ROW()-3,BY$4:BY$40,0)))</f>
        <v/>
      </c>
      <c r="CA18">
        <f>IF('Final Calculation Sheet'!$Y$18="","",'Final Calculation Sheet'!$Y$18)</f>
        <v/>
      </c>
      <c r="CB18">
        <f>CB17+IF(AND(CA18&lt;&gt;"",COUNTIF(CA$4:CA18,CA18)=1),1,0)</f>
        <v/>
      </c>
      <c r="CC18">
        <f>IF(ROW()-3&gt;MAX(CB$4:CB$40),"",INDEX(CA$4:CA$40,MATCH(ROW()-3,CB$4:CB$40,0)))</f>
        <v/>
      </c>
      <c r="CD18">
        <f>IF('Final Calculation Sheet'!$Z$18="","",'Final Calculation Sheet'!$Z$18)</f>
        <v/>
      </c>
      <c r="CE18">
        <f>CE17+IF(AND(CD18&lt;&gt;"",COUNTIF(CD$4:CD18,CD18)=1),1,0)</f>
        <v/>
      </c>
      <c r="CF18">
        <f>IF(ROW()-3&gt;MAX(CE$4:CE$40),"",INDEX(CD$4:CD$40,MATCH(ROW()-3,CE$4:CE$40,0)))</f>
        <v/>
      </c>
      <c r="CG18">
        <f>IF('Final Calculation Sheet'!$AA$18="","",'Final Calculation Sheet'!$AA$18)</f>
        <v/>
      </c>
      <c r="CH18">
        <f>CH17+IF(AND(CG18&lt;&gt;"",COUNTIF(CG$4:CG18,CG18)=1),1,0)</f>
        <v/>
      </c>
      <c r="CI18">
        <f>IF(ROW()-3&gt;MAX(CH$4:CH$40),"",INDEX(CG$4:CG$40,MATCH(ROW()-3,CH$4:CH$40,0)))</f>
        <v/>
      </c>
      <c r="CJ18">
        <f>IF('Final Calculation Sheet'!$AB$18="","",'Final Calculation Sheet'!$AB$18)</f>
        <v/>
      </c>
      <c r="CK18">
        <f>CK17+IF(AND(CJ18&lt;&gt;"",COUNTIF(CJ$4:CJ18,CJ18)=1),1,0)</f>
        <v/>
      </c>
      <c r="CL18">
        <f>IF(ROW()-3&gt;MAX(CK$4:CK$40),"",INDEX(CJ$4:CJ$40,MATCH(ROW()-3,CK$4:CK$40,0)))</f>
        <v/>
      </c>
      <c r="CM18">
        <f>IF('Final Calculation Sheet'!$AC$18="","",'Final Calculation Sheet'!$AC$18)</f>
        <v/>
      </c>
      <c r="CN18">
        <f>CN17+IF(AND(CM18&lt;&gt;"",COUNTIF(CM$4:CM18,CM18)=1),1,0)</f>
        <v/>
      </c>
      <c r="CO18">
        <f>IF(ROW()-3&gt;MAX(CN$4:CN$40),"",INDEX(CM$4:CM$40,MATCH(ROW()-3,CN$4:CN$40,0)))</f>
        <v/>
      </c>
      <c r="CP18">
        <f>IF('Final Calculation Sheet'!$AD$18="","",'Final Calculation Sheet'!$AD$18)</f>
        <v/>
      </c>
      <c r="CQ18">
        <f>CQ17+IF(AND(CP18&lt;&gt;"",COUNTIF(CP$4:CP18,CP18)=1),1,0)</f>
        <v/>
      </c>
      <c r="CR18">
        <f>IF(ROW()-3&gt;MAX(CQ$4:CQ$40),"",INDEX(CP$4:CP$40,MATCH(ROW()-3,CQ$4:CQ$40,0)))</f>
        <v/>
      </c>
      <c r="CS18">
        <f>IF('Final Calculation Sheet'!$AE$18="","",'Final Calculation Sheet'!$AE$18)</f>
        <v/>
      </c>
      <c r="CT18">
        <f>CT17+IF(AND(CS18&lt;&gt;"",COUNTIF(CS$4:CS18,CS18)=1),1,0)</f>
        <v/>
      </c>
      <c r="CU18">
        <f>IF(ROW()-3&gt;MAX(CT$4:CT$40),"",INDEX(CS$4:CS$40,MATCH(ROW()-3,CT$4:CT$40,0)))</f>
        <v/>
      </c>
      <c r="CV18">
        <f>IF('Final Calculation Sheet'!$AF$18="","",'Final Calculation Sheet'!$AF$18)</f>
        <v/>
      </c>
      <c r="CW18">
        <f>CW17+IF(AND(CV18&lt;&gt;"",COUNTIF(CV$4:CV18,CV18)=1),1,0)</f>
        <v/>
      </c>
      <c r="CX18">
        <f>IF(ROW()-3&gt;MAX(CW$4:CW$40),"",INDEX(CV$4:CV$40,MATCH(ROW()-3,CW$4:CW$40,0)))</f>
        <v/>
      </c>
      <c r="CY18">
        <f>IF('Final Calculation Sheet'!$AG$18="","",'Final Calculation Sheet'!$AG$18)</f>
        <v/>
      </c>
      <c r="CZ18">
        <f>CZ17+IF(AND(CY18&lt;&gt;"",COUNTIF(CY$4:CY18,CY18)=1),1,0)</f>
        <v/>
      </c>
      <c r="DA18">
        <f>IF(ROW()-3&gt;MAX(CZ$4:CZ$40),"",INDEX(CY$4:CY$40,MATCH(ROW()-3,CZ$4:CZ$40,0)))</f>
        <v/>
      </c>
      <c r="DC18">
        <f>DC17+IF(AND(DB18&lt;&gt;"",COUNTIF(DB$4:DB18,DB18)=1),1,0)</f>
        <v/>
      </c>
      <c r="DD18">
        <f>IF(ROW()-3&gt;MAX(DC$4:DC$40),"",INDEX(DB$4:DB$40,MATCH(ROW()-3,DC$4:DC$40,0)))</f>
        <v/>
      </c>
    </row>
    <row r="19">
      <c r="A19">
        <f>IF('Final Calculation Sheet'!$F$19="","",'Final Calculation Sheet'!$F$19)</f>
        <v/>
      </c>
      <c r="B19">
        <f>B18+IF(AND(A19&lt;&gt;"",COUNTIF(A$4:A19,A19)=1),1,0)</f>
        <v/>
      </c>
      <c r="C19">
        <f>IF(ROW()-3&gt;MAX(B$4:B$114),"",INDEX(A$4:A$114,MATCH(ROW()-3,B$4:B$114,0)))</f>
        <v/>
      </c>
      <c r="D19">
        <f>ROW()-3</f>
        <v/>
      </c>
      <c r="E19">
        <f>E18+IF(AND(D19&lt;&gt;"",COUNTIF(D$4:D19,D19)=1),1,0)</f>
        <v/>
      </c>
      <c r="F19">
        <f>IF(ROW()-3&gt;MAX(E$4:E$40),"",INDEX(D$4:D$40,MATCH(ROW()-3,E$4:E$40,0)))</f>
        <v/>
      </c>
      <c r="G19">
        <f>IF('Final Calculation Sheet'!$F$19="","",'Final Calculation Sheet'!$F$19)</f>
        <v/>
      </c>
      <c r="H19">
        <f>H18+IF(AND(G19&lt;&gt;"",COUNTIF(G$4:G19,G19)=1),1,0)</f>
        <v/>
      </c>
      <c r="I19">
        <f>IF(ROW()-3&gt;MAX(H$4:H$40),"",INDEX(G$4:G$40,MATCH(ROW()-3,H$4:H$40,0)))</f>
        <v/>
      </c>
      <c r="J19">
        <f>IF('Final Calculation Sheet'!$G$19="","",'Final Calculation Sheet'!$G$19)</f>
        <v/>
      </c>
      <c r="K19">
        <f>K18+IF(AND(J19&lt;&gt;"",COUNTIF(J$4:J19,J19)=1),1,0)</f>
        <v/>
      </c>
      <c r="L19">
        <f>IF(ROW()-3&gt;MAX(K$4:K$40),"",INDEX(J$4:J$40,MATCH(ROW()-3,K$4:K$40,0)))</f>
        <v/>
      </c>
      <c r="M19">
        <f>IF('Final Calculation Sheet'!$B$19="","",'Final Calculation Sheet'!$B$19)</f>
        <v/>
      </c>
      <c r="N19">
        <f>N18+IF(AND(M19&lt;&gt;"",COUNTIF(M$4:M19,M19)=1),1,0)</f>
        <v/>
      </c>
      <c r="O19">
        <f>IF(ROW()-3&gt;MAX(N$4:N$40),"",INDEX(M$4:M$40,MATCH(ROW()-3,N$4:N$40,0)))</f>
        <v/>
      </c>
      <c r="P19">
        <f>IF('Final Calculation Sheet'!$D$19="","",'Final Calculation Sheet'!$D$19)</f>
        <v/>
      </c>
      <c r="Q19">
        <f>Q18+IF(AND(P19&lt;&gt;"",COUNTIF(P$4:P19,P19)=1),1,0)</f>
        <v/>
      </c>
      <c r="R19">
        <f>IF(ROW()-3&gt;MAX(Q$4:Q$40),"",INDEX(P$4:P$40,MATCH(ROW()-3,Q$4:Q$40,0)))</f>
        <v/>
      </c>
      <c r="S19">
        <f>IF('Final Calculation Sheet'!$A$19="","",'Final Calculation Sheet'!$A$19)</f>
        <v/>
      </c>
      <c r="T19">
        <f>T18+IF(AND(S19&lt;&gt;"",COUNTIF(S$4:S19,S19)=1),1,0)</f>
        <v/>
      </c>
      <c r="U19">
        <f>IF(ROW()-3&gt;MAX(T$4:T$40),"",INDEX(S$4:S$40,MATCH(ROW()-3,T$4:T$40,0)))</f>
        <v/>
      </c>
      <c r="V19">
        <f>IF('Final Calculation Sheet'!$E$19="","",'Final Calculation Sheet'!$E$19)</f>
        <v/>
      </c>
      <c r="W19">
        <f>W18+IF(AND(V19&lt;&gt;"",COUNTIF(V$4:V19,V19)=1),1,0)</f>
        <v/>
      </c>
      <c r="X19">
        <f>IF(ROW()-3&gt;MAX(W$4:W$40),"",INDEX(V$4:V$40,MATCH(ROW()-3,W$4:W$40,0)))</f>
        <v/>
      </c>
      <c r="Y19">
        <f>IF('Final Calculation Sheet'!$C$19="","",'Final Calculation Sheet'!$C$19)</f>
        <v/>
      </c>
      <c r="Z19">
        <f>Z18+IF(AND(Y19&lt;&gt;"",COUNTIF(Y$4:Y19,Y19)=1),1,0)</f>
        <v/>
      </c>
      <c r="AA19">
        <f>IF(ROW()-3&gt;MAX(Z$4:Z$40),"",INDEX(Y$4:Y$40,MATCH(ROW()-3,Z$4:Z$40,0)))</f>
        <v/>
      </c>
      <c r="AB19">
        <f>IF('Final Calculation Sheet'!$H$19="","",'Final Calculation Sheet'!$H$19)</f>
        <v/>
      </c>
      <c r="AC19">
        <f>AC18+IF(AND(AB19&lt;&gt;"",COUNTIF(AB$4:AB19,AB19)=1),1,0)</f>
        <v/>
      </c>
      <c r="AD19">
        <f>IF(ROW()-3&gt;MAX(AC$4:AC$40),"",INDEX(AB$4:AB$40,MATCH(ROW()-3,AC$4:AC$40,0)))</f>
        <v/>
      </c>
      <c r="AE19">
        <f>IF('Final Calculation Sheet'!$I$19="","",'Final Calculation Sheet'!$I$19)</f>
        <v/>
      </c>
      <c r="AF19">
        <f>AF18+IF(AND(AE19&lt;&gt;"",COUNTIF(AE$4:AE19,AE19)=1),1,0)</f>
        <v/>
      </c>
      <c r="AG19">
        <f>IF(ROW()-3&gt;MAX(AF$4:AF$40),"",INDEX(AE$4:AE$40,MATCH(ROW()-3,AF$4:AF$40,0)))</f>
        <v/>
      </c>
      <c r="AH19">
        <f>IF('Final Calculation Sheet'!$J$19="","",'Final Calculation Sheet'!$J$19)</f>
        <v/>
      </c>
      <c r="AI19">
        <f>AI18+IF(AND(AH19&lt;&gt;"",COUNTIF(AH$4:AH19,AH19)=1),1,0)</f>
        <v/>
      </c>
      <c r="AJ19">
        <f>IF(ROW()-3&gt;MAX(AI$4:AI$40),"",INDEX(AH$4:AH$40,MATCH(ROW()-3,AI$4:AI$40,0)))</f>
        <v/>
      </c>
      <c r="AK19">
        <f>IF('Final Calculation Sheet'!$K$19="","",'Final Calculation Sheet'!$K$19)</f>
        <v/>
      </c>
      <c r="AL19">
        <f>AL18+IF(AND(AK19&lt;&gt;"",COUNTIF(AK$4:AK19,AK19)=1),1,0)</f>
        <v/>
      </c>
      <c r="AM19">
        <f>IF(ROW()-3&gt;MAX(AL$4:AL$40),"",INDEX(AK$4:AK$40,MATCH(ROW()-3,AL$4:AL$40,0)))</f>
        <v/>
      </c>
      <c r="AN19">
        <f>IF('Final Calculation Sheet'!$L$19="","",'Final Calculation Sheet'!$L$19)</f>
        <v/>
      </c>
      <c r="AO19">
        <f>AO18+IF(AND(AN19&lt;&gt;"",COUNTIF(AN$4:AN19,AN19)=1),1,0)</f>
        <v/>
      </c>
      <c r="AP19">
        <f>IF(ROW()-3&gt;MAX(AO$4:AO$40),"",INDEX(AN$4:AN$40,MATCH(ROW()-3,AO$4:AO$40,0)))</f>
        <v/>
      </c>
      <c r="AQ19">
        <f>IF('Final Calculation Sheet'!$M$19="","",'Final Calculation Sheet'!$M$19)</f>
        <v/>
      </c>
      <c r="AR19">
        <f>AR18+IF(AND(AQ19&lt;&gt;"",COUNTIF(AQ$4:AQ19,AQ19)=1),1,0)</f>
        <v/>
      </c>
      <c r="AS19">
        <f>IF(ROW()-3&gt;MAX(AR$4:AR$40),"",INDEX(AQ$4:AQ$40,MATCH(ROW()-3,AR$4:AR$40,0)))</f>
        <v/>
      </c>
      <c r="AT19">
        <f>IF('Final Calculation Sheet'!$N$19="","",'Final Calculation Sheet'!$N$19)</f>
        <v/>
      </c>
      <c r="AU19">
        <f>AU18+IF(AND(AT19&lt;&gt;"",COUNTIF(AT$4:AT19,AT19)=1),1,0)</f>
        <v/>
      </c>
      <c r="AV19">
        <f>IF(ROW()-3&gt;MAX(AU$4:AU$40),"",INDEX(AT$4:AT$40,MATCH(ROW()-3,AU$4:AU$40,0)))</f>
        <v/>
      </c>
      <c r="AW19">
        <f>IF('Final Calculation Sheet'!$O$19="","",'Final Calculation Sheet'!$O$19)</f>
        <v/>
      </c>
      <c r="AX19">
        <f>AX18+IF(AND(AW19&lt;&gt;"",COUNTIF(AW$4:AW19,AW19)=1),1,0)</f>
        <v/>
      </c>
      <c r="AY19">
        <f>IF(ROW()-3&gt;MAX(AX$4:AX$40),"",INDEX(AW$4:AW$40,MATCH(ROW()-3,AX$4:AX$40,0)))</f>
        <v/>
      </c>
      <c r="AZ19">
        <f>IF('Final Calculation Sheet'!$P$19="","",'Final Calculation Sheet'!$P$19)</f>
        <v/>
      </c>
      <c r="BA19">
        <f>BA18+IF(AND(AZ19&lt;&gt;"",COUNTIF(AZ$4:AZ19,AZ19)=1),1,0)</f>
        <v/>
      </c>
      <c r="BB19">
        <f>IF(ROW()-3&gt;MAX(BA$4:BA$40),"",INDEX(AZ$4:AZ$40,MATCH(ROW()-3,BA$4:BA$40,0)))</f>
        <v/>
      </c>
      <c r="BC19">
        <f>IF('Final Calculation Sheet'!$Q$19="","",'Final Calculation Sheet'!$Q$19)</f>
        <v/>
      </c>
      <c r="BD19">
        <f>BD18+IF(AND(BC19&lt;&gt;"",COUNTIF(BC$4:BC19,BC19)=1),1,0)</f>
        <v/>
      </c>
      <c r="BE19">
        <f>IF(ROW()-3&gt;MAX(BD$4:BD$40),"",INDEX(BC$4:BC$40,MATCH(ROW()-3,BD$4:BD$40,0)))</f>
        <v/>
      </c>
      <c r="BF19">
        <f>IF('Final Calculation Sheet'!$R$19="","",'Final Calculation Sheet'!$R$19)</f>
        <v/>
      </c>
      <c r="BG19">
        <f>BG18+IF(AND(BF19&lt;&gt;"",COUNTIF(BF$4:BF19,BF19)=1),1,0)</f>
        <v/>
      </c>
      <c r="BH19">
        <f>IF(ROW()-3&gt;MAX(BG$4:BG$40),"",INDEX(BF$4:BF$40,MATCH(ROW()-3,BG$4:BG$40,0)))</f>
        <v/>
      </c>
      <c r="BI19">
        <f>IF('Final Calculation Sheet'!$S$19="","",'Final Calculation Sheet'!$S$19)</f>
        <v/>
      </c>
      <c r="BJ19">
        <f>BJ18+IF(AND(BI19&lt;&gt;"",COUNTIF(BI$4:BI19,BI19)=1),1,0)</f>
        <v/>
      </c>
      <c r="BK19">
        <f>IF(ROW()-3&gt;MAX(BJ$4:BJ$40),"",INDEX(BI$4:BI$40,MATCH(ROW()-3,BJ$4:BJ$40,0)))</f>
        <v/>
      </c>
      <c r="BL19">
        <f>IF('Final Calculation Sheet'!$T$19="","",'Final Calculation Sheet'!$T$19)</f>
        <v/>
      </c>
      <c r="BM19">
        <f>BM18+IF(AND(BL19&lt;&gt;"",COUNTIF(BL$4:BL19,BL19)=1),1,0)</f>
        <v/>
      </c>
      <c r="BN19">
        <f>IF(ROW()-3&gt;MAX(BM$4:BM$40),"",INDEX(BL$4:BL$40,MATCH(ROW()-3,BM$4:BM$40,0)))</f>
        <v/>
      </c>
      <c r="BO19">
        <f>IF('Final Calculation Sheet'!$U$19="","",'Final Calculation Sheet'!$U$19)</f>
        <v/>
      </c>
      <c r="BP19">
        <f>BP18+IF(AND(BO19&lt;&gt;"",COUNTIF(BO$4:BO19,BO19)=1),1,0)</f>
        <v/>
      </c>
      <c r="BQ19">
        <f>IF(ROW()-3&gt;MAX(BP$4:BP$40),"",INDEX(BO$4:BO$40,MATCH(ROW()-3,BP$4:BP$40,0)))</f>
        <v/>
      </c>
      <c r="BR19">
        <f>IF('Final Calculation Sheet'!$V$19="","",'Final Calculation Sheet'!$V$19)</f>
        <v/>
      </c>
      <c r="BS19">
        <f>BS18+IF(AND(BR19&lt;&gt;"",COUNTIF(BR$4:BR19,BR19)=1),1,0)</f>
        <v/>
      </c>
      <c r="BT19">
        <f>IF(ROW()-3&gt;MAX(BS$4:BS$40),"",INDEX(BR$4:BR$40,MATCH(ROW()-3,BS$4:BS$40,0)))</f>
        <v/>
      </c>
      <c r="BU19">
        <f>IF('Final Calculation Sheet'!$W$19="","",'Final Calculation Sheet'!$W$19)</f>
        <v/>
      </c>
      <c r="BV19">
        <f>BV18+IF(AND(BU19&lt;&gt;"",COUNTIF(BU$4:BU19,BU19)=1),1,0)</f>
        <v/>
      </c>
      <c r="BW19">
        <f>IF(ROW()-3&gt;MAX(BV$4:BV$40),"",INDEX(BU$4:BU$40,MATCH(ROW()-3,BV$4:BV$40,0)))</f>
        <v/>
      </c>
      <c r="BX19">
        <f>IF('Final Calculation Sheet'!$X$19="","",'Final Calculation Sheet'!$X$19)</f>
        <v/>
      </c>
      <c r="BY19">
        <f>BY18+IF(AND(BX19&lt;&gt;"",COUNTIF(BX$4:BX19,BX19)=1),1,0)</f>
        <v/>
      </c>
      <c r="BZ19">
        <f>IF(ROW()-3&gt;MAX(BY$4:BY$40),"",INDEX(BX$4:BX$40,MATCH(ROW()-3,BY$4:BY$40,0)))</f>
        <v/>
      </c>
      <c r="CA19">
        <f>IF('Final Calculation Sheet'!$Y$19="","",'Final Calculation Sheet'!$Y$19)</f>
        <v/>
      </c>
      <c r="CB19">
        <f>CB18+IF(AND(CA19&lt;&gt;"",COUNTIF(CA$4:CA19,CA19)=1),1,0)</f>
        <v/>
      </c>
      <c r="CC19">
        <f>IF(ROW()-3&gt;MAX(CB$4:CB$40),"",INDEX(CA$4:CA$40,MATCH(ROW()-3,CB$4:CB$40,0)))</f>
        <v/>
      </c>
      <c r="CD19">
        <f>IF('Final Calculation Sheet'!$Z$19="","",'Final Calculation Sheet'!$Z$19)</f>
        <v/>
      </c>
      <c r="CE19">
        <f>CE18+IF(AND(CD19&lt;&gt;"",COUNTIF(CD$4:CD19,CD19)=1),1,0)</f>
        <v/>
      </c>
      <c r="CF19">
        <f>IF(ROW()-3&gt;MAX(CE$4:CE$40),"",INDEX(CD$4:CD$40,MATCH(ROW()-3,CE$4:CE$40,0)))</f>
        <v/>
      </c>
      <c r="CG19">
        <f>IF('Final Calculation Sheet'!$AA$19="","",'Final Calculation Sheet'!$AA$19)</f>
        <v/>
      </c>
      <c r="CH19">
        <f>CH18+IF(AND(CG19&lt;&gt;"",COUNTIF(CG$4:CG19,CG19)=1),1,0)</f>
        <v/>
      </c>
      <c r="CI19">
        <f>IF(ROW()-3&gt;MAX(CH$4:CH$40),"",INDEX(CG$4:CG$40,MATCH(ROW()-3,CH$4:CH$40,0)))</f>
        <v/>
      </c>
      <c r="CJ19">
        <f>IF('Final Calculation Sheet'!$AB$19="","",'Final Calculation Sheet'!$AB$19)</f>
        <v/>
      </c>
      <c r="CK19">
        <f>CK18+IF(AND(CJ19&lt;&gt;"",COUNTIF(CJ$4:CJ19,CJ19)=1),1,0)</f>
        <v/>
      </c>
      <c r="CL19">
        <f>IF(ROW()-3&gt;MAX(CK$4:CK$40),"",INDEX(CJ$4:CJ$40,MATCH(ROW()-3,CK$4:CK$40,0)))</f>
        <v/>
      </c>
      <c r="CM19">
        <f>IF('Final Calculation Sheet'!$AC$19="","",'Final Calculation Sheet'!$AC$19)</f>
        <v/>
      </c>
      <c r="CN19">
        <f>CN18+IF(AND(CM19&lt;&gt;"",COUNTIF(CM$4:CM19,CM19)=1),1,0)</f>
        <v/>
      </c>
      <c r="CO19">
        <f>IF(ROW()-3&gt;MAX(CN$4:CN$40),"",INDEX(CM$4:CM$40,MATCH(ROW()-3,CN$4:CN$40,0)))</f>
        <v/>
      </c>
      <c r="CP19">
        <f>IF('Final Calculation Sheet'!$AD$19="","",'Final Calculation Sheet'!$AD$19)</f>
        <v/>
      </c>
      <c r="CQ19">
        <f>CQ18+IF(AND(CP19&lt;&gt;"",COUNTIF(CP$4:CP19,CP19)=1),1,0)</f>
        <v/>
      </c>
      <c r="CR19">
        <f>IF(ROW()-3&gt;MAX(CQ$4:CQ$40),"",INDEX(CP$4:CP$40,MATCH(ROW()-3,CQ$4:CQ$40,0)))</f>
        <v/>
      </c>
      <c r="CS19">
        <f>IF('Final Calculation Sheet'!$AE$19="","",'Final Calculation Sheet'!$AE$19)</f>
        <v/>
      </c>
      <c r="CT19">
        <f>CT18+IF(AND(CS19&lt;&gt;"",COUNTIF(CS$4:CS19,CS19)=1),1,0)</f>
        <v/>
      </c>
      <c r="CU19">
        <f>IF(ROW()-3&gt;MAX(CT$4:CT$40),"",INDEX(CS$4:CS$40,MATCH(ROW()-3,CT$4:CT$40,0)))</f>
        <v/>
      </c>
      <c r="CV19">
        <f>IF('Final Calculation Sheet'!$AF$19="","",'Final Calculation Sheet'!$AF$19)</f>
        <v/>
      </c>
      <c r="CW19">
        <f>CW18+IF(AND(CV19&lt;&gt;"",COUNTIF(CV$4:CV19,CV19)=1),1,0)</f>
        <v/>
      </c>
      <c r="CX19">
        <f>IF(ROW()-3&gt;MAX(CW$4:CW$40),"",INDEX(CV$4:CV$40,MATCH(ROW()-3,CW$4:CW$40,0)))</f>
        <v/>
      </c>
      <c r="CY19">
        <f>IF('Final Calculation Sheet'!$AG$19="","",'Final Calculation Sheet'!$AG$19)</f>
        <v/>
      </c>
      <c r="CZ19">
        <f>CZ18+IF(AND(CY19&lt;&gt;"",COUNTIF(CY$4:CY19,CY19)=1),1,0)</f>
        <v/>
      </c>
      <c r="DA19">
        <f>IF(ROW()-3&gt;MAX(CZ$4:CZ$40),"",INDEX(CY$4:CY$40,MATCH(ROW()-3,CZ$4:CZ$40,0)))</f>
        <v/>
      </c>
      <c r="DC19">
        <f>DC18+IF(AND(DB19&lt;&gt;"",COUNTIF(DB$4:DB19,DB19)=1),1,0)</f>
        <v/>
      </c>
      <c r="DD19">
        <f>IF(ROW()-3&gt;MAX(DC$4:DC$40),"",INDEX(DB$4:DB$40,MATCH(ROW()-3,DC$4:DC$40,0)))</f>
        <v/>
      </c>
    </row>
    <row r="20">
      <c r="A20">
        <f>IF('Final Calculation Sheet'!$F$20="","",'Final Calculation Sheet'!$F$20)</f>
        <v/>
      </c>
      <c r="B20">
        <f>B19+IF(AND(A20&lt;&gt;"",COUNTIF(A$4:A20,A20)=1),1,0)</f>
        <v/>
      </c>
      <c r="C20">
        <f>IF(ROW()-3&gt;MAX(B$4:B$114),"",INDEX(A$4:A$114,MATCH(ROW()-3,B$4:B$114,0)))</f>
        <v/>
      </c>
      <c r="D20">
        <f>ROW()-3</f>
        <v/>
      </c>
      <c r="E20">
        <f>E19+IF(AND(D20&lt;&gt;"",COUNTIF(D$4:D20,D20)=1),1,0)</f>
        <v/>
      </c>
      <c r="F20">
        <f>IF(ROW()-3&gt;MAX(E$4:E$40),"",INDEX(D$4:D$40,MATCH(ROW()-3,E$4:E$40,0)))</f>
        <v/>
      </c>
      <c r="G20">
        <f>IF('Final Calculation Sheet'!$F$20="","",'Final Calculation Sheet'!$F$20)</f>
        <v/>
      </c>
      <c r="H20">
        <f>H19+IF(AND(G20&lt;&gt;"",COUNTIF(G$4:G20,G20)=1),1,0)</f>
        <v/>
      </c>
      <c r="I20">
        <f>IF(ROW()-3&gt;MAX(H$4:H$40),"",INDEX(G$4:G$40,MATCH(ROW()-3,H$4:H$40,0)))</f>
        <v/>
      </c>
      <c r="J20">
        <f>IF('Final Calculation Sheet'!$G$20="","",'Final Calculation Sheet'!$G$20)</f>
        <v/>
      </c>
      <c r="K20">
        <f>K19+IF(AND(J20&lt;&gt;"",COUNTIF(J$4:J20,J20)=1),1,0)</f>
        <v/>
      </c>
      <c r="L20">
        <f>IF(ROW()-3&gt;MAX(K$4:K$40),"",INDEX(J$4:J$40,MATCH(ROW()-3,K$4:K$40,0)))</f>
        <v/>
      </c>
      <c r="M20">
        <f>IF('Final Calculation Sheet'!$B$20="","",'Final Calculation Sheet'!$B$20)</f>
        <v/>
      </c>
      <c r="N20">
        <f>N19+IF(AND(M20&lt;&gt;"",COUNTIF(M$4:M20,M20)=1),1,0)</f>
        <v/>
      </c>
      <c r="O20">
        <f>IF(ROW()-3&gt;MAX(N$4:N$40),"",INDEX(M$4:M$40,MATCH(ROW()-3,N$4:N$40,0)))</f>
        <v/>
      </c>
      <c r="P20">
        <f>IF('Final Calculation Sheet'!$D$20="","",'Final Calculation Sheet'!$D$20)</f>
        <v/>
      </c>
      <c r="Q20">
        <f>Q19+IF(AND(P20&lt;&gt;"",COUNTIF(P$4:P20,P20)=1),1,0)</f>
        <v/>
      </c>
      <c r="R20">
        <f>IF(ROW()-3&gt;MAX(Q$4:Q$40),"",INDEX(P$4:P$40,MATCH(ROW()-3,Q$4:Q$40,0)))</f>
        <v/>
      </c>
      <c r="S20">
        <f>IF('Final Calculation Sheet'!$A$20="","",'Final Calculation Sheet'!$A$20)</f>
        <v/>
      </c>
      <c r="T20">
        <f>T19+IF(AND(S20&lt;&gt;"",COUNTIF(S$4:S20,S20)=1),1,0)</f>
        <v/>
      </c>
      <c r="U20">
        <f>IF(ROW()-3&gt;MAX(T$4:T$40),"",INDEX(S$4:S$40,MATCH(ROW()-3,T$4:T$40,0)))</f>
        <v/>
      </c>
      <c r="V20">
        <f>IF('Final Calculation Sheet'!$E$20="","",'Final Calculation Sheet'!$E$20)</f>
        <v/>
      </c>
      <c r="W20">
        <f>W19+IF(AND(V20&lt;&gt;"",COUNTIF(V$4:V20,V20)=1),1,0)</f>
        <v/>
      </c>
      <c r="X20">
        <f>IF(ROW()-3&gt;MAX(W$4:W$40),"",INDEX(V$4:V$40,MATCH(ROW()-3,W$4:W$40,0)))</f>
        <v/>
      </c>
      <c r="Y20">
        <f>IF('Final Calculation Sheet'!$C$20="","",'Final Calculation Sheet'!$C$20)</f>
        <v/>
      </c>
      <c r="Z20">
        <f>Z19+IF(AND(Y20&lt;&gt;"",COUNTIF(Y$4:Y20,Y20)=1),1,0)</f>
        <v/>
      </c>
      <c r="AA20">
        <f>IF(ROW()-3&gt;MAX(Z$4:Z$40),"",INDEX(Y$4:Y$40,MATCH(ROW()-3,Z$4:Z$40,0)))</f>
        <v/>
      </c>
      <c r="AB20">
        <f>IF('Final Calculation Sheet'!$H$20="","",'Final Calculation Sheet'!$H$20)</f>
        <v/>
      </c>
      <c r="AC20">
        <f>AC19+IF(AND(AB20&lt;&gt;"",COUNTIF(AB$4:AB20,AB20)=1),1,0)</f>
        <v/>
      </c>
      <c r="AD20">
        <f>IF(ROW()-3&gt;MAX(AC$4:AC$40),"",INDEX(AB$4:AB$40,MATCH(ROW()-3,AC$4:AC$40,0)))</f>
        <v/>
      </c>
      <c r="AE20">
        <f>IF('Final Calculation Sheet'!$I$20="","",'Final Calculation Sheet'!$I$20)</f>
        <v/>
      </c>
      <c r="AF20">
        <f>AF19+IF(AND(AE20&lt;&gt;"",COUNTIF(AE$4:AE20,AE20)=1),1,0)</f>
        <v/>
      </c>
      <c r="AG20">
        <f>IF(ROW()-3&gt;MAX(AF$4:AF$40),"",INDEX(AE$4:AE$40,MATCH(ROW()-3,AF$4:AF$40,0)))</f>
        <v/>
      </c>
      <c r="AH20">
        <f>IF('Final Calculation Sheet'!$J$20="","",'Final Calculation Sheet'!$J$20)</f>
        <v/>
      </c>
      <c r="AI20">
        <f>AI19+IF(AND(AH20&lt;&gt;"",COUNTIF(AH$4:AH20,AH20)=1),1,0)</f>
        <v/>
      </c>
      <c r="AJ20">
        <f>IF(ROW()-3&gt;MAX(AI$4:AI$40),"",INDEX(AH$4:AH$40,MATCH(ROW()-3,AI$4:AI$40,0)))</f>
        <v/>
      </c>
      <c r="AK20">
        <f>IF('Final Calculation Sheet'!$K$20="","",'Final Calculation Sheet'!$K$20)</f>
        <v/>
      </c>
      <c r="AL20">
        <f>AL19+IF(AND(AK20&lt;&gt;"",COUNTIF(AK$4:AK20,AK20)=1),1,0)</f>
        <v/>
      </c>
      <c r="AM20">
        <f>IF(ROW()-3&gt;MAX(AL$4:AL$40),"",INDEX(AK$4:AK$40,MATCH(ROW()-3,AL$4:AL$40,0)))</f>
        <v/>
      </c>
      <c r="AN20">
        <f>IF('Final Calculation Sheet'!$L$20="","",'Final Calculation Sheet'!$L$20)</f>
        <v/>
      </c>
      <c r="AO20">
        <f>AO19+IF(AND(AN20&lt;&gt;"",COUNTIF(AN$4:AN20,AN20)=1),1,0)</f>
        <v/>
      </c>
      <c r="AP20">
        <f>IF(ROW()-3&gt;MAX(AO$4:AO$40),"",INDEX(AN$4:AN$40,MATCH(ROW()-3,AO$4:AO$40,0)))</f>
        <v/>
      </c>
      <c r="AQ20">
        <f>IF('Final Calculation Sheet'!$M$20="","",'Final Calculation Sheet'!$M$20)</f>
        <v/>
      </c>
      <c r="AR20">
        <f>AR19+IF(AND(AQ20&lt;&gt;"",COUNTIF(AQ$4:AQ20,AQ20)=1),1,0)</f>
        <v/>
      </c>
      <c r="AS20">
        <f>IF(ROW()-3&gt;MAX(AR$4:AR$40),"",INDEX(AQ$4:AQ$40,MATCH(ROW()-3,AR$4:AR$40,0)))</f>
        <v/>
      </c>
      <c r="AT20">
        <f>IF('Final Calculation Sheet'!$N$20="","",'Final Calculation Sheet'!$N$20)</f>
        <v/>
      </c>
      <c r="AU20">
        <f>AU19+IF(AND(AT20&lt;&gt;"",COUNTIF(AT$4:AT20,AT20)=1),1,0)</f>
        <v/>
      </c>
      <c r="AV20">
        <f>IF(ROW()-3&gt;MAX(AU$4:AU$40),"",INDEX(AT$4:AT$40,MATCH(ROW()-3,AU$4:AU$40,0)))</f>
        <v/>
      </c>
      <c r="AW20">
        <f>IF('Final Calculation Sheet'!$O$20="","",'Final Calculation Sheet'!$O$20)</f>
        <v/>
      </c>
      <c r="AX20">
        <f>AX19+IF(AND(AW20&lt;&gt;"",COUNTIF(AW$4:AW20,AW20)=1),1,0)</f>
        <v/>
      </c>
      <c r="AY20">
        <f>IF(ROW()-3&gt;MAX(AX$4:AX$40),"",INDEX(AW$4:AW$40,MATCH(ROW()-3,AX$4:AX$40,0)))</f>
        <v/>
      </c>
      <c r="AZ20">
        <f>IF('Final Calculation Sheet'!$P$20="","",'Final Calculation Sheet'!$P$20)</f>
        <v/>
      </c>
      <c r="BA20">
        <f>BA19+IF(AND(AZ20&lt;&gt;"",COUNTIF(AZ$4:AZ20,AZ20)=1),1,0)</f>
        <v/>
      </c>
      <c r="BB20">
        <f>IF(ROW()-3&gt;MAX(BA$4:BA$40),"",INDEX(AZ$4:AZ$40,MATCH(ROW()-3,BA$4:BA$40,0)))</f>
        <v/>
      </c>
      <c r="BC20">
        <f>IF('Final Calculation Sheet'!$Q$20="","",'Final Calculation Sheet'!$Q$20)</f>
        <v/>
      </c>
      <c r="BD20">
        <f>BD19+IF(AND(BC20&lt;&gt;"",COUNTIF(BC$4:BC20,BC20)=1),1,0)</f>
        <v/>
      </c>
      <c r="BE20">
        <f>IF(ROW()-3&gt;MAX(BD$4:BD$40),"",INDEX(BC$4:BC$40,MATCH(ROW()-3,BD$4:BD$40,0)))</f>
        <v/>
      </c>
      <c r="BF20">
        <f>IF('Final Calculation Sheet'!$R$20="","",'Final Calculation Sheet'!$R$20)</f>
        <v/>
      </c>
      <c r="BG20">
        <f>BG19+IF(AND(BF20&lt;&gt;"",COUNTIF(BF$4:BF20,BF20)=1),1,0)</f>
        <v/>
      </c>
      <c r="BH20">
        <f>IF(ROW()-3&gt;MAX(BG$4:BG$40),"",INDEX(BF$4:BF$40,MATCH(ROW()-3,BG$4:BG$40,0)))</f>
        <v/>
      </c>
      <c r="BI20">
        <f>IF('Final Calculation Sheet'!$S$20="","",'Final Calculation Sheet'!$S$20)</f>
        <v/>
      </c>
      <c r="BJ20">
        <f>BJ19+IF(AND(BI20&lt;&gt;"",COUNTIF(BI$4:BI20,BI20)=1),1,0)</f>
        <v/>
      </c>
      <c r="BK20">
        <f>IF(ROW()-3&gt;MAX(BJ$4:BJ$40),"",INDEX(BI$4:BI$40,MATCH(ROW()-3,BJ$4:BJ$40,0)))</f>
        <v/>
      </c>
      <c r="BL20">
        <f>IF('Final Calculation Sheet'!$T$20="","",'Final Calculation Sheet'!$T$20)</f>
        <v/>
      </c>
      <c r="BM20">
        <f>BM19+IF(AND(BL20&lt;&gt;"",COUNTIF(BL$4:BL20,BL20)=1),1,0)</f>
        <v/>
      </c>
      <c r="BN20">
        <f>IF(ROW()-3&gt;MAX(BM$4:BM$40),"",INDEX(BL$4:BL$40,MATCH(ROW()-3,BM$4:BM$40,0)))</f>
        <v/>
      </c>
      <c r="BO20">
        <f>IF('Final Calculation Sheet'!$U$20="","",'Final Calculation Sheet'!$U$20)</f>
        <v/>
      </c>
      <c r="BP20">
        <f>BP19+IF(AND(BO20&lt;&gt;"",COUNTIF(BO$4:BO20,BO20)=1),1,0)</f>
        <v/>
      </c>
      <c r="BQ20">
        <f>IF(ROW()-3&gt;MAX(BP$4:BP$40),"",INDEX(BO$4:BO$40,MATCH(ROW()-3,BP$4:BP$40,0)))</f>
        <v/>
      </c>
      <c r="BR20">
        <f>IF('Final Calculation Sheet'!$V$20="","",'Final Calculation Sheet'!$V$20)</f>
        <v/>
      </c>
      <c r="BS20">
        <f>BS19+IF(AND(BR20&lt;&gt;"",COUNTIF(BR$4:BR20,BR20)=1),1,0)</f>
        <v/>
      </c>
      <c r="BT20">
        <f>IF(ROW()-3&gt;MAX(BS$4:BS$40),"",INDEX(BR$4:BR$40,MATCH(ROW()-3,BS$4:BS$40,0)))</f>
        <v/>
      </c>
      <c r="BU20">
        <f>IF('Final Calculation Sheet'!$W$20="","",'Final Calculation Sheet'!$W$20)</f>
        <v/>
      </c>
      <c r="BV20">
        <f>BV19+IF(AND(BU20&lt;&gt;"",COUNTIF(BU$4:BU20,BU20)=1),1,0)</f>
        <v/>
      </c>
      <c r="BW20">
        <f>IF(ROW()-3&gt;MAX(BV$4:BV$40),"",INDEX(BU$4:BU$40,MATCH(ROW()-3,BV$4:BV$40,0)))</f>
        <v/>
      </c>
      <c r="BX20">
        <f>IF('Final Calculation Sheet'!$X$20="","",'Final Calculation Sheet'!$X$20)</f>
        <v/>
      </c>
      <c r="BY20">
        <f>BY19+IF(AND(BX20&lt;&gt;"",COUNTIF(BX$4:BX20,BX20)=1),1,0)</f>
        <v/>
      </c>
      <c r="BZ20">
        <f>IF(ROW()-3&gt;MAX(BY$4:BY$40),"",INDEX(BX$4:BX$40,MATCH(ROW()-3,BY$4:BY$40,0)))</f>
        <v/>
      </c>
      <c r="CA20">
        <f>IF('Final Calculation Sheet'!$Y$20="","",'Final Calculation Sheet'!$Y$20)</f>
        <v/>
      </c>
      <c r="CB20">
        <f>CB19+IF(AND(CA20&lt;&gt;"",COUNTIF(CA$4:CA20,CA20)=1),1,0)</f>
        <v/>
      </c>
      <c r="CC20">
        <f>IF(ROW()-3&gt;MAX(CB$4:CB$40),"",INDEX(CA$4:CA$40,MATCH(ROW()-3,CB$4:CB$40,0)))</f>
        <v/>
      </c>
      <c r="CD20">
        <f>IF('Final Calculation Sheet'!$Z$20="","",'Final Calculation Sheet'!$Z$20)</f>
        <v/>
      </c>
      <c r="CE20">
        <f>CE19+IF(AND(CD20&lt;&gt;"",COUNTIF(CD$4:CD20,CD20)=1),1,0)</f>
        <v/>
      </c>
      <c r="CF20">
        <f>IF(ROW()-3&gt;MAX(CE$4:CE$40),"",INDEX(CD$4:CD$40,MATCH(ROW()-3,CE$4:CE$40,0)))</f>
        <v/>
      </c>
      <c r="CG20">
        <f>IF('Final Calculation Sheet'!$AA$20="","",'Final Calculation Sheet'!$AA$20)</f>
        <v/>
      </c>
      <c r="CH20">
        <f>CH19+IF(AND(CG20&lt;&gt;"",COUNTIF(CG$4:CG20,CG20)=1),1,0)</f>
        <v/>
      </c>
      <c r="CI20">
        <f>IF(ROW()-3&gt;MAX(CH$4:CH$40),"",INDEX(CG$4:CG$40,MATCH(ROW()-3,CH$4:CH$40,0)))</f>
        <v/>
      </c>
      <c r="CJ20">
        <f>IF('Final Calculation Sheet'!$AB$20="","",'Final Calculation Sheet'!$AB$20)</f>
        <v/>
      </c>
      <c r="CK20">
        <f>CK19+IF(AND(CJ20&lt;&gt;"",COUNTIF(CJ$4:CJ20,CJ20)=1),1,0)</f>
        <v/>
      </c>
      <c r="CL20">
        <f>IF(ROW()-3&gt;MAX(CK$4:CK$40),"",INDEX(CJ$4:CJ$40,MATCH(ROW()-3,CK$4:CK$40,0)))</f>
        <v/>
      </c>
      <c r="CM20">
        <f>IF('Final Calculation Sheet'!$AC$20="","",'Final Calculation Sheet'!$AC$20)</f>
        <v/>
      </c>
      <c r="CN20">
        <f>CN19+IF(AND(CM20&lt;&gt;"",COUNTIF(CM$4:CM20,CM20)=1),1,0)</f>
        <v/>
      </c>
      <c r="CO20">
        <f>IF(ROW()-3&gt;MAX(CN$4:CN$40),"",INDEX(CM$4:CM$40,MATCH(ROW()-3,CN$4:CN$40,0)))</f>
        <v/>
      </c>
      <c r="CP20">
        <f>IF('Final Calculation Sheet'!$AD$20="","",'Final Calculation Sheet'!$AD$20)</f>
        <v/>
      </c>
      <c r="CQ20">
        <f>CQ19+IF(AND(CP20&lt;&gt;"",COUNTIF(CP$4:CP20,CP20)=1),1,0)</f>
        <v/>
      </c>
      <c r="CR20">
        <f>IF(ROW()-3&gt;MAX(CQ$4:CQ$40),"",INDEX(CP$4:CP$40,MATCH(ROW()-3,CQ$4:CQ$40,0)))</f>
        <v/>
      </c>
      <c r="CS20">
        <f>IF('Final Calculation Sheet'!$AE$20="","",'Final Calculation Sheet'!$AE$20)</f>
        <v/>
      </c>
      <c r="CT20">
        <f>CT19+IF(AND(CS20&lt;&gt;"",COUNTIF(CS$4:CS20,CS20)=1),1,0)</f>
        <v/>
      </c>
      <c r="CU20">
        <f>IF(ROW()-3&gt;MAX(CT$4:CT$40),"",INDEX(CS$4:CS$40,MATCH(ROW()-3,CT$4:CT$40,0)))</f>
        <v/>
      </c>
      <c r="CV20">
        <f>IF('Final Calculation Sheet'!$AF$20="","",'Final Calculation Sheet'!$AF$20)</f>
        <v/>
      </c>
      <c r="CW20">
        <f>CW19+IF(AND(CV20&lt;&gt;"",COUNTIF(CV$4:CV20,CV20)=1),1,0)</f>
        <v/>
      </c>
      <c r="CX20">
        <f>IF(ROW()-3&gt;MAX(CW$4:CW$40),"",INDEX(CV$4:CV$40,MATCH(ROW()-3,CW$4:CW$40,0)))</f>
        <v/>
      </c>
      <c r="CY20">
        <f>IF('Final Calculation Sheet'!$AG$20="","",'Final Calculation Sheet'!$AG$20)</f>
        <v/>
      </c>
      <c r="CZ20">
        <f>CZ19+IF(AND(CY20&lt;&gt;"",COUNTIF(CY$4:CY20,CY20)=1),1,0)</f>
        <v/>
      </c>
      <c r="DA20">
        <f>IF(ROW()-3&gt;MAX(CZ$4:CZ$40),"",INDEX(CY$4:CY$40,MATCH(ROW()-3,CZ$4:CZ$40,0)))</f>
        <v/>
      </c>
      <c r="DC20">
        <f>DC19+IF(AND(DB20&lt;&gt;"",COUNTIF(DB$4:DB20,DB20)=1),1,0)</f>
        <v/>
      </c>
      <c r="DD20">
        <f>IF(ROW()-3&gt;MAX(DC$4:DC$40),"",INDEX(DB$4:DB$40,MATCH(ROW()-3,DC$4:DC$40,0)))</f>
        <v/>
      </c>
    </row>
    <row r="21">
      <c r="A21">
        <f>IF('Final Calculation Sheet'!$F$21="","",'Final Calculation Sheet'!$F$21)</f>
        <v/>
      </c>
      <c r="B21">
        <f>B20+IF(AND(A21&lt;&gt;"",COUNTIF(A$4:A21,A21)=1),1,0)</f>
        <v/>
      </c>
      <c r="C21">
        <f>IF(ROW()-3&gt;MAX(B$4:B$114),"",INDEX(A$4:A$114,MATCH(ROW()-3,B$4:B$114,0)))</f>
        <v/>
      </c>
      <c r="D21">
        <f>ROW()-3</f>
        <v/>
      </c>
      <c r="E21">
        <f>E20+IF(AND(D21&lt;&gt;"",COUNTIF(D$4:D21,D21)=1),1,0)</f>
        <v/>
      </c>
      <c r="F21">
        <f>IF(ROW()-3&gt;MAX(E$4:E$40),"",INDEX(D$4:D$40,MATCH(ROW()-3,E$4:E$40,0)))</f>
        <v/>
      </c>
      <c r="G21">
        <f>IF('Final Calculation Sheet'!$F$21="","",'Final Calculation Sheet'!$F$21)</f>
        <v/>
      </c>
      <c r="H21">
        <f>H20+IF(AND(G21&lt;&gt;"",COUNTIF(G$4:G21,G21)=1),1,0)</f>
        <v/>
      </c>
      <c r="I21">
        <f>IF(ROW()-3&gt;MAX(H$4:H$40),"",INDEX(G$4:G$40,MATCH(ROW()-3,H$4:H$40,0)))</f>
        <v/>
      </c>
      <c r="J21">
        <f>IF('Final Calculation Sheet'!$G$21="","",'Final Calculation Sheet'!$G$21)</f>
        <v/>
      </c>
      <c r="K21">
        <f>K20+IF(AND(J21&lt;&gt;"",COUNTIF(J$4:J21,J21)=1),1,0)</f>
        <v/>
      </c>
      <c r="L21">
        <f>IF(ROW()-3&gt;MAX(K$4:K$40),"",INDEX(J$4:J$40,MATCH(ROW()-3,K$4:K$40,0)))</f>
        <v/>
      </c>
      <c r="M21">
        <f>IF('Final Calculation Sheet'!$B$21="","",'Final Calculation Sheet'!$B$21)</f>
        <v/>
      </c>
      <c r="N21">
        <f>N20+IF(AND(M21&lt;&gt;"",COUNTIF(M$4:M21,M21)=1),1,0)</f>
        <v/>
      </c>
      <c r="O21">
        <f>IF(ROW()-3&gt;MAX(N$4:N$40),"",INDEX(M$4:M$40,MATCH(ROW()-3,N$4:N$40,0)))</f>
        <v/>
      </c>
      <c r="P21">
        <f>IF('Final Calculation Sheet'!$D$21="","",'Final Calculation Sheet'!$D$21)</f>
        <v/>
      </c>
      <c r="Q21">
        <f>Q20+IF(AND(P21&lt;&gt;"",COUNTIF(P$4:P21,P21)=1),1,0)</f>
        <v/>
      </c>
      <c r="R21">
        <f>IF(ROW()-3&gt;MAX(Q$4:Q$40),"",INDEX(P$4:P$40,MATCH(ROW()-3,Q$4:Q$40,0)))</f>
        <v/>
      </c>
      <c r="S21">
        <f>IF('Final Calculation Sheet'!$A$21="","",'Final Calculation Sheet'!$A$21)</f>
        <v/>
      </c>
      <c r="T21">
        <f>T20+IF(AND(S21&lt;&gt;"",COUNTIF(S$4:S21,S21)=1),1,0)</f>
        <v/>
      </c>
      <c r="U21">
        <f>IF(ROW()-3&gt;MAX(T$4:T$40),"",INDEX(S$4:S$40,MATCH(ROW()-3,T$4:T$40,0)))</f>
        <v/>
      </c>
      <c r="V21">
        <f>IF('Final Calculation Sheet'!$E$21="","",'Final Calculation Sheet'!$E$21)</f>
        <v/>
      </c>
      <c r="W21">
        <f>W20+IF(AND(V21&lt;&gt;"",COUNTIF(V$4:V21,V21)=1),1,0)</f>
        <v/>
      </c>
      <c r="X21">
        <f>IF(ROW()-3&gt;MAX(W$4:W$40),"",INDEX(V$4:V$40,MATCH(ROW()-3,W$4:W$40,0)))</f>
        <v/>
      </c>
      <c r="Y21">
        <f>IF('Final Calculation Sheet'!$C$21="","",'Final Calculation Sheet'!$C$21)</f>
        <v/>
      </c>
      <c r="Z21">
        <f>Z20+IF(AND(Y21&lt;&gt;"",COUNTIF(Y$4:Y21,Y21)=1),1,0)</f>
        <v/>
      </c>
      <c r="AA21">
        <f>IF(ROW()-3&gt;MAX(Z$4:Z$40),"",INDEX(Y$4:Y$40,MATCH(ROW()-3,Z$4:Z$40,0)))</f>
        <v/>
      </c>
      <c r="AB21">
        <f>IF('Final Calculation Sheet'!$H$21="","",'Final Calculation Sheet'!$H$21)</f>
        <v/>
      </c>
      <c r="AC21">
        <f>AC20+IF(AND(AB21&lt;&gt;"",COUNTIF(AB$4:AB21,AB21)=1),1,0)</f>
        <v/>
      </c>
      <c r="AD21">
        <f>IF(ROW()-3&gt;MAX(AC$4:AC$40),"",INDEX(AB$4:AB$40,MATCH(ROW()-3,AC$4:AC$40,0)))</f>
        <v/>
      </c>
      <c r="AE21">
        <f>IF('Final Calculation Sheet'!$I$21="","",'Final Calculation Sheet'!$I$21)</f>
        <v/>
      </c>
      <c r="AF21">
        <f>AF20+IF(AND(AE21&lt;&gt;"",COUNTIF(AE$4:AE21,AE21)=1),1,0)</f>
        <v/>
      </c>
      <c r="AG21">
        <f>IF(ROW()-3&gt;MAX(AF$4:AF$40),"",INDEX(AE$4:AE$40,MATCH(ROW()-3,AF$4:AF$40,0)))</f>
        <v/>
      </c>
      <c r="AH21">
        <f>IF('Final Calculation Sheet'!$J$21="","",'Final Calculation Sheet'!$J$21)</f>
        <v/>
      </c>
      <c r="AI21">
        <f>AI20+IF(AND(AH21&lt;&gt;"",COUNTIF(AH$4:AH21,AH21)=1),1,0)</f>
        <v/>
      </c>
      <c r="AJ21">
        <f>IF(ROW()-3&gt;MAX(AI$4:AI$40),"",INDEX(AH$4:AH$40,MATCH(ROW()-3,AI$4:AI$40,0)))</f>
        <v/>
      </c>
      <c r="AK21">
        <f>IF('Final Calculation Sheet'!$K$21="","",'Final Calculation Sheet'!$K$21)</f>
        <v/>
      </c>
      <c r="AL21">
        <f>AL20+IF(AND(AK21&lt;&gt;"",COUNTIF(AK$4:AK21,AK21)=1),1,0)</f>
        <v/>
      </c>
      <c r="AM21">
        <f>IF(ROW()-3&gt;MAX(AL$4:AL$40),"",INDEX(AK$4:AK$40,MATCH(ROW()-3,AL$4:AL$40,0)))</f>
        <v/>
      </c>
      <c r="AN21">
        <f>IF('Final Calculation Sheet'!$L$21="","",'Final Calculation Sheet'!$L$21)</f>
        <v/>
      </c>
      <c r="AO21">
        <f>AO20+IF(AND(AN21&lt;&gt;"",COUNTIF(AN$4:AN21,AN21)=1),1,0)</f>
        <v/>
      </c>
      <c r="AP21">
        <f>IF(ROW()-3&gt;MAX(AO$4:AO$40),"",INDEX(AN$4:AN$40,MATCH(ROW()-3,AO$4:AO$40,0)))</f>
        <v/>
      </c>
      <c r="AQ21">
        <f>IF('Final Calculation Sheet'!$M$21="","",'Final Calculation Sheet'!$M$21)</f>
        <v/>
      </c>
      <c r="AR21">
        <f>AR20+IF(AND(AQ21&lt;&gt;"",COUNTIF(AQ$4:AQ21,AQ21)=1),1,0)</f>
        <v/>
      </c>
      <c r="AS21">
        <f>IF(ROW()-3&gt;MAX(AR$4:AR$40),"",INDEX(AQ$4:AQ$40,MATCH(ROW()-3,AR$4:AR$40,0)))</f>
        <v/>
      </c>
      <c r="AT21">
        <f>IF('Final Calculation Sheet'!$N$21="","",'Final Calculation Sheet'!$N$21)</f>
        <v/>
      </c>
      <c r="AU21">
        <f>AU20+IF(AND(AT21&lt;&gt;"",COUNTIF(AT$4:AT21,AT21)=1),1,0)</f>
        <v/>
      </c>
      <c r="AV21">
        <f>IF(ROW()-3&gt;MAX(AU$4:AU$40),"",INDEX(AT$4:AT$40,MATCH(ROW()-3,AU$4:AU$40,0)))</f>
        <v/>
      </c>
      <c r="AW21">
        <f>IF('Final Calculation Sheet'!$O$21="","",'Final Calculation Sheet'!$O$21)</f>
        <v/>
      </c>
      <c r="AX21">
        <f>AX20+IF(AND(AW21&lt;&gt;"",COUNTIF(AW$4:AW21,AW21)=1),1,0)</f>
        <v/>
      </c>
      <c r="AY21">
        <f>IF(ROW()-3&gt;MAX(AX$4:AX$40),"",INDEX(AW$4:AW$40,MATCH(ROW()-3,AX$4:AX$40,0)))</f>
        <v/>
      </c>
      <c r="AZ21">
        <f>IF('Final Calculation Sheet'!$P$21="","",'Final Calculation Sheet'!$P$21)</f>
        <v/>
      </c>
      <c r="BA21">
        <f>BA20+IF(AND(AZ21&lt;&gt;"",COUNTIF(AZ$4:AZ21,AZ21)=1),1,0)</f>
        <v/>
      </c>
      <c r="BB21">
        <f>IF(ROW()-3&gt;MAX(BA$4:BA$40),"",INDEX(AZ$4:AZ$40,MATCH(ROW()-3,BA$4:BA$40,0)))</f>
        <v/>
      </c>
      <c r="BC21">
        <f>IF('Final Calculation Sheet'!$Q$21="","",'Final Calculation Sheet'!$Q$21)</f>
        <v/>
      </c>
      <c r="BD21">
        <f>BD20+IF(AND(BC21&lt;&gt;"",COUNTIF(BC$4:BC21,BC21)=1),1,0)</f>
        <v/>
      </c>
      <c r="BE21">
        <f>IF(ROW()-3&gt;MAX(BD$4:BD$40),"",INDEX(BC$4:BC$40,MATCH(ROW()-3,BD$4:BD$40,0)))</f>
        <v/>
      </c>
      <c r="BF21">
        <f>IF('Final Calculation Sheet'!$R$21="","",'Final Calculation Sheet'!$R$21)</f>
        <v/>
      </c>
      <c r="BG21">
        <f>BG20+IF(AND(BF21&lt;&gt;"",COUNTIF(BF$4:BF21,BF21)=1),1,0)</f>
        <v/>
      </c>
      <c r="BH21">
        <f>IF(ROW()-3&gt;MAX(BG$4:BG$40),"",INDEX(BF$4:BF$40,MATCH(ROW()-3,BG$4:BG$40,0)))</f>
        <v/>
      </c>
      <c r="BI21">
        <f>IF('Final Calculation Sheet'!$S$21="","",'Final Calculation Sheet'!$S$21)</f>
        <v/>
      </c>
      <c r="BJ21">
        <f>BJ20+IF(AND(BI21&lt;&gt;"",COUNTIF(BI$4:BI21,BI21)=1),1,0)</f>
        <v/>
      </c>
      <c r="BK21">
        <f>IF(ROW()-3&gt;MAX(BJ$4:BJ$40),"",INDEX(BI$4:BI$40,MATCH(ROW()-3,BJ$4:BJ$40,0)))</f>
        <v/>
      </c>
      <c r="BL21">
        <f>IF('Final Calculation Sheet'!$T$21="","",'Final Calculation Sheet'!$T$21)</f>
        <v/>
      </c>
      <c r="BM21">
        <f>BM20+IF(AND(BL21&lt;&gt;"",COUNTIF(BL$4:BL21,BL21)=1),1,0)</f>
        <v/>
      </c>
      <c r="BN21">
        <f>IF(ROW()-3&gt;MAX(BM$4:BM$40),"",INDEX(BL$4:BL$40,MATCH(ROW()-3,BM$4:BM$40,0)))</f>
        <v/>
      </c>
      <c r="BO21">
        <f>IF('Final Calculation Sheet'!$U$21="","",'Final Calculation Sheet'!$U$21)</f>
        <v/>
      </c>
      <c r="BP21">
        <f>BP20+IF(AND(BO21&lt;&gt;"",COUNTIF(BO$4:BO21,BO21)=1),1,0)</f>
        <v/>
      </c>
      <c r="BQ21">
        <f>IF(ROW()-3&gt;MAX(BP$4:BP$40),"",INDEX(BO$4:BO$40,MATCH(ROW()-3,BP$4:BP$40,0)))</f>
        <v/>
      </c>
      <c r="BR21">
        <f>IF('Final Calculation Sheet'!$V$21="","",'Final Calculation Sheet'!$V$21)</f>
        <v/>
      </c>
      <c r="BS21">
        <f>BS20+IF(AND(BR21&lt;&gt;"",COUNTIF(BR$4:BR21,BR21)=1),1,0)</f>
        <v/>
      </c>
      <c r="BT21">
        <f>IF(ROW()-3&gt;MAX(BS$4:BS$40),"",INDEX(BR$4:BR$40,MATCH(ROW()-3,BS$4:BS$40,0)))</f>
        <v/>
      </c>
      <c r="BU21">
        <f>IF('Final Calculation Sheet'!$W$21="","",'Final Calculation Sheet'!$W$21)</f>
        <v/>
      </c>
      <c r="BV21">
        <f>BV20+IF(AND(BU21&lt;&gt;"",COUNTIF(BU$4:BU21,BU21)=1),1,0)</f>
        <v/>
      </c>
      <c r="BW21">
        <f>IF(ROW()-3&gt;MAX(BV$4:BV$40),"",INDEX(BU$4:BU$40,MATCH(ROW()-3,BV$4:BV$40,0)))</f>
        <v/>
      </c>
      <c r="BX21">
        <f>IF('Final Calculation Sheet'!$X$21="","",'Final Calculation Sheet'!$X$21)</f>
        <v/>
      </c>
      <c r="BY21">
        <f>BY20+IF(AND(BX21&lt;&gt;"",COUNTIF(BX$4:BX21,BX21)=1),1,0)</f>
        <v/>
      </c>
      <c r="BZ21">
        <f>IF(ROW()-3&gt;MAX(BY$4:BY$40),"",INDEX(BX$4:BX$40,MATCH(ROW()-3,BY$4:BY$40,0)))</f>
        <v/>
      </c>
      <c r="CA21">
        <f>IF('Final Calculation Sheet'!$Y$21="","",'Final Calculation Sheet'!$Y$21)</f>
        <v/>
      </c>
      <c r="CB21">
        <f>CB20+IF(AND(CA21&lt;&gt;"",COUNTIF(CA$4:CA21,CA21)=1),1,0)</f>
        <v/>
      </c>
      <c r="CC21">
        <f>IF(ROW()-3&gt;MAX(CB$4:CB$40),"",INDEX(CA$4:CA$40,MATCH(ROW()-3,CB$4:CB$40,0)))</f>
        <v/>
      </c>
      <c r="CD21">
        <f>IF('Final Calculation Sheet'!$Z$21="","",'Final Calculation Sheet'!$Z$21)</f>
        <v/>
      </c>
      <c r="CE21">
        <f>CE20+IF(AND(CD21&lt;&gt;"",COUNTIF(CD$4:CD21,CD21)=1),1,0)</f>
        <v/>
      </c>
      <c r="CF21">
        <f>IF(ROW()-3&gt;MAX(CE$4:CE$40),"",INDEX(CD$4:CD$40,MATCH(ROW()-3,CE$4:CE$40,0)))</f>
        <v/>
      </c>
      <c r="CG21">
        <f>IF('Final Calculation Sheet'!$AA$21="","",'Final Calculation Sheet'!$AA$21)</f>
        <v/>
      </c>
      <c r="CH21">
        <f>CH20+IF(AND(CG21&lt;&gt;"",COUNTIF(CG$4:CG21,CG21)=1),1,0)</f>
        <v/>
      </c>
      <c r="CI21">
        <f>IF(ROW()-3&gt;MAX(CH$4:CH$40),"",INDEX(CG$4:CG$40,MATCH(ROW()-3,CH$4:CH$40,0)))</f>
        <v/>
      </c>
      <c r="CJ21">
        <f>IF('Final Calculation Sheet'!$AB$21="","",'Final Calculation Sheet'!$AB$21)</f>
        <v/>
      </c>
      <c r="CK21">
        <f>CK20+IF(AND(CJ21&lt;&gt;"",COUNTIF(CJ$4:CJ21,CJ21)=1),1,0)</f>
        <v/>
      </c>
      <c r="CL21">
        <f>IF(ROW()-3&gt;MAX(CK$4:CK$40),"",INDEX(CJ$4:CJ$40,MATCH(ROW()-3,CK$4:CK$40,0)))</f>
        <v/>
      </c>
      <c r="CM21">
        <f>IF('Final Calculation Sheet'!$AC$21="","",'Final Calculation Sheet'!$AC$21)</f>
        <v/>
      </c>
      <c r="CN21">
        <f>CN20+IF(AND(CM21&lt;&gt;"",COUNTIF(CM$4:CM21,CM21)=1),1,0)</f>
        <v/>
      </c>
      <c r="CO21">
        <f>IF(ROW()-3&gt;MAX(CN$4:CN$40),"",INDEX(CM$4:CM$40,MATCH(ROW()-3,CN$4:CN$40,0)))</f>
        <v/>
      </c>
      <c r="CP21">
        <f>IF('Final Calculation Sheet'!$AD$21="","",'Final Calculation Sheet'!$AD$21)</f>
        <v/>
      </c>
      <c r="CQ21">
        <f>CQ20+IF(AND(CP21&lt;&gt;"",COUNTIF(CP$4:CP21,CP21)=1),1,0)</f>
        <v/>
      </c>
      <c r="CR21">
        <f>IF(ROW()-3&gt;MAX(CQ$4:CQ$40),"",INDEX(CP$4:CP$40,MATCH(ROW()-3,CQ$4:CQ$40,0)))</f>
        <v/>
      </c>
      <c r="CS21">
        <f>IF('Final Calculation Sheet'!$AE$21="","",'Final Calculation Sheet'!$AE$21)</f>
        <v/>
      </c>
      <c r="CT21">
        <f>CT20+IF(AND(CS21&lt;&gt;"",COUNTIF(CS$4:CS21,CS21)=1),1,0)</f>
        <v/>
      </c>
      <c r="CU21">
        <f>IF(ROW()-3&gt;MAX(CT$4:CT$40),"",INDEX(CS$4:CS$40,MATCH(ROW()-3,CT$4:CT$40,0)))</f>
        <v/>
      </c>
      <c r="CV21">
        <f>IF('Final Calculation Sheet'!$AF$21="","",'Final Calculation Sheet'!$AF$21)</f>
        <v/>
      </c>
      <c r="CW21">
        <f>CW20+IF(AND(CV21&lt;&gt;"",COUNTIF(CV$4:CV21,CV21)=1),1,0)</f>
        <v/>
      </c>
      <c r="CX21">
        <f>IF(ROW()-3&gt;MAX(CW$4:CW$40),"",INDEX(CV$4:CV$40,MATCH(ROW()-3,CW$4:CW$40,0)))</f>
        <v/>
      </c>
      <c r="CY21">
        <f>IF('Final Calculation Sheet'!$AG$21="","",'Final Calculation Sheet'!$AG$21)</f>
        <v/>
      </c>
      <c r="CZ21">
        <f>CZ20+IF(AND(CY21&lt;&gt;"",COUNTIF(CY$4:CY21,CY21)=1),1,0)</f>
        <v/>
      </c>
      <c r="DA21">
        <f>IF(ROW()-3&gt;MAX(CZ$4:CZ$40),"",INDEX(CY$4:CY$40,MATCH(ROW()-3,CZ$4:CZ$40,0)))</f>
        <v/>
      </c>
      <c r="DC21">
        <f>DC20+IF(AND(DB21&lt;&gt;"",COUNTIF(DB$4:DB21,DB21)=1),1,0)</f>
        <v/>
      </c>
      <c r="DD21">
        <f>IF(ROW()-3&gt;MAX(DC$4:DC$40),"",INDEX(DB$4:DB$40,MATCH(ROW()-3,DC$4:DC$40,0)))</f>
        <v/>
      </c>
    </row>
    <row r="22">
      <c r="A22">
        <f>IF('Final Calculation Sheet'!$F$22="","",'Final Calculation Sheet'!$F$22)</f>
        <v/>
      </c>
      <c r="B22">
        <f>B21+IF(AND(A22&lt;&gt;"",COUNTIF(A$4:A22,A22)=1),1,0)</f>
        <v/>
      </c>
      <c r="C22">
        <f>IF(ROW()-3&gt;MAX(B$4:B$114),"",INDEX(A$4:A$114,MATCH(ROW()-3,B$4:B$114,0)))</f>
        <v/>
      </c>
      <c r="D22">
        <f>ROW()-3</f>
        <v/>
      </c>
      <c r="E22">
        <f>E21+IF(AND(D22&lt;&gt;"",COUNTIF(D$4:D22,D22)=1),1,0)</f>
        <v/>
      </c>
      <c r="F22">
        <f>IF(ROW()-3&gt;MAX(E$4:E$40),"",INDEX(D$4:D$40,MATCH(ROW()-3,E$4:E$40,0)))</f>
        <v/>
      </c>
      <c r="G22">
        <f>IF('Final Calculation Sheet'!$F$22="","",'Final Calculation Sheet'!$F$22)</f>
        <v/>
      </c>
      <c r="H22">
        <f>H21+IF(AND(G22&lt;&gt;"",COUNTIF(G$4:G22,G22)=1),1,0)</f>
        <v/>
      </c>
      <c r="I22">
        <f>IF(ROW()-3&gt;MAX(H$4:H$40),"",INDEX(G$4:G$40,MATCH(ROW()-3,H$4:H$40,0)))</f>
        <v/>
      </c>
      <c r="J22">
        <f>IF('Final Calculation Sheet'!$G$22="","",'Final Calculation Sheet'!$G$22)</f>
        <v/>
      </c>
      <c r="K22">
        <f>K21+IF(AND(J22&lt;&gt;"",COUNTIF(J$4:J22,J22)=1),1,0)</f>
        <v/>
      </c>
      <c r="L22">
        <f>IF(ROW()-3&gt;MAX(K$4:K$40),"",INDEX(J$4:J$40,MATCH(ROW()-3,K$4:K$40,0)))</f>
        <v/>
      </c>
      <c r="M22">
        <f>IF('Final Calculation Sheet'!$B$22="","",'Final Calculation Sheet'!$B$22)</f>
        <v/>
      </c>
      <c r="N22">
        <f>N21+IF(AND(M22&lt;&gt;"",COUNTIF(M$4:M22,M22)=1),1,0)</f>
        <v/>
      </c>
      <c r="O22">
        <f>IF(ROW()-3&gt;MAX(N$4:N$40),"",INDEX(M$4:M$40,MATCH(ROW()-3,N$4:N$40,0)))</f>
        <v/>
      </c>
      <c r="P22">
        <f>IF('Final Calculation Sheet'!$D$22="","",'Final Calculation Sheet'!$D$22)</f>
        <v/>
      </c>
      <c r="Q22">
        <f>Q21+IF(AND(P22&lt;&gt;"",COUNTIF(P$4:P22,P22)=1),1,0)</f>
        <v/>
      </c>
      <c r="R22">
        <f>IF(ROW()-3&gt;MAX(Q$4:Q$40),"",INDEX(P$4:P$40,MATCH(ROW()-3,Q$4:Q$40,0)))</f>
        <v/>
      </c>
      <c r="S22">
        <f>IF('Final Calculation Sheet'!$A$22="","",'Final Calculation Sheet'!$A$22)</f>
        <v/>
      </c>
      <c r="T22">
        <f>T21+IF(AND(S22&lt;&gt;"",COUNTIF(S$4:S22,S22)=1),1,0)</f>
        <v/>
      </c>
      <c r="U22">
        <f>IF(ROW()-3&gt;MAX(T$4:T$40),"",INDEX(S$4:S$40,MATCH(ROW()-3,T$4:T$40,0)))</f>
        <v/>
      </c>
      <c r="V22">
        <f>IF('Final Calculation Sheet'!$E$22="","",'Final Calculation Sheet'!$E$22)</f>
        <v/>
      </c>
      <c r="W22">
        <f>W21+IF(AND(V22&lt;&gt;"",COUNTIF(V$4:V22,V22)=1),1,0)</f>
        <v/>
      </c>
      <c r="X22">
        <f>IF(ROW()-3&gt;MAX(W$4:W$40),"",INDEX(V$4:V$40,MATCH(ROW()-3,W$4:W$40,0)))</f>
        <v/>
      </c>
      <c r="Y22">
        <f>IF('Final Calculation Sheet'!$C$22="","",'Final Calculation Sheet'!$C$22)</f>
        <v/>
      </c>
      <c r="Z22">
        <f>Z21+IF(AND(Y22&lt;&gt;"",COUNTIF(Y$4:Y22,Y22)=1),1,0)</f>
        <v/>
      </c>
      <c r="AA22">
        <f>IF(ROW()-3&gt;MAX(Z$4:Z$40),"",INDEX(Y$4:Y$40,MATCH(ROW()-3,Z$4:Z$40,0)))</f>
        <v/>
      </c>
      <c r="AB22">
        <f>IF('Final Calculation Sheet'!$H$22="","",'Final Calculation Sheet'!$H$22)</f>
        <v/>
      </c>
      <c r="AC22">
        <f>AC21+IF(AND(AB22&lt;&gt;"",COUNTIF(AB$4:AB22,AB22)=1),1,0)</f>
        <v/>
      </c>
      <c r="AD22">
        <f>IF(ROW()-3&gt;MAX(AC$4:AC$40),"",INDEX(AB$4:AB$40,MATCH(ROW()-3,AC$4:AC$40,0)))</f>
        <v/>
      </c>
      <c r="AE22">
        <f>IF('Final Calculation Sheet'!$I$22="","",'Final Calculation Sheet'!$I$22)</f>
        <v/>
      </c>
      <c r="AF22">
        <f>AF21+IF(AND(AE22&lt;&gt;"",COUNTIF(AE$4:AE22,AE22)=1),1,0)</f>
        <v/>
      </c>
      <c r="AG22">
        <f>IF(ROW()-3&gt;MAX(AF$4:AF$40),"",INDEX(AE$4:AE$40,MATCH(ROW()-3,AF$4:AF$40,0)))</f>
        <v/>
      </c>
      <c r="AH22">
        <f>IF('Final Calculation Sheet'!$J$22="","",'Final Calculation Sheet'!$J$22)</f>
        <v/>
      </c>
      <c r="AI22">
        <f>AI21+IF(AND(AH22&lt;&gt;"",COUNTIF(AH$4:AH22,AH22)=1),1,0)</f>
        <v/>
      </c>
      <c r="AJ22">
        <f>IF(ROW()-3&gt;MAX(AI$4:AI$40),"",INDEX(AH$4:AH$40,MATCH(ROW()-3,AI$4:AI$40,0)))</f>
        <v/>
      </c>
      <c r="AK22">
        <f>IF('Final Calculation Sheet'!$K$22="","",'Final Calculation Sheet'!$K$22)</f>
        <v/>
      </c>
      <c r="AL22">
        <f>AL21+IF(AND(AK22&lt;&gt;"",COUNTIF(AK$4:AK22,AK22)=1),1,0)</f>
        <v/>
      </c>
      <c r="AM22">
        <f>IF(ROW()-3&gt;MAX(AL$4:AL$40),"",INDEX(AK$4:AK$40,MATCH(ROW()-3,AL$4:AL$40,0)))</f>
        <v/>
      </c>
      <c r="AN22">
        <f>IF('Final Calculation Sheet'!$L$22="","",'Final Calculation Sheet'!$L$22)</f>
        <v/>
      </c>
      <c r="AO22">
        <f>AO21+IF(AND(AN22&lt;&gt;"",COUNTIF(AN$4:AN22,AN22)=1),1,0)</f>
        <v/>
      </c>
      <c r="AP22">
        <f>IF(ROW()-3&gt;MAX(AO$4:AO$40),"",INDEX(AN$4:AN$40,MATCH(ROW()-3,AO$4:AO$40,0)))</f>
        <v/>
      </c>
      <c r="AQ22">
        <f>IF('Final Calculation Sheet'!$M$22="","",'Final Calculation Sheet'!$M$22)</f>
        <v/>
      </c>
      <c r="AR22">
        <f>AR21+IF(AND(AQ22&lt;&gt;"",COUNTIF(AQ$4:AQ22,AQ22)=1),1,0)</f>
        <v/>
      </c>
      <c r="AS22">
        <f>IF(ROW()-3&gt;MAX(AR$4:AR$40),"",INDEX(AQ$4:AQ$40,MATCH(ROW()-3,AR$4:AR$40,0)))</f>
        <v/>
      </c>
      <c r="AT22">
        <f>IF('Final Calculation Sheet'!$N$22="","",'Final Calculation Sheet'!$N$22)</f>
        <v/>
      </c>
      <c r="AU22">
        <f>AU21+IF(AND(AT22&lt;&gt;"",COUNTIF(AT$4:AT22,AT22)=1),1,0)</f>
        <v/>
      </c>
      <c r="AV22">
        <f>IF(ROW()-3&gt;MAX(AU$4:AU$40),"",INDEX(AT$4:AT$40,MATCH(ROW()-3,AU$4:AU$40,0)))</f>
        <v/>
      </c>
      <c r="AW22">
        <f>IF('Final Calculation Sheet'!$O$22="","",'Final Calculation Sheet'!$O$22)</f>
        <v/>
      </c>
      <c r="AX22">
        <f>AX21+IF(AND(AW22&lt;&gt;"",COUNTIF(AW$4:AW22,AW22)=1),1,0)</f>
        <v/>
      </c>
      <c r="AY22">
        <f>IF(ROW()-3&gt;MAX(AX$4:AX$40),"",INDEX(AW$4:AW$40,MATCH(ROW()-3,AX$4:AX$40,0)))</f>
        <v/>
      </c>
      <c r="AZ22">
        <f>IF('Final Calculation Sheet'!$P$22="","",'Final Calculation Sheet'!$P$22)</f>
        <v/>
      </c>
      <c r="BA22">
        <f>BA21+IF(AND(AZ22&lt;&gt;"",COUNTIF(AZ$4:AZ22,AZ22)=1),1,0)</f>
        <v/>
      </c>
      <c r="BB22">
        <f>IF(ROW()-3&gt;MAX(BA$4:BA$40),"",INDEX(AZ$4:AZ$40,MATCH(ROW()-3,BA$4:BA$40,0)))</f>
        <v/>
      </c>
      <c r="BC22">
        <f>IF('Final Calculation Sheet'!$Q$22="","",'Final Calculation Sheet'!$Q$22)</f>
        <v/>
      </c>
      <c r="BD22">
        <f>BD21+IF(AND(BC22&lt;&gt;"",COUNTIF(BC$4:BC22,BC22)=1),1,0)</f>
        <v/>
      </c>
      <c r="BE22">
        <f>IF(ROW()-3&gt;MAX(BD$4:BD$40),"",INDEX(BC$4:BC$40,MATCH(ROW()-3,BD$4:BD$40,0)))</f>
        <v/>
      </c>
      <c r="BF22">
        <f>IF('Final Calculation Sheet'!$R$22="","",'Final Calculation Sheet'!$R$22)</f>
        <v/>
      </c>
      <c r="BG22">
        <f>BG21+IF(AND(BF22&lt;&gt;"",COUNTIF(BF$4:BF22,BF22)=1),1,0)</f>
        <v/>
      </c>
      <c r="BH22">
        <f>IF(ROW()-3&gt;MAX(BG$4:BG$40),"",INDEX(BF$4:BF$40,MATCH(ROW()-3,BG$4:BG$40,0)))</f>
        <v/>
      </c>
      <c r="BI22">
        <f>IF('Final Calculation Sheet'!$S$22="","",'Final Calculation Sheet'!$S$22)</f>
        <v/>
      </c>
      <c r="BJ22">
        <f>BJ21+IF(AND(BI22&lt;&gt;"",COUNTIF(BI$4:BI22,BI22)=1),1,0)</f>
        <v/>
      </c>
      <c r="BK22">
        <f>IF(ROW()-3&gt;MAX(BJ$4:BJ$40),"",INDEX(BI$4:BI$40,MATCH(ROW()-3,BJ$4:BJ$40,0)))</f>
        <v/>
      </c>
      <c r="BL22">
        <f>IF('Final Calculation Sheet'!$T$22="","",'Final Calculation Sheet'!$T$22)</f>
        <v/>
      </c>
      <c r="BM22">
        <f>BM21+IF(AND(BL22&lt;&gt;"",COUNTIF(BL$4:BL22,BL22)=1),1,0)</f>
        <v/>
      </c>
      <c r="BN22">
        <f>IF(ROW()-3&gt;MAX(BM$4:BM$40),"",INDEX(BL$4:BL$40,MATCH(ROW()-3,BM$4:BM$40,0)))</f>
        <v/>
      </c>
      <c r="BO22">
        <f>IF('Final Calculation Sheet'!$U$22="","",'Final Calculation Sheet'!$U$22)</f>
        <v/>
      </c>
      <c r="BP22">
        <f>BP21+IF(AND(BO22&lt;&gt;"",COUNTIF(BO$4:BO22,BO22)=1),1,0)</f>
        <v/>
      </c>
      <c r="BQ22">
        <f>IF(ROW()-3&gt;MAX(BP$4:BP$40),"",INDEX(BO$4:BO$40,MATCH(ROW()-3,BP$4:BP$40,0)))</f>
        <v/>
      </c>
      <c r="BR22">
        <f>IF('Final Calculation Sheet'!$V$22="","",'Final Calculation Sheet'!$V$22)</f>
        <v/>
      </c>
      <c r="BS22">
        <f>BS21+IF(AND(BR22&lt;&gt;"",COUNTIF(BR$4:BR22,BR22)=1),1,0)</f>
        <v/>
      </c>
      <c r="BT22">
        <f>IF(ROW()-3&gt;MAX(BS$4:BS$40),"",INDEX(BR$4:BR$40,MATCH(ROW()-3,BS$4:BS$40,0)))</f>
        <v/>
      </c>
      <c r="BU22">
        <f>IF('Final Calculation Sheet'!$W$22="","",'Final Calculation Sheet'!$W$22)</f>
        <v/>
      </c>
      <c r="BV22">
        <f>BV21+IF(AND(BU22&lt;&gt;"",COUNTIF(BU$4:BU22,BU22)=1),1,0)</f>
        <v/>
      </c>
      <c r="BW22">
        <f>IF(ROW()-3&gt;MAX(BV$4:BV$40),"",INDEX(BU$4:BU$40,MATCH(ROW()-3,BV$4:BV$40,0)))</f>
        <v/>
      </c>
      <c r="BX22">
        <f>IF('Final Calculation Sheet'!$X$22="","",'Final Calculation Sheet'!$X$22)</f>
        <v/>
      </c>
      <c r="BY22">
        <f>BY21+IF(AND(BX22&lt;&gt;"",COUNTIF(BX$4:BX22,BX22)=1),1,0)</f>
        <v/>
      </c>
      <c r="BZ22">
        <f>IF(ROW()-3&gt;MAX(BY$4:BY$40),"",INDEX(BX$4:BX$40,MATCH(ROW()-3,BY$4:BY$40,0)))</f>
        <v/>
      </c>
      <c r="CA22">
        <f>IF('Final Calculation Sheet'!$Y$22="","",'Final Calculation Sheet'!$Y$22)</f>
        <v/>
      </c>
      <c r="CB22">
        <f>CB21+IF(AND(CA22&lt;&gt;"",COUNTIF(CA$4:CA22,CA22)=1),1,0)</f>
        <v/>
      </c>
      <c r="CC22">
        <f>IF(ROW()-3&gt;MAX(CB$4:CB$40),"",INDEX(CA$4:CA$40,MATCH(ROW()-3,CB$4:CB$40,0)))</f>
        <v/>
      </c>
      <c r="CD22">
        <f>IF('Final Calculation Sheet'!$Z$22="","",'Final Calculation Sheet'!$Z$22)</f>
        <v/>
      </c>
      <c r="CE22">
        <f>CE21+IF(AND(CD22&lt;&gt;"",COUNTIF(CD$4:CD22,CD22)=1),1,0)</f>
        <v/>
      </c>
      <c r="CF22">
        <f>IF(ROW()-3&gt;MAX(CE$4:CE$40),"",INDEX(CD$4:CD$40,MATCH(ROW()-3,CE$4:CE$40,0)))</f>
        <v/>
      </c>
      <c r="CG22">
        <f>IF('Final Calculation Sheet'!$AA$22="","",'Final Calculation Sheet'!$AA$22)</f>
        <v/>
      </c>
      <c r="CH22">
        <f>CH21+IF(AND(CG22&lt;&gt;"",COUNTIF(CG$4:CG22,CG22)=1),1,0)</f>
        <v/>
      </c>
      <c r="CI22">
        <f>IF(ROW()-3&gt;MAX(CH$4:CH$40),"",INDEX(CG$4:CG$40,MATCH(ROW()-3,CH$4:CH$40,0)))</f>
        <v/>
      </c>
      <c r="CJ22">
        <f>IF('Final Calculation Sheet'!$AB$22="","",'Final Calculation Sheet'!$AB$22)</f>
        <v/>
      </c>
      <c r="CK22">
        <f>CK21+IF(AND(CJ22&lt;&gt;"",COUNTIF(CJ$4:CJ22,CJ22)=1),1,0)</f>
        <v/>
      </c>
      <c r="CL22">
        <f>IF(ROW()-3&gt;MAX(CK$4:CK$40),"",INDEX(CJ$4:CJ$40,MATCH(ROW()-3,CK$4:CK$40,0)))</f>
        <v/>
      </c>
      <c r="CM22">
        <f>IF('Final Calculation Sheet'!$AC$22="","",'Final Calculation Sheet'!$AC$22)</f>
        <v/>
      </c>
      <c r="CN22">
        <f>CN21+IF(AND(CM22&lt;&gt;"",COUNTIF(CM$4:CM22,CM22)=1),1,0)</f>
        <v/>
      </c>
      <c r="CO22">
        <f>IF(ROW()-3&gt;MAX(CN$4:CN$40),"",INDEX(CM$4:CM$40,MATCH(ROW()-3,CN$4:CN$40,0)))</f>
        <v/>
      </c>
      <c r="CP22">
        <f>IF('Final Calculation Sheet'!$AD$22="","",'Final Calculation Sheet'!$AD$22)</f>
        <v/>
      </c>
      <c r="CQ22">
        <f>CQ21+IF(AND(CP22&lt;&gt;"",COUNTIF(CP$4:CP22,CP22)=1),1,0)</f>
        <v/>
      </c>
      <c r="CR22">
        <f>IF(ROW()-3&gt;MAX(CQ$4:CQ$40),"",INDEX(CP$4:CP$40,MATCH(ROW()-3,CQ$4:CQ$40,0)))</f>
        <v/>
      </c>
      <c r="CS22">
        <f>IF('Final Calculation Sheet'!$AE$22="","",'Final Calculation Sheet'!$AE$22)</f>
        <v/>
      </c>
      <c r="CT22">
        <f>CT21+IF(AND(CS22&lt;&gt;"",COUNTIF(CS$4:CS22,CS22)=1),1,0)</f>
        <v/>
      </c>
      <c r="CU22">
        <f>IF(ROW()-3&gt;MAX(CT$4:CT$40),"",INDEX(CS$4:CS$40,MATCH(ROW()-3,CT$4:CT$40,0)))</f>
        <v/>
      </c>
      <c r="CV22">
        <f>IF('Final Calculation Sheet'!$AF$22="","",'Final Calculation Sheet'!$AF$22)</f>
        <v/>
      </c>
      <c r="CW22">
        <f>CW21+IF(AND(CV22&lt;&gt;"",COUNTIF(CV$4:CV22,CV22)=1),1,0)</f>
        <v/>
      </c>
      <c r="CX22">
        <f>IF(ROW()-3&gt;MAX(CW$4:CW$40),"",INDEX(CV$4:CV$40,MATCH(ROW()-3,CW$4:CW$40,0)))</f>
        <v/>
      </c>
      <c r="CY22">
        <f>IF('Final Calculation Sheet'!$AG$22="","",'Final Calculation Sheet'!$AG$22)</f>
        <v/>
      </c>
      <c r="CZ22">
        <f>CZ21+IF(AND(CY22&lt;&gt;"",COUNTIF(CY$4:CY22,CY22)=1),1,0)</f>
        <v/>
      </c>
      <c r="DA22">
        <f>IF(ROW()-3&gt;MAX(CZ$4:CZ$40),"",INDEX(CY$4:CY$40,MATCH(ROW()-3,CZ$4:CZ$40,0)))</f>
        <v/>
      </c>
      <c r="DC22">
        <f>DC21+IF(AND(DB22&lt;&gt;"",COUNTIF(DB$4:DB22,DB22)=1),1,0)</f>
        <v/>
      </c>
      <c r="DD22">
        <f>IF(ROW()-3&gt;MAX(DC$4:DC$40),"",INDEX(DB$4:DB$40,MATCH(ROW()-3,DC$4:DC$40,0)))</f>
        <v/>
      </c>
    </row>
    <row r="23">
      <c r="A23">
        <f>IF('Final Calculation Sheet'!$F$23="","",'Final Calculation Sheet'!$F$23)</f>
        <v/>
      </c>
      <c r="B23">
        <f>B22+IF(AND(A23&lt;&gt;"",COUNTIF(A$4:A23,A23)=1),1,0)</f>
        <v/>
      </c>
      <c r="C23">
        <f>IF(ROW()-3&gt;MAX(B$4:B$114),"",INDEX(A$4:A$114,MATCH(ROW()-3,B$4:B$114,0)))</f>
        <v/>
      </c>
      <c r="D23">
        <f>ROW()-3</f>
        <v/>
      </c>
      <c r="E23">
        <f>E22+IF(AND(D23&lt;&gt;"",COUNTIF(D$4:D23,D23)=1),1,0)</f>
        <v/>
      </c>
      <c r="F23">
        <f>IF(ROW()-3&gt;MAX(E$4:E$40),"",INDEX(D$4:D$40,MATCH(ROW()-3,E$4:E$40,0)))</f>
        <v/>
      </c>
      <c r="G23">
        <f>IF('Final Calculation Sheet'!$F$23="","",'Final Calculation Sheet'!$F$23)</f>
        <v/>
      </c>
      <c r="H23">
        <f>H22+IF(AND(G23&lt;&gt;"",COUNTIF(G$4:G23,G23)=1),1,0)</f>
        <v/>
      </c>
      <c r="I23">
        <f>IF(ROW()-3&gt;MAX(H$4:H$40),"",INDEX(G$4:G$40,MATCH(ROW()-3,H$4:H$40,0)))</f>
        <v/>
      </c>
      <c r="J23">
        <f>IF('Final Calculation Sheet'!$G$23="","",'Final Calculation Sheet'!$G$23)</f>
        <v/>
      </c>
      <c r="K23">
        <f>K22+IF(AND(J23&lt;&gt;"",COUNTIF(J$4:J23,J23)=1),1,0)</f>
        <v/>
      </c>
      <c r="L23">
        <f>IF(ROW()-3&gt;MAX(K$4:K$40),"",INDEX(J$4:J$40,MATCH(ROW()-3,K$4:K$40,0)))</f>
        <v/>
      </c>
      <c r="M23">
        <f>IF('Final Calculation Sheet'!$B$23="","",'Final Calculation Sheet'!$B$23)</f>
        <v/>
      </c>
      <c r="N23">
        <f>N22+IF(AND(M23&lt;&gt;"",COUNTIF(M$4:M23,M23)=1),1,0)</f>
        <v/>
      </c>
      <c r="O23">
        <f>IF(ROW()-3&gt;MAX(N$4:N$40),"",INDEX(M$4:M$40,MATCH(ROW()-3,N$4:N$40,0)))</f>
        <v/>
      </c>
      <c r="P23">
        <f>IF('Final Calculation Sheet'!$D$23="","",'Final Calculation Sheet'!$D$23)</f>
        <v/>
      </c>
      <c r="Q23">
        <f>Q22+IF(AND(P23&lt;&gt;"",COUNTIF(P$4:P23,P23)=1),1,0)</f>
        <v/>
      </c>
      <c r="R23">
        <f>IF(ROW()-3&gt;MAX(Q$4:Q$40),"",INDEX(P$4:P$40,MATCH(ROW()-3,Q$4:Q$40,0)))</f>
        <v/>
      </c>
      <c r="S23">
        <f>IF('Final Calculation Sheet'!$A$23="","",'Final Calculation Sheet'!$A$23)</f>
        <v/>
      </c>
      <c r="T23">
        <f>T22+IF(AND(S23&lt;&gt;"",COUNTIF(S$4:S23,S23)=1),1,0)</f>
        <v/>
      </c>
      <c r="U23">
        <f>IF(ROW()-3&gt;MAX(T$4:T$40),"",INDEX(S$4:S$40,MATCH(ROW()-3,T$4:T$40,0)))</f>
        <v/>
      </c>
      <c r="V23">
        <f>IF('Final Calculation Sheet'!$E$23="","",'Final Calculation Sheet'!$E$23)</f>
        <v/>
      </c>
      <c r="W23">
        <f>W22+IF(AND(V23&lt;&gt;"",COUNTIF(V$4:V23,V23)=1),1,0)</f>
        <v/>
      </c>
      <c r="X23">
        <f>IF(ROW()-3&gt;MAX(W$4:W$40),"",INDEX(V$4:V$40,MATCH(ROW()-3,W$4:W$40,0)))</f>
        <v/>
      </c>
      <c r="Y23">
        <f>IF('Final Calculation Sheet'!$C$23="","",'Final Calculation Sheet'!$C$23)</f>
        <v/>
      </c>
      <c r="Z23">
        <f>Z22+IF(AND(Y23&lt;&gt;"",COUNTIF(Y$4:Y23,Y23)=1),1,0)</f>
        <v/>
      </c>
      <c r="AA23">
        <f>IF(ROW()-3&gt;MAX(Z$4:Z$40),"",INDEX(Y$4:Y$40,MATCH(ROW()-3,Z$4:Z$40,0)))</f>
        <v/>
      </c>
      <c r="AB23">
        <f>IF('Final Calculation Sheet'!$H$23="","",'Final Calculation Sheet'!$H$23)</f>
        <v/>
      </c>
      <c r="AC23">
        <f>AC22+IF(AND(AB23&lt;&gt;"",COUNTIF(AB$4:AB23,AB23)=1),1,0)</f>
        <v/>
      </c>
      <c r="AD23">
        <f>IF(ROW()-3&gt;MAX(AC$4:AC$40),"",INDEX(AB$4:AB$40,MATCH(ROW()-3,AC$4:AC$40,0)))</f>
        <v/>
      </c>
      <c r="AE23">
        <f>IF('Final Calculation Sheet'!$I$23="","",'Final Calculation Sheet'!$I$23)</f>
        <v/>
      </c>
      <c r="AF23">
        <f>AF22+IF(AND(AE23&lt;&gt;"",COUNTIF(AE$4:AE23,AE23)=1),1,0)</f>
        <v/>
      </c>
      <c r="AG23">
        <f>IF(ROW()-3&gt;MAX(AF$4:AF$40),"",INDEX(AE$4:AE$40,MATCH(ROW()-3,AF$4:AF$40,0)))</f>
        <v/>
      </c>
      <c r="AH23">
        <f>IF('Final Calculation Sheet'!$J$23="","",'Final Calculation Sheet'!$J$23)</f>
        <v/>
      </c>
      <c r="AI23">
        <f>AI22+IF(AND(AH23&lt;&gt;"",COUNTIF(AH$4:AH23,AH23)=1),1,0)</f>
        <v/>
      </c>
      <c r="AJ23">
        <f>IF(ROW()-3&gt;MAX(AI$4:AI$40),"",INDEX(AH$4:AH$40,MATCH(ROW()-3,AI$4:AI$40,0)))</f>
        <v/>
      </c>
      <c r="AK23">
        <f>IF('Final Calculation Sheet'!$K$23="","",'Final Calculation Sheet'!$K$23)</f>
        <v/>
      </c>
      <c r="AL23">
        <f>AL22+IF(AND(AK23&lt;&gt;"",COUNTIF(AK$4:AK23,AK23)=1),1,0)</f>
        <v/>
      </c>
      <c r="AM23">
        <f>IF(ROW()-3&gt;MAX(AL$4:AL$40),"",INDEX(AK$4:AK$40,MATCH(ROW()-3,AL$4:AL$40,0)))</f>
        <v/>
      </c>
      <c r="AN23">
        <f>IF('Final Calculation Sheet'!$L$23="","",'Final Calculation Sheet'!$L$23)</f>
        <v/>
      </c>
      <c r="AO23">
        <f>AO22+IF(AND(AN23&lt;&gt;"",COUNTIF(AN$4:AN23,AN23)=1),1,0)</f>
        <v/>
      </c>
      <c r="AP23">
        <f>IF(ROW()-3&gt;MAX(AO$4:AO$40),"",INDEX(AN$4:AN$40,MATCH(ROW()-3,AO$4:AO$40,0)))</f>
        <v/>
      </c>
      <c r="AQ23">
        <f>IF('Final Calculation Sheet'!$M$23="","",'Final Calculation Sheet'!$M$23)</f>
        <v/>
      </c>
      <c r="AR23">
        <f>AR22+IF(AND(AQ23&lt;&gt;"",COUNTIF(AQ$4:AQ23,AQ23)=1),1,0)</f>
        <v/>
      </c>
      <c r="AS23">
        <f>IF(ROW()-3&gt;MAX(AR$4:AR$40),"",INDEX(AQ$4:AQ$40,MATCH(ROW()-3,AR$4:AR$40,0)))</f>
        <v/>
      </c>
      <c r="AT23">
        <f>IF('Final Calculation Sheet'!$N$23="","",'Final Calculation Sheet'!$N$23)</f>
        <v/>
      </c>
      <c r="AU23">
        <f>AU22+IF(AND(AT23&lt;&gt;"",COUNTIF(AT$4:AT23,AT23)=1),1,0)</f>
        <v/>
      </c>
      <c r="AV23">
        <f>IF(ROW()-3&gt;MAX(AU$4:AU$40),"",INDEX(AT$4:AT$40,MATCH(ROW()-3,AU$4:AU$40,0)))</f>
        <v/>
      </c>
      <c r="AW23">
        <f>IF('Final Calculation Sheet'!$O$23="","",'Final Calculation Sheet'!$O$23)</f>
        <v/>
      </c>
      <c r="AX23">
        <f>AX22+IF(AND(AW23&lt;&gt;"",COUNTIF(AW$4:AW23,AW23)=1),1,0)</f>
        <v/>
      </c>
      <c r="AY23">
        <f>IF(ROW()-3&gt;MAX(AX$4:AX$40),"",INDEX(AW$4:AW$40,MATCH(ROW()-3,AX$4:AX$40,0)))</f>
        <v/>
      </c>
      <c r="AZ23">
        <f>IF('Final Calculation Sheet'!$P$23="","",'Final Calculation Sheet'!$P$23)</f>
        <v/>
      </c>
      <c r="BA23">
        <f>BA22+IF(AND(AZ23&lt;&gt;"",COUNTIF(AZ$4:AZ23,AZ23)=1),1,0)</f>
        <v/>
      </c>
      <c r="BB23">
        <f>IF(ROW()-3&gt;MAX(BA$4:BA$40),"",INDEX(AZ$4:AZ$40,MATCH(ROW()-3,BA$4:BA$40,0)))</f>
        <v/>
      </c>
      <c r="BC23">
        <f>IF('Final Calculation Sheet'!$Q$23="","",'Final Calculation Sheet'!$Q$23)</f>
        <v/>
      </c>
      <c r="BD23">
        <f>BD22+IF(AND(BC23&lt;&gt;"",COUNTIF(BC$4:BC23,BC23)=1),1,0)</f>
        <v/>
      </c>
      <c r="BE23">
        <f>IF(ROW()-3&gt;MAX(BD$4:BD$40),"",INDEX(BC$4:BC$40,MATCH(ROW()-3,BD$4:BD$40,0)))</f>
        <v/>
      </c>
      <c r="BF23">
        <f>IF('Final Calculation Sheet'!$R$23="","",'Final Calculation Sheet'!$R$23)</f>
        <v/>
      </c>
      <c r="BG23">
        <f>BG22+IF(AND(BF23&lt;&gt;"",COUNTIF(BF$4:BF23,BF23)=1),1,0)</f>
        <v/>
      </c>
      <c r="BH23">
        <f>IF(ROW()-3&gt;MAX(BG$4:BG$40),"",INDEX(BF$4:BF$40,MATCH(ROW()-3,BG$4:BG$40,0)))</f>
        <v/>
      </c>
      <c r="BI23">
        <f>IF('Final Calculation Sheet'!$S$23="","",'Final Calculation Sheet'!$S$23)</f>
        <v/>
      </c>
      <c r="BJ23">
        <f>BJ22+IF(AND(BI23&lt;&gt;"",COUNTIF(BI$4:BI23,BI23)=1),1,0)</f>
        <v/>
      </c>
      <c r="BK23">
        <f>IF(ROW()-3&gt;MAX(BJ$4:BJ$40),"",INDEX(BI$4:BI$40,MATCH(ROW()-3,BJ$4:BJ$40,0)))</f>
        <v/>
      </c>
      <c r="BL23">
        <f>IF('Final Calculation Sheet'!$T$23="","",'Final Calculation Sheet'!$T$23)</f>
        <v/>
      </c>
      <c r="BM23">
        <f>BM22+IF(AND(BL23&lt;&gt;"",COUNTIF(BL$4:BL23,BL23)=1),1,0)</f>
        <v/>
      </c>
      <c r="BN23">
        <f>IF(ROW()-3&gt;MAX(BM$4:BM$40),"",INDEX(BL$4:BL$40,MATCH(ROW()-3,BM$4:BM$40,0)))</f>
        <v/>
      </c>
      <c r="BO23">
        <f>IF('Final Calculation Sheet'!$U$23="","",'Final Calculation Sheet'!$U$23)</f>
        <v/>
      </c>
      <c r="BP23">
        <f>BP22+IF(AND(BO23&lt;&gt;"",COUNTIF(BO$4:BO23,BO23)=1),1,0)</f>
        <v/>
      </c>
      <c r="BQ23">
        <f>IF(ROW()-3&gt;MAX(BP$4:BP$40),"",INDEX(BO$4:BO$40,MATCH(ROW()-3,BP$4:BP$40,0)))</f>
        <v/>
      </c>
      <c r="BR23">
        <f>IF('Final Calculation Sheet'!$V$23="","",'Final Calculation Sheet'!$V$23)</f>
        <v/>
      </c>
      <c r="BS23">
        <f>BS22+IF(AND(BR23&lt;&gt;"",COUNTIF(BR$4:BR23,BR23)=1),1,0)</f>
        <v/>
      </c>
      <c r="BT23">
        <f>IF(ROW()-3&gt;MAX(BS$4:BS$40),"",INDEX(BR$4:BR$40,MATCH(ROW()-3,BS$4:BS$40,0)))</f>
        <v/>
      </c>
      <c r="BU23">
        <f>IF('Final Calculation Sheet'!$W$23="","",'Final Calculation Sheet'!$W$23)</f>
        <v/>
      </c>
      <c r="BV23">
        <f>BV22+IF(AND(BU23&lt;&gt;"",COUNTIF(BU$4:BU23,BU23)=1),1,0)</f>
        <v/>
      </c>
      <c r="BW23">
        <f>IF(ROW()-3&gt;MAX(BV$4:BV$40),"",INDEX(BU$4:BU$40,MATCH(ROW()-3,BV$4:BV$40,0)))</f>
        <v/>
      </c>
      <c r="BX23">
        <f>IF('Final Calculation Sheet'!$X$23="","",'Final Calculation Sheet'!$X$23)</f>
        <v/>
      </c>
      <c r="BY23">
        <f>BY22+IF(AND(BX23&lt;&gt;"",COUNTIF(BX$4:BX23,BX23)=1),1,0)</f>
        <v/>
      </c>
      <c r="BZ23">
        <f>IF(ROW()-3&gt;MAX(BY$4:BY$40),"",INDEX(BX$4:BX$40,MATCH(ROW()-3,BY$4:BY$40,0)))</f>
        <v/>
      </c>
      <c r="CA23">
        <f>IF('Final Calculation Sheet'!$Y$23="","",'Final Calculation Sheet'!$Y$23)</f>
        <v/>
      </c>
      <c r="CB23">
        <f>CB22+IF(AND(CA23&lt;&gt;"",COUNTIF(CA$4:CA23,CA23)=1),1,0)</f>
        <v/>
      </c>
      <c r="CC23">
        <f>IF(ROW()-3&gt;MAX(CB$4:CB$40),"",INDEX(CA$4:CA$40,MATCH(ROW()-3,CB$4:CB$40,0)))</f>
        <v/>
      </c>
      <c r="CD23">
        <f>IF('Final Calculation Sheet'!$Z$23="","",'Final Calculation Sheet'!$Z$23)</f>
        <v/>
      </c>
      <c r="CE23">
        <f>CE22+IF(AND(CD23&lt;&gt;"",COUNTIF(CD$4:CD23,CD23)=1),1,0)</f>
        <v/>
      </c>
      <c r="CF23">
        <f>IF(ROW()-3&gt;MAX(CE$4:CE$40),"",INDEX(CD$4:CD$40,MATCH(ROW()-3,CE$4:CE$40,0)))</f>
        <v/>
      </c>
      <c r="CG23">
        <f>IF('Final Calculation Sheet'!$AA$23="","",'Final Calculation Sheet'!$AA$23)</f>
        <v/>
      </c>
      <c r="CH23">
        <f>CH22+IF(AND(CG23&lt;&gt;"",COUNTIF(CG$4:CG23,CG23)=1),1,0)</f>
        <v/>
      </c>
      <c r="CI23">
        <f>IF(ROW()-3&gt;MAX(CH$4:CH$40),"",INDEX(CG$4:CG$40,MATCH(ROW()-3,CH$4:CH$40,0)))</f>
        <v/>
      </c>
      <c r="CJ23">
        <f>IF('Final Calculation Sheet'!$AB$23="","",'Final Calculation Sheet'!$AB$23)</f>
        <v/>
      </c>
      <c r="CK23">
        <f>CK22+IF(AND(CJ23&lt;&gt;"",COUNTIF(CJ$4:CJ23,CJ23)=1),1,0)</f>
        <v/>
      </c>
      <c r="CL23">
        <f>IF(ROW()-3&gt;MAX(CK$4:CK$40),"",INDEX(CJ$4:CJ$40,MATCH(ROW()-3,CK$4:CK$40,0)))</f>
        <v/>
      </c>
      <c r="CM23">
        <f>IF('Final Calculation Sheet'!$AC$23="","",'Final Calculation Sheet'!$AC$23)</f>
        <v/>
      </c>
      <c r="CN23">
        <f>CN22+IF(AND(CM23&lt;&gt;"",COUNTIF(CM$4:CM23,CM23)=1),1,0)</f>
        <v/>
      </c>
      <c r="CO23">
        <f>IF(ROW()-3&gt;MAX(CN$4:CN$40),"",INDEX(CM$4:CM$40,MATCH(ROW()-3,CN$4:CN$40,0)))</f>
        <v/>
      </c>
      <c r="CP23">
        <f>IF('Final Calculation Sheet'!$AD$23="","",'Final Calculation Sheet'!$AD$23)</f>
        <v/>
      </c>
      <c r="CQ23">
        <f>CQ22+IF(AND(CP23&lt;&gt;"",COUNTIF(CP$4:CP23,CP23)=1),1,0)</f>
        <v/>
      </c>
      <c r="CR23">
        <f>IF(ROW()-3&gt;MAX(CQ$4:CQ$40),"",INDEX(CP$4:CP$40,MATCH(ROW()-3,CQ$4:CQ$40,0)))</f>
        <v/>
      </c>
      <c r="CS23">
        <f>IF('Final Calculation Sheet'!$AE$23="","",'Final Calculation Sheet'!$AE$23)</f>
        <v/>
      </c>
      <c r="CT23">
        <f>CT22+IF(AND(CS23&lt;&gt;"",COUNTIF(CS$4:CS23,CS23)=1),1,0)</f>
        <v/>
      </c>
      <c r="CU23">
        <f>IF(ROW()-3&gt;MAX(CT$4:CT$40),"",INDEX(CS$4:CS$40,MATCH(ROW()-3,CT$4:CT$40,0)))</f>
        <v/>
      </c>
      <c r="CV23">
        <f>IF('Final Calculation Sheet'!$AF$23="","",'Final Calculation Sheet'!$AF$23)</f>
        <v/>
      </c>
      <c r="CW23">
        <f>CW22+IF(AND(CV23&lt;&gt;"",COUNTIF(CV$4:CV23,CV23)=1),1,0)</f>
        <v/>
      </c>
      <c r="CX23">
        <f>IF(ROW()-3&gt;MAX(CW$4:CW$40),"",INDEX(CV$4:CV$40,MATCH(ROW()-3,CW$4:CW$40,0)))</f>
        <v/>
      </c>
      <c r="CY23">
        <f>IF('Final Calculation Sheet'!$AG$23="","",'Final Calculation Sheet'!$AG$23)</f>
        <v/>
      </c>
      <c r="CZ23">
        <f>CZ22+IF(AND(CY23&lt;&gt;"",COUNTIF(CY$4:CY23,CY23)=1),1,0)</f>
        <v/>
      </c>
      <c r="DA23">
        <f>IF(ROW()-3&gt;MAX(CZ$4:CZ$40),"",INDEX(CY$4:CY$40,MATCH(ROW()-3,CZ$4:CZ$40,0)))</f>
        <v/>
      </c>
      <c r="DC23">
        <f>DC22+IF(AND(DB23&lt;&gt;"",COUNTIF(DB$4:DB23,DB23)=1),1,0)</f>
        <v/>
      </c>
      <c r="DD23">
        <f>IF(ROW()-3&gt;MAX(DC$4:DC$40),"",INDEX(DB$4:DB$40,MATCH(ROW()-3,DC$4:DC$40,0)))</f>
        <v/>
      </c>
    </row>
    <row r="24">
      <c r="A24">
        <f>IF('Final Calculation Sheet'!$F$24="","",'Final Calculation Sheet'!$F$24)</f>
        <v/>
      </c>
      <c r="B24">
        <f>B23+IF(AND(A24&lt;&gt;"",COUNTIF(A$4:A24,A24)=1),1,0)</f>
        <v/>
      </c>
      <c r="C24">
        <f>IF(ROW()-3&gt;MAX(B$4:B$114),"",INDEX(A$4:A$114,MATCH(ROW()-3,B$4:B$114,0)))</f>
        <v/>
      </c>
      <c r="D24">
        <f>ROW()-3</f>
        <v/>
      </c>
      <c r="E24">
        <f>E23+IF(AND(D24&lt;&gt;"",COUNTIF(D$4:D24,D24)=1),1,0)</f>
        <v/>
      </c>
      <c r="F24">
        <f>IF(ROW()-3&gt;MAX(E$4:E$40),"",INDEX(D$4:D$40,MATCH(ROW()-3,E$4:E$40,0)))</f>
        <v/>
      </c>
      <c r="G24">
        <f>IF('Final Calculation Sheet'!$F$24="","",'Final Calculation Sheet'!$F$24)</f>
        <v/>
      </c>
      <c r="H24">
        <f>H23+IF(AND(G24&lt;&gt;"",COUNTIF(G$4:G24,G24)=1),1,0)</f>
        <v/>
      </c>
      <c r="I24">
        <f>IF(ROW()-3&gt;MAX(H$4:H$40),"",INDEX(G$4:G$40,MATCH(ROW()-3,H$4:H$40,0)))</f>
        <v/>
      </c>
      <c r="J24">
        <f>IF('Final Calculation Sheet'!$G$24="","",'Final Calculation Sheet'!$G$24)</f>
        <v/>
      </c>
      <c r="K24">
        <f>K23+IF(AND(J24&lt;&gt;"",COUNTIF(J$4:J24,J24)=1),1,0)</f>
        <v/>
      </c>
      <c r="L24">
        <f>IF(ROW()-3&gt;MAX(K$4:K$40),"",INDEX(J$4:J$40,MATCH(ROW()-3,K$4:K$40,0)))</f>
        <v/>
      </c>
      <c r="M24">
        <f>IF('Final Calculation Sheet'!$B$24="","",'Final Calculation Sheet'!$B$24)</f>
        <v/>
      </c>
      <c r="N24">
        <f>N23+IF(AND(M24&lt;&gt;"",COUNTIF(M$4:M24,M24)=1),1,0)</f>
        <v/>
      </c>
      <c r="O24">
        <f>IF(ROW()-3&gt;MAX(N$4:N$40),"",INDEX(M$4:M$40,MATCH(ROW()-3,N$4:N$40,0)))</f>
        <v/>
      </c>
      <c r="P24">
        <f>IF('Final Calculation Sheet'!$D$24="","",'Final Calculation Sheet'!$D$24)</f>
        <v/>
      </c>
      <c r="Q24">
        <f>Q23+IF(AND(P24&lt;&gt;"",COUNTIF(P$4:P24,P24)=1),1,0)</f>
        <v/>
      </c>
      <c r="R24">
        <f>IF(ROW()-3&gt;MAX(Q$4:Q$40),"",INDEX(P$4:P$40,MATCH(ROW()-3,Q$4:Q$40,0)))</f>
        <v/>
      </c>
      <c r="S24">
        <f>IF('Final Calculation Sheet'!$A$24="","",'Final Calculation Sheet'!$A$24)</f>
        <v/>
      </c>
      <c r="T24">
        <f>T23+IF(AND(S24&lt;&gt;"",COUNTIF(S$4:S24,S24)=1),1,0)</f>
        <v/>
      </c>
      <c r="U24">
        <f>IF(ROW()-3&gt;MAX(T$4:T$40),"",INDEX(S$4:S$40,MATCH(ROW()-3,T$4:T$40,0)))</f>
        <v/>
      </c>
      <c r="V24">
        <f>IF('Final Calculation Sheet'!$E$24="","",'Final Calculation Sheet'!$E$24)</f>
        <v/>
      </c>
      <c r="W24">
        <f>W23+IF(AND(V24&lt;&gt;"",COUNTIF(V$4:V24,V24)=1),1,0)</f>
        <v/>
      </c>
      <c r="X24">
        <f>IF(ROW()-3&gt;MAX(W$4:W$40),"",INDEX(V$4:V$40,MATCH(ROW()-3,W$4:W$40,0)))</f>
        <v/>
      </c>
      <c r="Y24">
        <f>IF('Final Calculation Sheet'!$C$24="","",'Final Calculation Sheet'!$C$24)</f>
        <v/>
      </c>
      <c r="Z24">
        <f>Z23+IF(AND(Y24&lt;&gt;"",COUNTIF(Y$4:Y24,Y24)=1),1,0)</f>
        <v/>
      </c>
      <c r="AA24">
        <f>IF(ROW()-3&gt;MAX(Z$4:Z$40),"",INDEX(Y$4:Y$40,MATCH(ROW()-3,Z$4:Z$40,0)))</f>
        <v/>
      </c>
      <c r="AB24">
        <f>IF('Final Calculation Sheet'!$H$24="","",'Final Calculation Sheet'!$H$24)</f>
        <v/>
      </c>
      <c r="AC24">
        <f>AC23+IF(AND(AB24&lt;&gt;"",COUNTIF(AB$4:AB24,AB24)=1),1,0)</f>
        <v/>
      </c>
      <c r="AD24">
        <f>IF(ROW()-3&gt;MAX(AC$4:AC$40),"",INDEX(AB$4:AB$40,MATCH(ROW()-3,AC$4:AC$40,0)))</f>
        <v/>
      </c>
      <c r="AE24">
        <f>IF('Final Calculation Sheet'!$I$24="","",'Final Calculation Sheet'!$I$24)</f>
        <v/>
      </c>
      <c r="AF24">
        <f>AF23+IF(AND(AE24&lt;&gt;"",COUNTIF(AE$4:AE24,AE24)=1),1,0)</f>
        <v/>
      </c>
      <c r="AG24">
        <f>IF(ROW()-3&gt;MAX(AF$4:AF$40),"",INDEX(AE$4:AE$40,MATCH(ROW()-3,AF$4:AF$40,0)))</f>
        <v/>
      </c>
      <c r="AH24">
        <f>IF('Final Calculation Sheet'!$J$24="","",'Final Calculation Sheet'!$J$24)</f>
        <v/>
      </c>
      <c r="AI24">
        <f>AI23+IF(AND(AH24&lt;&gt;"",COUNTIF(AH$4:AH24,AH24)=1),1,0)</f>
        <v/>
      </c>
      <c r="AJ24">
        <f>IF(ROW()-3&gt;MAX(AI$4:AI$40),"",INDEX(AH$4:AH$40,MATCH(ROW()-3,AI$4:AI$40,0)))</f>
        <v/>
      </c>
      <c r="AK24">
        <f>IF('Final Calculation Sheet'!$K$24="","",'Final Calculation Sheet'!$K$24)</f>
        <v/>
      </c>
      <c r="AL24">
        <f>AL23+IF(AND(AK24&lt;&gt;"",COUNTIF(AK$4:AK24,AK24)=1),1,0)</f>
        <v/>
      </c>
      <c r="AM24">
        <f>IF(ROW()-3&gt;MAX(AL$4:AL$40),"",INDEX(AK$4:AK$40,MATCH(ROW()-3,AL$4:AL$40,0)))</f>
        <v/>
      </c>
      <c r="AN24">
        <f>IF('Final Calculation Sheet'!$L$24="","",'Final Calculation Sheet'!$L$24)</f>
        <v/>
      </c>
      <c r="AO24">
        <f>AO23+IF(AND(AN24&lt;&gt;"",COUNTIF(AN$4:AN24,AN24)=1),1,0)</f>
        <v/>
      </c>
      <c r="AP24">
        <f>IF(ROW()-3&gt;MAX(AO$4:AO$40),"",INDEX(AN$4:AN$40,MATCH(ROW()-3,AO$4:AO$40,0)))</f>
        <v/>
      </c>
      <c r="AQ24">
        <f>IF('Final Calculation Sheet'!$M$24="","",'Final Calculation Sheet'!$M$24)</f>
        <v/>
      </c>
      <c r="AR24">
        <f>AR23+IF(AND(AQ24&lt;&gt;"",COUNTIF(AQ$4:AQ24,AQ24)=1),1,0)</f>
        <v/>
      </c>
      <c r="AS24">
        <f>IF(ROW()-3&gt;MAX(AR$4:AR$40),"",INDEX(AQ$4:AQ$40,MATCH(ROW()-3,AR$4:AR$40,0)))</f>
        <v/>
      </c>
      <c r="AT24">
        <f>IF('Final Calculation Sheet'!$N$24="","",'Final Calculation Sheet'!$N$24)</f>
        <v/>
      </c>
      <c r="AU24">
        <f>AU23+IF(AND(AT24&lt;&gt;"",COUNTIF(AT$4:AT24,AT24)=1),1,0)</f>
        <v/>
      </c>
      <c r="AV24">
        <f>IF(ROW()-3&gt;MAX(AU$4:AU$40),"",INDEX(AT$4:AT$40,MATCH(ROW()-3,AU$4:AU$40,0)))</f>
        <v/>
      </c>
      <c r="AW24">
        <f>IF('Final Calculation Sheet'!$O$24="","",'Final Calculation Sheet'!$O$24)</f>
        <v/>
      </c>
      <c r="AX24">
        <f>AX23+IF(AND(AW24&lt;&gt;"",COUNTIF(AW$4:AW24,AW24)=1),1,0)</f>
        <v/>
      </c>
      <c r="AY24">
        <f>IF(ROW()-3&gt;MAX(AX$4:AX$40),"",INDEX(AW$4:AW$40,MATCH(ROW()-3,AX$4:AX$40,0)))</f>
        <v/>
      </c>
      <c r="AZ24">
        <f>IF('Final Calculation Sheet'!$P$24="","",'Final Calculation Sheet'!$P$24)</f>
        <v/>
      </c>
      <c r="BA24">
        <f>BA23+IF(AND(AZ24&lt;&gt;"",COUNTIF(AZ$4:AZ24,AZ24)=1),1,0)</f>
        <v/>
      </c>
      <c r="BB24">
        <f>IF(ROW()-3&gt;MAX(BA$4:BA$40),"",INDEX(AZ$4:AZ$40,MATCH(ROW()-3,BA$4:BA$40,0)))</f>
        <v/>
      </c>
      <c r="BC24">
        <f>IF('Final Calculation Sheet'!$Q$24="","",'Final Calculation Sheet'!$Q$24)</f>
        <v/>
      </c>
      <c r="BD24">
        <f>BD23+IF(AND(BC24&lt;&gt;"",COUNTIF(BC$4:BC24,BC24)=1),1,0)</f>
        <v/>
      </c>
      <c r="BE24">
        <f>IF(ROW()-3&gt;MAX(BD$4:BD$40),"",INDEX(BC$4:BC$40,MATCH(ROW()-3,BD$4:BD$40,0)))</f>
        <v/>
      </c>
      <c r="BF24">
        <f>IF('Final Calculation Sheet'!$R$24="","",'Final Calculation Sheet'!$R$24)</f>
        <v/>
      </c>
      <c r="BG24">
        <f>BG23+IF(AND(BF24&lt;&gt;"",COUNTIF(BF$4:BF24,BF24)=1),1,0)</f>
        <v/>
      </c>
      <c r="BH24">
        <f>IF(ROW()-3&gt;MAX(BG$4:BG$40),"",INDEX(BF$4:BF$40,MATCH(ROW()-3,BG$4:BG$40,0)))</f>
        <v/>
      </c>
      <c r="BI24">
        <f>IF('Final Calculation Sheet'!$S$24="","",'Final Calculation Sheet'!$S$24)</f>
        <v/>
      </c>
      <c r="BJ24">
        <f>BJ23+IF(AND(BI24&lt;&gt;"",COUNTIF(BI$4:BI24,BI24)=1),1,0)</f>
        <v/>
      </c>
      <c r="BK24">
        <f>IF(ROW()-3&gt;MAX(BJ$4:BJ$40),"",INDEX(BI$4:BI$40,MATCH(ROW()-3,BJ$4:BJ$40,0)))</f>
        <v/>
      </c>
      <c r="BL24">
        <f>IF('Final Calculation Sheet'!$T$24="","",'Final Calculation Sheet'!$T$24)</f>
        <v/>
      </c>
      <c r="BM24">
        <f>BM23+IF(AND(BL24&lt;&gt;"",COUNTIF(BL$4:BL24,BL24)=1),1,0)</f>
        <v/>
      </c>
      <c r="BN24">
        <f>IF(ROW()-3&gt;MAX(BM$4:BM$40),"",INDEX(BL$4:BL$40,MATCH(ROW()-3,BM$4:BM$40,0)))</f>
        <v/>
      </c>
      <c r="BO24">
        <f>IF('Final Calculation Sheet'!$U$24="","",'Final Calculation Sheet'!$U$24)</f>
        <v/>
      </c>
      <c r="BP24">
        <f>BP23+IF(AND(BO24&lt;&gt;"",COUNTIF(BO$4:BO24,BO24)=1),1,0)</f>
        <v/>
      </c>
      <c r="BQ24">
        <f>IF(ROW()-3&gt;MAX(BP$4:BP$40),"",INDEX(BO$4:BO$40,MATCH(ROW()-3,BP$4:BP$40,0)))</f>
        <v/>
      </c>
      <c r="BR24">
        <f>IF('Final Calculation Sheet'!$V$24="","",'Final Calculation Sheet'!$V$24)</f>
        <v/>
      </c>
      <c r="BS24">
        <f>BS23+IF(AND(BR24&lt;&gt;"",COUNTIF(BR$4:BR24,BR24)=1),1,0)</f>
        <v/>
      </c>
      <c r="BT24">
        <f>IF(ROW()-3&gt;MAX(BS$4:BS$40),"",INDEX(BR$4:BR$40,MATCH(ROW()-3,BS$4:BS$40,0)))</f>
        <v/>
      </c>
      <c r="BU24">
        <f>IF('Final Calculation Sheet'!$W$24="","",'Final Calculation Sheet'!$W$24)</f>
        <v/>
      </c>
      <c r="BV24">
        <f>BV23+IF(AND(BU24&lt;&gt;"",COUNTIF(BU$4:BU24,BU24)=1),1,0)</f>
        <v/>
      </c>
      <c r="BW24">
        <f>IF(ROW()-3&gt;MAX(BV$4:BV$40),"",INDEX(BU$4:BU$40,MATCH(ROW()-3,BV$4:BV$40,0)))</f>
        <v/>
      </c>
      <c r="BX24">
        <f>IF('Final Calculation Sheet'!$X$24="","",'Final Calculation Sheet'!$X$24)</f>
        <v/>
      </c>
      <c r="BY24">
        <f>BY23+IF(AND(BX24&lt;&gt;"",COUNTIF(BX$4:BX24,BX24)=1),1,0)</f>
        <v/>
      </c>
      <c r="BZ24">
        <f>IF(ROW()-3&gt;MAX(BY$4:BY$40),"",INDEX(BX$4:BX$40,MATCH(ROW()-3,BY$4:BY$40,0)))</f>
        <v/>
      </c>
      <c r="CA24">
        <f>IF('Final Calculation Sheet'!$Y$24="","",'Final Calculation Sheet'!$Y$24)</f>
        <v/>
      </c>
      <c r="CB24">
        <f>CB23+IF(AND(CA24&lt;&gt;"",COUNTIF(CA$4:CA24,CA24)=1),1,0)</f>
        <v/>
      </c>
      <c r="CC24">
        <f>IF(ROW()-3&gt;MAX(CB$4:CB$40),"",INDEX(CA$4:CA$40,MATCH(ROW()-3,CB$4:CB$40,0)))</f>
        <v/>
      </c>
      <c r="CD24">
        <f>IF('Final Calculation Sheet'!$Z$24="","",'Final Calculation Sheet'!$Z$24)</f>
        <v/>
      </c>
      <c r="CE24">
        <f>CE23+IF(AND(CD24&lt;&gt;"",COUNTIF(CD$4:CD24,CD24)=1),1,0)</f>
        <v/>
      </c>
      <c r="CF24">
        <f>IF(ROW()-3&gt;MAX(CE$4:CE$40),"",INDEX(CD$4:CD$40,MATCH(ROW()-3,CE$4:CE$40,0)))</f>
        <v/>
      </c>
      <c r="CG24">
        <f>IF('Final Calculation Sheet'!$AA$24="","",'Final Calculation Sheet'!$AA$24)</f>
        <v/>
      </c>
      <c r="CH24">
        <f>CH23+IF(AND(CG24&lt;&gt;"",COUNTIF(CG$4:CG24,CG24)=1),1,0)</f>
        <v/>
      </c>
      <c r="CI24">
        <f>IF(ROW()-3&gt;MAX(CH$4:CH$40),"",INDEX(CG$4:CG$40,MATCH(ROW()-3,CH$4:CH$40,0)))</f>
        <v/>
      </c>
      <c r="CJ24">
        <f>IF('Final Calculation Sheet'!$AB$24="","",'Final Calculation Sheet'!$AB$24)</f>
        <v/>
      </c>
      <c r="CK24">
        <f>CK23+IF(AND(CJ24&lt;&gt;"",COUNTIF(CJ$4:CJ24,CJ24)=1),1,0)</f>
        <v/>
      </c>
      <c r="CL24">
        <f>IF(ROW()-3&gt;MAX(CK$4:CK$40),"",INDEX(CJ$4:CJ$40,MATCH(ROW()-3,CK$4:CK$40,0)))</f>
        <v/>
      </c>
      <c r="CM24">
        <f>IF('Final Calculation Sheet'!$AC$24="","",'Final Calculation Sheet'!$AC$24)</f>
        <v/>
      </c>
      <c r="CN24">
        <f>CN23+IF(AND(CM24&lt;&gt;"",COUNTIF(CM$4:CM24,CM24)=1),1,0)</f>
        <v/>
      </c>
      <c r="CO24">
        <f>IF(ROW()-3&gt;MAX(CN$4:CN$40),"",INDEX(CM$4:CM$40,MATCH(ROW()-3,CN$4:CN$40,0)))</f>
        <v/>
      </c>
      <c r="CP24">
        <f>IF('Final Calculation Sheet'!$AD$24="","",'Final Calculation Sheet'!$AD$24)</f>
        <v/>
      </c>
      <c r="CQ24">
        <f>CQ23+IF(AND(CP24&lt;&gt;"",COUNTIF(CP$4:CP24,CP24)=1),1,0)</f>
        <v/>
      </c>
      <c r="CR24">
        <f>IF(ROW()-3&gt;MAX(CQ$4:CQ$40),"",INDEX(CP$4:CP$40,MATCH(ROW()-3,CQ$4:CQ$40,0)))</f>
        <v/>
      </c>
      <c r="CS24">
        <f>IF('Final Calculation Sheet'!$AE$24="","",'Final Calculation Sheet'!$AE$24)</f>
        <v/>
      </c>
      <c r="CT24">
        <f>CT23+IF(AND(CS24&lt;&gt;"",COUNTIF(CS$4:CS24,CS24)=1),1,0)</f>
        <v/>
      </c>
      <c r="CU24">
        <f>IF(ROW()-3&gt;MAX(CT$4:CT$40),"",INDEX(CS$4:CS$40,MATCH(ROW()-3,CT$4:CT$40,0)))</f>
        <v/>
      </c>
      <c r="CV24">
        <f>IF('Final Calculation Sheet'!$AF$24="","",'Final Calculation Sheet'!$AF$24)</f>
        <v/>
      </c>
      <c r="CW24">
        <f>CW23+IF(AND(CV24&lt;&gt;"",COUNTIF(CV$4:CV24,CV24)=1),1,0)</f>
        <v/>
      </c>
      <c r="CX24">
        <f>IF(ROW()-3&gt;MAX(CW$4:CW$40),"",INDEX(CV$4:CV$40,MATCH(ROW()-3,CW$4:CW$40,0)))</f>
        <v/>
      </c>
      <c r="CY24">
        <f>IF('Final Calculation Sheet'!$AG$24="","",'Final Calculation Sheet'!$AG$24)</f>
        <v/>
      </c>
      <c r="CZ24">
        <f>CZ23+IF(AND(CY24&lt;&gt;"",COUNTIF(CY$4:CY24,CY24)=1),1,0)</f>
        <v/>
      </c>
      <c r="DA24">
        <f>IF(ROW()-3&gt;MAX(CZ$4:CZ$40),"",INDEX(CY$4:CY$40,MATCH(ROW()-3,CZ$4:CZ$40,0)))</f>
        <v/>
      </c>
      <c r="DC24">
        <f>DC23+IF(AND(DB24&lt;&gt;"",COUNTIF(DB$4:DB24,DB24)=1),1,0)</f>
        <v/>
      </c>
      <c r="DD24">
        <f>IF(ROW()-3&gt;MAX(DC$4:DC$40),"",INDEX(DB$4:DB$40,MATCH(ROW()-3,DC$4:DC$40,0)))</f>
        <v/>
      </c>
    </row>
    <row r="25">
      <c r="A25">
        <f>IF('Final Calculation Sheet'!$F$25="","",'Final Calculation Sheet'!$F$25)</f>
        <v/>
      </c>
      <c r="B25">
        <f>B24+IF(AND(A25&lt;&gt;"",COUNTIF(A$4:A25,A25)=1),1,0)</f>
        <v/>
      </c>
      <c r="C25">
        <f>IF(ROW()-3&gt;MAX(B$4:B$114),"",INDEX(A$4:A$114,MATCH(ROW()-3,B$4:B$114,0)))</f>
        <v/>
      </c>
      <c r="D25">
        <f>ROW()-3</f>
        <v/>
      </c>
      <c r="E25">
        <f>E24+IF(AND(D25&lt;&gt;"",COUNTIF(D$4:D25,D25)=1),1,0)</f>
        <v/>
      </c>
      <c r="F25">
        <f>IF(ROW()-3&gt;MAX(E$4:E$40),"",INDEX(D$4:D$40,MATCH(ROW()-3,E$4:E$40,0)))</f>
        <v/>
      </c>
      <c r="G25">
        <f>IF('Final Calculation Sheet'!$F$25="","",'Final Calculation Sheet'!$F$25)</f>
        <v/>
      </c>
      <c r="H25">
        <f>H24+IF(AND(G25&lt;&gt;"",COUNTIF(G$4:G25,G25)=1),1,0)</f>
        <v/>
      </c>
      <c r="I25">
        <f>IF(ROW()-3&gt;MAX(H$4:H$40),"",INDEX(G$4:G$40,MATCH(ROW()-3,H$4:H$40,0)))</f>
        <v/>
      </c>
      <c r="J25">
        <f>IF('Final Calculation Sheet'!$G$25="","",'Final Calculation Sheet'!$G$25)</f>
        <v/>
      </c>
      <c r="K25">
        <f>K24+IF(AND(J25&lt;&gt;"",COUNTIF(J$4:J25,J25)=1),1,0)</f>
        <v/>
      </c>
      <c r="L25">
        <f>IF(ROW()-3&gt;MAX(K$4:K$40),"",INDEX(J$4:J$40,MATCH(ROW()-3,K$4:K$40,0)))</f>
        <v/>
      </c>
      <c r="M25">
        <f>IF('Final Calculation Sheet'!$B$25="","",'Final Calculation Sheet'!$B$25)</f>
        <v/>
      </c>
      <c r="N25">
        <f>N24+IF(AND(M25&lt;&gt;"",COUNTIF(M$4:M25,M25)=1),1,0)</f>
        <v/>
      </c>
      <c r="O25">
        <f>IF(ROW()-3&gt;MAX(N$4:N$40),"",INDEX(M$4:M$40,MATCH(ROW()-3,N$4:N$40,0)))</f>
        <v/>
      </c>
      <c r="P25">
        <f>IF('Final Calculation Sheet'!$D$25="","",'Final Calculation Sheet'!$D$25)</f>
        <v/>
      </c>
      <c r="Q25">
        <f>Q24+IF(AND(P25&lt;&gt;"",COUNTIF(P$4:P25,P25)=1),1,0)</f>
        <v/>
      </c>
      <c r="R25">
        <f>IF(ROW()-3&gt;MAX(Q$4:Q$40),"",INDEX(P$4:P$40,MATCH(ROW()-3,Q$4:Q$40,0)))</f>
        <v/>
      </c>
      <c r="S25">
        <f>IF('Final Calculation Sheet'!$A$25="","",'Final Calculation Sheet'!$A$25)</f>
        <v/>
      </c>
      <c r="T25">
        <f>T24+IF(AND(S25&lt;&gt;"",COUNTIF(S$4:S25,S25)=1),1,0)</f>
        <v/>
      </c>
      <c r="U25">
        <f>IF(ROW()-3&gt;MAX(T$4:T$40),"",INDEX(S$4:S$40,MATCH(ROW()-3,T$4:T$40,0)))</f>
        <v/>
      </c>
      <c r="V25">
        <f>IF('Final Calculation Sheet'!$E$25="","",'Final Calculation Sheet'!$E$25)</f>
        <v/>
      </c>
      <c r="W25">
        <f>W24+IF(AND(V25&lt;&gt;"",COUNTIF(V$4:V25,V25)=1),1,0)</f>
        <v/>
      </c>
      <c r="X25">
        <f>IF(ROW()-3&gt;MAX(W$4:W$40),"",INDEX(V$4:V$40,MATCH(ROW()-3,W$4:W$40,0)))</f>
        <v/>
      </c>
      <c r="Y25">
        <f>IF('Final Calculation Sheet'!$C$25="","",'Final Calculation Sheet'!$C$25)</f>
        <v/>
      </c>
      <c r="Z25">
        <f>Z24+IF(AND(Y25&lt;&gt;"",COUNTIF(Y$4:Y25,Y25)=1),1,0)</f>
        <v/>
      </c>
      <c r="AA25">
        <f>IF(ROW()-3&gt;MAX(Z$4:Z$40),"",INDEX(Y$4:Y$40,MATCH(ROW()-3,Z$4:Z$40,0)))</f>
        <v/>
      </c>
      <c r="AB25">
        <f>IF('Final Calculation Sheet'!$H$25="","",'Final Calculation Sheet'!$H$25)</f>
        <v/>
      </c>
      <c r="AC25">
        <f>AC24+IF(AND(AB25&lt;&gt;"",COUNTIF(AB$4:AB25,AB25)=1),1,0)</f>
        <v/>
      </c>
      <c r="AD25">
        <f>IF(ROW()-3&gt;MAX(AC$4:AC$40),"",INDEX(AB$4:AB$40,MATCH(ROW()-3,AC$4:AC$40,0)))</f>
        <v/>
      </c>
      <c r="AE25">
        <f>IF('Final Calculation Sheet'!$I$25="","",'Final Calculation Sheet'!$I$25)</f>
        <v/>
      </c>
      <c r="AF25">
        <f>AF24+IF(AND(AE25&lt;&gt;"",COUNTIF(AE$4:AE25,AE25)=1),1,0)</f>
        <v/>
      </c>
      <c r="AG25">
        <f>IF(ROW()-3&gt;MAX(AF$4:AF$40),"",INDEX(AE$4:AE$40,MATCH(ROW()-3,AF$4:AF$40,0)))</f>
        <v/>
      </c>
      <c r="AH25">
        <f>IF('Final Calculation Sheet'!$J$25="","",'Final Calculation Sheet'!$J$25)</f>
        <v/>
      </c>
      <c r="AI25">
        <f>AI24+IF(AND(AH25&lt;&gt;"",COUNTIF(AH$4:AH25,AH25)=1),1,0)</f>
        <v/>
      </c>
      <c r="AJ25">
        <f>IF(ROW()-3&gt;MAX(AI$4:AI$40),"",INDEX(AH$4:AH$40,MATCH(ROW()-3,AI$4:AI$40,0)))</f>
        <v/>
      </c>
      <c r="AK25">
        <f>IF('Final Calculation Sheet'!$K$25="","",'Final Calculation Sheet'!$K$25)</f>
        <v/>
      </c>
      <c r="AL25">
        <f>AL24+IF(AND(AK25&lt;&gt;"",COUNTIF(AK$4:AK25,AK25)=1),1,0)</f>
        <v/>
      </c>
      <c r="AM25">
        <f>IF(ROW()-3&gt;MAX(AL$4:AL$40),"",INDEX(AK$4:AK$40,MATCH(ROW()-3,AL$4:AL$40,0)))</f>
        <v/>
      </c>
      <c r="AN25">
        <f>IF('Final Calculation Sheet'!$L$25="","",'Final Calculation Sheet'!$L$25)</f>
        <v/>
      </c>
      <c r="AO25">
        <f>AO24+IF(AND(AN25&lt;&gt;"",COUNTIF(AN$4:AN25,AN25)=1),1,0)</f>
        <v/>
      </c>
      <c r="AP25">
        <f>IF(ROW()-3&gt;MAX(AO$4:AO$40),"",INDEX(AN$4:AN$40,MATCH(ROW()-3,AO$4:AO$40,0)))</f>
        <v/>
      </c>
      <c r="AQ25">
        <f>IF('Final Calculation Sheet'!$M$25="","",'Final Calculation Sheet'!$M$25)</f>
        <v/>
      </c>
      <c r="AR25">
        <f>AR24+IF(AND(AQ25&lt;&gt;"",COUNTIF(AQ$4:AQ25,AQ25)=1),1,0)</f>
        <v/>
      </c>
      <c r="AS25">
        <f>IF(ROW()-3&gt;MAX(AR$4:AR$40),"",INDEX(AQ$4:AQ$40,MATCH(ROW()-3,AR$4:AR$40,0)))</f>
        <v/>
      </c>
      <c r="AT25">
        <f>IF('Final Calculation Sheet'!$N$25="","",'Final Calculation Sheet'!$N$25)</f>
        <v/>
      </c>
      <c r="AU25">
        <f>AU24+IF(AND(AT25&lt;&gt;"",COUNTIF(AT$4:AT25,AT25)=1),1,0)</f>
        <v/>
      </c>
      <c r="AV25">
        <f>IF(ROW()-3&gt;MAX(AU$4:AU$40),"",INDEX(AT$4:AT$40,MATCH(ROW()-3,AU$4:AU$40,0)))</f>
        <v/>
      </c>
      <c r="AW25">
        <f>IF('Final Calculation Sheet'!$O$25="","",'Final Calculation Sheet'!$O$25)</f>
        <v/>
      </c>
      <c r="AX25">
        <f>AX24+IF(AND(AW25&lt;&gt;"",COUNTIF(AW$4:AW25,AW25)=1),1,0)</f>
        <v/>
      </c>
      <c r="AY25">
        <f>IF(ROW()-3&gt;MAX(AX$4:AX$40),"",INDEX(AW$4:AW$40,MATCH(ROW()-3,AX$4:AX$40,0)))</f>
        <v/>
      </c>
      <c r="AZ25">
        <f>IF('Final Calculation Sheet'!$P$25="","",'Final Calculation Sheet'!$P$25)</f>
        <v/>
      </c>
      <c r="BA25">
        <f>BA24+IF(AND(AZ25&lt;&gt;"",COUNTIF(AZ$4:AZ25,AZ25)=1),1,0)</f>
        <v/>
      </c>
      <c r="BB25">
        <f>IF(ROW()-3&gt;MAX(BA$4:BA$40),"",INDEX(AZ$4:AZ$40,MATCH(ROW()-3,BA$4:BA$40,0)))</f>
        <v/>
      </c>
      <c r="BC25">
        <f>IF('Final Calculation Sheet'!$Q$25="","",'Final Calculation Sheet'!$Q$25)</f>
        <v/>
      </c>
      <c r="BD25">
        <f>BD24+IF(AND(BC25&lt;&gt;"",COUNTIF(BC$4:BC25,BC25)=1),1,0)</f>
        <v/>
      </c>
      <c r="BE25">
        <f>IF(ROW()-3&gt;MAX(BD$4:BD$40),"",INDEX(BC$4:BC$40,MATCH(ROW()-3,BD$4:BD$40,0)))</f>
        <v/>
      </c>
      <c r="BF25">
        <f>IF('Final Calculation Sheet'!$R$25="","",'Final Calculation Sheet'!$R$25)</f>
        <v/>
      </c>
      <c r="BG25">
        <f>BG24+IF(AND(BF25&lt;&gt;"",COUNTIF(BF$4:BF25,BF25)=1),1,0)</f>
        <v/>
      </c>
      <c r="BH25">
        <f>IF(ROW()-3&gt;MAX(BG$4:BG$40),"",INDEX(BF$4:BF$40,MATCH(ROW()-3,BG$4:BG$40,0)))</f>
        <v/>
      </c>
      <c r="BI25">
        <f>IF('Final Calculation Sheet'!$S$25="","",'Final Calculation Sheet'!$S$25)</f>
        <v/>
      </c>
      <c r="BJ25">
        <f>BJ24+IF(AND(BI25&lt;&gt;"",COUNTIF(BI$4:BI25,BI25)=1),1,0)</f>
        <v/>
      </c>
      <c r="BK25">
        <f>IF(ROW()-3&gt;MAX(BJ$4:BJ$40),"",INDEX(BI$4:BI$40,MATCH(ROW()-3,BJ$4:BJ$40,0)))</f>
        <v/>
      </c>
      <c r="BL25">
        <f>IF('Final Calculation Sheet'!$T$25="","",'Final Calculation Sheet'!$T$25)</f>
        <v/>
      </c>
      <c r="BM25">
        <f>BM24+IF(AND(BL25&lt;&gt;"",COUNTIF(BL$4:BL25,BL25)=1),1,0)</f>
        <v/>
      </c>
      <c r="BN25">
        <f>IF(ROW()-3&gt;MAX(BM$4:BM$40),"",INDEX(BL$4:BL$40,MATCH(ROW()-3,BM$4:BM$40,0)))</f>
        <v/>
      </c>
      <c r="BO25">
        <f>IF('Final Calculation Sheet'!$U$25="","",'Final Calculation Sheet'!$U$25)</f>
        <v/>
      </c>
      <c r="BP25">
        <f>BP24+IF(AND(BO25&lt;&gt;"",COUNTIF(BO$4:BO25,BO25)=1),1,0)</f>
        <v/>
      </c>
      <c r="BQ25">
        <f>IF(ROW()-3&gt;MAX(BP$4:BP$40),"",INDEX(BO$4:BO$40,MATCH(ROW()-3,BP$4:BP$40,0)))</f>
        <v/>
      </c>
      <c r="BR25">
        <f>IF('Final Calculation Sheet'!$V$25="","",'Final Calculation Sheet'!$V$25)</f>
        <v/>
      </c>
      <c r="BS25">
        <f>BS24+IF(AND(BR25&lt;&gt;"",COUNTIF(BR$4:BR25,BR25)=1),1,0)</f>
        <v/>
      </c>
      <c r="BT25">
        <f>IF(ROW()-3&gt;MAX(BS$4:BS$40),"",INDEX(BR$4:BR$40,MATCH(ROW()-3,BS$4:BS$40,0)))</f>
        <v/>
      </c>
      <c r="BU25">
        <f>IF('Final Calculation Sheet'!$W$25="","",'Final Calculation Sheet'!$W$25)</f>
        <v/>
      </c>
      <c r="BV25">
        <f>BV24+IF(AND(BU25&lt;&gt;"",COUNTIF(BU$4:BU25,BU25)=1),1,0)</f>
        <v/>
      </c>
      <c r="BW25">
        <f>IF(ROW()-3&gt;MAX(BV$4:BV$40),"",INDEX(BU$4:BU$40,MATCH(ROW()-3,BV$4:BV$40,0)))</f>
        <v/>
      </c>
      <c r="BX25">
        <f>IF('Final Calculation Sheet'!$X$25="","",'Final Calculation Sheet'!$X$25)</f>
        <v/>
      </c>
      <c r="BY25">
        <f>BY24+IF(AND(BX25&lt;&gt;"",COUNTIF(BX$4:BX25,BX25)=1),1,0)</f>
        <v/>
      </c>
      <c r="BZ25">
        <f>IF(ROW()-3&gt;MAX(BY$4:BY$40),"",INDEX(BX$4:BX$40,MATCH(ROW()-3,BY$4:BY$40,0)))</f>
        <v/>
      </c>
      <c r="CA25">
        <f>IF('Final Calculation Sheet'!$Y$25="","",'Final Calculation Sheet'!$Y$25)</f>
        <v/>
      </c>
      <c r="CB25">
        <f>CB24+IF(AND(CA25&lt;&gt;"",COUNTIF(CA$4:CA25,CA25)=1),1,0)</f>
        <v/>
      </c>
      <c r="CC25">
        <f>IF(ROW()-3&gt;MAX(CB$4:CB$40),"",INDEX(CA$4:CA$40,MATCH(ROW()-3,CB$4:CB$40,0)))</f>
        <v/>
      </c>
      <c r="CD25">
        <f>IF('Final Calculation Sheet'!$Z$25="","",'Final Calculation Sheet'!$Z$25)</f>
        <v/>
      </c>
      <c r="CE25">
        <f>CE24+IF(AND(CD25&lt;&gt;"",COUNTIF(CD$4:CD25,CD25)=1),1,0)</f>
        <v/>
      </c>
      <c r="CF25">
        <f>IF(ROW()-3&gt;MAX(CE$4:CE$40),"",INDEX(CD$4:CD$40,MATCH(ROW()-3,CE$4:CE$40,0)))</f>
        <v/>
      </c>
      <c r="CG25">
        <f>IF('Final Calculation Sheet'!$AA$25="","",'Final Calculation Sheet'!$AA$25)</f>
        <v/>
      </c>
      <c r="CH25">
        <f>CH24+IF(AND(CG25&lt;&gt;"",COUNTIF(CG$4:CG25,CG25)=1),1,0)</f>
        <v/>
      </c>
      <c r="CI25">
        <f>IF(ROW()-3&gt;MAX(CH$4:CH$40),"",INDEX(CG$4:CG$40,MATCH(ROW()-3,CH$4:CH$40,0)))</f>
        <v/>
      </c>
      <c r="CJ25">
        <f>IF('Final Calculation Sheet'!$AB$25="","",'Final Calculation Sheet'!$AB$25)</f>
        <v/>
      </c>
      <c r="CK25">
        <f>CK24+IF(AND(CJ25&lt;&gt;"",COUNTIF(CJ$4:CJ25,CJ25)=1),1,0)</f>
        <v/>
      </c>
      <c r="CL25">
        <f>IF(ROW()-3&gt;MAX(CK$4:CK$40),"",INDEX(CJ$4:CJ$40,MATCH(ROW()-3,CK$4:CK$40,0)))</f>
        <v/>
      </c>
      <c r="CM25">
        <f>IF('Final Calculation Sheet'!$AC$25="","",'Final Calculation Sheet'!$AC$25)</f>
        <v/>
      </c>
      <c r="CN25">
        <f>CN24+IF(AND(CM25&lt;&gt;"",COUNTIF(CM$4:CM25,CM25)=1),1,0)</f>
        <v/>
      </c>
      <c r="CO25">
        <f>IF(ROW()-3&gt;MAX(CN$4:CN$40),"",INDEX(CM$4:CM$40,MATCH(ROW()-3,CN$4:CN$40,0)))</f>
        <v/>
      </c>
      <c r="CP25">
        <f>IF('Final Calculation Sheet'!$AD$25="","",'Final Calculation Sheet'!$AD$25)</f>
        <v/>
      </c>
      <c r="CQ25">
        <f>CQ24+IF(AND(CP25&lt;&gt;"",COUNTIF(CP$4:CP25,CP25)=1),1,0)</f>
        <v/>
      </c>
      <c r="CR25">
        <f>IF(ROW()-3&gt;MAX(CQ$4:CQ$40),"",INDEX(CP$4:CP$40,MATCH(ROW()-3,CQ$4:CQ$40,0)))</f>
        <v/>
      </c>
      <c r="CS25">
        <f>IF('Final Calculation Sheet'!$AE$25="","",'Final Calculation Sheet'!$AE$25)</f>
        <v/>
      </c>
      <c r="CT25">
        <f>CT24+IF(AND(CS25&lt;&gt;"",COUNTIF(CS$4:CS25,CS25)=1),1,0)</f>
        <v/>
      </c>
      <c r="CU25">
        <f>IF(ROW()-3&gt;MAX(CT$4:CT$40),"",INDEX(CS$4:CS$40,MATCH(ROW()-3,CT$4:CT$40,0)))</f>
        <v/>
      </c>
      <c r="CV25">
        <f>IF('Final Calculation Sheet'!$AF$25="","",'Final Calculation Sheet'!$AF$25)</f>
        <v/>
      </c>
      <c r="CW25">
        <f>CW24+IF(AND(CV25&lt;&gt;"",COUNTIF(CV$4:CV25,CV25)=1),1,0)</f>
        <v/>
      </c>
      <c r="CX25">
        <f>IF(ROW()-3&gt;MAX(CW$4:CW$40),"",INDEX(CV$4:CV$40,MATCH(ROW()-3,CW$4:CW$40,0)))</f>
        <v/>
      </c>
      <c r="CY25">
        <f>IF('Final Calculation Sheet'!$AG$25="","",'Final Calculation Sheet'!$AG$25)</f>
        <v/>
      </c>
      <c r="CZ25">
        <f>CZ24+IF(AND(CY25&lt;&gt;"",COUNTIF(CY$4:CY25,CY25)=1),1,0)</f>
        <v/>
      </c>
      <c r="DA25">
        <f>IF(ROW()-3&gt;MAX(CZ$4:CZ$40),"",INDEX(CY$4:CY$40,MATCH(ROW()-3,CZ$4:CZ$40,0)))</f>
        <v/>
      </c>
      <c r="DC25">
        <f>DC24+IF(AND(DB25&lt;&gt;"",COUNTIF(DB$4:DB25,DB25)=1),1,0)</f>
        <v/>
      </c>
      <c r="DD25">
        <f>IF(ROW()-3&gt;MAX(DC$4:DC$40),"",INDEX(DB$4:DB$40,MATCH(ROW()-3,DC$4:DC$40,0)))</f>
        <v/>
      </c>
    </row>
    <row r="26">
      <c r="A26">
        <f>IF('Final Calculation Sheet'!$F$26="","",'Final Calculation Sheet'!$F$26)</f>
        <v/>
      </c>
      <c r="B26">
        <f>B25+IF(AND(A26&lt;&gt;"",COUNTIF(A$4:A26,A26)=1),1,0)</f>
        <v/>
      </c>
      <c r="C26">
        <f>IF(ROW()-3&gt;MAX(B$4:B$114),"",INDEX(A$4:A$114,MATCH(ROW()-3,B$4:B$114,0)))</f>
        <v/>
      </c>
      <c r="D26">
        <f>ROW()-3</f>
        <v/>
      </c>
      <c r="E26">
        <f>E25+IF(AND(D26&lt;&gt;"",COUNTIF(D$4:D26,D26)=1),1,0)</f>
        <v/>
      </c>
      <c r="F26">
        <f>IF(ROW()-3&gt;MAX(E$4:E$40),"",INDEX(D$4:D$40,MATCH(ROW()-3,E$4:E$40,0)))</f>
        <v/>
      </c>
      <c r="G26">
        <f>IF('Final Calculation Sheet'!$F$26="","",'Final Calculation Sheet'!$F$26)</f>
        <v/>
      </c>
      <c r="H26">
        <f>H25+IF(AND(G26&lt;&gt;"",COUNTIF(G$4:G26,G26)=1),1,0)</f>
        <v/>
      </c>
      <c r="I26">
        <f>IF(ROW()-3&gt;MAX(H$4:H$40),"",INDEX(G$4:G$40,MATCH(ROW()-3,H$4:H$40,0)))</f>
        <v/>
      </c>
      <c r="J26">
        <f>IF('Final Calculation Sheet'!$G$26="","",'Final Calculation Sheet'!$G$26)</f>
        <v/>
      </c>
      <c r="K26">
        <f>K25+IF(AND(J26&lt;&gt;"",COUNTIF(J$4:J26,J26)=1),1,0)</f>
        <v/>
      </c>
      <c r="L26">
        <f>IF(ROW()-3&gt;MAX(K$4:K$40),"",INDEX(J$4:J$40,MATCH(ROW()-3,K$4:K$40,0)))</f>
        <v/>
      </c>
      <c r="M26">
        <f>IF('Final Calculation Sheet'!$B$26="","",'Final Calculation Sheet'!$B$26)</f>
        <v/>
      </c>
      <c r="N26">
        <f>N25+IF(AND(M26&lt;&gt;"",COUNTIF(M$4:M26,M26)=1),1,0)</f>
        <v/>
      </c>
      <c r="O26">
        <f>IF(ROW()-3&gt;MAX(N$4:N$40),"",INDEX(M$4:M$40,MATCH(ROW()-3,N$4:N$40,0)))</f>
        <v/>
      </c>
      <c r="P26">
        <f>IF('Final Calculation Sheet'!$D$26="","",'Final Calculation Sheet'!$D$26)</f>
        <v/>
      </c>
      <c r="Q26">
        <f>Q25+IF(AND(P26&lt;&gt;"",COUNTIF(P$4:P26,P26)=1),1,0)</f>
        <v/>
      </c>
      <c r="R26">
        <f>IF(ROW()-3&gt;MAX(Q$4:Q$40),"",INDEX(P$4:P$40,MATCH(ROW()-3,Q$4:Q$40,0)))</f>
        <v/>
      </c>
      <c r="S26">
        <f>IF('Final Calculation Sheet'!$A$26="","",'Final Calculation Sheet'!$A$26)</f>
        <v/>
      </c>
      <c r="T26">
        <f>T25+IF(AND(S26&lt;&gt;"",COUNTIF(S$4:S26,S26)=1),1,0)</f>
        <v/>
      </c>
      <c r="U26">
        <f>IF(ROW()-3&gt;MAX(T$4:T$40),"",INDEX(S$4:S$40,MATCH(ROW()-3,T$4:T$40,0)))</f>
        <v/>
      </c>
      <c r="V26">
        <f>IF('Final Calculation Sheet'!$E$26="","",'Final Calculation Sheet'!$E$26)</f>
        <v/>
      </c>
      <c r="W26">
        <f>W25+IF(AND(V26&lt;&gt;"",COUNTIF(V$4:V26,V26)=1),1,0)</f>
        <v/>
      </c>
      <c r="X26">
        <f>IF(ROW()-3&gt;MAX(W$4:W$40),"",INDEX(V$4:V$40,MATCH(ROW()-3,W$4:W$40,0)))</f>
        <v/>
      </c>
      <c r="Y26">
        <f>IF('Final Calculation Sheet'!$C$26="","",'Final Calculation Sheet'!$C$26)</f>
        <v/>
      </c>
      <c r="Z26">
        <f>Z25+IF(AND(Y26&lt;&gt;"",COUNTIF(Y$4:Y26,Y26)=1),1,0)</f>
        <v/>
      </c>
      <c r="AA26">
        <f>IF(ROW()-3&gt;MAX(Z$4:Z$40),"",INDEX(Y$4:Y$40,MATCH(ROW()-3,Z$4:Z$40,0)))</f>
        <v/>
      </c>
      <c r="AB26">
        <f>IF('Final Calculation Sheet'!$H$26="","",'Final Calculation Sheet'!$H$26)</f>
        <v/>
      </c>
      <c r="AC26">
        <f>AC25+IF(AND(AB26&lt;&gt;"",COUNTIF(AB$4:AB26,AB26)=1),1,0)</f>
        <v/>
      </c>
      <c r="AD26">
        <f>IF(ROW()-3&gt;MAX(AC$4:AC$40),"",INDEX(AB$4:AB$40,MATCH(ROW()-3,AC$4:AC$40,0)))</f>
        <v/>
      </c>
      <c r="AE26">
        <f>IF('Final Calculation Sheet'!$I$26="","",'Final Calculation Sheet'!$I$26)</f>
        <v/>
      </c>
      <c r="AF26">
        <f>AF25+IF(AND(AE26&lt;&gt;"",COUNTIF(AE$4:AE26,AE26)=1),1,0)</f>
        <v/>
      </c>
      <c r="AG26">
        <f>IF(ROW()-3&gt;MAX(AF$4:AF$40),"",INDEX(AE$4:AE$40,MATCH(ROW()-3,AF$4:AF$40,0)))</f>
        <v/>
      </c>
      <c r="AH26">
        <f>IF('Final Calculation Sheet'!$J$26="","",'Final Calculation Sheet'!$J$26)</f>
        <v/>
      </c>
      <c r="AI26">
        <f>AI25+IF(AND(AH26&lt;&gt;"",COUNTIF(AH$4:AH26,AH26)=1),1,0)</f>
        <v/>
      </c>
      <c r="AJ26">
        <f>IF(ROW()-3&gt;MAX(AI$4:AI$40),"",INDEX(AH$4:AH$40,MATCH(ROW()-3,AI$4:AI$40,0)))</f>
        <v/>
      </c>
      <c r="AK26">
        <f>IF('Final Calculation Sheet'!$K$26="","",'Final Calculation Sheet'!$K$26)</f>
        <v/>
      </c>
      <c r="AL26">
        <f>AL25+IF(AND(AK26&lt;&gt;"",COUNTIF(AK$4:AK26,AK26)=1),1,0)</f>
        <v/>
      </c>
      <c r="AM26">
        <f>IF(ROW()-3&gt;MAX(AL$4:AL$40),"",INDEX(AK$4:AK$40,MATCH(ROW()-3,AL$4:AL$40,0)))</f>
        <v/>
      </c>
      <c r="AN26">
        <f>IF('Final Calculation Sheet'!$L$26="","",'Final Calculation Sheet'!$L$26)</f>
        <v/>
      </c>
      <c r="AO26">
        <f>AO25+IF(AND(AN26&lt;&gt;"",COUNTIF(AN$4:AN26,AN26)=1),1,0)</f>
        <v/>
      </c>
      <c r="AP26">
        <f>IF(ROW()-3&gt;MAX(AO$4:AO$40),"",INDEX(AN$4:AN$40,MATCH(ROW()-3,AO$4:AO$40,0)))</f>
        <v/>
      </c>
      <c r="AQ26">
        <f>IF('Final Calculation Sheet'!$M$26="","",'Final Calculation Sheet'!$M$26)</f>
        <v/>
      </c>
      <c r="AR26">
        <f>AR25+IF(AND(AQ26&lt;&gt;"",COUNTIF(AQ$4:AQ26,AQ26)=1),1,0)</f>
        <v/>
      </c>
      <c r="AS26">
        <f>IF(ROW()-3&gt;MAX(AR$4:AR$40),"",INDEX(AQ$4:AQ$40,MATCH(ROW()-3,AR$4:AR$40,0)))</f>
        <v/>
      </c>
      <c r="AT26">
        <f>IF('Final Calculation Sheet'!$N$26="","",'Final Calculation Sheet'!$N$26)</f>
        <v/>
      </c>
      <c r="AU26">
        <f>AU25+IF(AND(AT26&lt;&gt;"",COUNTIF(AT$4:AT26,AT26)=1),1,0)</f>
        <v/>
      </c>
      <c r="AV26">
        <f>IF(ROW()-3&gt;MAX(AU$4:AU$40),"",INDEX(AT$4:AT$40,MATCH(ROW()-3,AU$4:AU$40,0)))</f>
        <v/>
      </c>
      <c r="AW26">
        <f>IF('Final Calculation Sheet'!$O$26="","",'Final Calculation Sheet'!$O$26)</f>
        <v/>
      </c>
      <c r="AX26">
        <f>AX25+IF(AND(AW26&lt;&gt;"",COUNTIF(AW$4:AW26,AW26)=1),1,0)</f>
        <v/>
      </c>
      <c r="AY26">
        <f>IF(ROW()-3&gt;MAX(AX$4:AX$40),"",INDEX(AW$4:AW$40,MATCH(ROW()-3,AX$4:AX$40,0)))</f>
        <v/>
      </c>
      <c r="AZ26">
        <f>IF('Final Calculation Sheet'!$P$26="","",'Final Calculation Sheet'!$P$26)</f>
        <v/>
      </c>
      <c r="BA26">
        <f>BA25+IF(AND(AZ26&lt;&gt;"",COUNTIF(AZ$4:AZ26,AZ26)=1),1,0)</f>
        <v/>
      </c>
      <c r="BB26">
        <f>IF(ROW()-3&gt;MAX(BA$4:BA$40),"",INDEX(AZ$4:AZ$40,MATCH(ROW()-3,BA$4:BA$40,0)))</f>
        <v/>
      </c>
      <c r="BC26">
        <f>IF('Final Calculation Sheet'!$Q$26="","",'Final Calculation Sheet'!$Q$26)</f>
        <v/>
      </c>
      <c r="BD26">
        <f>BD25+IF(AND(BC26&lt;&gt;"",COUNTIF(BC$4:BC26,BC26)=1),1,0)</f>
        <v/>
      </c>
      <c r="BE26">
        <f>IF(ROW()-3&gt;MAX(BD$4:BD$40),"",INDEX(BC$4:BC$40,MATCH(ROW()-3,BD$4:BD$40,0)))</f>
        <v/>
      </c>
      <c r="BF26">
        <f>IF('Final Calculation Sheet'!$R$26="","",'Final Calculation Sheet'!$R$26)</f>
        <v/>
      </c>
      <c r="BG26">
        <f>BG25+IF(AND(BF26&lt;&gt;"",COUNTIF(BF$4:BF26,BF26)=1),1,0)</f>
        <v/>
      </c>
      <c r="BH26">
        <f>IF(ROW()-3&gt;MAX(BG$4:BG$40),"",INDEX(BF$4:BF$40,MATCH(ROW()-3,BG$4:BG$40,0)))</f>
        <v/>
      </c>
      <c r="BI26">
        <f>IF('Final Calculation Sheet'!$S$26="","",'Final Calculation Sheet'!$S$26)</f>
        <v/>
      </c>
      <c r="BJ26">
        <f>BJ25+IF(AND(BI26&lt;&gt;"",COUNTIF(BI$4:BI26,BI26)=1),1,0)</f>
        <v/>
      </c>
      <c r="BK26">
        <f>IF(ROW()-3&gt;MAX(BJ$4:BJ$40),"",INDEX(BI$4:BI$40,MATCH(ROW()-3,BJ$4:BJ$40,0)))</f>
        <v/>
      </c>
      <c r="BL26">
        <f>IF('Final Calculation Sheet'!$T$26="","",'Final Calculation Sheet'!$T$26)</f>
        <v/>
      </c>
      <c r="BM26">
        <f>BM25+IF(AND(BL26&lt;&gt;"",COUNTIF(BL$4:BL26,BL26)=1),1,0)</f>
        <v/>
      </c>
      <c r="BN26">
        <f>IF(ROW()-3&gt;MAX(BM$4:BM$40),"",INDEX(BL$4:BL$40,MATCH(ROW()-3,BM$4:BM$40,0)))</f>
        <v/>
      </c>
      <c r="BO26">
        <f>IF('Final Calculation Sheet'!$U$26="","",'Final Calculation Sheet'!$U$26)</f>
        <v/>
      </c>
      <c r="BP26">
        <f>BP25+IF(AND(BO26&lt;&gt;"",COUNTIF(BO$4:BO26,BO26)=1),1,0)</f>
        <v/>
      </c>
      <c r="BQ26">
        <f>IF(ROW()-3&gt;MAX(BP$4:BP$40),"",INDEX(BO$4:BO$40,MATCH(ROW()-3,BP$4:BP$40,0)))</f>
        <v/>
      </c>
      <c r="BR26">
        <f>IF('Final Calculation Sheet'!$V$26="","",'Final Calculation Sheet'!$V$26)</f>
        <v/>
      </c>
      <c r="BS26">
        <f>BS25+IF(AND(BR26&lt;&gt;"",COUNTIF(BR$4:BR26,BR26)=1),1,0)</f>
        <v/>
      </c>
      <c r="BT26">
        <f>IF(ROW()-3&gt;MAX(BS$4:BS$40),"",INDEX(BR$4:BR$40,MATCH(ROW()-3,BS$4:BS$40,0)))</f>
        <v/>
      </c>
      <c r="BU26">
        <f>IF('Final Calculation Sheet'!$W$26="","",'Final Calculation Sheet'!$W$26)</f>
        <v/>
      </c>
      <c r="BV26">
        <f>BV25+IF(AND(BU26&lt;&gt;"",COUNTIF(BU$4:BU26,BU26)=1),1,0)</f>
        <v/>
      </c>
      <c r="BW26">
        <f>IF(ROW()-3&gt;MAX(BV$4:BV$40),"",INDEX(BU$4:BU$40,MATCH(ROW()-3,BV$4:BV$40,0)))</f>
        <v/>
      </c>
      <c r="BX26">
        <f>IF('Final Calculation Sheet'!$X$26="","",'Final Calculation Sheet'!$X$26)</f>
        <v/>
      </c>
      <c r="BY26">
        <f>BY25+IF(AND(BX26&lt;&gt;"",COUNTIF(BX$4:BX26,BX26)=1),1,0)</f>
        <v/>
      </c>
      <c r="BZ26">
        <f>IF(ROW()-3&gt;MAX(BY$4:BY$40),"",INDEX(BX$4:BX$40,MATCH(ROW()-3,BY$4:BY$40,0)))</f>
        <v/>
      </c>
      <c r="CA26">
        <f>IF('Final Calculation Sheet'!$Y$26="","",'Final Calculation Sheet'!$Y$26)</f>
        <v/>
      </c>
      <c r="CB26">
        <f>CB25+IF(AND(CA26&lt;&gt;"",COUNTIF(CA$4:CA26,CA26)=1),1,0)</f>
        <v/>
      </c>
      <c r="CC26">
        <f>IF(ROW()-3&gt;MAX(CB$4:CB$40),"",INDEX(CA$4:CA$40,MATCH(ROW()-3,CB$4:CB$40,0)))</f>
        <v/>
      </c>
      <c r="CD26">
        <f>IF('Final Calculation Sheet'!$Z$26="","",'Final Calculation Sheet'!$Z$26)</f>
        <v/>
      </c>
      <c r="CE26">
        <f>CE25+IF(AND(CD26&lt;&gt;"",COUNTIF(CD$4:CD26,CD26)=1),1,0)</f>
        <v/>
      </c>
      <c r="CF26">
        <f>IF(ROW()-3&gt;MAX(CE$4:CE$40),"",INDEX(CD$4:CD$40,MATCH(ROW()-3,CE$4:CE$40,0)))</f>
        <v/>
      </c>
      <c r="CG26">
        <f>IF('Final Calculation Sheet'!$AA$26="","",'Final Calculation Sheet'!$AA$26)</f>
        <v/>
      </c>
      <c r="CH26">
        <f>CH25+IF(AND(CG26&lt;&gt;"",COUNTIF(CG$4:CG26,CG26)=1),1,0)</f>
        <v/>
      </c>
      <c r="CI26">
        <f>IF(ROW()-3&gt;MAX(CH$4:CH$40),"",INDEX(CG$4:CG$40,MATCH(ROW()-3,CH$4:CH$40,0)))</f>
        <v/>
      </c>
      <c r="CJ26">
        <f>IF('Final Calculation Sheet'!$AB$26="","",'Final Calculation Sheet'!$AB$26)</f>
        <v/>
      </c>
      <c r="CK26">
        <f>CK25+IF(AND(CJ26&lt;&gt;"",COUNTIF(CJ$4:CJ26,CJ26)=1),1,0)</f>
        <v/>
      </c>
      <c r="CL26">
        <f>IF(ROW()-3&gt;MAX(CK$4:CK$40),"",INDEX(CJ$4:CJ$40,MATCH(ROW()-3,CK$4:CK$40,0)))</f>
        <v/>
      </c>
      <c r="CM26">
        <f>IF('Final Calculation Sheet'!$AC$26="","",'Final Calculation Sheet'!$AC$26)</f>
        <v/>
      </c>
      <c r="CN26">
        <f>CN25+IF(AND(CM26&lt;&gt;"",COUNTIF(CM$4:CM26,CM26)=1),1,0)</f>
        <v/>
      </c>
      <c r="CO26">
        <f>IF(ROW()-3&gt;MAX(CN$4:CN$40),"",INDEX(CM$4:CM$40,MATCH(ROW()-3,CN$4:CN$40,0)))</f>
        <v/>
      </c>
      <c r="CP26">
        <f>IF('Final Calculation Sheet'!$AD$26="","",'Final Calculation Sheet'!$AD$26)</f>
        <v/>
      </c>
      <c r="CQ26">
        <f>CQ25+IF(AND(CP26&lt;&gt;"",COUNTIF(CP$4:CP26,CP26)=1),1,0)</f>
        <v/>
      </c>
      <c r="CR26">
        <f>IF(ROW()-3&gt;MAX(CQ$4:CQ$40),"",INDEX(CP$4:CP$40,MATCH(ROW()-3,CQ$4:CQ$40,0)))</f>
        <v/>
      </c>
      <c r="CS26">
        <f>IF('Final Calculation Sheet'!$AE$26="","",'Final Calculation Sheet'!$AE$26)</f>
        <v/>
      </c>
      <c r="CT26">
        <f>CT25+IF(AND(CS26&lt;&gt;"",COUNTIF(CS$4:CS26,CS26)=1),1,0)</f>
        <v/>
      </c>
      <c r="CU26">
        <f>IF(ROW()-3&gt;MAX(CT$4:CT$40),"",INDEX(CS$4:CS$40,MATCH(ROW()-3,CT$4:CT$40,0)))</f>
        <v/>
      </c>
      <c r="CV26">
        <f>IF('Final Calculation Sheet'!$AF$26="","",'Final Calculation Sheet'!$AF$26)</f>
        <v/>
      </c>
      <c r="CW26">
        <f>CW25+IF(AND(CV26&lt;&gt;"",COUNTIF(CV$4:CV26,CV26)=1),1,0)</f>
        <v/>
      </c>
      <c r="CX26">
        <f>IF(ROW()-3&gt;MAX(CW$4:CW$40),"",INDEX(CV$4:CV$40,MATCH(ROW()-3,CW$4:CW$40,0)))</f>
        <v/>
      </c>
      <c r="CY26">
        <f>IF('Final Calculation Sheet'!$AG$26="","",'Final Calculation Sheet'!$AG$26)</f>
        <v/>
      </c>
      <c r="CZ26">
        <f>CZ25+IF(AND(CY26&lt;&gt;"",COUNTIF(CY$4:CY26,CY26)=1),1,0)</f>
        <v/>
      </c>
      <c r="DA26">
        <f>IF(ROW()-3&gt;MAX(CZ$4:CZ$40),"",INDEX(CY$4:CY$40,MATCH(ROW()-3,CZ$4:CZ$40,0)))</f>
        <v/>
      </c>
      <c r="DC26">
        <f>DC25+IF(AND(DB26&lt;&gt;"",COUNTIF(DB$4:DB26,DB26)=1),1,0)</f>
        <v/>
      </c>
      <c r="DD26">
        <f>IF(ROW()-3&gt;MAX(DC$4:DC$40),"",INDEX(DB$4:DB$40,MATCH(ROW()-3,DC$4:DC$40,0)))</f>
        <v/>
      </c>
    </row>
    <row r="27">
      <c r="A27">
        <f>IF('Final Calculation Sheet'!$F$27="","",'Final Calculation Sheet'!$F$27)</f>
        <v/>
      </c>
      <c r="B27">
        <f>B26+IF(AND(A27&lt;&gt;"",COUNTIF(A$4:A27,A27)=1),1,0)</f>
        <v/>
      </c>
      <c r="C27">
        <f>IF(ROW()-3&gt;MAX(B$4:B$114),"",INDEX(A$4:A$114,MATCH(ROW()-3,B$4:B$114,0)))</f>
        <v/>
      </c>
      <c r="D27">
        <f>ROW()-3</f>
        <v/>
      </c>
      <c r="E27">
        <f>E26+IF(AND(D27&lt;&gt;"",COUNTIF(D$4:D27,D27)=1),1,0)</f>
        <v/>
      </c>
      <c r="F27">
        <f>IF(ROW()-3&gt;MAX(E$4:E$40),"",INDEX(D$4:D$40,MATCH(ROW()-3,E$4:E$40,0)))</f>
        <v/>
      </c>
      <c r="G27">
        <f>IF('Final Calculation Sheet'!$F$27="","",'Final Calculation Sheet'!$F$27)</f>
        <v/>
      </c>
      <c r="H27">
        <f>H26+IF(AND(G27&lt;&gt;"",COUNTIF(G$4:G27,G27)=1),1,0)</f>
        <v/>
      </c>
      <c r="I27">
        <f>IF(ROW()-3&gt;MAX(H$4:H$40),"",INDEX(G$4:G$40,MATCH(ROW()-3,H$4:H$40,0)))</f>
        <v/>
      </c>
      <c r="J27">
        <f>IF('Final Calculation Sheet'!$G$27="","",'Final Calculation Sheet'!$G$27)</f>
        <v/>
      </c>
      <c r="K27">
        <f>K26+IF(AND(J27&lt;&gt;"",COUNTIF(J$4:J27,J27)=1),1,0)</f>
        <v/>
      </c>
      <c r="L27">
        <f>IF(ROW()-3&gt;MAX(K$4:K$40),"",INDEX(J$4:J$40,MATCH(ROW()-3,K$4:K$40,0)))</f>
        <v/>
      </c>
      <c r="M27">
        <f>IF('Final Calculation Sheet'!$B$27="","",'Final Calculation Sheet'!$B$27)</f>
        <v/>
      </c>
      <c r="N27">
        <f>N26+IF(AND(M27&lt;&gt;"",COUNTIF(M$4:M27,M27)=1),1,0)</f>
        <v/>
      </c>
      <c r="O27">
        <f>IF(ROW()-3&gt;MAX(N$4:N$40),"",INDEX(M$4:M$40,MATCH(ROW()-3,N$4:N$40,0)))</f>
        <v/>
      </c>
      <c r="P27">
        <f>IF('Final Calculation Sheet'!$D$27="","",'Final Calculation Sheet'!$D$27)</f>
        <v/>
      </c>
      <c r="Q27">
        <f>Q26+IF(AND(P27&lt;&gt;"",COUNTIF(P$4:P27,P27)=1),1,0)</f>
        <v/>
      </c>
      <c r="R27">
        <f>IF(ROW()-3&gt;MAX(Q$4:Q$40),"",INDEX(P$4:P$40,MATCH(ROW()-3,Q$4:Q$40,0)))</f>
        <v/>
      </c>
      <c r="S27">
        <f>IF('Final Calculation Sheet'!$A$27="","",'Final Calculation Sheet'!$A$27)</f>
        <v/>
      </c>
      <c r="T27">
        <f>T26+IF(AND(S27&lt;&gt;"",COUNTIF(S$4:S27,S27)=1),1,0)</f>
        <v/>
      </c>
      <c r="U27">
        <f>IF(ROW()-3&gt;MAX(T$4:T$40),"",INDEX(S$4:S$40,MATCH(ROW()-3,T$4:T$40,0)))</f>
        <v/>
      </c>
      <c r="V27">
        <f>IF('Final Calculation Sheet'!$E$27="","",'Final Calculation Sheet'!$E$27)</f>
        <v/>
      </c>
      <c r="W27">
        <f>W26+IF(AND(V27&lt;&gt;"",COUNTIF(V$4:V27,V27)=1),1,0)</f>
        <v/>
      </c>
      <c r="X27">
        <f>IF(ROW()-3&gt;MAX(W$4:W$40),"",INDEX(V$4:V$40,MATCH(ROW()-3,W$4:W$40,0)))</f>
        <v/>
      </c>
      <c r="Y27">
        <f>IF('Final Calculation Sheet'!$C$27="","",'Final Calculation Sheet'!$C$27)</f>
        <v/>
      </c>
      <c r="Z27">
        <f>Z26+IF(AND(Y27&lt;&gt;"",COUNTIF(Y$4:Y27,Y27)=1),1,0)</f>
        <v/>
      </c>
      <c r="AA27">
        <f>IF(ROW()-3&gt;MAX(Z$4:Z$40),"",INDEX(Y$4:Y$40,MATCH(ROW()-3,Z$4:Z$40,0)))</f>
        <v/>
      </c>
      <c r="AB27">
        <f>IF('Final Calculation Sheet'!$H$27="","",'Final Calculation Sheet'!$H$27)</f>
        <v/>
      </c>
      <c r="AC27">
        <f>AC26+IF(AND(AB27&lt;&gt;"",COUNTIF(AB$4:AB27,AB27)=1),1,0)</f>
        <v/>
      </c>
      <c r="AD27">
        <f>IF(ROW()-3&gt;MAX(AC$4:AC$40),"",INDEX(AB$4:AB$40,MATCH(ROW()-3,AC$4:AC$40,0)))</f>
        <v/>
      </c>
      <c r="AE27">
        <f>IF('Final Calculation Sheet'!$I$27="","",'Final Calculation Sheet'!$I$27)</f>
        <v/>
      </c>
      <c r="AF27">
        <f>AF26+IF(AND(AE27&lt;&gt;"",COUNTIF(AE$4:AE27,AE27)=1),1,0)</f>
        <v/>
      </c>
      <c r="AG27">
        <f>IF(ROW()-3&gt;MAX(AF$4:AF$40),"",INDEX(AE$4:AE$40,MATCH(ROW()-3,AF$4:AF$40,0)))</f>
        <v/>
      </c>
      <c r="AH27">
        <f>IF('Final Calculation Sheet'!$J$27="","",'Final Calculation Sheet'!$J$27)</f>
        <v/>
      </c>
      <c r="AI27">
        <f>AI26+IF(AND(AH27&lt;&gt;"",COUNTIF(AH$4:AH27,AH27)=1),1,0)</f>
        <v/>
      </c>
      <c r="AJ27">
        <f>IF(ROW()-3&gt;MAX(AI$4:AI$40),"",INDEX(AH$4:AH$40,MATCH(ROW()-3,AI$4:AI$40,0)))</f>
        <v/>
      </c>
      <c r="AK27">
        <f>IF('Final Calculation Sheet'!$K$27="","",'Final Calculation Sheet'!$K$27)</f>
        <v/>
      </c>
      <c r="AL27">
        <f>AL26+IF(AND(AK27&lt;&gt;"",COUNTIF(AK$4:AK27,AK27)=1),1,0)</f>
        <v/>
      </c>
      <c r="AM27">
        <f>IF(ROW()-3&gt;MAX(AL$4:AL$40),"",INDEX(AK$4:AK$40,MATCH(ROW()-3,AL$4:AL$40,0)))</f>
        <v/>
      </c>
      <c r="AN27">
        <f>IF('Final Calculation Sheet'!$L$27="","",'Final Calculation Sheet'!$L$27)</f>
        <v/>
      </c>
      <c r="AO27">
        <f>AO26+IF(AND(AN27&lt;&gt;"",COUNTIF(AN$4:AN27,AN27)=1),1,0)</f>
        <v/>
      </c>
      <c r="AP27">
        <f>IF(ROW()-3&gt;MAX(AO$4:AO$40),"",INDEX(AN$4:AN$40,MATCH(ROW()-3,AO$4:AO$40,0)))</f>
        <v/>
      </c>
      <c r="AQ27">
        <f>IF('Final Calculation Sheet'!$M$27="","",'Final Calculation Sheet'!$M$27)</f>
        <v/>
      </c>
      <c r="AR27">
        <f>AR26+IF(AND(AQ27&lt;&gt;"",COUNTIF(AQ$4:AQ27,AQ27)=1),1,0)</f>
        <v/>
      </c>
      <c r="AS27">
        <f>IF(ROW()-3&gt;MAX(AR$4:AR$40),"",INDEX(AQ$4:AQ$40,MATCH(ROW()-3,AR$4:AR$40,0)))</f>
        <v/>
      </c>
      <c r="AT27">
        <f>IF('Final Calculation Sheet'!$N$27="","",'Final Calculation Sheet'!$N$27)</f>
        <v/>
      </c>
      <c r="AU27">
        <f>AU26+IF(AND(AT27&lt;&gt;"",COUNTIF(AT$4:AT27,AT27)=1),1,0)</f>
        <v/>
      </c>
      <c r="AV27">
        <f>IF(ROW()-3&gt;MAX(AU$4:AU$40),"",INDEX(AT$4:AT$40,MATCH(ROW()-3,AU$4:AU$40,0)))</f>
        <v/>
      </c>
      <c r="AW27">
        <f>IF('Final Calculation Sheet'!$O$27="","",'Final Calculation Sheet'!$O$27)</f>
        <v/>
      </c>
      <c r="AX27">
        <f>AX26+IF(AND(AW27&lt;&gt;"",COUNTIF(AW$4:AW27,AW27)=1),1,0)</f>
        <v/>
      </c>
      <c r="AY27">
        <f>IF(ROW()-3&gt;MAX(AX$4:AX$40),"",INDEX(AW$4:AW$40,MATCH(ROW()-3,AX$4:AX$40,0)))</f>
        <v/>
      </c>
      <c r="AZ27">
        <f>IF('Final Calculation Sheet'!$P$27="","",'Final Calculation Sheet'!$P$27)</f>
        <v/>
      </c>
      <c r="BA27">
        <f>BA26+IF(AND(AZ27&lt;&gt;"",COUNTIF(AZ$4:AZ27,AZ27)=1),1,0)</f>
        <v/>
      </c>
      <c r="BB27">
        <f>IF(ROW()-3&gt;MAX(BA$4:BA$40),"",INDEX(AZ$4:AZ$40,MATCH(ROW()-3,BA$4:BA$40,0)))</f>
        <v/>
      </c>
      <c r="BC27">
        <f>IF('Final Calculation Sheet'!$Q$27="","",'Final Calculation Sheet'!$Q$27)</f>
        <v/>
      </c>
      <c r="BD27">
        <f>BD26+IF(AND(BC27&lt;&gt;"",COUNTIF(BC$4:BC27,BC27)=1),1,0)</f>
        <v/>
      </c>
      <c r="BE27">
        <f>IF(ROW()-3&gt;MAX(BD$4:BD$40),"",INDEX(BC$4:BC$40,MATCH(ROW()-3,BD$4:BD$40,0)))</f>
        <v/>
      </c>
      <c r="BF27">
        <f>IF('Final Calculation Sheet'!$R$27="","",'Final Calculation Sheet'!$R$27)</f>
        <v/>
      </c>
      <c r="BG27">
        <f>BG26+IF(AND(BF27&lt;&gt;"",COUNTIF(BF$4:BF27,BF27)=1),1,0)</f>
        <v/>
      </c>
      <c r="BH27">
        <f>IF(ROW()-3&gt;MAX(BG$4:BG$40),"",INDEX(BF$4:BF$40,MATCH(ROW()-3,BG$4:BG$40,0)))</f>
        <v/>
      </c>
      <c r="BI27">
        <f>IF('Final Calculation Sheet'!$S$27="","",'Final Calculation Sheet'!$S$27)</f>
        <v/>
      </c>
      <c r="BJ27">
        <f>BJ26+IF(AND(BI27&lt;&gt;"",COUNTIF(BI$4:BI27,BI27)=1),1,0)</f>
        <v/>
      </c>
      <c r="BK27">
        <f>IF(ROW()-3&gt;MAX(BJ$4:BJ$40),"",INDEX(BI$4:BI$40,MATCH(ROW()-3,BJ$4:BJ$40,0)))</f>
        <v/>
      </c>
      <c r="BL27">
        <f>IF('Final Calculation Sheet'!$T$27="","",'Final Calculation Sheet'!$T$27)</f>
        <v/>
      </c>
      <c r="BM27">
        <f>BM26+IF(AND(BL27&lt;&gt;"",COUNTIF(BL$4:BL27,BL27)=1),1,0)</f>
        <v/>
      </c>
      <c r="BN27">
        <f>IF(ROW()-3&gt;MAX(BM$4:BM$40),"",INDEX(BL$4:BL$40,MATCH(ROW()-3,BM$4:BM$40,0)))</f>
        <v/>
      </c>
      <c r="BO27">
        <f>IF('Final Calculation Sheet'!$U$27="","",'Final Calculation Sheet'!$U$27)</f>
        <v/>
      </c>
      <c r="BP27">
        <f>BP26+IF(AND(BO27&lt;&gt;"",COUNTIF(BO$4:BO27,BO27)=1),1,0)</f>
        <v/>
      </c>
      <c r="BQ27">
        <f>IF(ROW()-3&gt;MAX(BP$4:BP$40),"",INDEX(BO$4:BO$40,MATCH(ROW()-3,BP$4:BP$40,0)))</f>
        <v/>
      </c>
      <c r="BR27">
        <f>IF('Final Calculation Sheet'!$V$27="","",'Final Calculation Sheet'!$V$27)</f>
        <v/>
      </c>
      <c r="BS27">
        <f>BS26+IF(AND(BR27&lt;&gt;"",COUNTIF(BR$4:BR27,BR27)=1),1,0)</f>
        <v/>
      </c>
      <c r="BT27">
        <f>IF(ROW()-3&gt;MAX(BS$4:BS$40),"",INDEX(BR$4:BR$40,MATCH(ROW()-3,BS$4:BS$40,0)))</f>
        <v/>
      </c>
      <c r="BU27">
        <f>IF('Final Calculation Sheet'!$W$27="","",'Final Calculation Sheet'!$W$27)</f>
        <v/>
      </c>
      <c r="BV27">
        <f>BV26+IF(AND(BU27&lt;&gt;"",COUNTIF(BU$4:BU27,BU27)=1),1,0)</f>
        <v/>
      </c>
      <c r="BW27">
        <f>IF(ROW()-3&gt;MAX(BV$4:BV$40),"",INDEX(BU$4:BU$40,MATCH(ROW()-3,BV$4:BV$40,0)))</f>
        <v/>
      </c>
      <c r="BX27">
        <f>IF('Final Calculation Sheet'!$X$27="","",'Final Calculation Sheet'!$X$27)</f>
        <v/>
      </c>
      <c r="BY27">
        <f>BY26+IF(AND(BX27&lt;&gt;"",COUNTIF(BX$4:BX27,BX27)=1),1,0)</f>
        <v/>
      </c>
      <c r="BZ27">
        <f>IF(ROW()-3&gt;MAX(BY$4:BY$40),"",INDEX(BX$4:BX$40,MATCH(ROW()-3,BY$4:BY$40,0)))</f>
        <v/>
      </c>
      <c r="CA27">
        <f>IF('Final Calculation Sheet'!$Y$27="","",'Final Calculation Sheet'!$Y$27)</f>
        <v/>
      </c>
      <c r="CB27">
        <f>CB26+IF(AND(CA27&lt;&gt;"",COUNTIF(CA$4:CA27,CA27)=1),1,0)</f>
        <v/>
      </c>
      <c r="CC27">
        <f>IF(ROW()-3&gt;MAX(CB$4:CB$40),"",INDEX(CA$4:CA$40,MATCH(ROW()-3,CB$4:CB$40,0)))</f>
        <v/>
      </c>
      <c r="CD27">
        <f>IF('Final Calculation Sheet'!$Z$27="","",'Final Calculation Sheet'!$Z$27)</f>
        <v/>
      </c>
      <c r="CE27">
        <f>CE26+IF(AND(CD27&lt;&gt;"",COUNTIF(CD$4:CD27,CD27)=1),1,0)</f>
        <v/>
      </c>
      <c r="CF27">
        <f>IF(ROW()-3&gt;MAX(CE$4:CE$40),"",INDEX(CD$4:CD$40,MATCH(ROW()-3,CE$4:CE$40,0)))</f>
        <v/>
      </c>
      <c r="CG27">
        <f>IF('Final Calculation Sheet'!$AA$27="","",'Final Calculation Sheet'!$AA$27)</f>
        <v/>
      </c>
      <c r="CH27">
        <f>CH26+IF(AND(CG27&lt;&gt;"",COUNTIF(CG$4:CG27,CG27)=1),1,0)</f>
        <v/>
      </c>
      <c r="CI27">
        <f>IF(ROW()-3&gt;MAX(CH$4:CH$40),"",INDEX(CG$4:CG$40,MATCH(ROW()-3,CH$4:CH$40,0)))</f>
        <v/>
      </c>
      <c r="CJ27">
        <f>IF('Final Calculation Sheet'!$AB$27="","",'Final Calculation Sheet'!$AB$27)</f>
        <v/>
      </c>
      <c r="CK27">
        <f>CK26+IF(AND(CJ27&lt;&gt;"",COUNTIF(CJ$4:CJ27,CJ27)=1),1,0)</f>
        <v/>
      </c>
      <c r="CL27">
        <f>IF(ROW()-3&gt;MAX(CK$4:CK$40),"",INDEX(CJ$4:CJ$40,MATCH(ROW()-3,CK$4:CK$40,0)))</f>
        <v/>
      </c>
      <c r="CM27">
        <f>IF('Final Calculation Sheet'!$AC$27="","",'Final Calculation Sheet'!$AC$27)</f>
        <v/>
      </c>
      <c r="CN27">
        <f>CN26+IF(AND(CM27&lt;&gt;"",COUNTIF(CM$4:CM27,CM27)=1),1,0)</f>
        <v/>
      </c>
      <c r="CO27">
        <f>IF(ROW()-3&gt;MAX(CN$4:CN$40),"",INDEX(CM$4:CM$40,MATCH(ROW()-3,CN$4:CN$40,0)))</f>
        <v/>
      </c>
      <c r="CP27">
        <f>IF('Final Calculation Sheet'!$AD$27="","",'Final Calculation Sheet'!$AD$27)</f>
        <v/>
      </c>
      <c r="CQ27">
        <f>CQ26+IF(AND(CP27&lt;&gt;"",COUNTIF(CP$4:CP27,CP27)=1),1,0)</f>
        <v/>
      </c>
      <c r="CR27">
        <f>IF(ROW()-3&gt;MAX(CQ$4:CQ$40),"",INDEX(CP$4:CP$40,MATCH(ROW()-3,CQ$4:CQ$40,0)))</f>
        <v/>
      </c>
      <c r="CS27">
        <f>IF('Final Calculation Sheet'!$AE$27="","",'Final Calculation Sheet'!$AE$27)</f>
        <v/>
      </c>
      <c r="CT27">
        <f>CT26+IF(AND(CS27&lt;&gt;"",COUNTIF(CS$4:CS27,CS27)=1),1,0)</f>
        <v/>
      </c>
      <c r="CU27">
        <f>IF(ROW()-3&gt;MAX(CT$4:CT$40),"",INDEX(CS$4:CS$40,MATCH(ROW()-3,CT$4:CT$40,0)))</f>
        <v/>
      </c>
      <c r="CV27">
        <f>IF('Final Calculation Sheet'!$AF$27="","",'Final Calculation Sheet'!$AF$27)</f>
        <v/>
      </c>
      <c r="CW27">
        <f>CW26+IF(AND(CV27&lt;&gt;"",COUNTIF(CV$4:CV27,CV27)=1),1,0)</f>
        <v/>
      </c>
      <c r="CX27">
        <f>IF(ROW()-3&gt;MAX(CW$4:CW$40),"",INDEX(CV$4:CV$40,MATCH(ROW()-3,CW$4:CW$40,0)))</f>
        <v/>
      </c>
      <c r="CY27">
        <f>IF('Final Calculation Sheet'!$AG$27="","",'Final Calculation Sheet'!$AG$27)</f>
        <v/>
      </c>
      <c r="CZ27">
        <f>CZ26+IF(AND(CY27&lt;&gt;"",COUNTIF(CY$4:CY27,CY27)=1),1,0)</f>
        <v/>
      </c>
      <c r="DA27">
        <f>IF(ROW()-3&gt;MAX(CZ$4:CZ$40),"",INDEX(CY$4:CY$40,MATCH(ROW()-3,CZ$4:CZ$40,0)))</f>
        <v/>
      </c>
      <c r="DC27">
        <f>DC26+IF(AND(DB27&lt;&gt;"",COUNTIF(DB$4:DB27,DB27)=1),1,0)</f>
        <v/>
      </c>
      <c r="DD27">
        <f>IF(ROW()-3&gt;MAX(DC$4:DC$40),"",INDEX(DB$4:DB$40,MATCH(ROW()-3,DC$4:DC$40,0)))</f>
        <v/>
      </c>
    </row>
    <row r="28">
      <c r="A28">
        <f>IF('Final Calculation Sheet'!$F$28="","",'Final Calculation Sheet'!$F$28)</f>
        <v/>
      </c>
      <c r="B28">
        <f>B27+IF(AND(A28&lt;&gt;"",COUNTIF(A$4:A28,A28)=1),1,0)</f>
        <v/>
      </c>
      <c r="C28">
        <f>IF(ROW()-3&gt;MAX(B$4:B$114),"",INDEX(A$4:A$114,MATCH(ROW()-3,B$4:B$114,0)))</f>
        <v/>
      </c>
      <c r="D28">
        <f>ROW()-3</f>
        <v/>
      </c>
      <c r="E28">
        <f>E27+IF(AND(D28&lt;&gt;"",COUNTIF(D$4:D28,D28)=1),1,0)</f>
        <v/>
      </c>
      <c r="F28">
        <f>IF(ROW()-3&gt;MAX(E$4:E$40),"",INDEX(D$4:D$40,MATCH(ROW()-3,E$4:E$40,0)))</f>
        <v/>
      </c>
      <c r="G28">
        <f>IF('Final Calculation Sheet'!$F$28="","",'Final Calculation Sheet'!$F$28)</f>
        <v/>
      </c>
      <c r="H28">
        <f>H27+IF(AND(G28&lt;&gt;"",COUNTIF(G$4:G28,G28)=1),1,0)</f>
        <v/>
      </c>
      <c r="I28">
        <f>IF(ROW()-3&gt;MAX(H$4:H$40),"",INDEX(G$4:G$40,MATCH(ROW()-3,H$4:H$40,0)))</f>
        <v/>
      </c>
      <c r="J28">
        <f>IF('Final Calculation Sheet'!$G$28="","",'Final Calculation Sheet'!$G$28)</f>
        <v/>
      </c>
      <c r="K28">
        <f>K27+IF(AND(J28&lt;&gt;"",COUNTIF(J$4:J28,J28)=1),1,0)</f>
        <v/>
      </c>
      <c r="L28">
        <f>IF(ROW()-3&gt;MAX(K$4:K$40),"",INDEX(J$4:J$40,MATCH(ROW()-3,K$4:K$40,0)))</f>
        <v/>
      </c>
      <c r="M28">
        <f>IF('Final Calculation Sheet'!$B$28="","",'Final Calculation Sheet'!$B$28)</f>
        <v/>
      </c>
      <c r="N28">
        <f>N27+IF(AND(M28&lt;&gt;"",COUNTIF(M$4:M28,M28)=1),1,0)</f>
        <v/>
      </c>
      <c r="O28">
        <f>IF(ROW()-3&gt;MAX(N$4:N$40),"",INDEX(M$4:M$40,MATCH(ROW()-3,N$4:N$40,0)))</f>
        <v/>
      </c>
      <c r="P28">
        <f>IF('Final Calculation Sheet'!$D$28="","",'Final Calculation Sheet'!$D$28)</f>
        <v/>
      </c>
      <c r="Q28">
        <f>Q27+IF(AND(P28&lt;&gt;"",COUNTIF(P$4:P28,P28)=1),1,0)</f>
        <v/>
      </c>
      <c r="R28">
        <f>IF(ROW()-3&gt;MAX(Q$4:Q$40),"",INDEX(P$4:P$40,MATCH(ROW()-3,Q$4:Q$40,0)))</f>
        <v/>
      </c>
      <c r="S28">
        <f>IF('Final Calculation Sheet'!$A$28="","",'Final Calculation Sheet'!$A$28)</f>
        <v/>
      </c>
      <c r="T28">
        <f>T27+IF(AND(S28&lt;&gt;"",COUNTIF(S$4:S28,S28)=1),1,0)</f>
        <v/>
      </c>
      <c r="U28">
        <f>IF(ROW()-3&gt;MAX(T$4:T$40),"",INDEX(S$4:S$40,MATCH(ROW()-3,T$4:T$40,0)))</f>
        <v/>
      </c>
      <c r="V28">
        <f>IF('Final Calculation Sheet'!$E$28="","",'Final Calculation Sheet'!$E$28)</f>
        <v/>
      </c>
      <c r="W28">
        <f>W27+IF(AND(V28&lt;&gt;"",COUNTIF(V$4:V28,V28)=1),1,0)</f>
        <v/>
      </c>
      <c r="X28">
        <f>IF(ROW()-3&gt;MAX(W$4:W$40),"",INDEX(V$4:V$40,MATCH(ROW()-3,W$4:W$40,0)))</f>
        <v/>
      </c>
      <c r="Y28">
        <f>IF('Final Calculation Sheet'!$C$28="","",'Final Calculation Sheet'!$C$28)</f>
        <v/>
      </c>
      <c r="Z28">
        <f>Z27+IF(AND(Y28&lt;&gt;"",COUNTIF(Y$4:Y28,Y28)=1),1,0)</f>
        <v/>
      </c>
      <c r="AA28">
        <f>IF(ROW()-3&gt;MAX(Z$4:Z$40),"",INDEX(Y$4:Y$40,MATCH(ROW()-3,Z$4:Z$40,0)))</f>
        <v/>
      </c>
      <c r="AB28">
        <f>IF('Final Calculation Sheet'!$H$28="","",'Final Calculation Sheet'!$H$28)</f>
        <v/>
      </c>
      <c r="AC28">
        <f>AC27+IF(AND(AB28&lt;&gt;"",COUNTIF(AB$4:AB28,AB28)=1),1,0)</f>
        <v/>
      </c>
      <c r="AD28">
        <f>IF(ROW()-3&gt;MAX(AC$4:AC$40),"",INDEX(AB$4:AB$40,MATCH(ROW()-3,AC$4:AC$40,0)))</f>
        <v/>
      </c>
      <c r="AE28">
        <f>IF('Final Calculation Sheet'!$I$28="","",'Final Calculation Sheet'!$I$28)</f>
        <v/>
      </c>
      <c r="AF28">
        <f>AF27+IF(AND(AE28&lt;&gt;"",COUNTIF(AE$4:AE28,AE28)=1),1,0)</f>
        <v/>
      </c>
      <c r="AG28">
        <f>IF(ROW()-3&gt;MAX(AF$4:AF$40),"",INDEX(AE$4:AE$40,MATCH(ROW()-3,AF$4:AF$40,0)))</f>
        <v/>
      </c>
      <c r="AH28">
        <f>IF('Final Calculation Sheet'!$J$28="","",'Final Calculation Sheet'!$J$28)</f>
        <v/>
      </c>
      <c r="AI28">
        <f>AI27+IF(AND(AH28&lt;&gt;"",COUNTIF(AH$4:AH28,AH28)=1),1,0)</f>
        <v/>
      </c>
      <c r="AJ28">
        <f>IF(ROW()-3&gt;MAX(AI$4:AI$40),"",INDEX(AH$4:AH$40,MATCH(ROW()-3,AI$4:AI$40,0)))</f>
        <v/>
      </c>
      <c r="AK28">
        <f>IF('Final Calculation Sheet'!$K$28="","",'Final Calculation Sheet'!$K$28)</f>
        <v/>
      </c>
      <c r="AL28">
        <f>AL27+IF(AND(AK28&lt;&gt;"",COUNTIF(AK$4:AK28,AK28)=1),1,0)</f>
        <v/>
      </c>
      <c r="AM28">
        <f>IF(ROW()-3&gt;MAX(AL$4:AL$40),"",INDEX(AK$4:AK$40,MATCH(ROW()-3,AL$4:AL$40,0)))</f>
        <v/>
      </c>
      <c r="AN28">
        <f>IF('Final Calculation Sheet'!$L$28="","",'Final Calculation Sheet'!$L$28)</f>
        <v/>
      </c>
      <c r="AO28">
        <f>AO27+IF(AND(AN28&lt;&gt;"",COUNTIF(AN$4:AN28,AN28)=1),1,0)</f>
        <v/>
      </c>
      <c r="AP28">
        <f>IF(ROW()-3&gt;MAX(AO$4:AO$40),"",INDEX(AN$4:AN$40,MATCH(ROW()-3,AO$4:AO$40,0)))</f>
        <v/>
      </c>
      <c r="AQ28">
        <f>IF('Final Calculation Sheet'!$M$28="","",'Final Calculation Sheet'!$M$28)</f>
        <v/>
      </c>
      <c r="AR28">
        <f>AR27+IF(AND(AQ28&lt;&gt;"",COUNTIF(AQ$4:AQ28,AQ28)=1),1,0)</f>
        <v/>
      </c>
      <c r="AS28">
        <f>IF(ROW()-3&gt;MAX(AR$4:AR$40),"",INDEX(AQ$4:AQ$40,MATCH(ROW()-3,AR$4:AR$40,0)))</f>
        <v/>
      </c>
      <c r="AT28">
        <f>IF('Final Calculation Sheet'!$N$28="","",'Final Calculation Sheet'!$N$28)</f>
        <v/>
      </c>
      <c r="AU28">
        <f>AU27+IF(AND(AT28&lt;&gt;"",COUNTIF(AT$4:AT28,AT28)=1),1,0)</f>
        <v/>
      </c>
      <c r="AV28">
        <f>IF(ROW()-3&gt;MAX(AU$4:AU$40),"",INDEX(AT$4:AT$40,MATCH(ROW()-3,AU$4:AU$40,0)))</f>
        <v/>
      </c>
      <c r="AW28">
        <f>IF('Final Calculation Sheet'!$O$28="","",'Final Calculation Sheet'!$O$28)</f>
        <v/>
      </c>
      <c r="AX28">
        <f>AX27+IF(AND(AW28&lt;&gt;"",COUNTIF(AW$4:AW28,AW28)=1),1,0)</f>
        <v/>
      </c>
      <c r="AY28">
        <f>IF(ROW()-3&gt;MAX(AX$4:AX$40),"",INDEX(AW$4:AW$40,MATCH(ROW()-3,AX$4:AX$40,0)))</f>
        <v/>
      </c>
      <c r="AZ28">
        <f>IF('Final Calculation Sheet'!$P$28="","",'Final Calculation Sheet'!$P$28)</f>
        <v/>
      </c>
      <c r="BA28">
        <f>BA27+IF(AND(AZ28&lt;&gt;"",COUNTIF(AZ$4:AZ28,AZ28)=1),1,0)</f>
        <v/>
      </c>
      <c r="BB28">
        <f>IF(ROW()-3&gt;MAX(BA$4:BA$40),"",INDEX(AZ$4:AZ$40,MATCH(ROW()-3,BA$4:BA$40,0)))</f>
        <v/>
      </c>
      <c r="BC28">
        <f>IF('Final Calculation Sheet'!$Q$28="","",'Final Calculation Sheet'!$Q$28)</f>
        <v/>
      </c>
      <c r="BD28">
        <f>BD27+IF(AND(BC28&lt;&gt;"",COUNTIF(BC$4:BC28,BC28)=1),1,0)</f>
        <v/>
      </c>
      <c r="BE28">
        <f>IF(ROW()-3&gt;MAX(BD$4:BD$40),"",INDEX(BC$4:BC$40,MATCH(ROW()-3,BD$4:BD$40,0)))</f>
        <v/>
      </c>
      <c r="BF28">
        <f>IF('Final Calculation Sheet'!$R$28="","",'Final Calculation Sheet'!$R$28)</f>
        <v/>
      </c>
      <c r="BG28">
        <f>BG27+IF(AND(BF28&lt;&gt;"",COUNTIF(BF$4:BF28,BF28)=1),1,0)</f>
        <v/>
      </c>
      <c r="BH28">
        <f>IF(ROW()-3&gt;MAX(BG$4:BG$40),"",INDEX(BF$4:BF$40,MATCH(ROW()-3,BG$4:BG$40,0)))</f>
        <v/>
      </c>
      <c r="BI28">
        <f>IF('Final Calculation Sheet'!$S$28="","",'Final Calculation Sheet'!$S$28)</f>
        <v/>
      </c>
      <c r="BJ28">
        <f>BJ27+IF(AND(BI28&lt;&gt;"",COUNTIF(BI$4:BI28,BI28)=1),1,0)</f>
        <v/>
      </c>
      <c r="BK28">
        <f>IF(ROW()-3&gt;MAX(BJ$4:BJ$40),"",INDEX(BI$4:BI$40,MATCH(ROW()-3,BJ$4:BJ$40,0)))</f>
        <v/>
      </c>
      <c r="BL28">
        <f>IF('Final Calculation Sheet'!$T$28="","",'Final Calculation Sheet'!$T$28)</f>
        <v/>
      </c>
      <c r="BM28">
        <f>BM27+IF(AND(BL28&lt;&gt;"",COUNTIF(BL$4:BL28,BL28)=1),1,0)</f>
        <v/>
      </c>
      <c r="BN28">
        <f>IF(ROW()-3&gt;MAX(BM$4:BM$40),"",INDEX(BL$4:BL$40,MATCH(ROW()-3,BM$4:BM$40,0)))</f>
        <v/>
      </c>
      <c r="BO28">
        <f>IF('Final Calculation Sheet'!$U$28="","",'Final Calculation Sheet'!$U$28)</f>
        <v/>
      </c>
      <c r="BP28">
        <f>BP27+IF(AND(BO28&lt;&gt;"",COUNTIF(BO$4:BO28,BO28)=1),1,0)</f>
        <v/>
      </c>
      <c r="BQ28">
        <f>IF(ROW()-3&gt;MAX(BP$4:BP$40),"",INDEX(BO$4:BO$40,MATCH(ROW()-3,BP$4:BP$40,0)))</f>
        <v/>
      </c>
      <c r="BR28">
        <f>IF('Final Calculation Sheet'!$V$28="","",'Final Calculation Sheet'!$V$28)</f>
        <v/>
      </c>
      <c r="BS28">
        <f>BS27+IF(AND(BR28&lt;&gt;"",COUNTIF(BR$4:BR28,BR28)=1),1,0)</f>
        <v/>
      </c>
      <c r="BT28">
        <f>IF(ROW()-3&gt;MAX(BS$4:BS$40),"",INDEX(BR$4:BR$40,MATCH(ROW()-3,BS$4:BS$40,0)))</f>
        <v/>
      </c>
      <c r="BU28">
        <f>IF('Final Calculation Sheet'!$W$28="","",'Final Calculation Sheet'!$W$28)</f>
        <v/>
      </c>
      <c r="BV28">
        <f>BV27+IF(AND(BU28&lt;&gt;"",COUNTIF(BU$4:BU28,BU28)=1),1,0)</f>
        <v/>
      </c>
      <c r="BW28">
        <f>IF(ROW()-3&gt;MAX(BV$4:BV$40),"",INDEX(BU$4:BU$40,MATCH(ROW()-3,BV$4:BV$40,0)))</f>
        <v/>
      </c>
      <c r="BX28">
        <f>IF('Final Calculation Sheet'!$X$28="","",'Final Calculation Sheet'!$X$28)</f>
        <v/>
      </c>
      <c r="BY28">
        <f>BY27+IF(AND(BX28&lt;&gt;"",COUNTIF(BX$4:BX28,BX28)=1),1,0)</f>
        <v/>
      </c>
      <c r="BZ28">
        <f>IF(ROW()-3&gt;MAX(BY$4:BY$40),"",INDEX(BX$4:BX$40,MATCH(ROW()-3,BY$4:BY$40,0)))</f>
        <v/>
      </c>
      <c r="CA28">
        <f>IF('Final Calculation Sheet'!$Y$28="","",'Final Calculation Sheet'!$Y$28)</f>
        <v/>
      </c>
      <c r="CB28">
        <f>CB27+IF(AND(CA28&lt;&gt;"",COUNTIF(CA$4:CA28,CA28)=1),1,0)</f>
        <v/>
      </c>
      <c r="CC28">
        <f>IF(ROW()-3&gt;MAX(CB$4:CB$40),"",INDEX(CA$4:CA$40,MATCH(ROW()-3,CB$4:CB$40,0)))</f>
        <v/>
      </c>
      <c r="CD28">
        <f>IF('Final Calculation Sheet'!$Z$28="","",'Final Calculation Sheet'!$Z$28)</f>
        <v/>
      </c>
      <c r="CE28">
        <f>CE27+IF(AND(CD28&lt;&gt;"",COUNTIF(CD$4:CD28,CD28)=1),1,0)</f>
        <v/>
      </c>
      <c r="CF28">
        <f>IF(ROW()-3&gt;MAX(CE$4:CE$40),"",INDEX(CD$4:CD$40,MATCH(ROW()-3,CE$4:CE$40,0)))</f>
        <v/>
      </c>
      <c r="CG28">
        <f>IF('Final Calculation Sheet'!$AA$28="","",'Final Calculation Sheet'!$AA$28)</f>
        <v/>
      </c>
      <c r="CH28">
        <f>CH27+IF(AND(CG28&lt;&gt;"",COUNTIF(CG$4:CG28,CG28)=1),1,0)</f>
        <v/>
      </c>
      <c r="CI28">
        <f>IF(ROW()-3&gt;MAX(CH$4:CH$40),"",INDEX(CG$4:CG$40,MATCH(ROW()-3,CH$4:CH$40,0)))</f>
        <v/>
      </c>
      <c r="CJ28">
        <f>IF('Final Calculation Sheet'!$AB$28="","",'Final Calculation Sheet'!$AB$28)</f>
        <v/>
      </c>
      <c r="CK28">
        <f>CK27+IF(AND(CJ28&lt;&gt;"",COUNTIF(CJ$4:CJ28,CJ28)=1),1,0)</f>
        <v/>
      </c>
      <c r="CL28">
        <f>IF(ROW()-3&gt;MAX(CK$4:CK$40),"",INDEX(CJ$4:CJ$40,MATCH(ROW()-3,CK$4:CK$40,0)))</f>
        <v/>
      </c>
      <c r="CM28">
        <f>IF('Final Calculation Sheet'!$AC$28="","",'Final Calculation Sheet'!$AC$28)</f>
        <v/>
      </c>
      <c r="CN28">
        <f>CN27+IF(AND(CM28&lt;&gt;"",COUNTIF(CM$4:CM28,CM28)=1),1,0)</f>
        <v/>
      </c>
      <c r="CO28">
        <f>IF(ROW()-3&gt;MAX(CN$4:CN$40),"",INDEX(CM$4:CM$40,MATCH(ROW()-3,CN$4:CN$40,0)))</f>
        <v/>
      </c>
      <c r="CP28">
        <f>IF('Final Calculation Sheet'!$AD$28="","",'Final Calculation Sheet'!$AD$28)</f>
        <v/>
      </c>
      <c r="CQ28">
        <f>CQ27+IF(AND(CP28&lt;&gt;"",COUNTIF(CP$4:CP28,CP28)=1),1,0)</f>
        <v/>
      </c>
      <c r="CR28">
        <f>IF(ROW()-3&gt;MAX(CQ$4:CQ$40),"",INDEX(CP$4:CP$40,MATCH(ROW()-3,CQ$4:CQ$40,0)))</f>
        <v/>
      </c>
      <c r="CS28">
        <f>IF('Final Calculation Sheet'!$AE$28="","",'Final Calculation Sheet'!$AE$28)</f>
        <v/>
      </c>
      <c r="CT28">
        <f>CT27+IF(AND(CS28&lt;&gt;"",COUNTIF(CS$4:CS28,CS28)=1),1,0)</f>
        <v/>
      </c>
      <c r="CU28">
        <f>IF(ROW()-3&gt;MAX(CT$4:CT$40),"",INDEX(CS$4:CS$40,MATCH(ROW()-3,CT$4:CT$40,0)))</f>
        <v/>
      </c>
      <c r="CV28">
        <f>IF('Final Calculation Sheet'!$AF$28="","",'Final Calculation Sheet'!$AF$28)</f>
        <v/>
      </c>
      <c r="CW28">
        <f>CW27+IF(AND(CV28&lt;&gt;"",COUNTIF(CV$4:CV28,CV28)=1),1,0)</f>
        <v/>
      </c>
      <c r="CX28">
        <f>IF(ROW()-3&gt;MAX(CW$4:CW$40),"",INDEX(CV$4:CV$40,MATCH(ROW()-3,CW$4:CW$40,0)))</f>
        <v/>
      </c>
      <c r="CY28">
        <f>IF('Final Calculation Sheet'!$AG$28="","",'Final Calculation Sheet'!$AG$28)</f>
        <v/>
      </c>
      <c r="CZ28">
        <f>CZ27+IF(AND(CY28&lt;&gt;"",COUNTIF(CY$4:CY28,CY28)=1),1,0)</f>
        <v/>
      </c>
      <c r="DA28">
        <f>IF(ROW()-3&gt;MAX(CZ$4:CZ$40),"",INDEX(CY$4:CY$40,MATCH(ROW()-3,CZ$4:CZ$40,0)))</f>
        <v/>
      </c>
      <c r="DC28">
        <f>DC27+IF(AND(DB28&lt;&gt;"",COUNTIF(DB$4:DB28,DB28)=1),1,0)</f>
        <v/>
      </c>
      <c r="DD28">
        <f>IF(ROW()-3&gt;MAX(DC$4:DC$40),"",INDEX(DB$4:DB$40,MATCH(ROW()-3,DC$4:DC$40,0)))</f>
        <v/>
      </c>
    </row>
    <row r="29">
      <c r="A29">
        <f>IF('Final Calculation Sheet'!$F$29="","",'Final Calculation Sheet'!$F$29)</f>
        <v/>
      </c>
      <c r="B29">
        <f>B28+IF(AND(A29&lt;&gt;"",COUNTIF(A$4:A29,A29)=1),1,0)</f>
        <v/>
      </c>
      <c r="C29">
        <f>IF(ROW()-3&gt;MAX(B$4:B$114),"",INDEX(A$4:A$114,MATCH(ROW()-3,B$4:B$114,0)))</f>
        <v/>
      </c>
      <c r="D29">
        <f>ROW()-3</f>
        <v/>
      </c>
      <c r="E29">
        <f>E28+IF(AND(D29&lt;&gt;"",COUNTIF(D$4:D29,D29)=1),1,0)</f>
        <v/>
      </c>
      <c r="F29">
        <f>IF(ROW()-3&gt;MAX(E$4:E$40),"",INDEX(D$4:D$40,MATCH(ROW()-3,E$4:E$40,0)))</f>
        <v/>
      </c>
      <c r="G29">
        <f>IF('Final Calculation Sheet'!$F$29="","",'Final Calculation Sheet'!$F$29)</f>
        <v/>
      </c>
      <c r="H29">
        <f>H28+IF(AND(G29&lt;&gt;"",COUNTIF(G$4:G29,G29)=1),1,0)</f>
        <v/>
      </c>
      <c r="I29">
        <f>IF(ROW()-3&gt;MAX(H$4:H$40),"",INDEX(G$4:G$40,MATCH(ROW()-3,H$4:H$40,0)))</f>
        <v/>
      </c>
      <c r="J29">
        <f>IF('Final Calculation Sheet'!$G$29="","",'Final Calculation Sheet'!$G$29)</f>
        <v/>
      </c>
      <c r="K29">
        <f>K28+IF(AND(J29&lt;&gt;"",COUNTIF(J$4:J29,J29)=1),1,0)</f>
        <v/>
      </c>
      <c r="L29">
        <f>IF(ROW()-3&gt;MAX(K$4:K$40),"",INDEX(J$4:J$40,MATCH(ROW()-3,K$4:K$40,0)))</f>
        <v/>
      </c>
      <c r="M29">
        <f>IF('Final Calculation Sheet'!$B$29="","",'Final Calculation Sheet'!$B$29)</f>
        <v/>
      </c>
      <c r="N29">
        <f>N28+IF(AND(M29&lt;&gt;"",COUNTIF(M$4:M29,M29)=1),1,0)</f>
        <v/>
      </c>
      <c r="O29">
        <f>IF(ROW()-3&gt;MAX(N$4:N$40),"",INDEX(M$4:M$40,MATCH(ROW()-3,N$4:N$40,0)))</f>
        <v/>
      </c>
      <c r="P29">
        <f>IF('Final Calculation Sheet'!$D$29="","",'Final Calculation Sheet'!$D$29)</f>
        <v/>
      </c>
      <c r="Q29">
        <f>Q28+IF(AND(P29&lt;&gt;"",COUNTIF(P$4:P29,P29)=1),1,0)</f>
        <v/>
      </c>
      <c r="R29">
        <f>IF(ROW()-3&gt;MAX(Q$4:Q$40),"",INDEX(P$4:P$40,MATCH(ROW()-3,Q$4:Q$40,0)))</f>
        <v/>
      </c>
      <c r="S29">
        <f>IF('Final Calculation Sheet'!$A$29="","",'Final Calculation Sheet'!$A$29)</f>
        <v/>
      </c>
      <c r="T29">
        <f>T28+IF(AND(S29&lt;&gt;"",COUNTIF(S$4:S29,S29)=1),1,0)</f>
        <v/>
      </c>
      <c r="U29">
        <f>IF(ROW()-3&gt;MAX(T$4:T$40),"",INDEX(S$4:S$40,MATCH(ROW()-3,T$4:T$40,0)))</f>
        <v/>
      </c>
      <c r="V29">
        <f>IF('Final Calculation Sheet'!$E$29="","",'Final Calculation Sheet'!$E$29)</f>
        <v/>
      </c>
      <c r="W29">
        <f>W28+IF(AND(V29&lt;&gt;"",COUNTIF(V$4:V29,V29)=1),1,0)</f>
        <v/>
      </c>
      <c r="X29">
        <f>IF(ROW()-3&gt;MAX(W$4:W$40),"",INDEX(V$4:V$40,MATCH(ROW()-3,W$4:W$40,0)))</f>
        <v/>
      </c>
      <c r="Y29">
        <f>IF('Final Calculation Sheet'!$C$29="","",'Final Calculation Sheet'!$C$29)</f>
        <v/>
      </c>
      <c r="Z29">
        <f>Z28+IF(AND(Y29&lt;&gt;"",COUNTIF(Y$4:Y29,Y29)=1),1,0)</f>
        <v/>
      </c>
      <c r="AA29">
        <f>IF(ROW()-3&gt;MAX(Z$4:Z$40),"",INDEX(Y$4:Y$40,MATCH(ROW()-3,Z$4:Z$40,0)))</f>
        <v/>
      </c>
      <c r="AB29">
        <f>IF('Final Calculation Sheet'!$H$29="","",'Final Calculation Sheet'!$H$29)</f>
        <v/>
      </c>
      <c r="AC29">
        <f>AC28+IF(AND(AB29&lt;&gt;"",COUNTIF(AB$4:AB29,AB29)=1),1,0)</f>
        <v/>
      </c>
      <c r="AD29">
        <f>IF(ROW()-3&gt;MAX(AC$4:AC$40),"",INDEX(AB$4:AB$40,MATCH(ROW()-3,AC$4:AC$40,0)))</f>
        <v/>
      </c>
      <c r="AE29">
        <f>IF('Final Calculation Sheet'!$I$29="","",'Final Calculation Sheet'!$I$29)</f>
        <v/>
      </c>
      <c r="AF29">
        <f>AF28+IF(AND(AE29&lt;&gt;"",COUNTIF(AE$4:AE29,AE29)=1),1,0)</f>
        <v/>
      </c>
      <c r="AG29">
        <f>IF(ROW()-3&gt;MAX(AF$4:AF$40),"",INDEX(AE$4:AE$40,MATCH(ROW()-3,AF$4:AF$40,0)))</f>
        <v/>
      </c>
      <c r="AH29">
        <f>IF('Final Calculation Sheet'!$J$29="","",'Final Calculation Sheet'!$J$29)</f>
        <v/>
      </c>
      <c r="AI29">
        <f>AI28+IF(AND(AH29&lt;&gt;"",COUNTIF(AH$4:AH29,AH29)=1),1,0)</f>
        <v/>
      </c>
      <c r="AJ29">
        <f>IF(ROW()-3&gt;MAX(AI$4:AI$40),"",INDEX(AH$4:AH$40,MATCH(ROW()-3,AI$4:AI$40,0)))</f>
        <v/>
      </c>
      <c r="AK29">
        <f>IF('Final Calculation Sheet'!$K$29="","",'Final Calculation Sheet'!$K$29)</f>
        <v/>
      </c>
      <c r="AL29">
        <f>AL28+IF(AND(AK29&lt;&gt;"",COUNTIF(AK$4:AK29,AK29)=1),1,0)</f>
        <v/>
      </c>
      <c r="AM29">
        <f>IF(ROW()-3&gt;MAX(AL$4:AL$40),"",INDEX(AK$4:AK$40,MATCH(ROW()-3,AL$4:AL$40,0)))</f>
        <v/>
      </c>
      <c r="AN29">
        <f>IF('Final Calculation Sheet'!$L$29="","",'Final Calculation Sheet'!$L$29)</f>
        <v/>
      </c>
      <c r="AO29">
        <f>AO28+IF(AND(AN29&lt;&gt;"",COUNTIF(AN$4:AN29,AN29)=1),1,0)</f>
        <v/>
      </c>
      <c r="AP29">
        <f>IF(ROW()-3&gt;MAX(AO$4:AO$40),"",INDEX(AN$4:AN$40,MATCH(ROW()-3,AO$4:AO$40,0)))</f>
        <v/>
      </c>
      <c r="AQ29">
        <f>IF('Final Calculation Sheet'!$M$29="","",'Final Calculation Sheet'!$M$29)</f>
        <v/>
      </c>
      <c r="AR29">
        <f>AR28+IF(AND(AQ29&lt;&gt;"",COUNTIF(AQ$4:AQ29,AQ29)=1),1,0)</f>
        <v/>
      </c>
      <c r="AS29">
        <f>IF(ROW()-3&gt;MAX(AR$4:AR$40),"",INDEX(AQ$4:AQ$40,MATCH(ROW()-3,AR$4:AR$40,0)))</f>
        <v/>
      </c>
      <c r="AT29">
        <f>IF('Final Calculation Sheet'!$N$29="","",'Final Calculation Sheet'!$N$29)</f>
        <v/>
      </c>
      <c r="AU29">
        <f>AU28+IF(AND(AT29&lt;&gt;"",COUNTIF(AT$4:AT29,AT29)=1),1,0)</f>
        <v/>
      </c>
      <c r="AV29">
        <f>IF(ROW()-3&gt;MAX(AU$4:AU$40),"",INDEX(AT$4:AT$40,MATCH(ROW()-3,AU$4:AU$40,0)))</f>
        <v/>
      </c>
      <c r="AW29">
        <f>IF('Final Calculation Sheet'!$O$29="","",'Final Calculation Sheet'!$O$29)</f>
        <v/>
      </c>
      <c r="AX29">
        <f>AX28+IF(AND(AW29&lt;&gt;"",COUNTIF(AW$4:AW29,AW29)=1),1,0)</f>
        <v/>
      </c>
      <c r="AY29">
        <f>IF(ROW()-3&gt;MAX(AX$4:AX$40),"",INDEX(AW$4:AW$40,MATCH(ROW()-3,AX$4:AX$40,0)))</f>
        <v/>
      </c>
      <c r="AZ29">
        <f>IF('Final Calculation Sheet'!$P$29="","",'Final Calculation Sheet'!$P$29)</f>
        <v/>
      </c>
      <c r="BA29">
        <f>BA28+IF(AND(AZ29&lt;&gt;"",COUNTIF(AZ$4:AZ29,AZ29)=1),1,0)</f>
        <v/>
      </c>
      <c r="BB29">
        <f>IF(ROW()-3&gt;MAX(BA$4:BA$40),"",INDEX(AZ$4:AZ$40,MATCH(ROW()-3,BA$4:BA$40,0)))</f>
        <v/>
      </c>
      <c r="BC29">
        <f>IF('Final Calculation Sheet'!$Q$29="","",'Final Calculation Sheet'!$Q$29)</f>
        <v/>
      </c>
      <c r="BD29">
        <f>BD28+IF(AND(BC29&lt;&gt;"",COUNTIF(BC$4:BC29,BC29)=1),1,0)</f>
        <v/>
      </c>
      <c r="BE29">
        <f>IF(ROW()-3&gt;MAX(BD$4:BD$40),"",INDEX(BC$4:BC$40,MATCH(ROW()-3,BD$4:BD$40,0)))</f>
        <v/>
      </c>
      <c r="BF29">
        <f>IF('Final Calculation Sheet'!$R$29="","",'Final Calculation Sheet'!$R$29)</f>
        <v/>
      </c>
      <c r="BG29">
        <f>BG28+IF(AND(BF29&lt;&gt;"",COUNTIF(BF$4:BF29,BF29)=1),1,0)</f>
        <v/>
      </c>
      <c r="BH29">
        <f>IF(ROW()-3&gt;MAX(BG$4:BG$40),"",INDEX(BF$4:BF$40,MATCH(ROW()-3,BG$4:BG$40,0)))</f>
        <v/>
      </c>
      <c r="BI29">
        <f>IF('Final Calculation Sheet'!$S$29="","",'Final Calculation Sheet'!$S$29)</f>
        <v/>
      </c>
      <c r="BJ29">
        <f>BJ28+IF(AND(BI29&lt;&gt;"",COUNTIF(BI$4:BI29,BI29)=1),1,0)</f>
        <v/>
      </c>
      <c r="BK29">
        <f>IF(ROW()-3&gt;MAX(BJ$4:BJ$40),"",INDEX(BI$4:BI$40,MATCH(ROW()-3,BJ$4:BJ$40,0)))</f>
        <v/>
      </c>
      <c r="BL29">
        <f>IF('Final Calculation Sheet'!$T$29="","",'Final Calculation Sheet'!$T$29)</f>
        <v/>
      </c>
      <c r="BM29">
        <f>BM28+IF(AND(BL29&lt;&gt;"",COUNTIF(BL$4:BL29,BL29)=1),1,0)</f>
        <v/>
      </c>
      <c r="BN29">
        <f>IF(ROW()-3&gt;MAX(BM$4:BM$40),"",INDEX(BL$4:BL$40,MATCH(ROW()-3,BM$4:BM$40,0)))</f>
        <v/>
      </c>
      <c r="BO29">
        <f>IF('Final Calculation Sheet'!$U$29="","",'Final Calculation Sheet'!$U$29)</f>
        <v/>
      </c>
      <c r="BP29">
        <f>BP28+IF(AND(BO29&lt;&gt;"",COUNTIF(BO$4:BO29,BO29)=1),1,0)</f>
        <v/>
      </c>
      <c r="BQ29">
        <f>IF(ROW()-3&gt;MAX(BP$4:BP$40),"",INDEX(BO$4:BO$40,MATCH(ROW()-3,BP$4:BP$40,0)))</f>
        <v/>
      </c>
      <c r="BR29">
        <f>IF('Final Calculation Sheet'!$V$29="","",'Final Calculation Sheet'!$V$29)</f>
        <v/>
      </c>
      <c r="BS29">
        <f>BS28+IF(AND(BR29&lt;&gt;"",COUNTIF(BR$4:BR29,BR29)=1),1,0)</f>
        <v/>
      </c>
      <c r="BT29">
        <f>IF(ROW()-3&gt;MAX(BS$4:BS$40),"",INDEX(BR$4:BR$40,MATCH(ROW()-3,BS$4:BS$40,0)))</f>
        <v/>
      </c>
      <c r="BU29">
        <f>IF('Final Calculation Sheet'!$W$29="","",'Final Calculation Sheet'!$W$29)</f>
        <v/>
      </c>
      <c r="BV29">
        <f>BV28+IF(AND(BU29&lt;&gt;"",COUNTIF(BU$4:BU29,BU29)=1),1,0)</f>
        <v/>
      </c>
      <c r="BW29">
        <f>IF(ROW()-3&gt;MAX(BV$4:BV$40),"",INDEX(BU$4:BU$40,MATCH(ROW()-3,BV$4:BV$40,0)))</f>
        <v/>
      </c>
      <c r="BX29">
        <f>IF('Final Calculation Sheet'!$X$29="","",'Final Calculation Sheet'!$X$29)</f>
        <v/>
      </c>
      <c r="BY29">
        <f>BY28+IF(AND(BX29&lt;&gt;"",COUNTIF(BX$4:BX29,BX29)=1),1,0)</f>
        <v/>
      </c>
      <c r="BZ29">
        <f>IF(ROW()-3&gt;MAX(BY$4:BY$40),"",INDEX(BX$4:BX$40,MATCH(ROW()-3,BY$4:BY$40,0)))</f>
        <v/>
      </c>
      <c r="CA29">
        <f>IF('Final Calculation Sheet'!$Y$29="","",'Final Calculation Sheet'!$Y$29)</f>
        <v/>
      </c>
      <c r="CB29">
        <f>CB28+IF(AND(CA29&lt;&gt;"",COUNTIF(CA$4:CA29,CA29)=1),1,0)</f>
        <v/>
      </c>
      <c r="CC29">
        <f>IF(ROW()-3&gt;MAX(CB$4:CB$40),"",INDEX(CA$4:CA$40,MATCH(ROW()-3,CB$4:CB$40,0)))</f>
        <v/>
      </c>
      <c r="CD29">
        <f>IF('Final Calculation Sheet'!$Z$29="","",'Final Calculation Sheet'!$Z$29)</f>
        <v/>
      </c>
      <c r="CE29">
        <f>CE28+IF(AND(CD29&lt;&gt;"",COUNTIF(CD$4:CD29,CD29)=1),1,0)</f>
        <v/>
      </c>
      <c r="CF29">
        <f>IF(ROW()-3&gt;MAX(CE$4:CE$40),"",INDEX(CD$4:CD$40,MATCH(ROW()-3,CE$4:CE$40,0)))</f>
        <v/>
      </c>
      <c r="CG29">
        <f>IF('Final Calculation Sheet'!$AA$29="","",'Final Calculation Sheet'!$AA$29)</f>
        <v/>
      </c>
      <c r="CH29">
        <f>CH28+IF(AND(CG29&lt;&gt;"",COUNTIF(CG$4:CG29,CG29)=1),1,0)</f>
        <v/>
      </c>
      <c r="CI29">
        <f>IF(ROW()-3&gt;MAX(CH$4:CH$40),"",INDEX(CG$4:CG$40,MATCH(ROW()-3,CH$4:CH$40,0)))</f>
        <v/>
      </c>
      <c r="CJ29">
        <f>IF('Final Calculation Sheet'!$AB$29="","",'Final Calculation Sheet'!$AB$29)</f>
        <v/>
      </c>
      <c r="CK29">
        <f>CK28+IF(AND(CJ29&lt;&gt;"",COUNTIF(CJ$4:CJ29,CJ29)=1),1,0)</f>
        <v/>
      </c>
      <c r="CL29">
        <f>IF(ROW()-3&gt;MAX(CK$4:CK$40),"",INDEX(CJ$4:CJ$40,MATCH(ROW()-3,CK$4:CK$40,0)))</f>
        <v/>
      </c>
      <c r="CM29">
        <f>IF('Final Calculation Sheet'!$AC$29="","",'Final Calculation Sheet'!$AC$29)</f>
        <v/>
      </c>
      <c r="CN29">
        <f>CN28+IF(AND(CM29&lt;&gt;"",COUNTIF(CM$4:CM29,CM29)=1),1,0)</f>
        <v/>
      </c>
      <c r="CO29">
        <f>IF(ROW()-3&gt;MAX(CN$4:CN$40),"",INDEX(CM$4:CM$40,MATCH(ROW()-3,CN$4:CN$40,0)))</f>
        <v/>
      </c>
      <c r="CP29">
        <f>IF('Final Calculation Sheet'!$AD$29="","",'Final Calculation Sheet'!$AD$29)</f>
        <v/>
      </c>
      <c r="CQ29">
        <f>CQ28+IF(AND(CP29&lt;&gt;"",COUNTIF(CP$4:CP29,CP29)=1),1,0)</f>
        <v/>
      </c>
      <c r="CR29">
        <f>IF(ROW()-3&gt;MAX(CQ$4:CQ$40),"",INDEX(CP$4:CP$40,MATCH(ROW()-3,CQ$4:CQ$40,0)))</f>
        <v/>
      </c>
      <c r="CS29">
        <f>IF('Final Calculation Sheet'!$AE$29="","",'Final Calculation Sheet'!$AE$29)</f>
        <v/>
      </c>
      <c r="CT29">
        <f>CT28+IF(AND(CS29&lt;&gt;"",COUNTIF(CS$4:CS29,CS29)=1),1,0)</f>
        <v/>
      </c>
      <c r="CU29">
        <f>IF(ROW()-3&gt;MAX(CT$4:CT$40),"",INDEX(CS$4:CS$40,MATCH(ROW()-3,CT$4:CT$40,0)))</f>
        <v/>
      </c>
      <c r="CV29">
        <f>IF('Final Calculation Sheet'!$AF$29="","",'Final Calculation Sheet'!$AF$29)</f>
        <v/>
      </c>
      <c r="CW29">
        <f>CW28+IF(AND(CV29&lt;&gt;"",COUNTIF(CV$4:CV29,CV29)=1),1,0)</f>
        <v/>
      </c>
      <c r="CX29">
        <f>IF(ROW()-3&gt;MAX(CW$4:CW$40),"",INDEX(CV$4:CV$40,MATCH(ROW()-3,CW$4:CW$40,0)))</f>
        <v/>
      </c>
      <c r="CY29">
        <f>IF('Final Calculation Sheet'!$AG$29="","",'Final Calculation Sheet'!$AG$29)</f>
        <v/>
      </c>
      <c r="CZ29">
        <f>CZ28+IF(AND(CY29&lt;&gt;"",COUNTIF(CY$4:CY29,CY29)=1),1,0)</f>
        <v/>
      </c>
      <c r="DA29">
        <f>IF(ROW()-3&gt;MAX(CZ$4:CZ$40),"",INDEX(CY$4:CY$40,MATCH(ROW()-3,CZ$4:CZ$40,0)))</f>
        <v/>
      </c>
      <c r="DC29">
        <f>DC28+IF(AND(DB29&lt;&gt;"",COUNTIF(DB$4:DB29,DB29)=1),1,0)</f>
        <v/>
      </c>
      <c r="DD29">
        <f>IF(ROW()-3&gt;MAX(DC$4:DC$40),"",INDEX(DB$4:DB$40,MATCH(ROW()-3,DC$4:DC$40,0)))</f>
        <v/>
      </c>
    </row>
    <row r="30">
      <c r="A30">
        <f>IF('Final Calculation Sheet'!$F$30="","",'Final Calculation Sheet'!$F$30)</f>
        <v/>
      </c>
      <c r="B30">
        <f>B29+IF(AND(A30&lt;&gt;"",COUNTIF(A$4:A30,A30)=1),1,0)</f>
        <v/>
      </c>
      <c r="C30">
        <f>IF(ROW()-3&gt;MAX(B$4:B$114),"",INDEX(A$4:A$114,MATCH(ROW()-3,B$4:B$114,0)))</f>
        <v/>
      </c>
      <c r="D30">
        <f>ROW()-3</f>
        <v/>
      </c>
      <c r="E30">
        <f>E29+IF(AND(D30&lt;&gt;"",COUNTIF(D$4:D30,D30)=1),1,0)</f>
        <v/>
      </c>
      <c r="F30">
        <f>IF(ROW()-3&gt;MAX(E$4:E$40),"",INDEX(D$4:D$40,MATCH(ROW()-3,E$4:E$40,0)))</f>
        <v/>
      </c>
      <c r="G30">
        <f>IF('Final Calculation Sheet'!$F$30="","",'Final Calculation Sheet'!$F$30)</f>
        <v/>
      </c>
      <c r="H30">
        <f>H29+IF(AND(G30&lt;&gt;"",COUNTIF(G$4:G30,G30)=1),1,0)</f>
        <v/>
      </c>
      <c r="I30">
        <f>IF(ROW()-3&gt;MAX(H$4:H$40),"",INDEX(G$4:G$40,MATCH(ROW()-3,H$4:H$40,0)))</f>
        <v/>
      </c>
      <c r="J30">
        <f>IF('Final Calculation Sheet'!$G$30="","",'Final Calculation Sheet'!$G$30)</f>
        <v/>
      </c>
      <c r="K30">
        <f>K29+IF(AND(J30&lt;&gt;"",COUNTIF(J$4:J30,J30)=1),1,0)</f>
        <v/>
      </c>
      <c r="L30">
        <f>IF(ROW()-3&gt;MAX(K$4:K$40),"",INDEX(J$4:J$40,MATCH(ROW()-3,K$4:K$40,0)))</f>
        <v/>
      </c>
      <c r="M30">
        <f>IF('Final Calculation Sheet'!$B$30="","",'Final Calculation Sheet'!$B$30)</f>
        <v/>
      </c>
      <c r="N30">
        <f>N29+IF(AND(M30&lt;&gt;"",COUNTIF(M$4:M30,M30)=1),1,0)</f>
        <v/>
      </c>
      <c r="O30">
        <f>IF(ROW()-3&gt;MAX(N$4:N$40),"",INDEX(M$4:M$40,MATCH(ROW()-3,N$4:N$40,0)))</f>
        <v/>
      </c>
      <c r="P30">
        <f>IF('Final Calculation Sheet'!$D$30="","",'Final Calculation Sheet'!$D$30)</f>
        <v/>
      </c>
      <c r="Q30">
        <f>Q29+IF(AND(P30&lt;&gt;"",COUNTIF(P$4:P30,P30)=1),1,0)</f>
        <v/>
      </c>
      <c r="R30">
        <f>IF(ROW()-3&gt;MAX(Q$4:Q$40),"",INDEX(P$4:P$40,MATCH(ROW()-3,Q$4:Q$40,0)))</f>
        <v/>
      </c>
      <c r="S30">
        <f>IF('Final Calculation Sheet'!$A$30="","",'Final Calculation Sheet'!$A$30)</f>
        <v/>
      </c>
      <c r="T30">
        <f>T29+IF(AND(S30&lt;&gt;"",COUNTIF(S$4:S30,S30)=1),1,0)</f>
        <v/>
      </c>
      <c r="U30">
        <f>IF(ROW()-3&gt;MAX(T$4:T$40),"",INDEX(S$4:S$40,MATCH(ROW()-3,T$4:T$40,0)))</f>
        <v/>
      </c>
      <c r="V30">
        <f>IF('Final Calculation Sheet'!$E$30="","",'Final Calculation Sheet'!$E$30)</f>
        <v/>
      </c>
      <c r="W30">
        <f>W29+IF(AND(V30&lt;&gt;"",COUNTIF(V$4:V30,V30)=1),1,0)</f>
        <v/>
      </c>
      <c r="X30">
        <f>IF(ROW()-3&gt;MAX(W$4:W$40),"",INDEX(V$4:V$40,MATCH(ROW()-3,W$4:W$40,0)))</f>
        <v/>
      </c>
      <c r="Y30">
        <f>IF('Final Calculation Sheet'!$C$30="","",'Final Calculation Sheet'!$C$30)</f>
        <v/>
      </c>
      <c r="Z30">
        <f>Z29+IF(AND(Y30&lt;&gt;"",COUNTIF(Y$4:Y30,Y30)=1),1,0)</f>
        <v/>
      </c>
      <c r="AA30">
        <f>IF(ROW()-3&gt;MAX(Z$4:Z$40),"",INDEX(Y$4:Y$40,MATCH(ROW()-3,Z$4:Z$40,0)))</f>
        <v/>
      </c>
      <c r="AB30">
        <f>IF('Final Calculation Sheet'!$H$30="","",'Final Calculation Sheet'!$H$30)</f>
        <v/>
      </c>
      <c r="AC30">
        <f>AC29+IF(AND(AB30&lt;&gt;"",COUNTIF(AB$4:AB30,AB30)=1),1,0)</f>
        <v/>
      </c>
      <c r="AD30">
        <f>IF(ROW()-3&gt;MAX(AC$4:AC$40),"",INDEX(AB$4:AB$40,MATCH(ROW()-3,AC$4:AC$40,0)))</f>
        <v/>
      </c>
      <c r="AE30">
        <f>IF('Final Calculation Sheet'!$I$30="","",'Final Calculation Sheet'!$I$30)</f>
        <v/>
      </c>
      <c r="AF30">
        <f>AF29+IF(AND(AE30&lt;&gt;"",COUNTIF(AE$4:AE30,AE30)=1),1,0)</f>
        <v/>
      </c>
      <c r="AG30">
        <f>IF(ROW()-3&gt;MAX(AF$4:AF$40),"",INDEX(AE$4:AE$40,MATCH(ROW()-3,AF$4:AF$40,0)))</f>
        <v/>
      </c>
      <c r="AH30">
        <f>IF('Final Calculation Sheet'!$J$30="","",'Final Calculation Sheet'!$J$30)</f>
        <v/>
      </c>
      <c r="AI30">
        <f>AI29+IF(AND(AH30&lt;&gt;"",COUNTIF(AH$4:AH30,AH30)=1),1,0)</f>
        <v/>
      </c>
      <c r="AJ30">
        <f>IF(ROW()-3&gt;MAX(AI$4:AI$40),"",INDEX(AH$4:AH$40,MATCH(ROW()-3,AI$4:AI$40,0)))</f>
        <v/>
      </c>
      <c r="AK30">
        <f>IF('Final Calculation Sheet'!$K$30="","",'Final Calculation Sheet'!$K$30)</f>
        <v/>
      </c>
      <c r="AL30">
        <f>AL29+IF(AND(AK30&lt;&gt;"",COUNTIF(AK$4:AK30,AK30)=1),1,0)</f>
        <v/>
      </c>
      <c r="AM30">
        <f>IF(ROW()-3&gt;MAX(AL$4:AL$40),"",INDEX(AK$4:AK$40,MATCH(ROW()-3,AL$4:AL$40,0)))</f>
        <v/>
      </c>
      <c r="AN30">
        <f>IF('Final Calculation Sheet'!$L$30="","",'Final Calculation Sheet'!$L$30)</f>
        <v/>
      </c>
      <c r="AO30">
        <f>AO29+IF(AND(AN30&lt;&gt;"",COUNTIF(AN$4:AN30,AN30)=1),1,0)</f>
        <v/>
      </c>
      <c r="AP30">
        <f>IF(ROW()-3&gt;MAX(AO$4:AO$40),"",INDEX(AN$4:AN$40,MATCH(ROW()-3,AO$4:AO$40,0)))</f>
        <v/>
      </c>
      <c r="AQ30">
        <f>IF('Final Calculation Sheet'!$M$30="","",'Final Calculation Sheet'!$M$30)</f>
        <v/>
      </c>
      <c r="AR30">
        <f>AR29+IF(AND(AQ30&lt;&gt;"",COUNTIF(AQ$4:AQ30,AQ30)=1),1,0)</f>
        <v/>
      </c>
      <c r="AS30">
        <f>IF(ROW()-3&gt;MAX(AR$4:AR$40),"",INDEX(AQ$4:AQ$40,MATCH(ROW()-3,AR$4:AR$40,0)))</f>
        <v/>
      </c>
      <c r="AT30">
        <f>IF('Final Calculation Sheet'!$N$30="","",'Final Calculation Sheet'!$N$30)</f>
        <v/>
      </c>
      <c r="AU30">
        <f>AU29+IF(AND(AT30&lt;&gt;"",COUNTIF(AT$4:AT30,AT30)=1),1,0)</f>
        <v/>
      </c>
      <c r="AV30">
        <f>IF(ROW()-3&gt;MAX(AU$4:AU$40),"",INDEX(AT$4:AT$40,MATCH(ROW()-3,AU$4:AU$40,0)))</f>
        <v/>
      </c>
      <c r="AW30">
        <f>IF('Final Calculation Sheet'!$O$30="","",'Final Calculation Sheet'!$O$30)</f>
        <v/>
      </c>
      <c r="AX30">
        <f>AX29+IF(AND(AW30&lt;&gt;"",COUNTIF(AW$4:AW30,AW30)=1),1,0)</f>
        <v/>
      </c>
      <c r="AY30">
        <f>IF(ROW()-3&gt;MAX(AX$4:AX$40),"",INDEX(AW$4:AW$40,MATCH(ROW()-3,AX$4:AX$40,0)))</f>
        <v/>
      </c>
      <c r="AZ30">
        <f>IF('Final Calculation Sheet'!$P$30="","",'Final Calculation Sheet'!$P$30)</f>
        <v/>
      </c>
      <c r="BA30">
        <f>BA29+IF(AND(AZ30&lt;&gt;"",COUNTIF(AZ$4:AZ30,AZ30)=1),1,0)</f>
        <v/>
      </c>
      <c r="BB30">
        <f>IF(ROW()-3&gt;MAX(BA$4:BA$40),"",INDEX(AZ$4:AZ$40,MATCH(ROW()-3,BA$4:BA$40,0)))</f>
        <v/>
      </c>
      <c r="BC30">
        <f>IF('Final Calculation Sheet'!$Q$30="","",'Final Calculation Sheet'!$Q$30)</f>
        <v/>
      </c>
      <c r="BD30">
        <f>BD29+IF(AND(BC30&lt;&gt;"",COUNTIF(BC$4:BC30,BC30)=1),1,0)</f>
        <v/>
      </c>
      <c r="BE30">
        <f>IF(ROW()-3&gt;MAX(BD$4:BD$40),"",INDEX(BC$4:BC$40,MATCH(ROW()-3,BD$4:BD$40,0)))</f>
        <v/>
      </c>
      <c r="BF30">
        <f>IF('Final Calculation Sheet'!$R$30="","",'Final Calculation Sheet'!$R$30)</f>
        <v/>
      </c>
      <c r="BG30">
        <f>BG29+IF(AND(BF30&lt;&gt;"",COUNTIF(BF$4:BF30,BF30)=1),1,0)</f>
        <v/>
      </c>
      <c r="BH30">
        <f>IF(ROW()-3&gt;MAX(BG$4:BG$40),"",INDEX(BF$4:BF$40,MATCH(ROW()-3,BG$4:BG$40,0)))</f>
        <v/>
      </c>
      <c r="BI30">
        <f>IF('Final Calculation Sheet'!$S$30="","",'Final Calculation Sheet'!$S$30)</f>
        <v/>
      </c>
      <c r="BJ30">
        <f>BJ29+IF(AND(BI30&lt;&gt;"",COUNTIF(BI$4:BI30,BI30)=1),1,0)</f>
        <v/>
      </c>
      <c r="BK30">
        <f>IF(ROW()-3&gt;MAX(BJ$4:BJ$40),"",INDEX(BI$4:BI$40,MATCH(ROW()-3,BJ$4:BJ$40,0)))</f>
        <v/>
      </c>
      <c r="BL30">
        <f>IF('Final Calculation Sheet'!$T$30="","",'Final Calculation Sheet'!$T$30)</f>
        <v/>
      </c>
      <c r="BM30">
        <f>BM29+IF(AND(BL30&lt;&gt;"",COUNTIF(BL$4:BL30,BL30)=1),1,0)</f>
        <v/>
      </c>
      <c r="BN30">
        <f>IF(ROW()-3&gt;MAX(BM$4:BM$40),"",INDEX(BL$4:BL$40,MATCH(ROW()-3,BM$4:BM$40,0)))</f>
        <v/>
      </c>
      <c r="BO30">
        <f>IF('Final Calculation Sheet'!$U$30="","",'Final Calculation Sheet'!$U$30)</f>
        <v/>
      </c>
      <c r="BP30">
        <f>BP29+IF(AND(BO30&lt;&gt;"",COUNTIF(BO$4:BO30,BO30)=1),1,0)</f>
        <v/>
      </c>
      <c r="BQ30">
        <f>IF(ROW()-3&gt;MAX(BP$4:BP$40),"",INDEX(BO$4:BO$40,MATCH(ROW()-3,BP$4:BP$40,0)))</f>
        <v/>
      </c>
      <c r="BR30">
        <f>IF('Final Calculation Sheet'!$V$30="","",'Final Calculation Sheet'!$V$30)</f>
        <v/>
      </c>
      <c r="BS30">
        <f>BS29+IF(AND(BR30&lt;&gt;"",COUNTIF(BR$4:BR30,BR30)=1),1,0)</f>
        <v/>
      </c>
      <c r="BT30">
        <f>IF(ROW()-3&gt;MAX(BS$4:BS$40),"",INDEX(BR$4:BR$40,MATCH(ROW()-3,BS$4:BS$40,0)))</f>
        <v/>
      </c>
      <c r="BU30">
        <f>IF('Final Calculation Sheet'!$W$30="","",'Final Calculation Sheet'!$W$30)</f>
        <v/>
      </c>
      <c r="BV30">
        <f>BV29+IF(AND(BU30&lt;&gt;"",COUNTIF(BU$4:BU30,BU30)=1),1,0)</f>
        <v/>
      </c>
      <c r="BW30">
        <f>IF(ROW()-3&gt;MAX(BV$4:BV$40),"",INDEX(BU$4:BU$40,MATCH(ROW()-3,BV$4:BV$40,0)))</f>
        <v/>
      </c>
      <c r="BX30">
        <f>IF('Final Calculation Sheet'!$X$30="","",'Final Calculation Sheet'!$X$30)</f>
        <v/>
      </c>
      <c r="BY30">
        <f>BY29+IF(AND(BX30&lt;&gt;"",COUNTIF(BX$4:BX30,BX30)=1),1,0)</f>
        <v/>
      </c>
      <c r="BZ30">
        <f>IF(ROW()-3&gt;MAX(BY$4:BY$40),"",INDEX(BX$4:BX$40,MATCH(ROW()-3,BY$4:BY$40,0)))</f>
        <v/>
      </c>
      <c r="CA30">
        <f>IF('Final Calculation Sheet'!$Y$30="","",'Final Calculation Sheet'!$Y$30)</f>
        <v/>
      </c>
      <c r="CB30">
        <f>CB29+IF(AND(CA30&lt;&gt;"",COUNTIF(CA$4:CA30,CA30)=1),1,0)</f>
        <v/>
      </c>
      <c r="CC30">
        <f>IF(ROW()-3&gt;MAX(CB$4:CB$40),"",INDEX(CA$4:CA$40,MATCH(ROW()-3,CB$4:CB$40,0)))</f>
        <v/>
      </c>
      <c r="CD30">
        <f>IF('Final Calculation Sheet'!$Z$30="","",'Final Calculation Sheet'!$Z$30)</f>
        <v/>
      </c>
      <c r="CE30">
        <f>CE29+IF(AND(CD30&lt;&gt;"",COUNTIF(CD$4:CD30,CD30)=1),1,0)</f>
        <v/>
      </c>
      <c r="CF30">
        <f>IF(ROW()-3&gt;MAX(CE$4:CE$40),"",INDEX(CD$4:CD$40,MATCH(ROW()-3,CE$4:CE$40,0)))</f>
        <v/>
      </c>
      <c r="CG30">
        <f>IF('Final Calculation Sheet'!$AA$30="","",'Final Calculation Sheet'!$AA$30)</f>
        <v/>
      </c>
      <c r="CH30">
        <f>CH29+IF(AND(CG30&lt;&gt;"",COUNTIF(CG$4:CG30,CG30)=1),1,0)</f>
        <v/>
      </c>
      <c r="CI30">
        <f>IF(ROW()-3&gt;MAX(CH$4:CH$40),"",INDEX(CG$4:CG$40,MATCH(ROW()-3,CH$4:CH$40,0)))</f>
        <v/>
      </c>
      <c r="CJ30">
        <f>IF('Final Calculation Sheet'!$AB$30="","",'Final Calculation Sheet'!$AB$30)</f>
        <v/>
      </c>
      <c r="CK30">
        <f>CK29+IF(AND(CJ30&lt;&gt;"",COUNTIF(CJ$4:CJ30,CJ30)=1),1,0)</f>
        <v/>
      </c>
      <c r="CL30">
        <f>IF(ROW()-3&gt;MAX(CK$4:CK$40),"",INDEX(CJ$4:CJ$40,MATCH(ROW()-3,CK$4:CK$40,0)))</f>
        <v/>
      </c>
      <c r="CM30">
        <f>IF('Final Calculation Sheet'!$AC$30="","",'Final Calculation Sheet'!$AC$30)</f>
        <v/>
      </c>
      <c r="CN30">
        <f>CN29+IF(AND(CM30&lt;&gt;"",COUNTIF(CM$4:CM30,CM30)=1),1,0)</f>
        <v/>
      </c>
      <c r="CO30">
        <f>IF(ROW()-3&gt;MAX(CN$4:CN$40),"",INDEX(CM$4:CM$40,MATCH(ROW()-3,CN$4:CN$40,0)))</f>
        <v/>
      </c>
      <c r="CP30">
        <f>IF('Final Calculation Sheet'!$AD$30="","",'Final Calculation Sheet'!$AD$30)</f>
        <v/>
      </c>
      <c r="CQ30">
        <f>CQ29+IF(AND(CP30&lt;&gt;"",COUNTIF(CP$4:CP30,CP30)=1),1,0)</f>
        <v/>
      </c>
      <c r="CR30">
        <f>IF(ROW()-3&gt;MAX(CQ$4:CQ$40),"",INDEX(CP$4:CP$40,MATCH(ROW()-3,CQ$4:CQ$40,0)))</f>
        <v/>
      </c>
      <c r="CS30">
        <f>IF('Final Calculation Sheet'!$AE$30="","",'Final Calculation Sheet'!$AE$30)</f>
        <v/>
      </c>
      <c r="CT30">
        <f>CT29+IF(AND(CS30&lt;&gt;"",COUNTIF(CS$4:CS30,CS30)=1),1,0)</f>
        <v/>
      </c>
      <c r="CU30">
        <f>IF(ROW()-3&gt;MAX(CT$4:CT$40),"",INDEX(CS$4:CS$40,MATCH(ROW()-3,CT$4:CT$40,0)))</f>
        <v/>
      </c>
      <c r="CV30">
        <f>IF('Final Calculation Sheet'!$AF$30="","",'Final Calculation Sheet'!$AF$30)</f>
        <v/>
      </c>
      <c r="CW30">
        <f>CW29+IF(AND(CV30&lt;&gt;"",COUNTIF(CV$4:CV30,CV30)=1),1,0)</f>
        <v/>
      </c>
      <c r="CX30">
        <f>IF(ROW()-3&gt;MAX(CW$4:CW$40),"",INDEX(CV$4:CV$40,MATCH(ROW()-3,CW$4:CW$40,0)))</f>
        <v/>
      </c>
      <c r="CY30">
        <f>IF('Final Calculation Sheet'!$AG$30="","",'Final Calculation Sheet'!$AG$30)</f>
        <v/>
      </c>
      <c r="CZ30">
        <f>CZ29+IF(AND(CY30&lt;&gt;"",COUNTIF(CY$4:CY30,CY30)=1),1,0)</f>
        <v/>
      </c>
      <c r="DA30">
        <f>IF(ROW()-3&gt;MAX(CZ$4:CZ$40),"",INDEX(CY$4:CY$40,MATCH(ROW()-3,CZ$4:CZ$40,0)))</f>
        <v/>
      </c>
      <c r="DC30">
        <f>DC29+IF(AND(DB30&lt;&gt;"",COUNTIF(DB$4:DB30,DB30)=1),1,0)</f>
        <v/>
      </c>
      <c r="DD30">
        <f>IF(ROW()-3&gt;MAX(DC$4:DC$40),"",INDEX(DB$4:DB$40,MATCH(ROW()-3,DC$4:DC$40,0)))</f>
        <v/>
      </c>
    </row>
    <row r="31">
      <c r="A31">
        <f>IF('Final Calculation Sheet'!$F$31="","",'Final Calculation Sheet'!$F$31)</f>
        <v/>
      </c>
      <c r="B31">
        <f>B30+IF(AND(A31&lt;&gt;"",COUNTIF(A$4:A31,A31)=1),1,0)</f>
        <v/>
      </c>
      <c r="C31">
        <f>IF(ROW()-3&gt;MAX(B$4:B$114),"",INDEX(A$4:A$114,MATCH(ROW()-3,B$4:B$114,0)))</f>
        <v/>
      </c>
      <c r="D31">
        <f>ROW()-3</f>
        <v/>
      </c>
      <c r="E31">
        <f>E30+IF(AND(D31&lt;&gt;"",COUNTIF(D$4:D31,D31)=1),1,0)</f>
        <v/>
      </c>
      <c r="F31">
        <f>IF(ROW()-3&gt;MAX(E$4:E$40),"",INDEX(D$4:D$40,MATCH(ROW()-3,E$4:E$40,0)))</f>
        <v/>
      </c>
      <c r="G31">
        <f>IF('Final Calculation Sheet'!$F$31="","",'Final Calculation Sheet'!$F$31)</f>
        <v/>
      </c>
      <c r="H31">
        <f>H30+IF(AND(G31&lt;&gt;"",COUNTIF(G$4:G31,G31)=1),1,0)</f>
        <v/>
      </c>
      <c r="I31">
        <f>IF(ROW()-3&gt;MAX(H$4:H$40),"",INDEX(G$4:G$40,MATCH(ROW()-3,H$4:H$40,0)))</f>
        <v/>
      </c>
      <c r="J31">
        <f>IF('Final Calculation Sheet'!$G$31="","",'Final Calculation Sheet'!$G$31)</f>
        <v/>
      </c>
      <c r="K31">
        <f>K30+IF(AND(J31&lt;&gt;"",COUNTIF(J$4:J31,J31)=1),1,0)</f>
        <v/>
      </c>
      <c r="L31">
        <f>IF(ROW()-3&gt;MAX(K$4:K$40),"",INDEX(J$4:J$40,MATCH(ROW()-3,K$4:K$40,0)))</f>
        <v/>
      </c>
      <c r="M31">
        <f>IF('Final Calculation Sheet'!$B$31="","",'Final Calculation Sheet'!$B$31)</f>
        <v/>
      </c>
      <c r="N31">
        <f>N30+IF(AND(M31&lt;&gt;"",COUNTIF(M$4:M31,M31)=1),1,0)</f>
        <v/>
      </c>
      <c r="O31">
        <f>IF(ROW()-3&gt;MAX(N$4:N$40),"",INDEX(M$4:M$40,MATCH(ROW()-3,N$4:N$40,0)))</f>
        <v/>
      </c>
      <c r="P31">
        <f>IF('Final Calculation Sheet'!$D$31="","",'Final Calculation Sheet'!$D$31)</f>
        <v/>
      </c>
      <c r="Q31">
        <f>Q30+IF(AND(P31&lt;&gt;"",COUNTIF(P$4:P31,P31)=1),1,0)</f>
        <v/>
      </c>
      <c r="R31">
        <f>IF(ROW()-3&gt;MAX(Q$4:Q$40),"",INDEX(P$4:P$40,MATCH(ROW()-3,Q$4:Q$40,0)))</f>
        <v/>
      </c>
      <c r="S31">
        <f>IF('Final Calculation Sheet'!$A$31="","",'Final Calculation Sheet'!$A$31)</f>
        <v/>
      </c>
      <c r="T31">
        <f>T30+IF(AND(S31&lt;&gt;"",COUNTIF(S$4:S31,S31)=1),1,0)</f>
        <v/>
      </c>
      <c r="U31">
        <f>IF(ROW()-3&gt;MAX(T$4:T$40),"",INDEX(S$4:S$40,MATCH(ROW()-3,T$4:T$40,0)))</f>
        <v/>
      </c>
      <c r="V31">
        <f>IF('Final Calculation Sheet'!$E$31="","",'Final Calculation Sheet'!$E$31)</f>
        <v/>
      </c>
      <c r="W31">
        <f>W30+IF(AND(V31&lt;&gt;"",COUNTIF(V$4:V31,V31)=1),1,0)</f>
        <v/>
      </c>
      <c r="X31">
        <f>IF(ROW()-3&gt;MAX(W$4:W$40),"",INDEX(V$4:V$40,MATCH(ROW()-3,W$4:W$40,0)))</f>
        <v/>
      </c>
      <c r="Y31">
        <f>IF('Final Calculation Sheet'!$C$31="","",'Final Calculation Sheet'!$C$31)</f>
        <v/>
      </c>
      <c r="Z31">
        <f>Z30+IF(AND(Y31&lt;&gt;"",COUNTIF(Y$4:Y31,Y31)=1),1,0)</f>
        <v/>
      </c>
      <c r="AA31">
        <f>IF(ROW()-3&gt;MAX(Z$4:Z$40),"",INDEX(Y$4:Y$40,MATCH(ROW()-3,Z$4:Z$40,0)))</f>
        <v/>
      </c>
      <c r="AB31">
        <f>IF('Final Calculation Sheet'!$H$31="","",'Final Calculation Sheet'!$H$31)</f>
        <v/>
      </c>
      <c r="AC31">
        <f>AC30+IF(AND(AB31&lt;&gt;"",COUNTIF(AB$4:AB31,AB31)=1),1,0)</f>
        <v/>
      </c>
      <c r="AD31">
        <f>IF(ROW()-3&gt;MAX(AC$4:AC$40),"",INDEX(AB$4:AB$40,MATCH(ROW()-3,AC$4:AC$40,0)))</f>
        <v/>
      </c>
      <c r="AE31">
        <f>IF('Final Calculation Sheet'!$I$31="","",'Final Calculation Sheet'!$I$31)</f>
        <v/>
      </c>
      <c r="AF31">
        <f>AF30+IF(AND(AE31&lt;&gt;"",COUNTIF(AE$4:AE31,AE31)=1),1,0)</f>
        <v/>
      </c>
      <c r="AG31">
        <f>IF(ROW()-3&gt;MAX(AF$4:AF$40),"",INDEX(AE$4:AE$40,MATCH(ROW()-3,AF$4:AF$40,0)))</f>
        <v/>
      </c>
      <c r="AH31">
        <f>IF('Final Calculation Sheet'!$J$31="","",'Final Calculation Sheet'!$J$31)</f>
        <v/>
      </c>
      <c r="AI31">
        <f>AI30+IF(AND(AH31&lt;&gt;"",COUNTIF(AH$4:AH31,AH31)=1),1,0)</f>
        <v/>
      </c>
      <c r="AJ31">
        <f>IF(ROW()-3&gt;MAX(AI$4:AI$40),"",INDEX(AH$4:AH$40,MATCH(ROW()-3,AI$4:AI$40,0)))</f>
        <v/>
      </c>
      <c r="AK31">
        <f>IF('Final Calculation Sheet'!$K$31="","",'Final Calculation Sheet'!$K$31)</f>
        <v/>
      </c>
      <c r="AL31">
        <f>AL30+IF(AND(AK31&lt;&gt;"",COUNTIF(AK$4:AK31,AK31)=1),1,0)</f>
        <v/>
      </c>
      <c r="AM31">
        <f>IF(ROW()-3&gt;MAX(AL$4:AL$40),"",INDEX(AK$4:AK$40,MATCH(ROW()-3,AL$4:AL$40,0)))</f>
        <v/>
      </c>
      <c r="AN31">
        <f>IF('Final Calculation Sheet'!$L$31="","",'Final Calculation Sheet'!$L$31)</f>
        <v/>
      </c>
      <c r="AO31">
        <f>AO30+IF(AND(AN31&lt;&gt;"",COUNTIF(AN$4:AN31,AN31)=1),1,0)</f>
        <v/>
      </c>
      <c r="AP31">
        <f>IF(ROW()-3&gt;MAX(AO$4:AO$40),"",INDEX(AN$4:AN$40,MATCH(ROW()-3,AO$4:AO$40,0)))</f>
        <v/>
      </c>
      <c r="AQ31">
        <f>IF('Final Calculation Sheet'!$M$31="","",'Final Calculation Sheet'!$M$31)</f>
        <v/>
      </c>
      <c r="AR31">
        <f>AR30+IF(AND(AQ31&lt;&gt;"",COUNTIF(AQ$4:AQ31,AQ31)=1),1,0)</f>
        <v/>
      </c>
      <c r="AS31">
        <f>IF(ROW()-3&gt;MAX(AR$4:AR$40),"",INDEX(AQ$4:AQ$40,MATCH(ROW()-3,AR$4:AR$40,0)))</f>
        <v/>
      </c>
      <c r="AT31">
        <f>IF('Final Calculation Sheet'!$N$31="","",'Final Calculation Sheet'!$N$31)</f>
        <v/>
      </c>
      <c r="AU31">
        <f>AU30+IF(AND(AT31&lt;&gt;"",COUNTIF(AT$4:AT31,AT31)=1),1,0)</f>
        <v/>
      </c>
      <c r="AV31">
        <f>IF(ROW()-3&gt;MAX(AU$4:AU$40),"",INDEX(AT$4:AT$40,MATCH(ROW()-3,AU$4:AU$40,0)))</f>
        <v/>
      </c>
      <c r="AW31">
        <f>IF('Final Calculation Sheet'!$O$31="","",'Final Calculation Sheet'!$O$31)</f>
        <v/>
      </c>
      <c r="AX31">
        <f>AX30+IF(AND(AW31&lt;&gt;"",COUNTIF(AW$4:AW31,AW31)=1),1,0)</f>
        <v/>
      </c>
      <c r="AY31">
        <f>IF(ROW()-3&gt;MAX(AX$4:AX$40),"",INDEX(AW$4:AW$40,MATCH(ROW()-3,AX$4:AX$40,0)))</f>
        <v/>
      </c>
      <c r="AZ31">
        <f>IF('Final Calculation Sheet'!$P$31="","",'Final Calculation Sheet'!$P$31)</f>
        <v/>
      </c>
      <c r="BA31">
        <f>BA30+IF(AND(AZ31&lt;&gt;"",COUNTIF(AZ$4:AZ31,AZ31)=1),1,0)</f>
        <v/>
      </c>
      <c r="BB31">
        <f>IF(ROW()-3&gt;MAX(BA$4:BA$40),"",INDEX(AZ$4:AZ$40,MATCH(ROW()-3,BA$4:BA$40,0)))</f>
        <v/>
      </c>
      <c r="BC31">
        <f>IF('Final Calculation Sheet'!$Q$31="","",'Final Calculation Sheet'!$Q$31)</f>
        <v/>
      </c>
      <c r="BD31">
        <f>BD30+IF(AND(BC31&lt;&gt;"",COUNTIF(BC$4:BC31,BC31)=1),1,0)</f>
        <v/>
      </c>
      <c r="BE31">
        <f>IF(ROW()-3&gt;MAX(BD$4:BD$40),"",INDEX(BC$4:BC$40,MATCH(ROW()-3,BD$4:BD$40,0)))</f>
        <v/>
      </c>
      <c r="BF31">
        <f>IF('Final Calculation Sheet'!$R$31="","",'Final Calculation Sheet'!$R$31)</f>
        <v/>
      </c>
      <c r="BG31">
        <f>BG30+IF(AND(BF31&lt;&gt;"",COUNTIF(BF$4:BF31,BF31)=1),1,0)</f>
        <v/>
      </c>
      <c r="BH31">
        <f>IF(ROW()-3&gt;MAX(BG$4:BG$40),"",INDEX(BF$4:BF$40,MATCH(ROW()-3,BG$4:BG$40,0)))</f>
        <v/>
      </c>
      <c r="BI31">
        <f>IF('Final Calculation Sheet'!$S$31="","",'Final Calculation Sheet'!$S$31)</f>
        <v/>
      </c>
      <c r="BJ31">
        <f>BJ30+IF(AND(BI31&lt;&gt;"",COUNTIF(BI$4:BI31,BI31)=1),1,0)</f>
        <v/>
      </c>
      <c r="BK31">
        <f>IF(ROW()-3&gt;MAX(BJ$4:BJ$40),"",INDEX(BI$4:BI$40,MATCH(ROW()-3,BJ$4:BJ$40,0)))</f>
        <v/>
      </c>
      <c r="BL31">
        <f>IF('Final Calculation Sheet'!$T$31="","",'Final Calculation Sheet'!$T$31)</f>
        <v/>
      </c>
      <c r="BM31">
        <f>BM30+IF(AND(BL31&lt;&gt;"",COUNTIF(BL$4:BL31,BL31)=1),1,0)</f>
        <v/>
      </c>
      <c r="BN31">
        <f>IF(ROW()-3&gt;MAX(BM$4:BM$40),"",INDEX(BL$4:BL$40,MATCH(ROW()-3,BM$4:BM$40,0)))</f>
        <v/>
      </c>
      <c r="BO31">
        <f>IF('Final Calculation Sheet'!$U$31="","",'Final Calculation Sheet'!$U$31)</f>
        <v/>
      </c>
      <c r="BP31">
        <f>BP30+IF(AND(BO31&lt;&gt;"",COUNTIF(BO$4:BO31,BO31)=1),1,0)</f>
        <v/>
      </c>
      <c r="BQ31">
        <f>IF(ROW()-3&gt;MAX(BP$4:BP$40),"",INDEX(BO$4:BO$40,MATCH(ROW()-3,BP$4:BP$40,0)))</f>
        <v/>
      </c>
      <c r="BR31">
        <f>IF('Final Calculation Sheet'!$V$31="","",'Final Calculation Sheet'!$V$31)</f>
        <v/>
      </c>
      <c r="BS31">
        <f>BS30+IF(AND(BR31&lt;&gt;"",COUNTIF(BR$4:BR31,BR31)=1),1,0)</f>
        <v/>
      </c>
      <c r="BT31">
        <f>IF(ROW()-3&gt;MAX(BS$4:BS$40),"",INDEX(BR$4:BR$40,MATCH(ROW()-3,BS$4:BS$40,0)))</f>
        <v/>
      </c>
      <c r="BU31">
        <f>IF('Final Calculation Sheet'!$W$31="","",'Final Calculation Sheet'!$W$31)</f>
        <v/>
      </c>
      <c r="BV31">
        <f>BV30+IF(AND(BU31&lt;&gt;"",COUNTIF(BU$4:BU31,BU31)=1),1,0)</f>
        <v/>
      </c>
      <c r="BW31">
        <f>IF(ROW()-3&gt;MAX(BV$4:BV$40),"",INDEX(BU$4:BU$40,MATCH(ROW()-3,BV$4:BV$40,0)))</f>
        <v/>
      </c>
      <c r="BX31">
        <f>IF('Final Calculation Sheet'!$X$31="","",'Final Calculation Sheet'!$X$31)</f>
        <v/>
      </c>
      <c r="BY31">
        <f>BY30+IF(AND(BX31&lt;&gt;"",COUNTIF(BX$4:BX31,BX31)=1),1,0)</f>
        <v/>
      </c>
      <c r="BZ31">
        <f>IF(ROW()-3&gt;MAX(BY$4:BY$40),"",INDEX(BX$4:BX$40,MATCH(ROW()-3,BY$4:BY$40,0)))</f>
        <v/>
      </c>
      <c r="CA31">
        <f>IF('Final Calculation Sheet'!$Y$31="","",'Final Calculation Sheet'!$Y$31)</f>
        <v/>
      </c>
      <c r="CB31">
        <f>CB30+IF(AND(CA31&lt;&gt;"",COUNTIF(CA$4:CA31,CA31)=1),1,0)</f>
        <v/>
      </c>
      <c r="CC31">
        <f>IF(ROW()-3&gt;MAX(CB$4:CB$40),"",INDEX(CA$4:CA$40,MATCH(ROW()-3,CB$4:CB$40,0)))</f>
        <v/>
      </c>
      <c r="CD31">
        <f>IF('Final Calculation Sheet'!$Z$31="","",'Final Calculation Sheet'!$Z$31)</f>
        <v/>
      </c>
      <c r="CE31">
        <f>CE30+IF(AND(CD31&lt;&gt;"",COUNTIF(CD$4:CD31,CD31)=1),1,0)</f>
        <v/>
      </c>
      <c r="CF31">
        <f>IF(ROW()-3&gt;MAX(CE$4:CE$40),"",INDEX(CD$4:CD$40,MATCH(ROW()-3,CE$4:CE$40,0)))</f>
        <v/>
      </c>
      <c r="CG31">
        <f>IF('Final Calculation Sheet'!$AA$31="","",'Final Calculation Sheet'!$AA$31)</f>
        <v/>
      </c>
      <c r="CH31">
        <f>CH30+IF(AND(CG31&lt;&gt;"",COUNTIF(CG$4:CG31,CG31)=1),1,0)</f>
        <v/>
      </c>
      <c r="CI31">
        <f>IF(ROW()-3&gt;MAX(CH$4:CH$40),"",INDEX(CG$4:CG$40,MATCH(ROW()-3,CH$4:CH$40,0)))</f>
        <v/>
      </c>
      <c r="CJ31">
        <f>IF('Final Calculation Sheet'!$AB$31="","",'Final Calculation Sheet'!$AB$31)</f>
        <v/>
      </c>
      <c r="CK31">
        <f>CK30+IF(AND(CJ31&lt;&gt;"",COUNTIF(CJ$4:CJ31,CJ31)=1),1,0)</f>
        <v/>
      </c>
      <c r="CL31">
        <f>IF(ROW()-3&gt;MAX(CK$4:CK$40),"",INDEX(CJ$4:CJ$40,MATCH(ROW()-3,CK$4:CK$40,0)))</f>
        <v/>
      </c>
      <c r="CM31">
        <f>IF('Final Calculation Sheet'!$AC$31="","",'Final Calculation Sheet'!$AC$31)</f>
        <v/>
      </c>
      <c r="CN31">
        <f>CN30+IF(AND(CM31&lt;&gt;"",COUNTIF(CM$4:CM31,CM31)=1),1,0)</f>
        <v/>
      </c>
      <c r="CO31">
        <f>IF(ROW()-3&gt;MAX(CN$4:CN$40),"",INDEX(CM$4:CM$40,MATCH(ROW()-3,CN$4:CN$40,0)))</f>
        <v/>
      </c>
      <c r="CP31">
        <f>IF('Final Calculation Sheet'!$AD$31="","",'Final Calculation Sheet'!$AD$31)</f>
        <v/>
      </c>
      <c r="CQ31">
        <f>CQ30+IF(AND(CP31&lt;&gt;"",COUNTIF(CP$4:CP31,CP31)=1),1,0)</f>
        <v/>
      </c>
      <c r="CR31">
        <f>IF(ROW()-3&gt;MAX(CQ$4:CQ$40),"",INDEX(CP$4:CP$40,MATCH(ROW()-3,CQ$4:CQ$40,0)))</f>
        <v/>
      </c>
      <c r="CS31">
        <f>IF('Final Calculation Sheet'!$AE$31="","",'Final Calculation Sheet'!$AE$31)</f>
        <v/>
      </c>
      <c r="CT31">
        <f>CT30+IF(AND(CS31&lt;&gt;"",COUNTIF(CS$4:CS31,CS31)=1),1,0)</f>
        <v/>
      </c>
      <c r="CU31">
        <f>IF(ROW()-3&gt;MAX(CT$4:CT$40),"",INDEX(CS$4:CS$40,MATCH(ROW()-3,CT$4:CT$40,0)))</f>
        <v/>
      </c>
      <c r="CV31">
        <f>IF('Final Calculation Sheet'!$AF$31="","",'Final Calculation Sheet'!$AF$31)</f>
        <v/>
      </c>
      <c r="CW31">
        <f>CW30+IF(AND(CV31&lt;&gt;"",COUNTIF(CV$4:CV31,CV31)=1),1,0)</f>
        <v/>
      </c>
      <c r="CX31">
        <f>IF(ROW()-3&gt;MAX(CW$4:CW$40),"",INDEX(CV$4:CV$40,MATCH(ROW()-3,CW$4:CW$40,0)))</f>
        <v/>
      </c>
      <c r="CY31">
        <f>IF('Final Calculation Sheet'!$AG$31="","",'Final Calculation Sheet'!$AG$31)</f>
        <v/>
      </c>
      <c r="CZ31">
        <f>CZ30+IF(AND(CY31&lt;&gt;"",COUNTIF(CY$4:CY31,CY31)=1),1,0)</f>
        <v/>
      </c>
      <c r="DA31">
        <f>IF(ROW()-3&gt;MAX(CZ$4:CZ$40),"",INDEX(CY$4:CY$40,MATCH(ROW()-3,CZ$4:CZ$40,0)))</f>
        <v/>
      </c>
      <c r="DC31">
        <f>DC30+IF(AND(DB31&lt;&gt;"",COUNTIF(DB$4:DB31,DB31)=1),1,0)</f>
        <v/>
      </c>
      <c r="DD31">
        <f>IF(ROW()-3&gt;MAX(DC$4:DC$40),"",INDEX(DB$4:DB$40,MATCH(ROW()-3,DC$4:DC$40,0)))</f>
        <v/>
      </c>
    </row>
    <row r="32">
      <c r="A32">
        <f>IF('Final Calculation Sheet'!$F$32="","",'Final Calculation Sheet'!$F$32)</f>
        <v/>
      </c>
      <c r="B32">
        <f>B31+IF(AND(A32&lt;&gt;"",COUNTIF(A$4:A32,A32)=1),1,0)</f>
        <v/>
      </c>
      <c r="C32">
        <f>IF(ROW()-3&gt;MAX(B$4:B$114),"",INDEX(A$4:A$114,MATCH(ROW()-3,B$4:B$114,0)))</f>
        <v/>
      </c>
      <c r="D32">
        <f>ROW()-3</f>
        <v/>
      </c>
      <c r="E32">
        <f>E31+IF(AND(D32&lt;&gt;"",COUNTIF(D$4:D32,D32)=1),1,0)</f>
        <v/>
      </c>
      <c r="F32">
        <f>IF(ROW()-3&gt;MAX(E$4:E$40),"",INDEX(D$4:D$40,MATCH(ROW()-3,E$4:E$40,0)))</f>
        <v/>
      </c>
      <c r="G32">
        <f>IF('Final Calculation Sheet'!$F$32="","",'Final Calculation Sheet'!$F$32)</f>
        <v/>
      </c>
      <c r="H32">
        <f>H31+IF(AND(G32&lt;&gt;"",COUNTIF(G$4:G32,G32)=1),1,0)</f>
        <v/>
      </c>
      <c r="I32">
        <f>IF(ROW()-3&gt;MAX(H$4:H$40),"",INDEX(G$4:G$40,MATCH(ROW()-3,H$4:H$40,0)))</f>
        <v/>
      </c>
      <c r="J32">
        <f>IF('Final Calculation Sheet'!$G$32="","",'Final Calculation Sheet'!$G$32)</f>
        <v/>
      </c>
      <c r="K32">
        <f>K31+IF(AND(J32&lt;&gt;"",COUNTIF(J$4:J32,J32)=1),1,0)</f>
        <v/>
      </c>
      <c r="L32">
        <f>IF(ROW()-3&gt;MAX(K$4:K$40),"",INDEX(J$4:J$40,MATCH(ROW()-3,K$4:K$40,0)))</f>
        <v/>
      </c>
      <c r="M32">
        <f>IF('Final Calculation Sheet'!$B$32="","",'Final Calculation Sheet'!$B$32)</f>
        <v/>
      </c>
      <c r="N32">
        <f>N31+IF(AND(M32&lt;&gt;"",COUNTIF(M$4:M32,M32)=1),1,0)</f>
        <v/>
      </c>
      <c r="O32">
        <f>IF(ROW()-3&gt;MAX(N$4:N$40),"",INDEX(M$4:M$40,MATCH(ROW()-3,N$4:N$40,0)))</f>
        <v/>
      </c>
      <c r="P32">
        <f>IF('Final Calculation Sheet'!$D$32="","",'Final Calculation Sheet'!$D$32)</f>
        <v/>
      </c>
      <c r="Q32">
        <f>Q31+IF(AND(P32&lt;&gt;"",COUNTIF(P$4:P32,P32)=1),1,0)</f>
        <v/>
      </c>
      <c r="R32">
        <f>IF(ROW()-3&gt;MAX(Q$4:Q$40),"",INDEX(P$4:P$40,MATCH(ROW()-3,Q$4:Q$40,0)))</f>
        <v/>
      </c>
      <c r="S32">
        <f>IF('Final Calculation Sheet'!$A$32="","",'Final Calculation Sheet'!$A$32)</f>
        <v/>
      </c>
      <c r="T32">
        <f>T31+IF(AND(S32&lt;&gt;"",COUNTIF(S$4:S32,S32)=1),1,0)</f>
        <v/>
      </c>
      <c r="U32">
        <f>IF(ROW()-3&gt;MAX(T$4:T$40),"",INDEX(S$4:S$40,MATCH(ROW()-3,T$4:T$40,0)))</f>
        <v/>
      </c>
      <c r="V32">
        <f>IF('Final Calculation Sheet'!$E$32="","",'Final Calculation Sheet'!$E$32)</f>
        <v/>
      </c>
      <c r="W32">
        <f>W31+IF(AND(V32&lt;&gt;"",COUNTIF(V$4:V32,V32)=1),1,0)</f>
        <v/>
      </c>
      <c r="X32">
        <f>IF(ROW()-3&gt;MAX(W$4:W$40),"",INDEX(V$4:V$40,MATCH(ROW()-3,W$4:W$40,0)))</f>
        <v/>
      </c>
      <c r="Y32">
        <f>IF('Final Calculation Sheet'!$C$32="","",'Final Calculation Sheet'!$C$32)</f>
        <v/>
      </c>
      <c r="Z32">
        <f>Z31+IF(AND(Y32&lt;&gt;"",COUNTIF(Y$4:Y32,Y32)=1),1,0)</f>
        <v/>
      </c>
      <c r="AA32">
        <f>IF(ROW()-3&gt;MAX(Z$4:Z$40),"",INDEX(Y$4:Y$40,MATCH(ROW()-3,Z$4:Z$40,0)))</f>
        <v/>
      </c>
      <c r="AB32">
        <f>IF('Final Calculation Sheet'!$H$32="","",'Final Calculation Sheet'!$H$32)</f>
        <v/>
      </c>
      <c r="AC32">
        <f>AC31+IF(AND(AB32&lt;&gt;"",COUNTIF(AB$4:AB32,AB32)=1),1,0)</f>
        <v/>
      </c>
      <c r="AD32">
        <f>IF(ROW()-3&gt;MAX(AC$4:AC$40),"",INDEX(AB$4:AB$40,MATCH(ROW()-3,AC$4:AC$40,0)))</f>
        <v/>
      </c>
      <c r="AE32">
        <f>IF('Final Calculation Sheet'!$I$32="","",'Final Calculation Sheet'!$I$32)</f>
        <v/>
      </c>
      <c r="AF32">
        <f>AF31+IF(AND(AE32&lt;&gt;"",COUNTIF(AE$4:AE32,AE32)=1),1,0)</f>
        <v/>
      </c>
      <c r="AG32">
        <f>IF(ROW()-3&gt;MAX(AF$4:AF$40),"",INDEX(AE$4:AE$40,MATCH(ROW()-3,AF$4:AF$40,0)))</f>
        <v/>
      </c>
      <c r="AH32">
        <f>IF('Final Calculation Sheet'!$J$32="","",'Final Calculation Sheet'!$J$32)</f>
        <v/>
      </c>
      <c r="AI32">
        <f>AI31+IF(AND(AH32&lt;&gt;"",COUNTIF(AH$4:AH32,AH32)=1),1,0)</f>
        <v/>
      </c>
      <c r="AJ32">
        <f>IF(ROW()-3&gt;MAX(AI$4:AI$40),"",INDEX(AH$4:AH$40,MATCH(ROW()-3,AI$4:AI$40,0)))</f>
        <v/>
      </c>
      <c r="AK32">
        <f>IF('Final Calculation Sheet'!$K$32="","",'Final Calculation Sheet'!$K$32)</f>
        <v/>
      </c>
      <c r="AL32">
        <f>AL31+IF(AND(AK32&lt;&gt;"",COUNTIF(AK$4:AK32,AK32)=1),1,0)</f>
        <v/>
      </c>
      <c r="AM32">
        <f>IF(ROW()-3&gt;MAX(AL$4:AL$40),"",INDEX(AK$4:AK$40,MATCH(ROW()-3,AL$4:AL$40,0)))</f>
        <v/>
      </c>
      <c r="AN32">
        <f>IF('Final Calculation Sheet'!$L$32="","",'Final Calculation Sheet'!$L$32)</f>
        <v/>
      </c>
      <c r="AO32">
        <f>AO31+IF(AND(AN32&lt;&gt;"",COUNTIF(AN$4:AN32,AN32)=1),1,0)</f>
        <v/>
      </c>
      <c r="AP32">
        <f>IF(ROW()-3&gt;MAX(AO$4:AO$40),"",INDEX(AN$4:AN$40,MATCH(ROW()-3,AO$4:AO$40,0)))</f>
        <v/>
      </c>
      <c r="AQ32">
        <f>IF('Final Calculation Sheet'!$M$32="","",'Final Calculation Sheet'!$M$32)</f>
        <v/>
      </c>
      <c r="AR32">
        <f>AR31+IF(AND(AQ32&lt;&gt;"",COUNTIF(AQ$4:AQ32,AQ32)=1),1,0)</f>
        <v/>
      </c>
      <c r="AS32">
        <f>IF(ROW()-3&gt;MAX(AR$4:AR$40),"",INDEX(AQ$4:AQ$40,MATCH(ROW()-3,AR$4:AR$40,0)))</f>
        <v/>
      </c>
      <c r="AT32">
        <f>IF('Final Calculation Sheet'!$N$32="","",'Final Calculation Sheet'!$N$32)</f>
        <v/>
      </c>
      <c r="AU32">
        <f>AU31+IF(AND(AT32&lt;&gt;"",COUNTIF(AT$4:AT32,AT32)=1),1,0)</f>
        <v/>
      </c>
      <c r="AV32">
        <f>IF(ROW()-3&gt;MAX(AU$4:AU$40),"",INDEX(AT$4:AT$40,MATCH(ROW()-3,AU$4:AU$40,0)))</f>
        <v/>
      </c>
      <c r="AW32">
        <f>IF('Final Calculation Sheet'!$O$32="","",'Final Calculation Sheet'!$O$32)</f>
        <v/>
      </c>
      <c r="AX32">
        <f>AX31+IF(AND(AW32&lt;&gt;"",COUNTIF(AW$4:AW32,AW32)=1),1,0)</f>
        <v/>
      </c>
      <c r="AY32">
        <f>IF(ROW()-3&gt;MAX(AX$4:AX$40),"",INDEX(AW$4:AW$40,MATCH(ROW()-3,AX$4:AX$40,0)))</f>
        <v/>
      </c>
      <c r="AZ32">
        <f>IF('Final Calculation Sheet'!$P$32="","",'Final Calculation Sheet'!$P$32)</f>
        <v/>
      </c>
      <c r="BA32">
        <f>BA31+IF(AND(AZ32&lt;&gt;"",COUNTIF(AZ$4:AZ32,AZ32)=1),1,0)</f>
        <v/>
      </c>
      <c r="BB32">
        <f>IF(ROW()-3&gt;MAX(BA$4:BA$40),"",INDEX(AZ$4:AZ$40,MATCH(ROW()-3,BA$4:BA$40,0)))</f>
        <v/>
      </c>
      <c r="BC32">
        <f>IF('Final Calculation Sheet'!$Q$32="","",'Final Calculation Sheet'!$Q$32)</f>
        <v/>
      </c>
      <c r="BD32">
        <f>BD31+IF(AND(BC32&lt;&gt;"",COUNTIF(BC$4:BC32,BC32)=1),1,0)</f>
        <v/>
      </c>
      <c r="BE32">
        <f>IF(ROW()-3&gt;MAX(BD$4:BD$40),"",INDEX(BC$4:BC$40,MATCH(ROW()-3,BD$4:BD$40,0)))</f>
        <v/>
      </c>
      <c r="BF32">
        <f>IF('Final Calculation Sheet'!$R$32="","",'Final Calculation Sheet'!$R$32)</f>
        <v/>
      </c>
      <c r="BG32">
        <f>BG31+IF(AND(BF32&lt;&gt;"",COUNTIF(BF$4:BF32,BF32)=1),1,0)</f>
        <v/>
      </c>
      <c r="BH32">
        <f>IF(ROW()-3&gt;MAX(BG$4:BG$40),"",INDEX(BF$4:BF$40,MATCH(ROW()-3,BG$4:BG$40,0)))</f>
        <v/>
      </c>
      <c r="BI32">
        <f>IF('Final Calculation Sheet'!$S$32="","",'Final Calculation Sheet'!$S$32)</f>
        <v/>
      </c>
      <c r="BJ32">
        <f>BJ31+IF(AND(BI32&lt;&gt;"",COUNTIF(BI$4:BI32,BI32)=1),1,0)</f>
        <v/>
      </c>
      <c r="BK32">
        <f>IF(ROW()-3&gt;MAX(BJ$4:BJ$40),"",INDEX(BI$4:BI$40,MATCH(ROW()-3,BJ$4:BJ$40,0)))</f>
        <v/>
      </c>
      <c r="BL32">
        <f>IF('Final Calculation Sheet'!$T$32="","",'Final Calculation Sheet'!$T$32)</f>
        <v/>
      </c>
      <c r="BM32">
        <f>BM31+IF(AND(BL32&lt;&gt;"",COUNTIF(BL$4:BL32,BL32)=1),1,0)</f>
        <v/>
      </c>
      <c r="BN32">
        <f>IF(ROW()-3&gt;MAX(BM$4:BM$40),"",INDEX(BL$4:BL$40,MATCH(ROW()-3,BM$4:BM$40,0)))</f>
        <v/>
      </c>
      <c r="BO32">
        <f>IF('Final Calculation Sheet'!$U$32="","",'Final Calculation Sheet'!$U$32)</f>
        <v/>
      </c>
      <c r="BP32">
        <f>BP31+IF(AND(BO32&lt;&gt;"",COUNTIF(BO$4:BO32,BO32)=1),1,0)</f>
        <v/>
      </c>
      <c r="BQ32">
        <f>IF(ROW()-3&gt;MAX(BP$4:BP$40),"",INDEX(BO$4:BO$40,MATCH(ROW()-3,BP$4:BP$40,0)))</f>
        <v/>
      </c>
      <c r="BR32">
        <f>IF('Final Calculation Sheet'!$V$32="","",'Final Calculation Sheet'!$V$32)</f>
        <v/>
      </c>
      <c r="BS32">
        <f>BS31+IF(AND(BR32&lt;&gt;"",COUNTIF(BR$4:BR32,BR32)=1),1,0)</f>
        <v/>
      </c>
      <c r="BT32">
        <f>IF(ROW()-3&gt;MAX(BS$4:BS$40),"",INDEX(BR$4:BR$40,MATCH(ROW()-3,BS$4:BS$40,0)))</f>
        <v/>
      </c>
      <c r="BU32">
        <f>IF('Final Calculation Sheet'!$W$32="","",'Final Calculation Sheet'!$W$32)</f>
        <v/>
      </c>
      <c r="BV32">
        <f>BV31+IF(AND(BU32&lt;&gt;"",COUNTIF(BU$4:BU32,BU32)=1),1,0)</f>
        <v/>
      </c>
      <c r="BW32">
        <f>IF(ROW()-3&gt;MAX(BV$4:BV$40),"",INDEX(BU$4:BU$40,MATCH(ROW()-3,BV$4:BV$40,0)))</f>
        <v/>
      </c>
      <c r="BX32">
        <f>IF('Final Calculation Sheet'!$X$32="","",'Final Calculation Sheet'!$X$32)</f>
        <v/>
      </c>
      <c r="BY32">
        <f>BY31+IF(AND(BX32&lt;&gt;"",COUNTIF(BX$4:BX32,BX32)=1),1,0)</f>
        <v/>
      </c>
      <c r="BZ32">
        <f>IF(ROW()-3&gt;MAX(BY$4:BY$40),"",INDEX(BX$4:BX$40,MATCH(ROW()-3,BY$4:BY$40,0)))</f>
        <v/>
      </c>
      <c r="CA32">
        <f>IF('Final Calculation Sheet'!$Y$32="","",'Final Calculation Sheet'!$Y$32)</f>
        <v/>
      </c>
      <c r="CB32">
        <f>CB31+IF(AND(CA32&lt;&gt;"",COUNTIF(CA$4:CA32,CA32)=1),1,0)</f>
        <v/>
      </c>
      <c r="CC32">
        <f>IF(ROW()-3&gt;MAX(CB$4:CB$40),"",INDEX(CA$4:CA$40,MATCH(ROW()-3,CB$4:CB$40,0)))</f>
        <v/>
      </c>
      <c r="CD32">
        <f>IF('Final Calculation Sheet'!$Z$32="","",'Final Calculation Sheet'!$Z$32)</f>
        <v/>
      </c>
      <c r="CE32">
        <f>CE31+IF(AND(CD32&lt;&gt;"",COUNTIF(CD$4:CD32,CD32)=1),1,0)</f>
        <v/>
      </c>
      <c r="CF32">
        <f>IF(ROW()-3&gt;MAX(CE$4:CE$40),"",INDEX(CD$4:CD$40,MATCH(ROW()-3,CE$4:CE$40,0)))</f>
        <v/>
      </c>
      <c r="CG32">
        <f>IF('Final Calculation Sheet'!$AA$32="","",'Final Calculation Sheet'!$AA$32)</f>
        <v/>
      </c>
      <c r="CH32">
        <f>CH31+IF(AND(CG32&lt;&gt;"",COUNTIF(CG$4:CG32,CG32)=1),1,0)</f>
        <v/>
      </c>
      <c r="CI32">
        <f>IF(ROW()-3&gt;MAX(CH$4:CH$40),"",INDEX(CG$4:CG$40,MATCH(ROW()-3,CH$4:CH$40,0)))</f>
        <v/>
      </c>
      <c r="CJ32">
        <f>IF('Final Calculation Sheet'!$AB$32="","",'Final Calculation Sheet'!$AB$32)</f>
        <v/>
      </c>
      <c r="CK32">
        <f>CK31+IF(AND(CJ32&lt;&gt;"",COUNTIF(CJ$4:CJ32,CJ32)=1),1,0)</f>
        <v/>
      </c>
      <c r="CL32">
        <f>IF(ROW()-3&gt;MAX(CK$4:CK$40),"",INDEX(CJ$4:CJ$40,MATCH(ROW()-3,CK$4:CK$40,0)))</f>
        <v/>
      </c>
      <c r="CM32">
        <f>IF('Final Calculation Sheet'!$AC$32="","",'Final Calculation Sheet'!$AC$32)</f>
        <v/>
      </c>
      <c r="CN32">
        <f>CN31+IF(AND(CM32&lt;&gt;"",COUNTIF(CM$4:CM32,CM32)=1),1,0)</f>
        <v/>
      </c>
      <c r="CO32">
        <f>IF(ROW()-3&gt;MAX(CN$4:CN$40),"",INDEX(CM$4:CM$40,MATCH(ROW()-3,CN$4:CN$40,0)))</f>
        <v/>
      </c>
      <c r="CP32">
        <f>IF('Final Calculation Sheet'!$AD$32="","",'Final Calculation Sheet'!$AD$32)</f>
        <v/>
      </c>
      <c r="CQ32">
        <f>CQ31+IF(AND(CP32&lt;&gt;"",COUNTIF(CP$4:CP32,CP32)=1),1,0)</f>
        <v/>
      </c>
      <c r="CR32">
        <f>IF(ROW()-3&gt;MAX(CQ$4:CQ$40),"",INDEX(CP$4:CP$40,MATCH(ROW()-3,CQ$4:CQ$40,0)))</f>
        <v/>
      </c>
      <c r="CS32">
        <f>IF('Final Calculation Sheet'!$AE$32="","",'Final Calculation Sheet'!$AE$32)</f>
        <v/>
      </c>
      <c r="CT32">
        <f>CT31+IF(AND(CS32&lt;&gt;"",COUNTIF(CS$4:CS32,CS32)=1),1,0)</f>
        <v/>
      </c>
      <c r="CU32">
        <f>IF(ROW()-3&gt;MAX(CT$4:CT$40),"",INDEX(CS$4:CS$40,MATCH(ROW()-3,CT$4:CT$40,0)))</f>
        <v/>
      </c>
      <c r="CV32">
        <f>IF('Final Calculation Sheet'!$AF$32="","",'Final Calculation Sheet'!$AF$32)</f>
        <v/>
      </c>
      <c r="CW32">
        <f>CW31+IF(AND(CV32&lt;&gt;"",COUNTIF(CV$4:CV32,CV32)=1),1,0)</f>
        <v/>
      </c>
      <c r="CX32">
        <f>IF(ROW()-3&gt;MAX(CW$4:CW$40),"",INDEX(CV$4:CV$40,MATCH(ROW()-3,CW$4:CW$40,0)))</f>
        <v/>
      </c>
      <c r="CY32">
        <f>IF('Final Calculation Sheet'!$AG$32="","",'Final Calculation Sheet'!$AG$32)</f>
        <v/>
      </c>
      <c r="CZ32">
        <f>CZ31+IF(AND(CY32&lt;&gt;"",COUNTIF(CY$4:CY32,CY32)=1),1,0)</f>
        <v/>
      </c>
      <c r="DA32">
        <f>IF(ROW()-3&gt;MAX(CZ$4:CZ$40),"",INDEX(CY$4:CY$40,MATCH(ROW()-3,CZ$4:CZ$40,0)))</f>
        <v/>
      </c>
      <c r="DC32">
        <f>DC31+IF(AND(DB32&lt;&gt;"",COUNTIF(DB$4:DB32,DB32)=1),1,0)</f>
        <v/>
      </c>
      <c r="DD32">
        <f>IF(ROW()-3&gt;MAX(DC$4:DC$40),"",INDEX(DB$4:DB$40,MATCH(ROW()-3,DC$4:DC$40,0)))</f>
        <v/>
      </c>
    </row>
    <row r="33">
      <c r="A33">
        <f>IF('Final Calculation Sheet'!$F$33="","",'Final Calculation Sheet'!$F$33)</f>
        <v/>
      </c>
      <c r="B33">
        <f>B32+IF(AND(A33&lt;&gt;"",COUNTIF(A$4:A33,A33)=1),1,0)</f>
        <v/>
      </c>
      <c r="C33">
        <f>IF(ROW()-3&gt;MAX(B$4:B$114),"",INDEX(A$4:A$114,MATCH(ROW()-3,B$4:B$114,0)))</f>
        <v/>
      </c>
      <c r="D33">
        <f>ROW()-3</f>
        <v/>
      </c>
      <c r="E33">
        <f>E32+IF(AND(D33&lt;&gt;"",COUNTIF(D$4:D33,D33)=1),1,0)</f>
        <v/>
      </c>
      <c r="F33">
        <f>IF(ROW()-3&gt;MAX(E$4:E$40),"",INDEX(D$4:D$40,MATCH(ROW()-3,E$4:E$40,0)))</f>
        <v/>
      </c>
      <c r="G33">
        <f>IF('Final Calculation Sheet'!$F$33="","",'Final Calculation Sheet'!$F$33)</f>
        <v/>
      </c>
      <c r="H33">
        <f>H32+IF(AND(G33&lt;&gt;"",COUNTIF(G$4:G33,G33)=1),1,0)</f>
        <v/>
      </c>
      <c r="I33">
        <f>IF(ROW()-3&gt;MAX(H$4:H$40),"",INDEX(G$4:G$40,MATCH(ROW()-3,H$4:H$40,0)))</f>
        <v/>
      </c>
      <c r="J33">
        <f>IF('Final Calculation Sheet'!$G$33="","",'Final Calculation Sheet'!$G$33)</f>
        <v/>
      </c>
      <c r="K33">
        <f>K32+IF(AND(J33&lt;&gt;"",COUNTIF(J$4:J33,J33)=1),1,0)</f>
        <v/>
      </c>
      <c r="L33">
        <f>IF(ROW()-3&gt;MAX(K$4:K$40),"",INDEX(J$4:J$40,MATCH(ROW()-3,K$4:K$40,0)))</f>
        <v/>
      </c>
      <c r="M33">
        <f>IF('Final Calculation Sheet'!$B$33="","",'Final Calculation Sheet'!$B$33)</f>
        <v/>
      </c>
      <c r="N33">
        <f>N32+IF(AND(M33&lt;&gt;"",COUNTIF(M$4:M33,M33)=1),1,0)</f>
        <v/>
      </c>
      <c r="O33">
        <f>IF(ROW()-3&gt;MAX(N$4:N$40),"",INDEX(M$4:M$40,MATCH(ROW()-3,N$4:N$40,0)))</f>
        <v/>
      </c>
      <c r="P33">
        <f>IF('Final Calculation Sheet'!$D$33="","",'Final Calculation Sheet'!$D$33)</f>
        <v/>
      </c>
      <c r="Q33">
        <f>Q32+IF(AND(P33&lt;&gt;"",COUNTIF(P$4:P33,P33)=1),1,0)</f>
        <v/>
      </c>
      <c r="R33">
        <f>IF(ROW()-3&gt;MAX(Q$4:Q$40),"",INDEX(P$4:P$40,MATCH(ROW()-3,Q$4:Q$40,0)))</f>
        <v/>
      </c>
      <c r="S33">
        <f>IF('Final Calculation Sheet'!$A$33="","",'Final Calculation Sheet'!$A$33)</f>
        <v/>
      </c>
      <c r="T33">
        <f>T32+IF(AND(S33&lt;&gt;"",COUNTIF(S$4:S33,S33)=1),1,0)</f>
        <v/>
      </c>
      <c r="U33">
        <f>IF(ROW()-3&gt;MAX(T$4:T$40),"",INDEX(S$4:S$40,MATCH(ROW()-3,T$4:T$40,0)))</f>
        <v/>
      </c>
      <c r="V33">
        <f>IF('Final Calculation Sheet'!$E$33="","",'Final Calculation Sheet'!$E$33)</f>
        <v/>
      </c>
      <c r="W33">
        <f>W32+IF(AND(V33&lt;&gt;"",COUNTIF(V$4:V33,V33)=1),1,0)</f>
        <v/>
      </c>
      <c r="X33">
        <f>IF(ROW()-3&gt;MAX(W$4:W$40),"",INDEX(V$4:V$40,MATCH(ROW()-3,W$4:W$40,0)))</f>
        <v/>
      </c>
      <c r="Y33">
        <f>IF('Final Calculation Sheet'!$C$33="","",'Final Calculation Sheet'!$C$33)</f>
        <v/>
      </c>
      <c r="Z33">
        <f>Z32+IF(AND(Y33&lt;&gt;"",COUNTIF(Y$4:Y33,Y33)=1),1,0)</f>
        <v/>
      </c>
      <c r="AA33">
        <f>IF(ROW()-3&gt;MAX(Z$4:Z$40),"",INDEX(Y$4:Y$40,MATCH(ROW()-3,Z$4:Z$40,0)))</f>
        <v/>
      </c>
      <c r="AB33">
        <f>IF('Final Calculation Sheet'!$H$33="","",'Final Calculation Sheet'!$H$33)</f>
        <v/>
      </c>
      <c r="AC33">
        <f>AC32+IF(AND(AB33&lt;&gt;"",COUNTIF(AB$4:AB33,AB33)=1),1,0)</f>
        <v/>
      </c>
      <c r="AD33">
        <f>IF(ROW()-3&gt;MAX(AC$4:AC$40),"",INDEX(AB$4:AB$40,MATCH(ROW()-3,AC$4:AC$40,0)))</f>
        <v/>
      </c>
      <c r="AE33">
        <f>IF('Final Calculation Sheet'!$I$33="","",'Final Calculation Sheet'!$I$33)</f>
        <v/>
      </c>
      <c r="AF33">
        <f>AF32+IF(AND(AE33&lt;&gt;"",COUNTIF(AE$4:AE33,AE33)=1),1,0)</f>
        <v/>
      </c>
      <c r="AG33">
        <f>IF(ROW()-3&gt;MAX(AF$4:AF$40),"",INDEX(AE$4:AE$40,MATCH(ROW()-3,AF$4:AF$40,0)))</f>
        <v/>
      </c>
      <c r="AH33">
        <f>IF('Final Calculation Sheet'!$J$33="","",'Final Calculation Sheet'!$J$33)</f>
        <v/>
      </c>
      <c r="AI33">
        <f>AI32+IF(AND(AH33&lt;&gt;"",COUNTIF(AH$4:AH33,AH33)=1),1,0)</f>
        <v/>
      </c>
      <c r="AJ33">
        <f>IF(ROW()-3&gt;MAX(AI$4:AI$40),"",INDEX(AH$4:AH$40,MATCH(ROW()-3,AI$4:AI$40,0)))</f>
        <v/>
      </c>
      <c r="AK33">
        <f>IF('Final Calculation Sheet'!$K$33="","",'Final Calculation Sheet'!$K$33)</f>
        <v/>
      </c>
      <c r="AL33">
        <f>AL32+IF(AND(AK33&lt;&gt;"",COUNTIF(AK$4:AK33,AK33)=1),1,0)</f>
        <v/>
      </c>
      <c r="AM33">
        <f>IF(ROW()-3&gt;MAX(AL$4:AL$40),"",INDEX(AK$4:AK$40,MATCH(ROW()-3,AL$4:AL$40,0)))</f>
        <v/>
      </c>
      <c r="AN33">
        <f>IF('Final Calculation Sheet'!$L$33="","",'Final Calculation Sheet'!$L$33)</f>
        <v/>
      </c>
      <c r="AO33">
        <f>AO32+IF(AND(AN33&lt;&gt;"",COUNTIF(AN$4:AN33,AN33)=1),1,0)</f>
        <v/>
      </c>
      <c r="AP33">
        <f>IF(ROW()-3&gt;MAX(AO$4:AO$40),"",INDEX(AN$4:AN$40,MATCH(ROW()-3,AO$4:AO$40,0)))</f>
        <v/>
      </c>
      <c r="AQ33">
        <f>IF('Final Calculation Sheet'!$M$33="","",'Final Calculation Sheet'!$M$33)</f>
        <v/>
      </c>
      <c r="AR33">
        <f>AR32+IF(AND(AQ33&lt;&gt;"",COUNTIF(AQ$4:AQ33,AQ33)=1),1,0)</f>
        <v/>
      </c>
      <c r="AS33">
        <f>IF(ROW()-3&gt;MAX(AR$4:AR$40),"",INDEX(AQ$4:AQ$40,MATCH(ROW()-3,AR$4:AR$40,0)))</f>
        <v/>
      </c>
      <c r="AT33">
        <f>IF('Final Calculation Sheet'!$N$33="","",'Final Calculation Sheet'!$N$33)</f>
        <v/>
      </c>
      <c r="AU33">
        <f>AU32+IF(AND(AT33&lt;&gt;"",COUNTIF(AT$4:AT33,AT33)=1),1,0)</f>
        <v/>
      </c>
      <c r="AV33">
        <f>IF(ROW()-3&gt;MAX(AU$4:AU$40),"",INDEX(AT$4:AT$40,MATCH(ROW()-3,AU$4:AU$40,0)))</f>
        <v/>
      </c>
      <c r="AW33">
        <f>IF('Final Calculation Sheet'!$O$33="","",'Final Calculation Sheet'!$O$33)</f>
        <v/>
      </c>
      <c r="AX33">
        <f>AX32+IF(AND(AW33&lt;&gt;"",COUNTIF(AW$4:AW33,AW33)=1),1,0)</f>
        <v/>
      </c>
      <c r="AY33">
        <f>IF(ROW()-3&gt;MAX(AX$4:AX$40),"",INDEX(AW$4:AW$40,MATCH(ROW()-3,AX$4:AX$40,0)))</f>
        <v/>
      </c>
      <c r="AZ33">
        <f>IF('Final Calculation Sheet'!$P$33="","",'Final Calculation Sheet'!$P$33)</f>
        <v/>
      </c>
      <c r="BA33">
        <f>BA32+IF(AND(AZ33&lt;&gt;"",COUNTIF(AZ$4:AZ33,AZ33)=1),1,0)</f>
        <v/>
      </c>
      <c r="BB33">
        <f>IF(ROW()-3&gt;MAX(BA$4:BA$40),"",INDEX(AZ$4:AZ$40,MATCH(ROW()-3,BA$4:BA$40,0)))</f>
        <v/>
      </c>
      <c r="BC33">
        <f>IF('Final Calculation Sheet'!$Q$33="","",'Final Calculation Sheet'!$Q$33)</f>
        <v/>
      </c>
      <c r="BD33">
        <f>BD32+IF(AND(BC33&lt;&gt;"",COUNTIF(BC$4:BC33,BC33)=1),1,0)</f>
        <v/>
      </c>
      <c r="BE33">
        <f>IF(ROW()-3&gt;MAX(BD$4:BD$40),"",INDEX(BC$4:BC$40,MATCH(ROW()-3,BD$4:BD$40,0)))</f>
        <v/>
      </c>
      <c r="BF33">
        <f>IF('Final Calculation Sheet'!$R$33="","",'Final Calculation Sheet'!$R$33)</f>
        <v/>
      </c>
      <c r="BG33">
        <f>BG32+IF(AND(BF33&lt;&gt;"",COUNTIF(BF$4:BF33,BF33)=1),1,0)</f>
        <v/>
      </c>
      <c r="BH33">
        <f>IF(ROW()-3&gt;MAX(BG$4:BG$40),"",INDEX(BF$4:BF$40,MATCH(ROW()-3,BG$4:BG$40,0)))</f>
        <v/>
      </c>
      <c r="BI33">
        <f>IF('Final Calculation Sheet'!$S$33="","",'Final Calculation Sheet'!$S$33)</f>
        <v/>
      </c>
      <c r="BJ33">
        <f>BJ32+IF(AND(BI33&lt;&gt;"",COUNTIF(BI$4:BI33,BI33)=1),1,0)</f>
        <v/>
      </c>
      <c r="BK33">
        <f>IF(ROW()-3&gt;MAX(BJ$4:BJ$40),"",INDEX(BI$4:BI$40,MATCH(ROW()-3,BJ$4:BJ$40,0)))</f>
        <v/>
      </c>
      <c r="BL33">
        <f>IF('Final Calculation Sheet'!$T$33="","",'Final Calculation Sheet'!$T$33)</f>
        <v/>
      </c>
      <c r="BM33">
        <f>BM32+IF(AND(BL33&lt;&gt;"",COUNTIF(BL$4:BL33,BL33)=1),1,0)</f>
        <v/>
      </c>
      <c r="BN33">
        <f>IF(ROW()-3&gt;MAX(BM$4:BM$40),"",INDEX(BL$4:BL$40,MATCH(ROW()-3,BM$4:BM$40,0)))</f>
        <v/>
      </c>
      <c r="BO33">
        <f>IF('Final Calculation Sheet'!$U$33="","",'Final Calculation Sheet'!$U$33)</f>
        <v/>
      </c>
      <c r="BP33">
        <f>BP32+IF(AND(BO33&lt;&gt;"",COUNTIF(BO$4:BO33,BO33)=1),1,0)</f>
        <v/>
      </c>
      <c r="BQ33">
        <f>IF(ROW()-3&gt;MAX(BP$4:BP$40),"",INDEX(BO$4:BO$40,MATCH(ROW()-3,BP$4:BP$40,0)))</f>
        <v/>
      </c>
      <c r="BR33">
        <f>IF('Final Calculation Sheet'!$V$33="","",'Final Calculation Sheet'!$V$33)</f>
        <v/>
      </c>
      <c r="BS33">
        <f>BS32+IF(AND(BR33&lt;&gt;"",COUNTIF(BR$4:BR33,BR33)=1),1,0)</f>
        <v/>
      </c>
      <c r="BT33">
        <f>IF(ROW()-3&gt;MAX(BS$4:BS$40),"",INDEX(BR$4:BR$40,MATCH(ROW()-3,BS$4:BS$40,0)))</f>
        <v/>
      </c>
      <c r="BU33">
        <f>IF('Final Calculation Sheet'!$W$33="","",'Final Calculation Sheet'!$W$33)</f>
        <v/>
      </c>
      <c r="BV33">
        <f>BV32+IF(AND(BU33&lt;&gt;"",COUNTIF(BU$4:BU33,BU33)=1),1,0)</f>
        <v/>
      </c>
      <c r="BW33">
        <f>IF(ROW()-3&gt;MAX(BV$4:BV$40),"",INDEX(BU$4:BU$40,MATCH(ROW()-3,BV$4:BV$40,0)))</f>
        <v/>
      </c>
      <c r="BX33">
        <f>IF('Final Calculation Sheet'!$X$33="","",'Final Calculation Sheet'!$X$33)</f>
        <v/>
      </c>
      <c r="BY33">
        <f>BY32+IF(AND(BX33&lt;&gt;"",COUNTIF(BX$4:BX33,BX33)=1),1,0)</f>
        <v/>
      </c>
      <c r="BZ33">
        <f>IF(ROW()-3&gt;MAX(BY$4:BY$40),"",INDEX(BX$4:BX$40,MATCH(ROW()-3,BY$4:BY$40,0)))</f>
        <v/>
      </c>
      <c r="CA33">
        <f>IF('Final Calculation Sheet'!$Y$33="","",'Final Calculation Sheet'!$Y$33)</f>
        <v/>
      </c>
      <c r="CB33">
        <f>CB32+IF(AND(CA33&lt;&gt;"",COUNTIF(CA$4:CA33,CA33)=1),1,0)</f>
        <v/>
      </c>
      <c r="CC33">
        <f>IF(ROW()-3&gt;MAX(CB$4:CB$40),"",INDEX(CA$4:CA$40,MATCH(ROW()-3,CB$4:CB$40,0)))</f>
        <v/>
      </c>
      <c r="CD33">
        <f>IF('Final Calculation Sheet'!$Z$33="","",'Final Calculation Sheet'!$Z$33)</f>
        <v/>
      </c>
      <c r="CE33">
        <f>CE32+IF(AND(CD33&lt;&gt;"",COUNTIF(CD$4:CD33,CD33)=1),1,0)</f>
        <v/>
      </c>
      <c r="CF33">
        <f>IF(ROW()-3&gt;MAX(CE$4:CE$40),"",INDEX(CD$4:CD$40,MATCH(ROW()-3,CE$4:CE$40,0)))</f>
        <v/>
      </c>
      <c r="CG33">
        <f>IF('Final Calculation Sheet'!$AA$33="","",'Final Calculation Sheet'!$AA$33)</f>
        <v/>
      </c>
      <c r="CH33">
        <f>CH32+IF(AND(CG33&lt;&gt;"",COUNTIF(CG$4:CG33,CG33)=1),1,0)</f>
        <v/>
      </c>
      <c r="CI33">
        <f>IF(ROW()-3&gt;MAX(CH$4:CH$40),"",INDEX(CG$4:CG$40,MATCH(ROW()-3,CH$4:CH$40,0)))</f>
        <v/>
      </c>
      <c r="CJ33">
        <f>IF('Final Calculation Sheet'!$AB$33="","",'Final Calculation Sheet'!$AB$33)</f>
        <v/>
      </c>
      <c r="CK33">
        <f>CK32+IF(AND(CJ33&lt;&gt;"",COUNTIF(CJ$4:CJ33,CJ33)=1),1,0)</f>
        <v/>
      </c>
      <c r="CL33">
        <f>IF(ROW()-3&gt;MAX(CK$4:CK$40),"",INDEX(CJ$4:CJ$40,MATCH(ROW()-3,CK$4:CK$40,0)))</f>
        <v/>
      </c>
      <c r="CM33">
        <f>IF('Final Calculation Sheet'!$AC$33="","",'Final Calculation Sheet'!$AC$33)</f>
        <v/>
      </c>
      <c r="CN33">
        <f>CN32+IF(AND(CM33&lt;&gt;"",COUNTIF(CM$4:CM33,CM33)=1),1,0)</f>
        <v/>
      </c>
      <c r="CO33">
        <f>IF(ROW()-3&gt;MAX(CN$4:CN$40),"",INDEX(CM$4:CM$40,MATCH(ROW()-3,CN$4:CN$40,0)))</f>
        <v/>
      </c>
      <c r="CP33">
        <f>IF('Final Calculation Sheet'!$AD$33="","",'Final Calculation Sheet'!$AD$33)</f>
        <v/>
      </c>
      <c r="CQ33">
        <f>CQ32+IF(AND(CP33&lt;&gt;"",COUNTIF(CP$4:CP33,CP33)=1),1,0)</f>
        <v/>
      </c>
      <c r="CR33">
        <f>IF(ROW()-3&gt;MAX(CQ$4:CQ$40),"",INDEX(CP$4:CP$40,MATCH(ROW()-3,CQ$4:CQ$40,0)))</f>
        <v/>
      </c>
      <c r="CS33">
        <f>IF('Final Calculation Sheet'!$AE$33="","",'Final Calculation Sheet'!$AE$33)</f>
        <v/>
      </c>
      <c r="CT33">
        <f>CT32+IF(AND(CS33&lt;&gt;"",COUNTIF(CS$4:CS33,CS33)=1),1,0)</f>
        <v/>
      </c>
      <c r="CU33">
        <f>IF(ROW()-3&gt;MAX(CT$4:CT$40),"",INDEX(CS$4:CS$40,MATCH(ROW()-3,CT$4:CT$40,0)))</f>
        <v/>
      </c>
      <c r="CV33">
        <f>IF('Final Calculation Sheet'!$AF$33="","",'Final Calculation Sheet'!$AF$33)</f>
        <v/>
      </c>
      <c r="CW33">
        <f>CW32+IF(AND(CV33&lt;&gt;"",COUNTIF(CV$4:CV33,CV33)=1),1,0)</f>
        <v/>
      </c>
      <c r="CX33">
        <f>IF(ROW()-3&gt;MAX(CW$4:CW$40),"",INDEX(CV$4:CV$40,MATCH(ROW()-3,CW$4:CW$40,0)))</f>
        <v/>
      </c>
      <c r="CY33">
        <f>IF('Final Calculation Sheet'!$AG$33="","",'Final Calculation Sheet'!$AG$33)</f>
        <v/>
      </c>
      <c r="CZ33">
        <f>CZ32+IF(AND(CY33&lt;&gt;"",COUNTIF(CY$4:CY33,CY33)=1),1,0)</f>
        <v/>
      </c>
      <c r="DA33">
        <f>IF(ROW()-3&gt;MAX(CZ$4:CZ$40),"",INDEX(CY$4:CY$40,MATCH(ROW()-3,CZ$4:CZ$40,0)))</f>
        <v/>
      </c>
      <c r="DC33">
        <f>DC32+IF(AND(DB33&lt;&gt;"",COUNTIF(DB$4:DB33,DB33)=1),1,0)</f>
        <v/>
      </c>
      <c r="DD33">
        <f>IF(ROW()-3&gt;MAX(DC$4:DC$40),"",INDEX(DB$4:DB$40,MATCH(ROW()-3,DC$4:DC$40,0)))</f>
        <v/>
      </c>
    </row>
    <row r="34">
      <c r="A34">
        <f>IF('Final Calculation Sheet'!$F$34="","",'Final Calculation Sheet'!$F$34)</f>
        <v/>
      </c>
      <c r="B34">
        <f>B33+IF(AND(A34&lt;&gt;"",COUNTIF(A$4:A34,A34)=1),1,0)</f>
        <v/>
      </c>
      <c r="C34">
        <f>IF(ROW()-3&gt;MAX(B$4:B$114),"",INDEX(A$4:A$114,MATCH(ROW()-3,B$4:B$114,0)))</f>
        <v/>
      </c>
      <c r="D34">
        <f>ROW()-3</f>
        <v/>
      </c>
      <c r="E34">
        <f>E33+IF(AND(D34&lt;&gt;"",COUNTIF(D$4:D34,D34)=1),1,0)</f>
        <v/>
      </c>
      <c r="F34">
        <f>IF(ROW()-3&gt;MAX(E$4:E$40),"",INDEX(D$4:D$40,MATCH(ROW()-3,E$4:E$40,0)))</f>
        <v/>
      </c>
      <c r="G34">
        <f>IF('Final Calculation Sheet'!$F$34="","",'Final Calculation Sheet'!$F$34)</f>
        <v/>
      </c>
      <c r="H34">
        <f>H33+IF(AND(G34&lt;&gt;"",COUNTIF(G$4:G34,G34)=1),1,0)</f>
        <v/>
      </c>
      <c r="I34">
        <f>IF(ROW()-3&gt;MAX(H$4:H$40),"",INDEX(G$4:G$40,MATCH(ROW()-3,H$4:H$40,0)))</f>
        <v/>
      </c>
      <c r="J34">
        <f>IF('Final Calculation Sheet'!$G$34="","",'Final Calculation Sheet'!$G$34)</f>
        <v/>
      </c>
      <c r="K34">
        <f>K33+IF(AND(J34&lt;&gt;"",COUNTIF(J$4:J34,J34)=1),1,0)</f>
        <v/>
      </c>
      <c r="L34">
        <f>IF(ROW()-3&gt;MAX(K$4:K$40),"",INDEX(J$4:J$40,MATCH(ROW()-3,K$4:K$40,0)))</f>
        <v/>
      </c>
      <c r="M34">
        <f>IF('Final Calculation Sheet'!$B$34="","",'Final Calculation Sheet'!$B$34)</f>
        <v/>
      </c>
      <c r="N34">
        <f>N33+IF(AND(M34&lt;&gt;"",COUNTIF(M$4:M34,M34)=1),1,0)</f>
        <v/>
      </c>
      <c r="O34">
        <f>IF(ROW()-3&gt;MAX(N$4:N$40),"",INDEX(M$4:M$40,MATCH(ROW()-3,N$4:N$40,0)))</f>
        <v/>
      </c>
      <c r="P34">
        <f>IF('Final Calculation Sheet'!$D$34="","",'Final Calculation Sheet'!$D$34)</f>
        <v/>
      </c>
      <c r="Q34">
        <f>Q33+IF(AND(P34&lt;&gt;"",COUNTIF(P$4:P34,P34)=1),1,0)</f>
        <v/>
      </c>
      <c r="R34">
        <f>IF(ROW()-3&gt;MAX(Q$4:Q$40),"",INDEX(P$4:P$40,MATCH(ROW()-3,Q$4:Q$40,0)))</f>
        <v/>
      </c>
      <c r="S34">
        <f>IF('Final Calculation Sheet'!$A$34="","",'Final Calculation Sheet'!$A$34)</f>
        <v/>
      </c>
      <c r="T34">
        <f>T33+IF(AND(S34&lt;&gt;"",COUNTIF(S$4:S34,S34)=1),1,0)</f>
        <v/>
      </c>
      <c r="U34">
        <f>IF(ROW()-3&gt;MAX(T$4:T$40),"",INDEX(S$4:S$40,MATCH(ROW()-3,T$4:T$40,0)))</f>
        <v/>
      </c>
      <c r="V34">
        <f>IF('Final Calculation Sheet'!$E$34="","",'Final Calculation Sheet'!$E$34)</f>
        <v/>
      </c>
      <c r="W34">
        <f>W33+IF(AND(V34&lt;&gt;"",COUNTIF(V$4:V34,V34)=1),1,0)</f>
        <v/>
      </c>
      <c r="X34">
        <f>IF(ROW()-3&gt;MAX(W$4:W$40),"",INDEX(V$4:V$40,MATCH(ROW()-3,W$4:W$40,0)))</f>
        <v/>
      </c>
      <c r="Y34">
        <f>IF('Final Calculation Sheet'!$C$34="","",'Final Calculation Sheet'!$C$34)</f>
        <v/>
      </c>
      <c r="Z34">
        <f>Z33+IF(AND(Y34&lt;&gt;"",COUNTIF(Y$4:Y34,Y34)=1),1,0)</f>
        <v/>
      </c>
      <c r="AA34">
        <f>IF(ROW()-3&gt;MAX(Z$4:Z$40),"",INDEX(Y$4:Y$40,MATCH(ROW()-3,Z$4:Z$40,0)))</f>
        <v/>
      </c>
      <c r="AB34">
        <f>IF('Final Calculation Sheet'!$H$34="","",'Final Calculation Sheet'!$H$34)</f>
        <v/>
      </c>
      <c r="AC34">
        <f>AC33+IF(AND(AB34&lt;&gt;"",COUNTIF(AB$4:AB34,AB34)=1),1,0)</f>
        <v/>
      </c>
      <c r="AD34">
        <f>IF(ROW()-3&gt;MAX(AC$4:AC$40),"",INDEX(AB$4:AB$40,MATCH(ROW()-3,AC$4:AC$40,0)))</f>
        <v/>
      </c>
      <c r="AE34">
        <f>IF('Final Calculation Sheet'!$I$34="","",'Final Calculation Sheet'!$I$34)</f>
        <v/>
      </c>
      <c r="AF34">
        <f>AF33+IF(AND(AE34&lt;&gt;"",COUNTIF(AE$4:AE34,AE34)=1),1,0)</f>
        <v/>
      </c>
      <c r="AG34">
        <f>IF(ROW()-3&gt;MAX(AF$4:AF$40),"",INDEX(AE$4:AE$40,MATCH(ROW()-3,AF$4:AF$40,0)))</f>
        <v/>
      </c>
      <c r="AH34">
        <f>IF('Final Calculation Sheet'!$J$34="","",'Final Calculation Sheet'!$J$34)</f>
        <v/>
      </c>
      <c r="AI34">
        <f>AI33+IF(AND(AH34&lt;&gt;"",COUNTIF(AH$4:AH34,AH34)=1),1,0)</f>
        <v/>
      </c>
      <c r="AJ34">
        <f>IF(ROW()-3&gt;MAX(AI$4:AI$40),"",INDEX(AH$4:AH$40,MATCH(ROW()-3,AI$4:AI$40,0)))</f>
        <v/>
      </c>
      <c r="AK34">
        <f>IF('Final Calculation Sheet'!$K$34="","",'Final Calculation Sheet'!$K$34)</f>
        <v/>
      </c>
      <c r="AL34">
        <f>AL33+IF(AND(AK34&lt;&gt;"",COUNTIF(AK$4:AK34,AK34)=1),1,0)</f>
        <v/>
      </c>
      <c r="AM34">
        <f>IF(ROW()-3&gt;MAX(AL$4:AL$40),"",INDEX(AK$4:AK$40,MATCH(ROW()-3,AL$4:AL$40,0)))</f>
        <v/>
      </c>
      <c r="AN34">
        <f>IF('Final Calculation Sheet'!$L$34="","",'Final Calculation Sheet'!$L$34)</f>
        <v/>
      </c>
      <c r="AO34">
        <f>AO33+IF(AND(AN34&lt;&gt;"",COUNTIF(AN$4:AN34,AN34)=1),1,0)</f>
        <v/>
      </c>
      <c r="AP34">
        <f>IF(ROW()-3&gt;MAX(AO$4:AO$40),"",INDEX(AN$4:AN$40,MATCH(ROW()-3,AO$4:AO$40,0)))</f>
        <v/>
      </c>
      <c r="AQ34">
        <f>IF('Final Calculation Sheet'!$M$34="","",'Final Calculation Sheet'!$M$34)</f>
        <v/>
      </c>
      <c r="AR34">
        <f>AR33+IF(AND(AQ34&lt;&gt;"",COUNTIF(AQ$4:AQ34,AQ34)=1),1,0)</f>
        <v/>
      </c>
      <c r="AS34">
        <f>IF(ROW()-3&gt;MAX(AR$4:AR$40),"",INDEX(AQ$4:AQ$40,MATCH(ROW()-3,AR$4:AR$40,0)))</f>
        <v/>
      </c>
      <c r="AT34">
        <f>IF('Final Calculation Sheet'!$N$34="","",'Final Calculation Sheet'!$N$34)</f>
        <v/>
      </c>
      <c r="AU34">
        <f>AU33+IF(AND(AT34&lt;&gt;"",COUNTIF(AT$4:AT34,AT34)=1),1,0)</f>
        <v/>
      </c>
      <c r="AV34">
        <f>IF(ROW()-3&gt;MAX(AU$4:AU$40),"",INDEX(AT$4:AT$40,MATCH(ROW()-3,AU$4:AU$40,0)))</f>
        <v/>
      </c>
      <c r="AW34">
        <f>IF('Final Calculation Sheet'!$O$34="","",'Final Calculation Sheet'!$O$34)</f>
        <v/>
      </c>
      <c r="AX34">
        <f>AX33+IF(AND(AW34&lt;&gt;"",COUNTIF(AW$4:AW34,AW34)=1),1,0)</f>
        <v/>
      </c>
      <c r="AY34">
        <f>IF(ROW()-3&gt;MAX(AX$4:AX$40),"",INDEX(AW$4:AW$40,MATCH(ROW()-3,AX$4:AX$40,0)))</f>
        <v/>
      </c>
      <c r="AZ34">
        <f>IF('Final Calculation Sheet'!$P$34="","",'Final Calculation Sheet'!$P$34)</f>
        <v/>
      </c>
      <c r="BA34">
        <f>BA33+IF(AND(AZ34&lt;&gt;"",COUNTIF(AZ$4:AZ34,AZ34)=1),1,0)</f>
        <v/>
      </c>
      <c r="BB34">
        <f>IF(ROW()-3&gt;MAX(BA$4:BA$40),"",INDEX(AZ$4:AZ$40,MATCH(ROW()-3,BA$4:BA$40,0)))</f>
        <v/>
      </c>
      <c r="BC34">
        <f>IF('Final Calculation Sheet'!$Q$34="","",'Final Calculation Sheet'!$Q$34)</f>
        <v/>
      </c>
      <c r="BD34">
        <f>BD33+IF(AND(BC34&lt;&gt;"",COUNTIF(BC$4:BC34,BC34)=1),1,0)</f>
        <v/>
      </c>
      <c r="BE34">
        <f>IF(ROW()-3&gt;MAX(BD$4:BD$40),"",INDEX(BC$4:BC$40,MATCH(ROW()-3,BD$4:BD$40,0)))</f>
        <v/>
      </c>
      <c r="BF34">
        <f>IF('Final Calculation Sheet'!$R$34="","",'Final Calculation Sheet'!$R$34)</f>
        <v/>
      </c>
      <c r="BG34">
        <f>BG33+IF(AND(BF34&lt;&gt;"",COUNTIF(BF$4:BF34,BF34)=1),1,0)</f>
        <v/>
      </c>
      <c r="BH34">
        <f>IF(ROW()-3&gt;MAX(BG$4:BG$40),"",INDEX(BF$4:BF$40,MATCH(ROW()-3,BG$4:BG$40,0)))</f>
        <v/>
      </c>
      <c r="BI34">
        <f>IF('Final Calculation Sheet'!$S$34="","",'Final Calculation Sheet'!$S$34)</f>
        <v/>
      </c>
      <c r="BJ34">
        <f>BJ33+IF(AND(BI34&lt;&gt;"",COUNTIF(BI$4:BI34,BI34)=1),1,0)</f>
        <v/>
      </c>
      <c r="BK34">
        <f>IF(ROW()-3&gt;MAX(BJ$4:BJ$40),"",INDEX(BI$4:BI$40,MATCH(ROW()-3,BJ$4:BJ$40,0)))</f>
        <v/>
      </c>
      <c r="BL34">
        <f>IF('Final Calculation Sheet'!$T$34="","",'Final Calculation Sheet'!$T$34)</f>
        <v/>
      </c>
      <c r="BM34">
        <f>BM33+IF(AND(BL34&lt;&gt;"",COUNTIF(BL$4:BL34,BL34)=1),1,0)</f>
        <v/>
      </c>
      <c r="BN34">
        <f>IF(ROW()-3&gt;MAX(BM$4:BM$40),"",INDEX(BL$4:BL$40,MATCH(ROW()-3,BM$4:BM$40,0)))</f>
        <v/>
      </c>
      <c r="BO34">
        <f>IF('Final Calculation Sheet'!$U$34="","",'Final Calculation Sheet'!$U$34)</f>
        <v/>
      </c>
      <c r="BP34">
        <f>BP33+IF(AND(BO34&lt;&gt;"",COUNTIF(BO$4:BO34,BO34)=1),1,0)</f>
        <v/>
      </c>
      <c r="BQ34">
        <f>IF(ROW()-3&gt;MAX(BP$4:BP$40),"",INDEX(BO$4:BO$40,MATCH(ROW()-3,BP$4:BP$40,0)))</f>
        <v/>
      </c>
      <c r="BR34">
        <f>IF('Final Calculation Sheet'!$V$34="","",'Final Calculation Sheet'!$V$34)</f>
        <v/>
      </c>
      <c r="BS34">
        <f>BS33+IF(AND(BR34&lt;&gt;"",COUNTIF(BR$4:BR34,BR34)=1),1,0)</f>
        <v/>
      </c>
      <c r="BT34">
        <f>IF(ROW()-3&gt;MAX(BS$4:BS$40),"",INDEX(BR$4:BR$40,MATCH(ROW()-3,BS$4:BS$40,0)))</f>
        <v/>
      </c>
      <c r="BU34">
        <f>IF('Final Calculation Sheet'!$W$34="","",'Final Calculation Sheet'!$W$34)</f>
        <v/>
      </c>
      <c r="BV34">
        <f>BV33+IF(AND(BU34&lt;&gt;"",COUNTIF(BU$4:BU34,BU34)=1),1,0)</f>
        <v/>
      </c>
      <c r="BW34">
        <f>IF(ROW()-3&gt;MAX(BV$4:BV$40),"",INDEX(BU$4:BU$40,MATCH(ROW()-3,BV$4:BV$40,0)))</f>
        <v/>
      </c>
      <c r="BX34">
        <f>IF('Final Calculation Sheet'!$X$34="","",'Final Calculation Sheet'!$X$34)</f>
        <v/>
      </c>
      <c r="BY34">
        <f>BY33+IF(AND(BX34&lt;&gt;"",COUNTIF(BX$4:BX34,BX34)=1),1,0)</f>
        <v/>
      </c>
      <c r="BZ34">
        <f>IF(ROW()-3&gt;MAX(BY$4:BY$40),"",INDEX(BX$4:BX$40,MATCH(ROW()-3,BY$4:BY$40,0)))</f>
        <v/>
      </c>
      <c r="CA34">
        <f>IF('Final Calculation Sheet'!$Y$34="","",'Final Calculation Sheet'!$Y$34)</f>
        <v/>
      </c>
      <c r="CB34">
        <f>CB33+IF(AND(CA34&lt;&gt;"",COUNTIF(CA$4:CA34,CA34)=1),1,0)</f>
        <v/>
      </c>
      <c r="CC34">
        <f>IF(ROW()-3&gt;MAX(CB$4:CB$40),"",INDEX(CA$4:CA$40,MATCH(ROW()-3,CB$4:CB$40,0)))</f>
        <v/>
      </c>
      <c r="CD34">
        <f>IF('Final Calculation Sheet'!$Z$34="","",'Final Calculation Sheet'!$Z$34)</f>
        <v/>
      </c>
      <c r="CE34">
        <f>CE33+IF(AND(CD34&lt;&gt;"",COUNTIF(CD$4:CD34,CD34)=1),1,0)</f>
        <v/>
      </c>
      <c r="CF34">
        <f>IF(ROW()-3&gt;MAX(CE$4:CE$40),"",INDEX(CD$4:CD$40,MATCH(ROW()-3,CE$4:CE$40,0)))</f>
        <v/>
      </c>
      <c r="CG34">
        <f>IF('Final Calculation Sheet'!$AA$34="","",'Final Calculation Sheet'!$AA$34)</f>
        <v/>
      </c>
      <c r="CH34">
        <f>CH33+IF(AND(CG34&lt;&gt;"",COUNTIF(CG$4:CG34,CG34)=1),1,0)</f>
        <v/>
      </c>
      <c r="CI34">
        <f>IF(ROW()-3&gt;MAX(CH$4:CH$40),"",INDEX(CG$4:CG$40,MATCH(ROW()-3,CH$4:CH$40,0)))</f>
        <v/>
      </c>
      <c r="CJ34">
        <f>IF('Final Calculation Sheet'!$AB$34="","",'Final Calculation Sheet'!$AB$34)</f>
        <v/>
      </c>
      <c r="CK34">
        <f>CK33+IF(AND(CJ34&lt;&gt;"",COUNTIF(CJ$4:CJ34,CJ34)=1),1,0)</f>
        <v/>
      </c>
      <c r="CL34">
        <f>IF(ROW()-3&gt;MAX(CK$4:CK$40),"",INDEX(CJ$4:CJ$40,MATCH(ROW()-3,CK$4:CK$40,0)))</f>
        <v/>
      </c>
      <c r="CM34">
        <f>IF('Final Calculation Sheet'!$AC$34="","",'Final Calculation Sheet'!$AC$34)</f>
        <v/>
      </c>
      <c r="CN34">
        <f>CN33+IF(AND(CM34&lt;&gt;"",COUNTIF(CM$4:CM34,CM34)=1),1,0)</f>
        <v/>
      </c>
      <c r="CO34">
        <f>IF(ROW()-3&gt;MAX(CN$4:CN$40),"",INDEX(CM$4:CM$40,MATCH(ROW()-3,CN$4:CN$40,0)))</f>
        <v/>
      </c>
      <c r="CP34">
        <f>IF('Final Calculation Sheet'!$AD$34="","",'Final Calculation Sheet'!$AD$34)</f>
        <v/>
      </c>
      <c r="CQ34">
        <f>CQ33+IF(AND(CP34&lt;&gt;"",COUNTIF(CP$4:CP34,CP34)=1),1,0)</f>
        <v/>
      </c>
      <c r="CR34">
        <f>IF(ROW()-3&gt;MAX(CQ$4:CQ$40),"",INDEX(CP$4:CP$40,MATCH(ROW()-3,CQ$4:CQ$40,0)))</f>
        <v/>
      </c>
      <c r="CS34">
        <f>IF('Final Calculation Sheet'!$AE$34="","",'Final Calculation Sheet'!$AE$34)</f>
        <v/>
      </c>
      <c r="CT34">
        <f>CT33+IF(AND(CS34&lt;&gt;"",COUNTIF(CS$4:CS34,CS34)=1),1,0)</f>
        <v/>
      </c>
      <c r="CU34">
        <f>IF(ROW()-3&gt;MAX(CT$4:CT$40),"",INDEX(CS$4:CS$40,MATCH(ROW()-3,CT$4:CT$40,0)))</f>
        <v/>
      </c>
      <c r="CV34">
        <f>IF('Final Calculation Sheet'!$AF$34="","",'Final Calculation Sheet'!$AF$34)</f>
        <v/>
      </c>
      <c r="CW34">
        <f>CW33+IF(AND(CV34&lt;&gt;"",COUNTIF(CV$4:CV34,CV34)=1),1,0)</f>
        <v/>
      </c>
      <c r="CX34">
        <f>IF(ROW()-3&gt;MAX(CW$4:CW$40),"",INDEX(CV$4:CV$40,MATCH(ROW()-3,CW$4:CW$40,0)))</f>
        <v/>
      </c>
      <c r="CY34">
        <f>IF('Final Calculation Sheet'!$AG$34="","",'Final Calculation Sheet'!$AG$34)</f>
        <v/>
      </c>
      <c r="CZ34">
        <f>CZ33+IF(AND(CY34&lt;&gt;"",COUNTIF(CY$4:CY34,CY34)=1),1,0)</f>
        <v/>
      </c>
      <c r="DA34">
        <f>IF(ROW()-3&gt;MAX(CZ$4:CZ$40),"",INDEX(CY$4:CY$40,MATCH(ROW()-3,CZ$4:CZ$40,0)))</f>
        <v/>
      </c>
      <c r="DC34">
        <f>DC33+IF(AND(DB34&lt;&gt;"",COUNTIF(DB$4:DB34,DB34)=1),1,0)</f>
        <v/>
      </c>
      <c r="DD34">
        <f>IF(ROW()-3&gt;MAX(DC$4:DC$40),"",INDEX(DB$4:DB$40,MATCH(ROW()-3,DC$4:DC$40,0)))</f>
        <v/>
      </c>
    </row>
    <row r="35">
      <c r="A35">
        <f>IF('Final Calculation Sheet'!$F$35="","",'Final Calculation Sheet'!$F$35)</f>
        <v/>
      </c>
      <c r="B35">
        <f>B34+IF(AND(A35&lt;&gt;"",COUNTIF(A$4:A35,A35)=1),1,0)</f>
        <v/>
      </c>
      <c r="C35">
        <f>IF(ROW()-3&gt;MAX(B$4:B$114),"",INDEX(A$4:A$114,MATCH(ROW()-3,B$4:B$114,0)))</f>
        <v/>
      </c>
      <c r="D35">
        <f>ROW()-3</f>
        <v/>
      </c>
      <c r="E35">
        <f>E34+IF(AND(D35&lt;&gt;"",COUNTIF(D$4:D35,D35)=1),1,0)</f>
        <v/>
      </c>
      <c r="F35">
        <f>IF(ROW()-3&gt;MAX(E$4:E$40),"",INDEX(D$4:D$40,MATCH(ROW()-3,E$4:E$40,0)))</f>
        <v/>
      </c>
      <c r="G35">
        <f>IF('Final Calculation Sheet'!$F$35="","",'Final Calculation Sheet'!$F$35)</f>
        <v/>
      </c>
      <c r="H35">
        <f>H34+IF(AND(G35&lt;&gt;"",COUNTIF(G$4:G35,G35)=1),1,0)</f>
        <v/>
      </c>
      <c r="I35">
        <f>IF(ROW()-3&gt;MAX(H$4:H$40),"",INDEX(G$4:G$40,MATCH(ROW()-3,H$4:H$40,0)))</f>
        <v/>
      </c>
      <c r="J35">
        <f>IF('Final Calculation Sheet'!$G$35="","",'Final Calculation Sheet'!$G$35)</f>
        <v/>
      </c>
      <c r="K35">
        <f>K34+IF(AND(J35&lt;&gt;"",COUNTIF(J$4:J35,J35)=1),1,0)</f>
        <v/>
      </c>
      <c r="L35">
        <f>IF(ROW()-3&gt;MAX(K$4:K$40),"",INDEX(J$4:J$40,MATCH(ROW()-3,K$4:K$40,0)))</f>
        <v/>
      </c>
      <c r="M35">
        <f>IF('Final Calculation Sheet'!$B$35="","",'Final Calculation Sheet'!$B$35)</f>
        <v/>
      </c>
      <c r="N35">
        <f>N34+IF(AND(M35&lt;&gt;"",COUNTIF(M$4:M35,M35)=1),1,0)</f>
        <v/>
      </c>
      <c r="O35">
        <f>IF(ROW()-3&gt;MAX(N$4:N$40),"",INDEX(M$4:M$40,MATCH(ROW()-3,N$4:N$40,0)))</f>
        <v/>
      </c>
      <c r="P35">
        <f>IF('Final Calculation Sheet'!$D$35="","",'Final Calculation Sheet'!$D$35)</f>
        <v/>
      </c>
      <c r="Q35">
        <f>Q34+IF(AND(P35&lt;&gt;"",COUNTIF(P$4:P35,P35)=1),1,0)</f>
        <v/>
      </c>
      <c r="R35">
        <f>IF(ROW()-3&gt;MAX(Q$4:Q$40),"",INDEX(P$4:P$40,MATCH(ROW()-3,Q$4:Q$40,0)))</f>
        <v/>
      </c>
      <c r="S35">
        <f>IF('Final Calculation Sheet'!$A$35="","",'Final Calculation Sheet'!$A$35)</f>
        <v/>
      </c>
      <c r="T35">
        <f>T34+IF(AND(S35&lt;&gt;"",COUNTIF(S$4:S35,S35)=1),1,0)</f>
        <v/>
      </c>
      <c r="U35">
        <f>IF(ROW()-3&gt;MAX(T$4:T$40),"",INDEX(S$4:S$40,MATCH(ROW()-3,T$4:T$40,0)))</f>
        <v/>
      </c>
      <c r="V35">
        <f>IF('Final Calculation Sheet'!$E$35="","",'Final Calculation Sheet'!$E$35)</f>
        <v/>
      </c>
      <c r="W35">
        <f>W34+IF(AND(V35&lt;&gt;"",COUNTIF(V$4:V35,V35)=1),1,0)</f>
        <v/>
      </c>
      <c r="X35">
        <f>IF(ROW()-3&gt;MAX(W$4:W$40),"",INDEX(V$4:V$40,MATCH(ROW()-3,W$4:W$40,0)))</f>
        <v/>
      </c>
      <c r="Y35">
        <f>IF('Final Calculation Sheet'!$C$35="","",'Final Calculation Sheet'!$C$35)</f>
        <v/>
      </c>
      <c r="Z35">
        <f>Z34+IF(AND(Y35&lt;&gt;"",COUNTIF(Y$4:Y35,Y35)=1),1,0)</f>
        <v/>
      </c>
      <c r="AA35">
        <f>IF(ROW()-3&gt;MAX(Z$4:Z$40),"",INDEX(Y$4:Y$40,MATCH(ROW()-3,Z$4:Z$40,0)))</f>
        <v/>
      </c>
      <c r="AB35">
        <f>IF('Final Calculation Sheet'!$H$35="","",'Final Calculation Sheet'!$H$35)</f>
        <v/>
      </c>
      <c r="AC35">
        <f>AC34+IF(AND(AB35&lt;&gt;"",COUNTIF(AB$4:AB35,AB35)=1),1,0)</f>
        <v/>
      </c>
      <c r="AD35">
        <f>IF(ROW()-3&gt;MAX(AC$4:AC$40),"",INDEX(AB$4:AB$40,MATCH(ROW()-3,AC$4:AC$40,0)))</f>
        <v/>
      </c>
      <c r="AE35">
        <f>IF('Final Calculation Sheet'!$I$35="","",'Final Calculation Sheet'!$I$35)</f>
        <v/>
      </c>
      <c r="AF35">
        <f>AF34+IF(AND(AE35&lt;&gt;"",COUNTIF(AE$4:AE35,AE35)=1),1,0)</f>
        <v/>
      </c>
      <c r="AG35">
        <f>IF(ROW()-3&gt;MAX(AF$4:AF$40),"",INDEX(AE$4:AE$40,MATCH(ROW()-3,AF$4:AF$40,0)))</f>
        <v/>
      </c>
      <c r="AH35">
        <f>IF('Final Calculation Sheet'!$J$35="","",'Final Calculation Sheet'!$J$35)</f>
        <v/>
      </c>
      <c r="AI35">
        <f>AI34+IF(AND(AH35&lt;&gt;"",COUNTIF(AH$4:AH35,AH35)=1),1,0)</f>
        <v/>
      </c>
      <c r="AJ35">
        <f>IF(ROW()-3&gt;MAX(AI$4:AI$40),"",INDEX(AH$4:AH$40,MATCH(ROW()-3,AI$4:AI$40,0)))</f>
        <v/>
      </c>
      <c r="AK35">
        <f>IF('Final Calculation Sheet'!$K$35="","",'Final Calculation Sheet'!$K$35)</f>
        <v/>
      </c>
      <c r="AL35">
        <f>AL34+IF(AND(AK35&lt;&gt;"",COUNTIF(AK$4:AK35,AK35)=1),1,0)</f>
        <v/>
      </c>
      <c r="AM35">
        <f>IF(ROW()-3&gt;MAX(AL$4:AL$40),"",INDEX(AK$4:AK$40,MATCH(ROW()-3,AL$4:AL$40,0)))</f>
        <v/>
      </c>
      <c r="AN35">
        <f>IF('Final Calculation Sheet'!$L$35="","",'Final Calculation Sheet'!$L$35)</f>
        <v/>
      </c>
      <c r="AO35">
        <f>AO34+IF(AND(AN35&lt;&gt;"",COUNTIF(AN$4:AN35,AN35)=1),1,0)</f>
        <v/>
      </c>
      <c r="AP35">
        <f>IF(ROW()-3&gt;MAX(AO$4:AO$40),"",INDEX(AN$4:AN$40,MATCH(ROW()-3,AO$4:AO$40,0)))</f>
        <v/>
      </c>
      <c r="AQ35">
        <f>IF('Final Calculation Sheet'!$M$35="","",'Final Calculation Sheet'!$M$35)</f>
        <v/>
      </c>
      <c r="AR35">
        <f>AR34+IF(AND(AQ35&lt;&gt;"",COUNTIF(AQ$4:AQ35,AQ35)=1),1,0)</f>
        <v/>
      </c>
      <c r="AS35">
        <f>IF(ROW()-3&gt;MAX(AR$4:AR$40),"",INDEX(AQ$4:AQ$40,MATCH(ROW()-3,AR$4:AR$40,0)))</f>
        <v/>
      </c>
      <c r="AT35">
        <f>IF('Final Calculation Sheet'!$N$35="","",'Final Calculation Sheet'!$N$35)</f>
        <v/>
      </c>
      <c r="AU35">
        <f>AU34+IF(AND(AT35&lt;&gt;"",COUNTIF(AT$4:AT35,AT35)=1),1,0)</f>
        <v/>
      </c>
      <c r="AV35">
        <f>IF(ROW()-3&gt;MAX(AU$4:AU$40),"",INDEX(AT$4:AT$40,MATCH(ROW()-3,AU$4:AU$40,0)))</f>
        <v/>
      </c>
      <c r="AW35">
        <f>IF('Final Calculation Sheet'!$O$35="","",'Final Calculation Sheet'!$O$35)</f>
        <v/>
      </c>
      <c r="AX35">
        <f>AX34+IF(AND(AW35&lt;&gt;"",COUNTIF(AW$4:AW35,AW35)=1),1,0)</f>
        <v/>
      </c>
      <c r="AY35">
        <f>IF(ROW()-3&gt;MAX(AX$4:AX$40),"",INDEX(AW$4:AW$40,MATCH(ROW()-3,AX$4:AX$40,0)))</f>
        <v/>
      </c>
      <c r="AZ35">
        <f>IF('Final Calculation Sheet'!$P$35="","",'Final Calculation Sheet'!$P$35)</f>
        <v/>
      </c>
      <c r="BA35">
        <f>BA34+IF(AND(AZ35&lt;&gt;"",COUNTIF(AZ$4:AZ35,AZ35)=1),1,0)</f>
        <v/>
      </c>
      <c r="BB35">
        <f>IF(ROW()-3&gt;MAX(BA$4:BA$40),"",INDEX(AZ$4:AZ$40,MATCH(ROW()-3,BA$4:BA$40,0)))</f>
        <v/>
      </c>
      <c r="BC35">
        <f>IF('Final Calculation Sheet'!$Q$35="","",'Final Calculation Sheet'!$Q$35)</f>
        <v/>
      </c>
      <c r="BD35">
        <f>BD34+IF(AND(BC35&lt;&gt;"",COUNTIF(BC$4:BC35,BC35)=1),1,0)</f>
        <v/>
      </c>
      <c r="BE35">
        <f>IF(ROW()-3&gt;MAX(BD$4:BD$40),"",INDEX(BC$4:BC$40,MATCH(ROW()-3,BD$4:BD$40,0)))</f>
        <v/>
      </c>
      <c r="BF35">
        <f>IF('Final Calculation Sheet'!$R$35="","",'Final Calculation Sheet'!$R$35)</f>
        <v/>
      </c>
      <c r="BG35">
        <f>BG34+IF(AND(BF35&lt;&gt;"",COUNTIF(BF$4:BF35,BF35)=1),1,0)</f>
        <v/>
      </c>
      <c r="BH35">
        <f>IF(ROW()-3&gt;MAX(BG$4:BG$40),"",INDEX(BF$4:BF$40,MATCH(ROW()-3,BG$4:BG$40,0)))</f>
        <v/>
      </c>
      <c r="BI35">
        <f>IF('Final Calculation Sheet'!$S$35="","",'Final Calculation Sheet'!$S$35)</f>
        <v/>
      </c>
      <c r="BJ35">
        <f>BJ34+IF(AND(BI35&lt;&gt;"",COUNTIF(BI$4:BI35,BI35)=1),1,0)</f>
        <v/>
      </c>
      <c r="BK35">
        <f>IF(ROW()-3&gt;MAX(BJ$4:BJ$40),"",INDEX(BI$4:BI$40,MATCH(ROW()-3,BJ$4:BJ$40,0)))</f>
        <v/>
      </c>
      <c r="BL35">
        <f>IF('Final Calculation Sheet'!$T$35="","",'Final Calculation Sheet'!$T$35)</f>
        <v/>
      </c>
      <c r="BM35">
        <f>BM34+IF(AND(BL35&lt;&gt;"",COUNTIF(BL$4:BL35,BL35)=1),1,0)</f>
        <v/>
      </c>
      <c r="BN35">
        <f>IF(ROW()-3&gt;MAX(BM$4:BM$40),"",INDEX(BL$4:BL$40,MATCH(ROW()-3,BM$4:BM$40,0)))</f>
        <v/>
      </c>
      <c r="BO35">
        <f>IF('Final Calculation Sheet'!$U$35="","",'Final Calculation Sheet'!$U$35)</f>
        <v/>
      </c>
      <c r="BP35">
        <f>BP34+IF(AND(BO35&lt;&gt;"",COUNTIF(BO$4:BO35,BO35)=1),1,0)</f>
        <v/>
      </c>
      <c r="BQ35">
        <f>IF(ROW()-3&gt;MAX(BP$4:BP$40),"",INDEX(BO$4:BO$40,MATCH(ROW()-3,BP$4:BP$40,0)))</f>
        <v/>
      </c>
      <c r="BR35">
        <f>IF('Final Calculation Sheet'!$V$35="","",'Final Calculation Sheet'!$V$35)</f>
        <v/>
      </c>
      <c r="BS35">
        <f>BS34+IF(AND(BR35&lt;&gt;"",COUNTIF(BR$4:BR35,BR35)=1),1,0)</f>
        <v/>
      </c>
      <c r="BT35">
        <f>IF(ROW()-3&gt;MAX(BS$4:BS$40),"",INDEX(BR$4:BR$40,MATCH(ROW()-3,BS$4:BS$40,0)))</f>
        <v/>
      </c>
      <c r="BU35">
        <f>IF('Final Calculation Sheet'!$W$35="","",'Final Calculation Sheet'!$W$35)</f>
        <v/>
      </c>
      <c r="BV35">
        <f>BV34+IF(AND(BU35&lt;&gt;"",COUNTIF(BU$4:BU35,BU35)=1),1,0)</f>
        <v/>
      </c>
      <c r="BW35">
        <f>IF(ROW()-3&gt;MAX(BV$4:BV$40),"",INDEX(BU$4:BU$40,MATCH(ROW()-3,BV$4:BV$40,0)))</f>
        <v/>
      </c>
      <c r="BX35">
        <f>IF('Final Calculation Sheet'!$X$35="","",'Final Calculation Sheet'!$X$35)</f>
        <v/>
      </c>
      <c r="BY35">
        <f>BY34+IF(AND(BX35&lt;&gt;"",COUNTIF(BX$4:BX35,BX35)=1),1,0)</f>
        <v/>
      </c>
      <c r="BZ35">
        <f>IF(ROW()-3&gt;MAX(BY$4:BY$40),"",INDEX(BX$4:BX$40,MATCH(ROW()-3,BY$4:BY$40,0)))</f>
        <v/>
      </c>
      <c r="CA35">
        <f>IF('Final Calculation Sheet'!$Y$35="","",'Final Calculation Sheet'!$Y$35)</f>
        <v/>
      </c>
      <c r="CB35">
        <f>CB34+IF(AND(CA35&lt;&gt;"",COUNTIF(CA$4:CA35,CA35)=1),1,0)</f>
        <v/>
      </c>
      <c r="CC35">
        <f>IF(ROW()-3&gt;MAX(CB$4:CB$40),"",INDEX(CA$4:CA$40,MATCH(ROW()-3,CB$4:CB$40,0)))</f>
        <v/>
      </c>
      <c r="CD35">
        <f>IF('Final Calculation Sheet'!$Z$35="","",'Final Calculation Sheet'!$Z$35)</f>
        <v/>
      </c>
      <c r="CE35">
        <f>CE34+IF(AND(CD35&lt;&gt;"",COUNTIF(CD$4:CD35,CD35)=1),1,0)</f>
        <v/>
      </c>
      <c r="CF35">
        <f>IF(ROW()-3&gt;MAX(CE$4:CE$40),"",INDEX(CD$4:CD$40,MATCH(ROW()-3,CE$4:CE$40,0)))</f>
        <v/>
      </c>
      <c r="CG35">
        <f>IF('Final Calculation Sheet'!$AA$35="","",'Final Calculation Sheet'!$AA$35)</f>
        <v/>
      </c>
      <c r="CH35">
        <f>CH34+IF(AND(CG35&lt;&gt;"",COUNTIF(CG$4:CG35,CG35)=1),1,0)</f>
        <v/>
      </c>
      <c r="CI35">
        <f>IF(ROW()-3&gt;MAX(CH$4:CH$40),"",INDEX(CG$4:CG$40,MATCH(ROW()-3,CH$4:CH$40,0)))</f>
        <v/>
      </c>
      <c r="CJ35">
        <f>IF('Final Calculation Sheet'!$AB$35="","",'Final Calculation Sheet'!$AB$35)</f>
        <v/>
      </c>
      <c r="CK35">
        <f>CK34+IF(AND(CJ35&lt;&gt;"",COUNTIF(CJ$4:CJ35,CJ35)=1),1,0)</f>
        <v/>
      </c>
      <c r="CL35">
        <f>IF(ROW()-3&gt;MAX(CK$4:CK$40),"",INDEX(CJ$4:CJ$40,MATCH(ROW()-3,CK$4:CK$40,0)))</f>
        <v/>
      </c>
      <c r="CM35">
        <f>IF('Final Calculation Sheet'!$AC$35="","",'Final Calculation Sheet'!$AC$35)</f>
        <v/>
      </c>
      <c r="CN35">
        <f>CN34+IF(AND(CM35&lt;&gt;"",COUNTIF(CM$4:CM35,CM35)=1),1,0)</f>
        <v/>
      </c>
      <c r="CO35">
        <f>IF(ROW()-3&gt;MAX(CN$4:CN$40),"",INDEX(CM$4:CM$40,MATCH(ROW()-3,CN$4:CN$40,0)))</f>
        <v/>
      </c>
      <c r="CP35">
        <f>IF('Final Calculation Sheet'!$AD$35="","",'Final Calculation Sheet'!$AD$35)</f>
        <v/>
      </c>
      <c r="CQ35">
        <f>CQ34+IF(AND(CP35&lt;&gt;"",COUNTIF(CP$4:CP35,CP35)=1),1,0)</f>
        <v/>
      </c>
      <c r="CR35">
        <f>IF(ROW()-3&gt;MAX(CQ$4:CQ$40),"",INDEX(CP$4:CP$40,MATCH(ROW()-3,CQ$4:CQ$40,0)))</f>
        <v/>
      </c>
      <c r="CS35">
        <f>IF('Final Calculation Sheet'!$AE$35="","",'Final Calculation Sheet'!$AE$35)</f>
        <v/>
      </c>
      <c r="CT35">
        <f>CT34+IF(AND(CS35&lt;&gt;"",COUNTIF(CS$4:CS35,CS35)=1),1,0)</f>
        <v/>
      </c>
      <c r="CU35">
        <f>IF(ROW()-3&gt;MAX(CT$4:CT$40),"",INDEX(CS$4:CS$40,MATCH(ROW()-3,CT$4:CT$40,0)))</f>
        <v/>
      </c>
      <c r="CV35">
        <f>IF('Final Calculation Sheet'!$AF$35="","",'Final Calculation Sheet'!$AF$35)</f>
        <v/>
      </c>
      <c r="CW35">
        <f>CW34+IF(AND(CV35&lt;&gt;"",COUNTIF(CV$4:CV35,CV35)=1),1,0)</f>
        <v/>
      </c>
      <c r="CX35">
        <f>IF(ROW()-3&gt;MAX(CW$4:CW$40),"",INDEX(CV$4:CV$40,MATCH(ROW()-3,CW$4:CW$40,0)))</f>
        <v/>
      </c>
      <c r="CY35">
        <f>IF('Final Calculation Sheet'!$AG$35="","",'Final Calculation Sheet'!$AG$35)</f>
        <v/>
      </c>
      <c r="CZ35">
        <f>CZ34+IF(AND(CY35&lt;&gt;"",COUNTIF(CY$4:CY35,CY35)=1),1,0)</f>
        <v/>
      </c>
      <c r="DA35">
        <f>IF(ROW()-3&gt;MAX(CZ$4:CZ$40),"",INDEX(CY$4:CY$40,MATCH(ROW()-3,CZ$4:CZ$40,0)))</f>
        <v/>
      </c>
      <c r="DC35">
        <f>DC34+IF(AND(DB35&lt;&gt;"",COUNTIF(DB$4:DB35,DB35)=1),1,0)</f>
        <v/>
      </c>
      <c r="DD35">
        <f>IF(ROW()-3&gt;MAX(DC$4:DC$40),"",INDEX(DB$4:DB$40,MATCH(ROW()-3,DC$4:DC$40,0)))</f>
        <v/>
      </c>
    </row>
    <row r="36">
      <c r="A36">
        <f>IF('Final Calculation Sheet'!$F$36="","",'Final Calculation Sheet'!$F$36)</f>
        <v/>
      </c>
      <c r="B36">
        <f>B35+IF(AND(A36&lt;&gt;"",COUNTIF(A$4:A36,A36)=1),1,0)</f>
        <v/>
      </c>
      <c r="C36">
        <f>IF(ROW()-3&gt;MAX(B$4:B$114),"",INDEX(A$4:A$114,MATCH(ROW()-3,B$4:B$114,0)))</f>
        <v/>
      </c>
      <c r="D36">
        <f>ROW()-3</f>
        <v/>
      </c>
      <c r="E36">
        <f>E35+IF(AND(D36&lt;&gt;"",COUNTIF(D$4:D36,D36)=1),1,0)</f>
        <v/>
      </c>
      <c r="F36">
        <f>IF(ROW()-3&gt;MAX(E$4:E$40),"",INDEX(D$4:D$40,MATCH(ROW()-3,E$4:E$40,0)))</f>
        <v/>
      </c>
      <c r="G36">
        <f>IF('Final Calculation Sheet'!$F$36="","",'Final Calculation Sheet'!$F$36)</f>
        <v/>
      </c>
      <c r="H36">
        <f>H35+IF(AND(G36&lt;&gt;"",COUNTIF(G$4:G36,G36)=1),1,0)</f>
        <v/>
      </c>
      <c r="I36">
        <f>IF(ROW()-3&gt;MAX(H$4:H$40),"",INDEX(G$4:G$40,MATCH(ROW()-3,H$4:H$40,0)))</f>
        <v/>
      </c>
      <c r="J36">
        <f>IF('Final Calculation Sheet'!$G$36="","",'Final Calculation Sheet'!$G$36)</f>
        <v/>
      </c>
      <c r="K36">
        <f>K35+IF(AND(J36&lt;&gt;"",COUNTIF(J$4:J36,J36)=1),1,0)</f>
        <v/>
      </c>
      <c r="L36">
        <f>IF(ROW()-3&gt;MAX(K$4:K$40),"",INDEX(J$4:J$40,MATCH(ROW()-3,K$4:K$40,0)))</f>
        <v/>
      </c>
      <c r="M36">
        <f>IF('Final Calculation Sheet'!$B$36="","",'Final Calculation Sheet'!$B$36)</f>
        <v/>
      </c>
      <c r="N36">
        <f>N35+IF(AND(M36&lt;&gt;"",COUNTIF(M$4:M36,M36)=1),1,0)</f>
        <v/>
      </c>
      <c r="O36">
        <f>IF(ROW()-3&gt;MAX(N$4:N$40),"",INDEX(M$4:M$40,MATCH(ROW()-3,N$4:N$40,0)))</f>
        <v/>
      </c>
      <c r="P36">
        <f>IF('Final Calculation Sheet'!$D$36="","",'Final Calculation Sheet'!$D$36)</f>
        <v/>
      </c>
      <c r="Q36">
        <f>Q35+IF(AND(P36&lt;&gt;"",COUNTIF(P$4:P36,P36)=1),1,0)</f>
        <v/>
      </c>
      <c r="R36">
        <f>IF(ROW()-3&gt;MAX(Q$4:Q$40),"",INDEX(P$4:P$40,MATCH(ROW()-3,Q$4:Q$40,0)))</f>
        <v/>
      </c>
      <c r="S36">
        <f>IF('Final Calculation Sheet'!$A$36="","",'Final Calculation Sheet'!$A$36)</f>
        <v/>
      </c>
      <c r="T36">
        <f>T35+IF(AND(S36&lt;&gt;"",COUNTIF(S$4:S36,S36)=1),1,0)</f>
        <v/>
      </c>
      <c r="U36">
        <f>IF(ROW()-3&gt;MAX(T$4:T$40),"",INDEX(S$4:S$40,MATCH(ROW()-3,T$4:T$40,0)))</f>
        <v/>
      </c>
      <c r="V36">
        <f>IF('Final Calculation Sheet'!$E$36="","",'Final Calculation Sheet'!$E$36)</f>
        <v/>
      </c>
      <c r="W36">
        <f>W35+IF(AND(V36&lt;&gt;"",COUNTIF(V$4:V36,V36)=1),1,0)</f>
        <v/>
      </c>
      <c r="X36">
        <f>IF(ROW()-3&gt;MAX(W$4:W$40),"",INDEX(V$4:V$40,MATCH(ROW()-3,W$4:W$40,0)))</f>
        <v/>
      </c>
      <c r="Y36">
        <f>IF('Final Calculation Sheet'!$C$36="","",'Final Calculation Sheet'!$C$36)</f>
        <v/>
      </c>
      <c r="Z36">
        <f>Z35+IF(AND(Y36&lt;&gt;"",COUNTIF(Y$4:Y36,Y36)=1),1,0)</f>
        <v/>
      </c>
      <c r="AA36">
        <f>IF(ROW()-3&gt;MAX(Z$4:Z$40),"",INDEX(Y$4:Y$40,MATCH(ROW()-3,Z$4:Z$40,0)))</f>
        <v/>
      </c>
      <c r="AB36">
        <f>IF('Final Calculation Sheet'!$H$36="","",'Final Calculation Sheet'!$H$36)</f>
        <v/>
      </c>
      <c r="AC36">
        <f>AC35+IF(AND(AB36&lt;&gt;"",COUNTIF(AB$4:AB36,AB36)=1),1,0)</f>
        <v/>
      </c>
      <c r="AD36">
        <f>IF(ROW()-3&gt;MAX(AC$4:AC$40),"",INDEX(AB$4:AB$40,MATCH(ROW()-3,AC$4:AC$40,0)))</f>
        <v/>
      </c>
      <c r="AE36">
        <f>IF('Final Calculation Sheet'!$I$36="","",'Final Calculation Sheet'!$I$36)</f>
        <v/>
      </c>
      <c r="AF36">
        <f>AF35+IF(AND(AE36&lt;&gt;"",COUNTIF(AE$4:AE36,AE36)=1),1,0)</f>
        <v/>
      </c>
      <c r="AG36">
        <f>IF(ROW()-3&gt;MAX(AF$4:AF$40),"",INDEX(AE$4:AE$40,MATCH(ROW()-3,AF$4:AF$40,0)))</f>
        <v/>
      </c>
      <c r="AH36">
        <f>IF('Final Calculation Sheet'!$J$36="","",'Final Calculation Sheet'!$J$36)</f>
        <v/>
      </c>
      <c r="AI36">
        <f>AI35+IF(AND(AH36&lt;&gt;"",COUNTIF(AH$4:AH36,AH36)=1),1,0)</f>
        <v/>
      </c>
      <c r="AJ36">
        <f>IF(ROW()-3&gt;MAX(AI$4:AI$40),"",INDEX(AH$4:AH$40,MATCH(ROW()-3,AI$4:AI$40,0)))</f>
        <v/>
      </c>
      <c r="AK36">
        <f>IF('Final Calculation Sheet'!$K$36="","",'Final Calculation Sheet'!$K$36)</f>
        <v/>
      </c>
      <c r="AL36">
        <f>AL35+IF(AND(AK36&lt;&gt;"",COUNTIF(AK$4:AK36,AK36)=1),1,0)</f>
        <v/>
      </c>
      <c r="AM36">
        <f>IF(ROW()-3&gt;MAX(AL$4:AL$40),"",INDEX(AK$4:AK$40,MATCH(ROW()-3,AL$4:AL$40,0)))</f>
        <v/>
      </c>
      <c r="AN36">
        <f>IF('Final Calculation Sheet'!$L$36="","",'Final Calculation Sheet'!$L$36)</f>
        <v/>
      </c>
      <c r="AO36">
        <f>AO35+IF(AND(AN36&lt;&gt;"",COUNTIF(AN$4:AN36,AN36)=1),1,0)</f>
        <v/>
      </c>
      <c r="AP36">
        <f>IF(ROW()-3&gt;MAX(AO$4:AO$40),"",INDEX(AN$4:AN$40,MATCH(ROW()-3,AO$4:AO$40,0)))</f>
        <v/>
      </c>
      <c r="AQ36">
        <f>IF('Final Calculation Sheet'!$M$36="","",'Final Calculation Sheet'!$M$36)</f>
        <v/>
      </c>
      <c r="AR36">
        <f>AR35+IF(AND(AQ36&lt;&gt;"",COUNTIF(AQ$4:AQ36,AQ36)=1),1,0)</f>
        <v/>
      </c>
      <c r="AS36">
        <f>IF(ROW()-3&gt;MAX(AR$4:AR$40),"",INDEX(AQ$4:AQ$40,MATCH(ROW()-3,AR$4:AR$40,0)))</f>
        <v/>
      </c>
      <c r="AT36">
        <f>IF('Final Calculation Sheet'!$N$36="","",'Final Calculation Sheet'!$N$36)</f>
        <v/>
      </c>
      <c r="AU36">
        <f>AU35+IF(AND(AT36&lt;&gt;"",COUNTIF(AT$4:AT36,AT36)=1),1,0)</f>
        <v/>
      </c>
      <c r="AV36">
        <f>IF(ROW()-3&gt;MAX(AU$4:AU$40),"",INDEX(AT$4:AT$40,MATCH(ROW()-3,AU$4:AU$40,0)))</f>
        <v/>
      </c>
      <c r="AW36">
        <f>IF('Final Calculation Sheet'!$O$36="","",'Final Calculation Sheet'!$O$36)</f>
        <v/>
      </c>
      <c r="AX36">
        <f>AX35+IF(AND(AW36&lt;&gt;"",COUNTIF(AW$4:AW36,AW36)=1),1,0)</f>
        <v/>
      </c>
      <c r="AY36">
        <f>IF(ROW()-3&gt;MAX(AX$4:AX$40),"",INDEX(AW$4:AW$40,MATCH(ROW()-3,AX$4:AX$40,0)))</f>
        <v/>
      </c>
      <c r="AZ36">
        <f>IF('Final Calculation Sheet'!$P$36="","",'Final Calculation Sheet'!$P$36)</f>
        <v/>
      </c>
      <c r="BA36">
        <f>BA35+IF(AND(AZ36&lt;&gt;"",COUNTIF(AZ$4:AZ36,AZ36)=1),1,0)</f>
        <v/>
      </c>
      <c r="BB36">
        <f>IF(ROW()-3&gt;MAX(BA$4:BA$40),"",INDEX(AZ$4:AZ$40,MATCH(ROW()-3,BA$4:BA$40,0)))</f>
        <v/>
      </c>
      <c r="BC36">
        <f>IF('Final Calculation Sheet'!$Q$36="","",'Final Calculation Sheet'!$Q$36)</f>
        <v/>
      </c>
      <c r="BD36">
        <f>BD35+IF(AND(BC36&lt;&gt;"",COUNTIF(BC$4:BC36,BC36)=1),1,0)</f>
        <v/>
      </c>
      <c r="BE36">
        <f>IF(ROW()-3&gt;MAX(BD$4:BD$40),"",INDEX(BC$4:BC$40,MATCH(ROW()-3,BD$4:BD$40,0)))</f>
        <v/>
      </c>
      <c r="BF36">
        <f>IF('Final Calculation Sheet'!$R$36="","",'Final Calculation Sheet'!$R$36)</f>
        <v/>
      </c>
      <c r="BG36">
        <f>BG35+IF(AND(BF36&lt;&gt;"",COUNTIF(BF$4:BF36,BF36)=1),1,0)</f>
        <v/>
      </c>
      <c r="BH36">
        <f>IF(ROW()-3&gt;MAX(BG$4:BG$40),"",INDEX(BF$4:BF$40,MATCH(ROW()-3,BG$4:BG$40,0)))</f>
        <v/>
      </c>
      <c r="BI36">
        <f>IF('Final Calculation Sheet'!$S$36="","",'Final Calculation Sheet'!$S$36)</f>
        <v/>
      </c>
      <c r="BJ36">
        <f>BJ35+IF(AND(BI36&lt;&gt;"",COUNTIF(BI$4:BI36,BI36)=1),1,0)</f>
        <v/>
      </c>
      <c r="BK36">
        <f>IF(ROW()-3&gt;MAX(BJ$4:BJ$40),"",INDEX(BI$4:BI$40,MATCH(ROW()-3,BJ$4:BJ$40,0)))</f>
        <v/>
      </c>
      <c r="BL36">
        <f>IF('Final Calculation Sheet'!$T$36="","",'Final Calculation Sheet'!$T$36)</f>
        <v/>
      </c>
      <c r="BM36">
        <f>BM35+IF(AND(BL36&lt;&gt;"",COUNTIF(BL$4:BL36,BL36)=1),1,0)</f>
        <v/>
      </c>
      <c r="BN36">
        <f>IF(ROW()-3&gt;MAX(BM$4:BM$40),"",INDEX(BL$4:BL$40,MATCH(ROW()-3,BM$4:BM$40,0)))</f>
        <v/>
      </c>
      <c r="BO36">
        <f>IF('Final Calculation Sheet'!$U$36="","",'Final Calculation Sheet'!$U$36)</f>
        <v/>
      </c>
      <c r="BP36">
        <f>BP35+IF(AND(BO36&lt;&gt;"",COUNTIF(BO$4:BO36,BO36)=1),1,0)</f>
        <v/>
      </c>
      <c r="BQ36">
        <f>IF(ROW()-3&gt;MAX(BP$4:BP$40),"",INDEX(BO$4:BO$40,MATCH(ROW()-3,BP$4:BP$40,0)))</f>
        <v/>
      </c>
      <c r="BR36">
        <f>IF('Final Calculation Sheet'!$V$36="","",'Final Calculation Sheet'!$V$36)</f>
        <v/>
      </c>
      <c r="BS36">
        <f>BS35+IF(AND(BR36&lt;&gt;"",COUNTIF(BR$4:BR36,BR36)=1),1,0)</f>
        <v/>
      </c>
      <c r="BT36">
        <f>IF(ROW()-3&gt;MAX(BS$4:BS$40),"",INDEX(BR$4:BR$40,MATCH(ROW()-3,BS$4:BS$40,0)))</f>
        <v/>
      </c>
      <c r="BU36">
        <f>IF('Final Calculation Sheet'!$W$36="","",'Final Calculation Sheet'!$W$36)</f>
        <v/>
      </c>
      <c r="BV36">
        <f>BV35+IF(AND(BU36&lt;&gt;"",COUNTIF(BU$4:BU36,BU36)=1),1,0)</f>
        <v/>
      </c>
      <c r="BW36">
        <f>IF(ROW()-3&gt;MAX(BV$4:BV$40),"",INDEX(BU$4:BU$40,MATCH(ROW()-3,BV$4:BV$40,0)))</f>
        <v/>
      </c>
      <c r="BX36">
        <f>IF('Final Calculation Sheet'!$X$36="","",'Final Calculation Sheet'!$X$36)</f>
        <v/>
      </c>
      <c r="BY36">
        <f>BY35+IF(AND(BX36&lt;&gt;"",COUNTIF(BX$4:BX36,BX36)=1),1,0)</f>
        <v/>
      </c>
      <c r="BZ36">
        <f>IF(ROW()-3&gt;MAX(BY$4:BY$40),"",INDEX(BX$4:BX$40,MATCH(ROW()-3,BY$4:BY$40,0)))</f>
        <v/>
      </c>
      <c r="CA36">
        <f>IF('Final Calculation Sheet'!$Y$36="","",'Final Calculation Sheet'!$Y$36)</f>
        <v/>
      </c>
      <c r="CB36">
        <f>CB35+IF(AND(CA36&lt;&gt;"",COUNTIF(CA$4:CA36,CA36)=1),1,0)</f>
        <v/>
      </c>
      <c r="CC36">
        <f>IF(ROW()-3&gt;MAX(CB$4:CB$40),"",INDEX(CA$4:CA$40,MATCH(ROW()-3,CB$4:CB$40,0)))</f>
        <v/>
      </c>
      <c r="CD36">
        <f>IF('Final Calculation Sheet'!$Z$36="","",'Final Calculation Sheet'!$Z$36)</f>
        <v/>
      </c>
      <c r="CE36">
        <f>CE35+IF(AND(CD36&lt;&gt;"",COUNTIF(CD$4:CD36,CD36)=1),1,0)</f>
        <v/>
      </c>
      <c r="CF36">
        <f>IF(ROW()-3&gt;MAX(CE$4:CE$40),"",INDEX(CD$4:CD$40,MATCH(ROW()-3,CE$4:CE$40,0)))</f>
        <v/>
      </c>
      <c r="CG36">
        <f>IF('Final Calculation Sheet'!$AA$36="","",'Final Calculation Sheet'!$AA$36)</f>
        <v/>
      </c>
      <c r="CH36">
        <f>CH35+IF(AND(CG36&lt;&gt;"",COUNTIF(CG$4:CG36,CG36)=1),1,0)</f>
        <v/>
      </c>
      <c r="CI36">
        <f>IF(ROW()-3&gt;MAX(CH$4:CH$40),"",INDEX(CG$4:CG$40,MATCH(ROW()-3,CH$4:CH$40,0)))</f>
        <v/>
      </c>
      <c r="CJ36">
        <f>IF('Final Calculation Sheet'!$AB$36="","",'Final Calculation Sheet'!$AB$36)</f>
        <v/>
      </c>
      <c r="CK36">
        <f>CK35+IF(AND(CJ36&lt;&gt;"",COUNTIF(CJ$4:CJ36,CJ36)=1),1,0)</f>
        <v/>
      </c>
      <c r="CL36">
        <f>IF(ROW()-3&gt;MAX(CK$4:CK$40),"",INDEX(CJ$4:CJ$40,MATCH(ROW()-3,CK$4:CK$40,0)))</f>
        <v/>
      </c>
      <c r="CM36">
        <f>IF('Final Calculation Sheet'!$AC$36="","",'Final Calculation Sheet'!$AC$36)</f>
        <v/>
      </c>
      <c r="CN36">
        <f>CN35+IF(AND(CM36&lt;&gt;"",COUNTIF(CM$4:CM36,CM36)=1),1,0)</f>
        <v/>
      </c>
      <c r="CO36">
        <f>IF(ROW()-3&gt;MAX(CN$4:CN$40),"",INDEX(CM$4:CM$40,MATCH(ROW()-3,CN$4:CN$40,0)))</f>
        <v/>
      </c>
      <c r="CP36">
        <f>IF('Final Calculation Sheet'!$AD$36="","",'Final Calculation Sheet'!$AD$36)</f>
        <v/>
      </c>
      <c r="CQ36">
        <f>CQ35+IF(AND(CP36&lt;&gt;"",COUNTIF(CP$4:CP36,CP36)=1),1,0)</f>
        <v/>
      </c>
      <c r="CR36">
        <f>IF(ROW()-3&gt;MAX(CQ$4:CQ$40),"",INDEX(CP$4:CP$40,MATCH(ROW()-3,CQ$4:CQ$40,0)))</f>
        <v/>
      </c>
      <c r="CS36">
        <f>IF('Final Calculation Sheet'!$AE$36="","",'Final Calculation Sheet'!$AE$36)</f>
        <v/>
      </c>
      <c r="CT36">
        <f>CT35+IF(AND(CS36&lt;&gt;"",COUNTIF(CS$4:CS36,CS36)=1),1,0)</f>
        <v/>
      </c>
      <c r="CU36">
        <f>IF(ROW()-3&gt;MAX(CT$4:CT$40),"",INDEX(CS$4:CS$40,MATCH(ROW()-3,CT$4:CT$40,0)))</f>
        <v/>
      </c>
      <c r="CV36">
        <f>IF('Final Calculation Sheet'!$AF$36="","",'Final Calculation Sheet'!$AF$36)</f>
        <v/>
      </c>
      <c r="CW36">
        <f>CW35+IF(AND(CV36&lt;&gt;"",COUNTIF(CV$4:CV36,CV36)=1),1,0)</f>
        <v/>
      </c>
      <c r="CX36">
        <f>IF(ROW()-3&gt;MAX(CW$4:CW$40),"",INDEX(CV$4:CV$40,MATCH(ROW()-3,CW$4:CW$40,0)))</f>
        <v/>
      </c>
      <c r="CY36">
        <f>IF('Final Calculation Sheet'!$AG$36="","",'Final Calculation Sheet'!$AG$36)</f>
        <v/>
      </c>
      <c r="CZ36">
        <f>CZ35+IF(AND(CY36&lt;&gt;"",COUNTIF(CY$4:CY36,CY36)=1),1,0)</f>
        <v/>
      </c>
      <c r="DA36">
        <f>IF(ROW()-3&gt;MAX(CZ$4:CZ$40),"",INDEX(CY$4:CY$40,MATCH(ROW()-3,CZ$4:CZ$40,0)))</f>
        <v/>
      </c>
      <c r="DC36">
        <f>DC35+IF(AND(DB36&lt;&gt;"",COUNTIF(DB$4:DB36,DB36)=1),1,0)</f>
        <v/>
      </c>
      <c r="DD36">
        <f>IF(ROW()-3&gt;MAX(DC$4:DC$40),"",INDEX(DB$4:DB$40,MATCH(ROW()-3,DC$4:DC$40,0)))</f>
        <v/>
      </c>
    </row>
    <row r="37">
      <c r="A37">
        <f>IF('Final Calculation Sheet'!$F$37="","",'Final Calculation Sheet'!$F$37)</f>
        <v/>
      </c>
      <c r="B37">
        <f>B36+IF(AND(A37&lt;&gt;"",COUNTIF(A$4:A37,A37)=1),1,0)</f>
        <v/>
      </c>
      <c r="C37">
        <f>IF(ROW()-3&gt;MAX(B$4:B$114),"",INDEX(A$4:A$114,MATCH(ROW()-3,B$4:B$114,0)))</f>
        <v/>
      </c>
      <c r="D37">
        <f>ROW()-3</f>
        <v/>
      </c>
      <c r="E37">
        <f>E36+IF(AND(D37&lt;&gt;"",COUNTIF(D$4:D37,D37)=1),1,0)</f>
        <v/>
      </c>
      <c r="F37">
        <f>IF(ROW()-3&gt;MAX(E$4:E$40),"",INDEX(D$4:D$40,MATCH(ROW()-3,E$4:E$40,0)))</f>
        <v/>
      </c>
      <c r="G37">
        <f>IF('Final Calculation Sheet'!$F$37="","",'Final Calculation Sheet'!$F$37)</f>
        <v/>
      </c>
      <c r="H37">
        <f>H36+IF(AND(G37&lt;&gt;"",COUNTIF(G$4:G37,G37)=1),1,0)</f>
        <v/>
      </c>
      <c r="I37">
        <f>IF(ROW()-3&gt;MAX(H$4:H$40),"",INDEX(G$4:G$40,MATCH(ROW()-3,H$4:H$40,0)))</f>
        <v/>
      </c>
      <c r="J37">
        <f>IF('Final Calculation Sheet'!$G$37="","",'Final Calculation Sheet'!$G$37)</f>
        <v/>
      </c>
      <c r="K37">
        <f>K36+IF(AND(J37&lt;&gt;"",COUNTIF(J$4:J37,J37)=1),1,0)</f>
        <v/>
      </c>
      <c r="L37">
        <f>IF(ROW()-3&gt;MAX(K$4:K$40),"",INDEX(J$4:J$40,MATCH(ROW()-3,K$4:K$40,0)))</f>
        <v/>
      </c>
      <c r="M37">
        <f>IF('Final Calculation Sheet'!$B$37="","",'Final Calculation Sheet'!$B$37)</f>
        <v/>
      </c>
      <c r="N37">
        <f>N36+IF(AND(M37&lt;&gt;"",COUNTIF(M$4:M37,M37)=1),1,0)</f>
        <v/>
      </c>
      <c r="O37">
        <f>IF(ROW()-3&gt;MAX(N$4:N$40),"",INDEX(M$4:M$40,MATCH(ROW()-3,N$4:N$40,0)))</f>
        <v/>
      </c>
      <c r="P37">
        <f>IF('Final Calculation Sheet'!$D$37="","",'Final Calculation Sheet'!$D$37)</f>
        <v/>
      </c>
      <c r="Q37">
        <f>Q36+IF(AND(P37&lt;&gt;"",COUNTIF(P$4:P37,P37)=1),1,0)</f>
        <v/>
      </c>
      <c r="R37">
        <f>IF(ROW()-3&gt;MAX(Q$4:Q$40),"",INDEX(P$4:P$40,MATCH(ROW()-3,Q$4:Q$40,0)))</f>
        <v/>
      </c>
      <c r="S37">
        <f>IF('Final Calculation Sheet'!$A$37="","",'Final Calculation Sheet'!$A$37)</f>
        <v/>
      </c>
      <c r="T37">
        <f>T36+IF(AND(S37&lt;&gt;"",COUNTIF(S$4:S37,S37)=1),1,0)</f>
        <v/>
      </c>
      <c r="U37">
        <f>IF(ROW()-3&gt;MAX(T$4:T$40),"",INDEX(S$4:S$40,MATCH(ROW()-3,T$4:T$40,0)))</f>
        <v/>
      </c>
      <c r="V37">
        <f>IF('Final Calculation Sheet'!$E$37="","",'Final Calculation Sheet'!$E$37)</f>
        <v/>
      </c>
      <c r="W37">
        <f>W36+IF(AND(V37&lt;&gt;"",COUNTIF(V$4:V37,V37)=1),1,0)</f>
        <v/>
      </c>
      <c r="X37">
        <f>IF(ROW()-3&gt;MAX(W$4:W$40),"",INDEX(V$4:V$40,MATCH(ROW()-3,W$4:W$40,0)))</f>
        <v/>
      </c>
      <c r="Y37">
        <f>IF('Final Calculation Sheet'!$C$37="","",'Final Calculation Sheet'!$C$37)</f>
        <v/>
      </c>
      <c r="Z37">
        <f>Z36+IF(AND(Y37&lt;&gt;"",COUNTIF(Y$4:Y37,Y37)=1),1,0)</f>
        <v/>
      </c>
      <c r="AA37">
        <f>IF(ROW()-3&gt;MAX(Z$4:Z$40),"",INDEX(Y$4:Y$40,MATCH(ROW()-3,Z$4:Z$40,0)))</f>
        <v/>
      </c>
      <c r="AB37">
        <f>IF('Final Calculation Sheet'!$H$37="","",'Final Calculation Sheet'!$H$37)</f>
        <v/>
      </c>
      <c r="AC37">
        <f>AC36+IF(AND(AB37&lt;&gt;"",COUNTIF(AB$4:AB37,AB37)=1),1,0)</f>
        <v/>
      </c>
      <c r="AD37">
        <f>IF(ROW()-3&gt;MAX(AC$4:AC$40),"",INDEX(AB$4:AB$40,MATCH(ROW()-3,AC$4:AC$40,0)))</f>
        <v/>
      </c>
      <c r="AE37">
        <f>IF('Final Calculation Sheet'!$I$37="","",'Final Calculation Sheet'!$I$37)</f>
        <v/>
      </c>
      <c r="AF37">
        <f>AF36+IF(AND(AE37&lt;&gt;"",COUNTIF(AE$4:AE37,AE37)=1),1,0)</f>
        <v/>
      </c>
      <c r="AG37">
        <f>IF(ROW()-3&gt;MAX(AF$4:AF$40),"",INDEX(AE$4:AE$40,MATCH(ROW()-3,AF$4:AF$40,0)))</f>
        <v/>
      </c>
      <c r="AH37">
        <f>IF('Final Calculation Sheet'!$J$37="","",'Final Calculation Sheet'!$J$37)</f>
        <v/>
      </c>
      <c r="AI37">
        <f>AI36+IF(AND(AH37&lt;&gt;"",COUNTIF(AH$4:AH37,AH37)=1),1,0)</f>
        <v/>
      </c>
      <c r="AJ37">
        <f>IF(ROW()-3&gt;MAX(AI$4:AI$40),"",INDEX(AH$4:AH$40,MATCH(ROW()-3,AI$4:AI$40,0)))</f>
        <v/>
      </c>
      <c r="AK37">
        <f>IF('Final Calculation Sheet'!$K$37="","",'Final Calculation Sheet'!$K$37)</f>
        <v/>
      </c>
      <c r="AL37">
        <f>AL36+IF(AND(AK37&lt;&gt;"",COUNTIF(AK$4:AK37,AK37)=1),1,0)</f>
        <v/>
      </c>
      <c r="AM37">
        <f>IF(ROW()-3&gt;MAX(AL$4:AL$40),"",INDEX(AK$4:AK$40,MATCH(ROW()-3,AL$4:AL$40,0)))</f>
        <v/>
      </c>
      <c r="AN37">
        <f>IF('Final Calculation Sheet'!$L$37="","",'Final Calculation Sheet'!$L$37)</f>
        <v/>
      </c>
      <c r="AO37">
        <f>AO36+IF(AND(AN37&lt;&gt;"",COUNTIF(AN$4:AN37,AN37)=1),1,0)</f>
        <v/>
      </c>
      <c r="AP37">
        <f>IF(ROW()-3&gt;MAX(AO$4:AO$40),"",INDEX(AN$4:AN$40,MATCH(ROW()-3,AO$4:AO$40,0)))</f>
        <v/>
      </c>
      <c r="AQ37">
        <f>IF('Final Calculation Sheet'!$M$37="","",'Final Calculation Sheet'!$M$37)</f>
        <v/>
      </c>
      <c r="AR37">
        <f>AR36+IF(AND(AQ37&lt;&gt;"",COUNTIF(AQ$4:AQ37,AQ37)=1),1,0)</f>
        <v/>
      </c>
      <c r="AS37">
        <f>IF(ROW()-3&gt;MAX(AR$4:AR$40),"",INDEX(AQ$4:AQ$40,MATCH(ROW()-3,AR$4:AR$40,0)))</f>
        <v/>
      </c>
      <c r="AT37">
        <f>IF('Final Calculation Sheet'!$N$37="","",'Final Calculation Sheet'!$N$37)</f>
        <v/>
      </c>
      <c r="AU37">
        <f>AU36+IF(AND(AT37&lt;&gt;"",COUNTIF(AT$4:AT37,AT37)=1),1,0)</f>
        <v/>
      </c>
      <c r="AV37">
        <f>IF(ROW()-3&gt;MAX(AU$4:AU$40),"",INDEX(AT$4:AT$40,MATCH(ROW()-3,AU$4:AU$40,0)))</f>
        <v/>
      </c>
      <c r="AW37">
        <f>IF('Final Calculation Sheet'!$O$37="","",'Final Calculation Sheet'!$O$37)</f>
        <v/>
      </c>
      <c r="AX37">
        <f>AX36+IF(AND(AW37&lt;&gt;"",COUNTIF(AW$4:AW37,AW37)=1),1,0)</f>
        <v/>
      </c>
      <c r="AY37">
        <f>IF(ROW()-3&gt;MAX(AX$4:AX$40),"",INDEX(AW$4:AW$40,MATCH(ROW()-3,AX$4:AX$40,0)))</f>
        <v/>
      </c>
      <c r="AZ37">
        <f>IF('Final Calculation Sheet'!$P$37="","",'Final Calculation Sheet'!$P$37)</f>
        <v/>
      </c>
      <c r="BA37">
        <f>BA36+IF(AND(AZ37&lt;&gt;"",COUNTIF(AZ$4:AZ37,AZ37)=1),1,0)</f>
        <v/>
      </c>
      <c r="BB37">
        <f>IF(ROW()-3&gt;MAX(BA$4:BA$40),"",INDEX(AZ$4:AZ$40,MATCH(ROW()-3,BA$4:BA$40,0)))</f>
        <v/>
      </c>
      <c r="BC37">
        <f>IF('Final Calculation Sheet'!$Q$37="","",'Final Calculation Sheet'!$Q$37)</f>
        <v/>
      </c>
      <c r="BD37">
        <f>BD36+IF(AND(BC37&lt;&gt;"",COUNTIF(BC$4:BC37,BC37)=1),1,0)</f>
        <v/>
      </c>
      <c r="BE37">
        <f>IF(ROW()-3&gt;MAX(BD$4:BD$40),"",INDEX(BC$4:BC$40,MATCH(ROW()-3,BD$4:BD$40,0)))</f>
        <v/>
      </c>
      <c r="BF37">
        <f>IF('Final Calculation Sheet'!$R$37="","",'Final Calculation Sheet'!$R$37)</f>
        <v/>
      </c>
      <c r="BG37">
        <f>BG36+IF(AND(BF37&lt;&gt;"",COUNTIF(BF$4:BF37,BF37)=1),1,0)</f>
        <v/>
      </c>
      <c r="BH37">
        <f>IF(ROW()-3&gt;MAX(BG$4:BG$40),"",INDEX(BF$4:BF$40,MATCH(ROW()-3,BG$4:BG$40,0)))</f>
        <v/>
      </c>
      <c r="BI37">
        <f>IF('Final Calculation Sheet'!$S$37="","",'Final Calculation Sheet'!$S$37)</f>
        <v/>
      </c>
      <c r="BJ37">
        <f>BJ36+IF(AND(BI37&lt;&gt;"",COUNTIF(BI$4:BI37,BI37)=1),1,0)</f>
        <v/>
      </c>
      <c r="BK37">
        <f>IF(ROW()-3&gt;MAX(BJ$4:BJ$40),"",INDEX(BI$4:BI$40,MATCH(ROW()-3,BJ$4:BJ$40,0)))</f>
        <v/>
      </c>
      <c r="BL37">
        <f>IF('Final Calculation Sheet'!$T$37="","",'Final Calculation Sheet'!$T$37)</f>
        <v/>
      </c>
      <c r="BM37">
        <f>BM36+IF(AND(BL37&lt;&gt;"",COUNTIF(BL$4:BL37,BL37)=1),1,0)</f>
        <v/>
      </c>
      <c r="BN37">
        <f>IF(ROW()-3&gt;MAX(BM$4:BM$40),"",INDEX(BL$4:BL$40,MATCH(ROW()-3,BM$4:BM$40,0)))</f>
        <v/>
      </c>
      <c r="BO37">
        <f>IF('Final Calculation Sheet'!$U$37="","",'Final Calculation Sheet'!$U$37)</f>
        <v/>
      </c>
      <c r="BP37">
        <f>BP36+IF(AND(BO37&lt;&gt;"",COUNTIF(BO$4:BO37,BO37)=1),1,0)</f>
        <v/>
      </c>
      <c r="BQ37">
        <f>IF(ROW()-3&gt;MAX(BP$4:BP$40),"",INDEX(BO$4:BO$40,MATCH(ROW()-3,BP$4:BP$40,0)))</f>
        <v/>
      </c>
      <c r="BR37">
        <f>IF('Final Calculation Sheet'!$V$37="","",'Final Calculation Sheet'!$V$37)</f>
        <v/>
      </c>
      <c r="BS37">
        <f>BS36+IF(AND(BR37&lt;&gt;"",COUNTIF(BR$4:BR37,BR37)=1),1,0)</f>
        <v/>
      </c>
      <c r="BT37">
        <f>IF(ROW()-3&gt;MAX(BS$4:BS$40),"",INDEX(BR$4:BR$40,MATCH(ROW()-3,BS$4:BS$40,0)))</f>
        <v/>
      </c>
      <c r="BU37">
        <f>IF('Final Calculation Sheet'!$W$37="","",'Final Calculation Sheet'!$W$37)</f>
        <v/>
      </c>
      <c r="BV37">
        <f>BV36+IF(AND(BU37&lt;&gt;"",COUNTIF(BU$4:BU37,BU37)=1),1,0)</f>
        <v/>
      </c>
      <c r="BW37">
        <f>IF(ROW()-3&gt;MAX(BV$4:BV$40),"",INDEX(BU$4:BU$40,MATCH(ROW()-3,BV$4:BV$40,0)))</f>
        <v/>
      </c>
      <c r="BX37">
        <f>IF('Final Calculation Sheet'!$X$37="","",'Final Calculation Sheet'!$X$37)</f>
        <v/>
      </c>
      <c r="BY37">
        <f>BY36+IF(AND(BX37&lt;&gt;"",COUNTIF(BX$4:BX37,BX37)=1),1,0)</f>
        <v/>
      </c>
      <c r="BZ37">
        <f>IF(ROW()-3&gt;MAX(BY$4:BY$40),"",INDEX(BX$4:BX$40,MATCH(ROW()-3,BY$4:BY$40,0)))</f>
        <v/>
      </c>
      <c r="CA37">
        <f>IF('Final Calculation Sheet'!$Y$37="","",'Final Calculation Sheet'!$Y$37)</f>
        <v/>
      </c>
      <c r="CB37">
        <f>CB36+IF(AND(CA37&lt;&gt;"",COUNTIF(CA$4:CA37,CA37)=1),1,0)</f>
        <v/>
      </c>
      <c r="CC37">
        <f>IF(ROW()-3&gt;MAX(CB$4:CB$40),"",INDEX(CA$4:CA$40,MATCH(ROW()-3,CB$4:CB$40,0)))</f>
        <v/>
      </c>
      <c r="CD37">
        <f>IF('Final Calculation Sheet'!$Z$37="","",'Final Calculation Sheet'!$Z$37)</f>
        <v/>
      </c>
      <c r="CE37">
        <f>CE36+IF(AND(CD37&lt;&gt;"",COUNTIF(CD$4:CD37,CD37)=1),1,0)</f>
        <v/>
      </c>
      <c r="CF37">
        <f>IF(ROW()-3&gt;MAX(CE$4:CE$40),"",INDEX(CD$4:CD$40,MATCH(ROW()-3,CE$4:CE$40,0)))</f>
        <v/>
      </c>
      <c r="CG37">
        <f>IF('Final Calculation Sheet'!$AA$37="","",'Final Calculation Sheet'!$AA$37)</f>
        <v/>
      </c>
      <c r="CH37">
        <f>CH36+IF(AND(CG37&lt;&gt;"",COUNTIF(CG$4:CG37,CG37)=1),1,0)</f>
        <v/>
      </c>
      <c r="CI37">
        <f>IF(ROW()-3&gt;MAX(CH$4:CH$40),"",INDEX(CG$4:CG$40,MATCH(ROW()-3,CH$4:CH$40,0)))</f>
        <v/>
      </c>
      <c r="CJ37">
        <f>IF('Final Calculation Sheet'!$AB$37="","",'Final Calculation Sheet'!$AB$37)</f>
        <v/>
      </c>
      <c r="CK37">
        <f>CK36+IF(AND(CJ37&lt;&gt;"",COUNTIF(CJ$4:CJ37,CJ37)=1),1,0)</f>
        <v/>
      </c>
      <c r="CL37">
        <f>IF(ROW()-3&gt;MAX(CK$4:CK$40),"",INDEX(CJ$4:CJ$40,MATCH(ROW()-3,CK$4:CK$40,0)))</f>
        <v/>
      </c>
      <c r="CM37">
        <f>IF('Final Calculation Sheet'!$AC$37="","",'Final Calculation Sheet'!$AC$37)</f>
        <v/>
      </c>
      <c r="CN37">
        <f>CN36+IF(AND(CM37&lt;&gt;"",COUNTIF(CM$4:CM37,CM37)=1),1,0)</f>
        <v/>
      </c>
      <c r="CO37">
        <f>IF(ROW()-3&gt;MAX(CN$4:CN$40),"",INDEX(CM$4:CM$40,MATCH(ROW()-3,CN$4:CN$40,0)))</f>
        <v/>
      </c>
      <c r="CP37">
        <f>IF('Final Calculation Sheet'!$AD$37="","",'Final Calculation Sheet'!$AD$37)</f>
        <v/>
      </c>
      <c r="CQ37">
        <f>CQ36+IF(AND(CP37&lt;&gt;"",COUNTIF(CP$4:CP37,CP37)=1),1,0)</f>
        <v/>
      </c>
      <c r="CR37">
        <f>IF(ROW()-3&gt;MAX(CQ$4:CQ$40),"",INDEX(CP$4:CP$40,MATCH(ROW()-3,CQ$4:CQ$40,0)))</f>
        <v/>
      </c>
      <c r="CS37">
        <f>IF('Final Calculation Sheet'!$AE$37="","",'Final Calculation Sheet'!$AE$37)</f>
        <v/>
      </c>
      <c r="CT37">
        <f>CT36+IF(AND(CS37&lt;&gt;"",COUNTIF(CS$4:CS37,CS37)=1),1,0)</f>
        <v/>
      </c>
      <c r="CU37">
        <f>IF(ROW()-3&gt;MAX(CT$4:CT$40),"",INDEX(CS$4:CS$40,MATCH(ROW()-3,CT$4:CT$40,0)))</f>
        <v/>
      </c>
      <c r="CV37">
        <f>IF('Final Calculation Sheet'!$AF$37="","",'Final Calculation Sheet'!$AF$37)</f>
        <v/>
      </c>
      <c r="CW37">
        <f>CW36+IF(AND(CV37&lt;&gt;"",COUNTIF(CV$4:CV37,CV37)=1),1,0)</f>
        <v/>
      </c>
      <c r="CX37">
        <f>IF(ROW()-3&gt;MAX(CW$4:CW$40),"",INDEX(CV$4:CV$40,MATCH(ROW()-3,CW$4:CW$40,0)))</f>
        <v/>
      </c>
      <c r="CY37">
        <f>IF('Final Calculation Sheet'!$AG$37="","",'Final Calculation Sheet'!$AG$37)</f>
        <v/>
      </c>
      <c r="CZ37">
        <f>CZ36+IF(AND(CY37&lt;&gt;"",COUNTIF(CY$4:CY37,CY37)=1),1,0)</f>
        <v/>
      </c>
      <c r="DA37">
        <f>IF(ROW()-3&gt;MAX(CZ$4:CZ$40),"",INDEX(CY$4:CY$40,MATCH(ROW()-3,CZ$4:CZ$40,0)))</f>
        <v/>
      </c>
      <c r="DC37">
        <f>DC36+IF(AND(DB37&lt;&gt;"",COUNTIF(DB$4:DB37,DB37)=1),1,0)</f>
        <v/>
      </c>
      <c r="DD37">
        <f>IF(ROW()-3&gt;MAX(DC$4:DC$40),"",INDEX(DB$4:DB$40,MATCH(ROW()-3,DC$4:DC$40,0)))</f>
        <v/>
      </c>
    </row>
    <row r="38">
      <c r="A38">
        <f>IF('Final Calculation Sheet'!$F$38="","",'Final Calculation Sheet'!$F$38)</f>
        <v/>
      </c>
      <c r="B38">
        <f>B37+IF(AND(A38&lt;&gt;"",COUNTIF(A$4:A38,A38)=1),1,0)</f>
        <v/>
      </c>
      <c r="C38">
        <f>IF(ROW()-3&gt;MAX(B$4:B$114),"",INDEX(A$4:A$114,MATCH(ROW()-3,B$4:B$114,0)))</f>
        <v/>
      </c>
      <c r="D38">
        <f>ROW()-3</f>
        <v/>
      </c>
      <c r="E38">
        <f>E37+IF(AND(D38&lt;&gt;"",COUNTIF(D$4:D38,D38)=1),1,0)</f>
        <v/>
      </c>
      <c r="F38">
        <f>IF(ROW()-3&gt;MAX(E$4:E$40),"",INDEX(D$4:D$40,MATCH(ROW()-3,E$4:E$40,0)))</f>
        <v/>
      </c>
      <c r="G38">
        <f>IF('Final Calculation Sheet'!$F$38="","",'Final Calculation Sheet'!$F$38)</f>
        <v/>
      </c>
      <c r="H38">
        <f>H37+IF(AND(G38&lt;&gt;"",COUNTIF(G$4:G38,G38)=1),1,0)</f>
        <v/>
      </c>
      <c r="I38">
        <f>IF(ROW()-3&gt;MAX(H$4:H$40),"",INDEX(G$4:G$40,MATCH(ROW()-3,H$4:H$40,0)))</f>
        <v/>
      </c>
      <c r="J38">
        <f>IF('Final Calculation Sheet'!$G$38="","",'Final Calculation Sheet'!$G$38)</f>
        <v/>
      </c>
      <c r="K38">
        <f>K37+IF(AND(J38&lt;&gt;"",COUNTIF(J$4:J38,J38)=1),1,0)</f>
        <v/>
      </c>
      <c r="L38">
        <f>IF(ROW()-3&gt;MAX(K$4:K$40),"",INDEX(J$4:J$40,MATCH(ROW()-3,K$4:K$40,0)))</f>
        <v/>
      </c>
      <c r="M38">
        <f>IF('Final Calculation Sheet'!$B$38="","",'Final Calculation Sheet'!$B$38)</f>
        <v/>
      </c>
      <c r="N38">
        <f>N37+IF(AND(M38&lt;&gt;"",COUNTIF(M$4:M38,M38)=1),1,0)</f>
        <v/>
      </c>
      <c r="O38">
        <f>IF(ROW()-3&gt;MAX(N$4:N$40),"",INDEX(M$4:M$40,MATCH(ROW()-3,N$4:N$40,0)))</f>
        <v/>
      </c>
      <c r="P38">
        <f>IF('Final Calculation Sheet'!$D$38="","",'Final Calculation Sheet'!$D$38)</f>
        <v/>
      </c>
      <c r="Q38">
        <f>Q37+IF(AND(P38&lt;&gt;"",COUNTIF(P$4:P38,P38)=1),1,0)</f>
        <v/>
      </c>
      <c r="R38">
        <f>IF(ROW()-3&gt;MAX(Q$4:Q$40),"",INDEX(P$4:P$40,MATCH(ROW()-3,Q$4:Q$40,0)))</f>
        <v/>
      </c>
      <c r="S38">
        <f>IF('Final Calculation Sheet'!$A$38="","",'Final Calculation Sheet'!$A$38)</f>
        <v/>
      </c>
      <c r="T38">
        <f>T37+IF(AND(S38&lt;&gt;"",COUNTIF(S$4:S38,S38)=1),1,0)</f>
        <v/>
      </c>
      <c r="U38">
        <f>IF(ROW()-3&gt;MAX(T$4:T$40),"",INDEX(S$4:S$40,MATCH(ROW()-3,T$4:T$40,0)))</f>
        <v/>
      </c>
      <c r="V38">
        <f>IF('Final Calculation Sheet'!$E$38="","",'Final Calculation Sheet'!$E$38)</f>
        <v/>
      </c>
      <c r="W38">
        <f>W37+IF(AND(V38&lt;&gt;"",COUNTIF(V$4:V38,V38)=1),1,0)</f>
        <v/>
      </c>
      <c r="X38">
        <f>IF(ROW()-3&gt;MAX(W$4:W$40),"",INDEX(V$4:V$40,MATCH(ROW()-3,W$4:W$40,0)))</f>
        <v/>
      </c>
      <c r="Y38">
        <f>IF('Final Calculation Sheet'!$C$38="","",'Final Calculation Sheet'!$C$38)</f>
        <v/>
      </c>
      <c r="Z38">
        <f>Z37+IF(AND(Y38&lt;&gt;"",COUNTIF(Y$4:Y38,Y38)=1),1,0)</f>
        <v/>
      </c>
      <c r="AA38">
        <f>IF(ROW()-3&gt;MAX(Z$4:Z$40),"",INDEX(Y$4:Y$40,MATCH(ROW()-3,Z$4:Z$40,0)))</f>
        <v/>
      </c>
      <c r="AB38">
        <f>IF('Final Calculation Sheet'!$H$38="","",'Final Calculation Sheet'!$H$38)</f>
        <v/>
      </c>
      <c r="AC38">
        <f>AC37+IF(AND(AB38&lt;&gt;"",COUNTIF(AB$4:AB38,AB38)=1),1,0)</f>
        <v/>
      </c>
      <c r="AD38">
        <f>IF(ROW()-3&gt;MAX(AC$4:AC$40),"",INDEX(AB$4:AB$40,MATCH(ROW()-3,AC$4:AC$40,0)))</f>
        <v/>
      </c>
      <c r="AE38">
        <f>IF('Final Calculation Sheet'!$I$38="","",'Final Calculation Sheet'!$I$38)</f>
        <v/>
      </c>
      <c r="AF38">
        <f>AF37+IF(AND(AE38&lt;&gt;"",COUNTIF(AE$4:AE38,AE38)=1),1,0)</f>
        <v/>
      </c>
      <c r="AG38">
        <f>IF(ROW()-3&gt;MAX(AF$4:AF$40),"",INDEX(AE$4:AE$40,MATCH(ROW()-3,AF$4:AF$40,0)))</f>
        <v/>
      </c>
      <c r="AH38">
        <f>IF('Final Calculation Sheet'!$J$38="","",'Final Calculation Sheet'!$J$38)</f>
        <v/>
      </c>
      <c r="AI38">
        <f>AI37+IF(AND(AH38&lt;&gt;"",COUNTIF(AH$4:AH38,AH38)=1),1,0)</f>
        <v/>
      </c>
      <c r="AJ38">
        <f>IF(ROW()-3&gt;MAX(AI$4:AI$40),"",INDEX(AH$4:AH$40,MATCH(ROW()-3,AI$4:AI$40,0)))</f>
        <v/>
      </c>
      <c r="AK38">
        <f>IF('Final Calculation Sheet'!$K$38="","",'Final Calculation Sheet'!$K$38)</f>
        <v/>
      </c>
      <c r="AL38">
        <f>AL37+IF(AND(AK38&lt;&gt;"",COUNTIF(AK$4:AK38,AK38)=1),1,0)</f>
        <v/>
      </c>
      <c r="AM38">
        <f>IF(ROW()-3&gt;MAX(AL$4:AL$40),"",INDEX(AK$4:AK$40,MATCH(ROW()-3,AL$4:AL$40,0)))</f>
        <v/>
      </c>
      <c r="AN38">
        <f>IF('Final Calculation Sheet'!$L$38="","",'Final Calculation Sheet'!$L$38)</f>
        <v/>
      </c>
      <c r="AO38">
        <f>AO37+IF(AND(AN38&lt;&gt;"",COUNTIF(AN$4:AN38,AN38)=1),1,0)</f>
        <v/>
      </c>
      <c r="AP38">
        <f>IF(ROW()-3&gt;MAX(AO$4:AO$40),"",INDEX(AN$4:AN$40,MATCH(ROW()-3,AO$4:AO$40,0)))</f>
        <v/>
      </c>
      <c r="AQ38">
        <f>IF('Final Calculation Sheet'!$M$38="","",'Final Calculation Sheet'!$M$38)</f>
        <v/>
      </c>
      <c r="AR38">
        <f>AR37+IF(AND(AQ38&lt;&gt;"",COUNTIF(AQ$4:AQ38,AQ38)=1),1,0)</f>
        <v/>
      </c>
      <c r="AS38">
        <f>IF(ROW()-3&gt;MAX(AR$4:AR$40),"",INDEX(AQ$4:AQ$40,MATCH(ROW()-3,AR$4:AR$40,0)))</f>
        <v/>
      </c>
      <c r="AT38">
        <f>IF('Final Calculation Sheet'!$N$38="","",'Final Calculation Sheet'!$N$38)</f>
        <v/>
      </c>
      <c r="AU38">
        <f>AU37+IF(AND(AT38&lt;&gt;"",COUNTIF(AT$4:AT38,AT38)=1),1,0)</f>
        <v/>
      </c>
      <c r="AV38">
        <f>IF(ROW()-3&gt;MAX(AU$4:AU$40),"",INDEX(AT$4:AT$40,MATCH(ROW()-3,AU$4:AU$40,0)))</f>
        <v/>
      </c>
      <c r="AW38">
        <f>IF('Final Calculation Sheet'!$O$38="","",'Final Calculation Sheet'!$O$38)</f>
        <v/>
      </c>
      <c r="AX38">
        <f>AX37+IF(AND(AW38&lt;&gt;"",COUNTIF(AW$4:AW38,AW38)=1),1,0)</f>
        <v/>
      </c>
      <c r="AY38">
        <f>IF(ROW()-3&gt;MAX(AX$4:AX$40),"",INDEX(AW$4:AW$40,MATCH(ROW()-3,AX$4:AX$40,0)))</f>
        <v/>
      </c>
      <c r="AZ38">
        <f>IF('Final Calculation Sheet'!$P$38="","",'Final Calculation Sheet'!$P$38)</f>
        <v/>
      </c>
      <c r="BA38">
        <f>BA37+IF(AND(AZ38&lt;&gt;"",COUNTIF(AZ$4:AZ38,AZ38)=1),1,0)</f>
        <v/>
      </c>
      <c r="BB38">
        <f>IF(ROW()-3&gt;MAX(BA$4:BA$40),"",INDEX(AZ$4:AZ$40,MATCH(ROW()-3,BA$4:BA$40,0)))</f>
        <v/>
      </c>
      <c r="BC38">
        <f>IF('Final Calculation Sheet'!$Q$38="","",'Final Calculation Sheet'!$Q$38)</f>
        <v/>
      </c>
      <c r="BD38">
        <f>BD37+IF(AND(BC38&lt;&gt;"",COUNTIF(BC$4:BC38,BC38)=1),1,0)</f>
        <v/>
      </c>
      <c r="BE38">
        <f>IF(ROW()-3&gt;MAX(BD$4:BD$40),"",INDEX(BC$4:BC$40,MATCH(ROW()-3,BD$4:BD$40,0)))</f>
        <v/>
      </c>
      <c r="BF38">
        <f>IF('Final Calculation Sheet'!$R$38="","",'Final Calculation Sheet'!$R$38)</f>
        <v/>
      </c>
      <c r="BG38">
        <f>BG37+IF(AND(BF38&lt;&gt;"",COUNTIF(BF$4:BF38,BF38)=1),1,0)</f>
        <v/>
      </c>
      <c r="BH38">
        <f>IF(ROW()-3&gt;MAX(BG$4:BG$40),"",INDEX(BF$4:BF$40,MATCH(ROW()-3,BG$4:BG$40,0)))</f>
        <v/>
      </c>
      <c r="BI38">
        <f>IF('Final Calculation Sheet'!$S$38="","",'Final Calculation Sheet'!$S$38)</f>
        <v/>
      </c>
      <c r="BJ38">
        <f>BJ37+IF(AND(BI38&lt;&gt;"",COUNTIF(BI$4:BI38,BI38)=1),1,0)</f>
        <v/>
      </c>
      <c r="BK38">
        <f>IF(ROW()-3&gt;MAX(BJ$4:BJ$40),"",INDEX(BI$4:BI$40,MATCH(ROW()-3,BJ$4:BJ$40,0)))</f>
        <v/>
      </c>
      <c r="BL38">
        <f>IF('Final Calculation Sheet'!$T$38="","",'Final Calculation Sheet'!$T$38)</f>
        <v/>
      </c>
      <c r="BM38">
        <f>BM37+IF(AND(BL38&lt;&gt;"",COUNTIF(BL$4:BL38,BL38)=1),1,0)</f>
        <v/>
      </c>
      <c r="BN38">
        <f>IF(ROW()-3&gt;MAX(BM$4:BM$40),"",INDEX(BL$4:BL$40,MATCH(ROW()-3,BM$4:BM$40,0)))</f>
        <v/>
      </c>
      <c r="BO38">
        <f>IF('Final Calculation Sheet'!$U$38="","",'Final Calculation Sheet'!$U$38)</f>
        <v/>
      </c>
      <c r="BP38">
        <f>BP37+IF(AND(BO38&lt;&gt;"",COUNTIF(BO$4:BO38,BO38)=1),1,0)</f>
        <v/>
      </c>
      <c r="BQ38">
        <f>IF(ROW()-3&gt;MAX(BP$4:BP$40),"",INDEX(BO$4:BO$40,MATCH(ROW()-3,BP$4:BP$40,0)))</f>
        <v/>
      </c>
      <c r="BR38">
        <f>IF('Final Calculation Sheet'!$V$38="","",'Final Calculation Sheet'!$V$38)</f>
        <v/>
      </c>
      <c r="BS38">
        <f>BS37+IF(AND(BR38&lt;&gt;"",COUNTIF(BR$4:BR38,BR38)=1),1,0)</f>
        <v/>
      </c>
      <c r="BT38">
        <f>IF(ROW()-3&gt;MAX(BS$4:BS$40),"",INDEX(BR$4:BR$40,MATCH(ROW()-3,BS$4:BS$40,0)))</f>
        <v/>
      </c>
      <c r="BU38">
        <f>IF('Final Calculation Sheet'!$W$38="","",'Final Calculation Sheet'!$W$38)</f>
        <v/>
      </c>
      <c r="BV38">
        <f>BV37+IF(AND(BU38&lt;&gt;"",COUNTIF(BU$4:BU38,BU38)=1),1,0)</f>
        <v/>
      </c>
      <c r="BW38">
        <f>IF(ROW()-3&gt;MAX(BV$4:BV$40),"",INDEX(BU$4:BU$40,MATCH(ROW()-3,BV$4:BV$40,0)))</f>
        <v/>
      </c>
      <c r="BX38">
        <f>IF('Final Calculation Sheet'!$X$38="","",'Final Calculation Sheet'!$X$38)</f>
        <v/>
      </c>
      <c r="BY38">
        <f>BY37+IF(AND(BX38&lt;&gt;"",COUNTIF(BX$4:BX38,BX38)=1),1,0)</f>
        <v/>
      </c>
      <c r="BZ38">
        <f>IF(ROW()-3&gt;MAX(BY$4:BY$40),"",INDEX(BX$4:BX$40,MATCH(ROW()-3,BY$4:BY$40,0)))</f>
        <v/>
      </c>
      <c r="CA38">
        <f>IF('Final Calculation Sheet'!$Y$38="","",'Final Calculation Sheet'!$Y$38)</f>
        <v/>
      </c>
      <c r="CB38">
        <f>CB37+IF(AND(CA38&lt;&gt;"",COUNTIF(CA$4:CA38,CA38)=1),1,0)</f>
        <v/>
      </c>
      <c r="CC38">
        <f>IF(ROW()-3&gt;MAX(CB$4:CB$40),"",INDEX(CA$4:CA$40,MATCH(ROW()-3,CB$4:CB$40,0)))</f>
        <v/>
      </c>
      <c r="CD38">
        <f>IF('Final Calculation Sheet'!$Z$38="","",'Final Calculation Sheet'!$Z$38)</f>
        <v/>
      </c>
      <c r="CE38">
        <f>CE37+IF(AND(CD38&lt;&gt;"",COUNTIF(CD$4:CD38,CD38)=1),1,0)</f>
        <v/>
      </c>
      <c r="CF38">
        <f>IF(ROW()-3&gt;MAX(CE$4:CE$40),"",INDEX(CD$4:CD$40,MATCH(ROW()-3,CE$4:CE$40,0)))</f>
        <v/>
      </c>
      <c r="CG38">
        <f>IF('Final Calculation Sheet'!$AA$38="","",'Final Calculation Sheet'!$AA$38)</f>
        <v/>
      </c>
      <c r="CH38">
        <f>CH37+IF(AND(CG38&lt;&gt;"",COUNTIF(CG$4:CG38,CG38)=1),1,0)</f>
        <v/>
      </c>
      <c r="CI38">
        <f>IF(ROW()-3&gt;MAX(CH$4:CH$40),"",INDEX(CG$4:CG$40,MATCH(ROW()-3,CH$4:CH$40,0)))</f>
        <v/>
      </c>
      <c r="CJ38">
        <f>IF('Final Calculation Sheet'!$AB$38="","",'Final Calculation Sheet'!$AB$38)</f>
        <v/>
      </c>
      <c r="CK38">
        <f>CK37+IF(AND(CJ38&lt;&gt;"",COUNTIF(CJ$4:CJ38,CJ38)=1),1,0)</f>
        <v/>
      </c>
      <c r="CL38">
        <f>IF(ROW()-3&gt;MAX(CK$4:CK$40),"",INDEX(CJ$4:CJ$40,MATCH(ROW()-3,CK$4:CK$40,0)))</f>
        <v/>
      </c>
      <c r="CM38">
        <f>IF('Final Calculation Sheet'!$AC$38="","",'Final Calculation Sheet'!$AC$38)</f>
        <v/>
      </c>
      <c r="CN38">
        <f>CN37+IF(AND(CM38&lt;&gt;"",COUNTIF(CM$4:CM38,CM38)=1),1,0)</f>
        <v/>
      </c>
      <c r="CO38">
        <f>IF(ROW()-3&gt;MAX(CN$4:CN$40),"",INDEX(CM$4:CM$40,MATCH(ROW()-3,CN$4:CN$40,0)))</f>
        <v/>
      </c>
      <c r="CP38">
        <f>IF('Final Calculation Sheet'!$AD$38="","",'Final Calculation Sheet'!$AD$38)</f>
        <v/>
      </c>
      <c r="CQ38">
        <f>CQ37+IF(AND(CP38&lt;&gt;"",COUNTIF(CP$4:CP38,CP38)=1),1,0)</f>
        <v/>
      </c>
      <c r="CR38">
        <f>IF(ROW()-3&gt;MAX(CQ$4:CQ$40),"",INDEX(CP$4:CP$40,MATCH(ROW()-3,CQ$4:CQ$40,0)))</f>
        <v/>
      </c>
      <c r="CS38">
        <f>IF('Final Calculation Sheet'!$AE$38="","",'Final Calculation Sheet'!$AE$38)</f>
        <v/>
      </c>
      <c r="CT38">
        <f>CT37+IF(AND(CS38&lt;&gt;"",COUNTIF(CS$4:CS38,CS38)=1),1,0)</f>
        <v/>
      </c>
      <c r="CU38">
        <f>IF(ROW()-3&gt;MAX(CT$4:CT$40),"",INDEX(CS$4:CS$40,MATCH(ROW()-3,CT$4:CT$40,0)))</f>
        <v/>
      </c>
      <c r="CV38">
        <f>IF('Final Calculation Sheet'!$AF$38="","",'Final Calculation Sheet'!$AF$38)</f>
        <v/>
      </c>
      <c r="CW38">
        <f>CW37+IF(AND(CV38&lt;&gt;"",COUNTIF(CV$4:CV38,CV38)=1),1,0)</f>
        <v/>
      </c>
      <c r="CX38">
        <f>IF(ROW()-3&gt;MAX(CW$4:CW$40),"",INDEX(CV$4:CV$40,MATCH(ROW()-3,CW$4:CW$40,0)))</f>
        <v/>
      </c>
      <c r="CY38">
        <f>IF('Final Calculation Sheet'!$AG$38="","",'Final Calculation Sheet'!$AG$38)</f>
        <v/>
      </c>
      <c r="CZ38">
        <f>CZ37+IF(AND(CY38&lt;&gt;"",COUNTIF(CY$4:CY38,CY38)=1),1,0)</f>
        <v/>
      </c>
      <c r="DA38">
        <f>IF(ROW()-3&gt;MAX(CZ$4:CZ$40),"",INDEX(CY$4:CY$40,MATCH(ROW()-3,CZ$4:CZ$40,0)))</f>
        <v/>
      </c>
      <c r="DC38">
        <f>DC37+IF(AND(DB38&lt;&gt;"",COUNTIF(DB$4:DB38,DB38)=1),1,0)</f>
        <v/>
      </c>
      <c r="DD38">
        <f>IF(ROW()-3&gt;MAX(DC$4:DC$40),"",INDEX(DB$4:DB$40,MATCH(ROW()-3,DC$4:DC$40,0)))</f>
        <v/>
      </c>
    </row>
    <row r="39">
      <c r="A39">
        <f>IF('Final Calculation Sheet'!$F$39="","",'Final Calculation Sheet'!$F$39)</f>
        <v/>
      </c>
      <c r="B39">
        <f>B38+IF(AND(A39&lt;&gt;"",COUNTIF(A$4:A39,A39)=1),1,0)</f>
        <v/>
      </c>
      <c r="C39">
        <f>IF(ROW()-3&gt;MAX(B$4:B$114),"",INDEX(A$4:A$114,MATCH(ROW()-3,B$4:B$114,0)))</f>
        <v/>
      </c>
      <c r="D39">
        <f>ROW()-3</f>
        <v/>
      </c>
      <c r="E39">
        <f>E38+IF(AND(D39&lt;&gt;"",COUNTIF(D$4:D39,D39)=1),1,0)</f>
        <v/>
      </c>
      <c r="F39">
        <f>IF(ROW()-3&gt;MAX(E$4:E$40),"",INDEX(D$4:D$40,MATCH(ROW()-3,E$4:E$40,0)))</f>
        <v/>
      </c>
      <c r="G39">
        <f>IF('Final Calculation Sheet'!$F$39="","",'Final Calculation Sheet'!$F$39)</f>
        <v/>
      </c>
      <c r="H39">
        <f>H38+IF(AND(G39&lt;&gt;"",COUNTIF(G$4:G39,G39)=1),1,0)</f>
        <v/>
      </c>
      <c r="I39">
        <f>IF(ROW()-3&gt;MAX(H$4:H$40),"",INDEX(G$4:G$40,MATCH(ROW()-3,H$4:H$40,0)))</f>
        <v/>
      </c>
      <c r="J39">
        <f>IF('Final Calculation Sheet'!$G$39="","",'Final Calculation Sheet'!$G$39)</f>
        <v/>
      </c>
      <c r="K39">
        <f>K38+IF(AND(J39&lt;&gt;"",COUNTIF(J$4:J39,J39)=1),1,0)</f>
        <v/>
      </c>
      <c r="L39">
        <f>IF(ROW()-3&gt;MAX(K$4:K$40),"",INDEX(J$4:J$40,MATCH(ROW()-3,K$4:K$40,0)))</f>
        <v/>
      </c>
      <c r="M39">
        <f>IF('Final Calculation Sheet'!$B$39="","",'Final Calculation Sheet'!$B$39)</f>
        <v/>
      </c>
      <c r="N39">
        <f>N38+IF(AND(M39&lt;&gt;"",COUNTIF(M$4:M39,M39)=1),1,0)</f>
        <v/>
      </c>
      <c r="O39">
        <f>IF(ROW()-3&gt;MAX(N$4:N$40),"",INDEX(M$4:M$40,MATCH(ROW()-3,N$4:N$40,0)))</f>
        <v/>
      </c>
      <c r="P39">
        <f>IF('Final Calculation Sheet'!$D$39="","",'Final Calculation Sheet'!$D$39)</f>
        <v/>
      </c>
      <c r="Q39">
        <f>Q38+IF(AND(P39&lt;&gt;"",COUNTIF(P$4:P39,P39)=1),1,0)</f>
        <v/>
      </c>
      <c r="R39">
        <f>IF(ROW()-3&gt;MAX(Q$4:Q$40),"",INDEX(P$4:P$40,MATCH(ROW()-3,Q$4:Q$40,0)))</f>
        <v/>
      </c>
      <c r="S39">
        <f>IF('Final Calculation Sheet'!$A$39="","",'Final Calculation Sheet'!$A$39)</f>
        <v/>
      </c>
      <c r="T39">
        <f>T38+IF(AND(S39&lt;&gt;"",COUNTIF(S$4:S39,S39)=1),1,0)</f>
        <v/>
      </c>
      <c r="U39">
        <f>IF(ROW()-3&gt;MAX(T$4:T$40),"",INDEX(S$4:S$40,MATCH(ROW()-3,T$4:T$40,0)))</f>
        <v/>
      </c>
      <c r="V39">
        <f>IF('Final Calculation Sheet'!$E$39="","",'Final Calculation Sheet'!$E$39)</f>
        <v/>
      </c>
      <c r="W39">
        <f>W38+IF(AND(V39&lt;&gt;"",COUNTIF(V$4:V39,V39)=1),1,0)</f>
        <v/>
      </c>
      <c r="X39">
        <f>IF(ROW()-3&gt;MAX(W$4:W$40),"",INDEX(V$4:V$40,MATCH(ROW()-3,W$4:W$40,0)))</f>
        <v/>
      </c>
      <c r="Y39">
        <f>IF('Final Calculation Sheet'!$C$39="","",'Final Calculation Sheet'!$C$39)</f>
        <v/>
      </c>
      <c r="Z39">
        <f>Z38+IF(AND(Y39&lt;&gt;"",COUNTIF(Y$4:Y39,Y39)=1),1,0)</f>
        <v/>
      </c>
      <c r="AA39">
        <f>IF(ROW()-3&gt;MAX(Z$4:Z$40),"",INDEX(Y$4:Y$40,MATCH(ROW()-3,Z$4:Z$40,0)))</f>
        <v/>
      </c>
      <c r="AB39">
        <f>IF('Final Calculation Sheet'!$H$39="","",'Final Calculation Sheet'!$H$39)</f>
        <v/>
      </c>
      <c r="AC39">
        <f>AC38+IF(AND(AB39&lt;&gt;"",COUNTIF(AB$4:AB39,AB39)=1),1,0)</f>
        <v/>
      </c>
      <c r="AD39">
        <f>IF(ROW()-3&gt;MAX(AC$4:AC$40),"",INDEX(AB$4:AB$40,MATCH(ROW()-3,AC$4:AC$40,0)))</f>
        <v/>
      </c>
      <c r="AE39">
        <f>IF('Final Calculation Sheet'!$I$39="","",'Final Calculation Sheet'!$I$39)</f>
        <v/>
      </c>
      <c r="AF39">
        <f>AF38+IF(AND(AE39&lt;&gt;"",COUNTIF(AE$4:AE39,AE39)=1),1,0)</f>
        <v/>
      </c>
      <c r="AG39">
        <f>IF(ROW()-3&gt;MAX(AF$4:AF$40),"",INDEX(AE$4:AE$40,MATCH(ROW()-3,AF$4:AF$40,0)))</f>
        <v/>
      </c>
      <c r="AH39">
        <f>IF('Final Calculation Sheet'!$J$39="","",'Final Calculation Sheet'!$J$39)</f>
        <v/>
      </c>
      <c r="AI39">
        <f>AI38+IF(AND(AH39&lt;&gt;"",COUNTIF(AH$4:AH39,AH39)=1),1,0)</f>
        <v/>
      </c>
      <c r="AJ39">
        <f>IF(ROW()-3&gt;MAX(AI$4:AI$40),"",INDEX(AH$4:AH$40,MATCH(ROW()-3,AI$4:AI$40,0)))</f>
        <v/>
      </c>
      <c r="AK39">
        <f>IF('Final Calculation Sheet'!$K$39="","",'Final Calculation Sheet'!$K$39)</f>
        <v/>
      </c>
      <c r="AL39">
        <f>AL38+IF(AND(AK39&lt;&gt;"",COUNTIF(AK$4:AK39,AK39)=1),1,0)</f>
        <v/>
      </c>
      <c r="AM39">
        <f>IF(ROW()-3&gt;MAX(AL$4:AL$40),"",INDEX(AK$4:AK$40,MATCH(ROW()-3,AL$4:AL$40,0)))</f>
        <v/>
      </c>
      <c r="AN39">
        <f>IF('Final Calculation Sheet'!$L$39="","",'Final Calculation Sheet'!$L$39)</f>
        <v/>
      </c>
      <c r="AO39">
        <f>AO38+IF(AND(AN39&lt;&gt;"",COUNTIF(AN$4:AN39,AN39)=1),1,0)</f>
        <v/>
      </c>
      <c r="AP39">
        <f>IF(ROW()-3&gt;MAX(AO$4:AO$40),"",INDEX(AN$4:AN$40,MATCH(ROW()-3,AO$4:AO$40,0)))</f>
        <v/>
      </c>
      <c r="AQ39">
        <f>IF('Final Calculation Sheet'!$M$39="","",'Final Calculation Sheet'!$M$39)</f>
        <v/>
      </c>
      <c r="AR39">
        <f>AR38+IF(AND(AQ39&lt;&gt;"",COUNTIF(AQ$4:AQ39,AQ39)=1),1,0)</f>
        <v/>
      </c>
      <c r="AS39">
        <f>IF(ROW()-3&gt;MAX(AR$4:AR$40),"",INDEX(AQ$4:AQ$40,MATCH(ROW()-3,AR$4:AR$40,0)))</f>
        <v/>
      </c>
      <c r="AT39">
        <f>IF('Final Calculation Sheet'!$N$39="","",'Final Calculation Sheet'!$N$39)</f>
        <v/>
      </c>
      <c r="AU39">
        <f>AU38+IF(AND(AT39&lt;&gt;"",COUNTIF(AT$4:AT39,AT39)=1),1,0)</f>
        <v/>
      </c>
      <c r="AV39">
        <f>IF(ROW()-3&gt;MAX(AU$4:AU$40),"",INDEX(AT$4:AT$40,MATCH(ROW()-3,AU$4:AU$40,0)))</f>
        <v/>
      </c>
      <c r="AW39">
        <f>IF('Final Calculation Sheet'!$O$39="","",'Final Calculation Sheet'!$O$39)</f>
        <v/>
      </c>
      <c r="AX39">
        <f>AX38+IF(AND(AW39&lt;&gt;"",COUNTIF(AW$4:AW39,AW39)=1),1,0)</f>
        <v/>
      </c>
      <c r="AY39">
        <f>IF(ROW()-3&gt;MAX(AX$4:AX$40),"",INDEX(AW$4:AW$40,MATCH(ROW()-3,AX$4:AX$40,0)))</f>
        <v/>
      </c>
      <c r="AZ39">
        <f>IF('Final Calculation Sheet'!$P$39="","",'Final Calculation Sheet'!$P$39)</f>
        <v/>
      </c>
      <c r="BA39">
        <f>BA38+IF(AND(AZ39&lt;&gt;"",COUNTIF(AZ$4:AZ39,AZ39)=1),1,0)</f>
        <v/>
      </c>
      <c r="BB39">
        <f>IF(ROW()-3&gt;MAX(BA$4:BA$40),"",INDEX(AZ$4:AZ$40,MATCH(ROW()-3,BA$4:BA$40,0)))</f>
        <v/>
      </c>
      <c r="BC39">
        <f>IF('Final Calculation Sheet'!$Q$39="","",'Final Calculation Sheet'!$Q$39)</f>
        <v/>
      </c>
      <c r="BD39">
        <f>BD38+IF(AND(BC39&lt;&gt;"",COUNTIF(BC$4:BC39,BC39)=1),1,0)</f>
        <v/>
      </c>
      <c r="BE39">
        <f>IF(ROW()-3&gt;MAX(BD$4:BD$40),"",INDEX(BC$4:BC$40,MATCH(ROW()-3,BD$4:BD$40,0)))</f>
        <v/>
      </c>
      <c r="BF39">
        <f>IF('Final Calculation Sheet'!$R$39="","",'Final Calculation Sheet'!$R$39)</f>
        <v/>
      </c>
      <c r="BG39">
        <f>BG38+IF(AND(BF39&lt;&gt;"",COUNTIF(BF$4:BF39,BF39)=1),1,0)</f>
        <v/>
      </c>
      <c r="BH39">
        <f>IF(ROW()-3&gt;MAX(BG$4:BG$40),"",INDEX(BF$4:BF$40,MATCH(ROW()-3,BG$4:BG$40,0)))</f>
        <v/>
      </c>
      <c r="BI39">
        <f>IF('Final Calculation Sheet'!$S$39="","",'Final Calculation Sheet'!$S$39)</f>
        <v/>
      </c>
      <c r="BJ39">
        <f>BJ38+IF(AND(BI39&lt;&gt;"",COUNTIF(BI$4:BI39,BI39)=1),1,0)</f>
        <v/>
      </c>
      <c r="BK39">
        <f>IF(ROW()-3&gt;MAX(BJ$4:BJ$40),"",INDEX(BI$4:BI$40,MATCH(ROW()-3,BJ$4:BJ$40,0)))</f>
        <v/>
      </c>
      <c r="BL39">
        <f>IF('Final Calculation Sheet'!$T$39="","",'Final Calculation Sheet'!$T$39)</f>
        <v/>
      </c>
      <c r="BM39">
        <f>BM38+IF(AND(BL39&lt;&gt;"",COUNTIF(BL$4:BL39,BL39)=1),1,0)</f>
        <v/>
      </c>
      <c r="BN39">
        <f>IF(ROW()-3&gt;MAX(BM$4:BM$40),"",INDEX(BL$4:BL$40,MATCH(ROW()-3,BM$4:BM$40,0)))</f>
        <v/>
      </c>
      <c r="BO39">
        <f>IF('Final Calculation Sheet'!$U$39="","",'Final Calculation Sheet'!$U$39)</f>
        <v/>
      </c>
      <c r="BP39">
        <f>BP38+IF(AND(BO39&lt;&gt;"",COUNTIF(BO$4:BO39,BO39)=1),1,0)</f>
        <v/>
      </c>
      <c r="BQ39">
        <f>IF(ROW()-3&gt;MAX(BP$4:BP$40),"",INDEX(BO$4:BO$40,MATCH(ROW()-3,BP$4:BP$40,0)))</f>
        <v/>
      </c>
      <c r="BR39">
        <f>IF('Final Calculation Sheet'!$V$39="","",'Final Calculation Sheet'!$V$39)</f>
        <v/>
      </c>
      <c r="BS39">
        <f>BS38+IF(AND(BR39&lt;&gt;"",COUNTIF(BR$4:BR39,BR39)=1),1,0)</f>
        <v/>
      </c>
      <c r="BT39">
        <f>IF(ROW()-3&gt;MAX(BS$4:BS$40),"",INDEX(BR$4:BR$40,MATCH(ROW()-3,BS$4:BS$40,0)))</f>
        <v/>
      </c>
      <c r="BU39">
        <f>IF('Final Calculation Sheet'!$W$39="","",'Final Calculation Sheet'!$W$39)</f>
        <v/>
      </c>
      <c r="BV39">
        <f>BV38+IF(AND(BU39&lt;&gt;"",COUNTIF(BU$4:BU39,BU39)=1),1,0)</f>
        <v/>
      </c>
      <c r="BW39">
        <f>IF(ROW()-3&gt;MAX(BV$4:BV$40),"",INDEX(BU$4:BU$40,MATCH(ROW()-3,BV$4:BV$40,0)))</f>
        <v/>
      </c>
      <c r="BX39">
        <f>IF('Final Calculation Sheet'!$X$39="","",'Final Calculation Sheet'!$X$39)</f>
        <v/>
      </c>
      <c r="BY39">
        <f>BY38+IF(AND(BX39&lt;&gt;"",COUNTIF(BX$4:BX39,BX39)=1),1,0)</f>
        <v/>
      </c>
      <c r="BZ39">
        <f>IF(ROW()-3&gt;MAX(BY$4:BY$40),"",INDEX(BX$4:BX$40,MATCH(ROW()-3,BY$4:BY$40,0)))</f>
        <v/>
      </c>
      <c r="CA39">
        <f>IF('Final Calculation Sheet'!$Y$39="","",'Final Calculation Sheet'!$Y$39)</f>
        <v/>
      </c>
      <c r="CB39">
        <f>CB38+IF(AND(CA39&lt;&gt;"",COUNTIF(CA$4:CA39,CA39)=1),1,0)</f>
        <v/>
      </c>
      <c r="CC39">
        <f>IF(ROW()-3&gt;MAX(CB$4:CB$40),"",INDEX(CA$4:CA$40,MATCH(ROW()-3,CB$4:CB$40,0)))</f>
        <v/>
      </c>
      <c r="CD39">
        <f>IF('Final Calculation Sheet'!$Z$39="","",'Final Calculation Sheet'!$Z$39)</f>
        <v/>
      </c>
      <c r="CE39">
        <f>CE38+IF(AND(CD39&lt;&gt;"",COUNTIF(CD$4:CD39,CD39)=1),1,0)</f>
        <v/>
      </c>
      <c r="CF39">
        <f>IF(ROW()-3&gt;MAX(CE$4:CE$40),"",INDEX(CD$4:CD$40,MATCH(ROW()-3,CE$4:CE$40,0)))</f>
        <v/>
      </c>
      <c r="CG39">
        <f>IF('Final Calculation Sheet'!$AA$39="","",'Final Calculation Sheet'!$AA$39)</f>
        <v/>
      </c>
      <c r="CH39">
        <f>CH38+IF(AND(CG39&lt;&gt;"",COUNTIF(CG$4:CG39,CG39)=1),1,0)</f>
        <v/>
      </c>
      <c r="CI39">
        <f>IF(ROW()-3&gt;MAX(CH$4:CH$40),"",INDEX(CG$4:CG$40,MATCH(ROW()-3,CH$4:CH$40,0)))</f>
        <v/>
      </c>
      <c r="CJ39">
        <f>IF('Final Calculation Sheet'!$AB$39="","",'Final Calculation Sheet'!$AB$39)</f>
        <v/>
      </c>
      <c r="CK39">
        <f>CK38+IF(AND(CJ39&lt;&gt;"",COUNTIF(CJ$4:CJ39,CJ39)=1),1,0)</f>
        <v/>
      </c>
      <c r="CL39">
        <f>IF(ROW()-3&gt;MAX(CK$4:CK$40),"",INDEX(CJ$4:CJ$40,MATCH(ROW()-3,CK$4:CK$40,0)))</f>
        <v/>
      </c>
      <c r="CM39">
        <f>IF('Final Calculation Sheet'!$AC$39="","",'Final Calculation Sheet'!$AC$39)</f>
        <v/>
      </c>
      <c r="CN39">
        <f>CN38+IF(AND(CM39&lt;&gt;"",COUNTIF(CM$4:CM39,CM39)=1),1,0)</f>
        <v/>
      </c>
      <c r="CO39">
        <f>IF(ROW()-3&gt;MAX(CN$4:CN$40),"",INDEX(CM$4:CM$40,MATCH(ROW()-3,CN$4:CN$40,0)))</f>
        <v/>
      </c>
      <c r="CP39">
        <f>IF('Final Calculation Sheet'!$AD$39="","",'Final Calculation Sheet'!$AD$39)</f>
        <v/>
      </c>
      <c r="CQ39">
        <f>CQ38+IF(AND(CP39&lt;&gt;"",COUNTIF(CP$4:CP39,CP39)=1),1,0)</f>
        <v/>
      </c>
      <c r="CR39">
        <f>IF(ROW()-3&gt;MAX(CQ$4:CQ$40),"",INDEX(CP$4:CP$40,MATCH(ROW()-3,CQ$4:CQ$40,0)))</f>
        <v/>
      </c>
      <c r="CS39">
        <f>IF('Final Calculation Sheet'!$AE$39="","",'Final Calculation Sheet'!$AE$39)</f>
        <v/>
      </c>
      <c r="CT39">
        <f>CT38+IF(AND(CS39&lt;&gt;"",COUNTIF(CS$4:CS39,CS39)=1),1,0)</f>
        <v/>
      </c>
      <c r="CU39">
        <f>IF(ROW()-3&gt;MAX(CT$4:CT$40),"",INDEX(CS$4:CS$40,MATCH(ROW()-3,CT$4:CT$40,0)))</f>
        <v/>
      </c>
      <c r="CV39">
        <f>IF('Final Calculation Sheet'!$AF$39="","",'Final Calculation Sheet'!$AF$39)</f>
        <v/>
      </c>
      <c r="CW39">
        <f>CW38+IF(AND(CV39&lt;&gt;"",COUNTIF(CV$4:CV39,CV39)=1),1,0)</f>
        <v/>
      </c>
      <c r="CX39">
        <f>IF(ROW()-3&gt;MAX(CW$4:CW$40),"",INDEX(CV$4:CV$40,MATCH(ROW()-3,CW$4:CW$40,0)))</f>
        <v/>
      </c>
      <c r="CY39">
        <f>IF('Final Calculation Sheet'!$AG$39="","",'Final Calculation Sheet'!$AG$39)</f>
        <v/>
      </c>
      <c r="CZ39">
        <f>CZ38+IF(AND(CY39&lt;&gt;"",COUNTIF(CY$4:CY39,CY39)=1),1,0)</f>
        <v/>
      </c>
      <c r="DA39">
        <f>IF(ROW()-3&gt;MAX(CZ$4:CZ$40),"",INDEX(CY$4:CY$40,MATCH(ROW()-3,CZ$4:CZ$40,0)))</f>
        <v/>
      </c>
      <c r="DC39">
        <f>DC38+IF(AND(DB39&lt;&gt;"",COUNTIF(DB$4:DB39,DB39)=1),1,0)</f>
        <v/>
      </c>
      <c r="DD39">
        <f>IF(ROW()-3&gt;MAX(DC$4:DC$40),"",INDEX(DB$4:DB$40,MATCH(ROW()-3,DC$4:DC$40,0)))</f>
        <v/>
      </c>
    </row>
    <row r="40">
      <c r="A40">
        <f>IF('Final Calculation Sheet'!$F$40="","",'Final Calculation Sheet'!$F$40)</f>
        <v/>
      </c>
      <c r="B40">
        <f>B39+IF(AND(A40&lt;&gt;"",COUNTIF(A$4:A40,A40)=1),1,0)</f>
        <v/>
      </c>
      <c r="C40">
        <f>IF(ROW()-3&gt;MAX(B$4:B$114),"",INDEX(A$4:A$114,MATCH(ROW()-3,B$4:B$114,0)))</f>
        <v/>
      </c>
      <c r="D40">
        <f>ROW()-3</f>
        <v/>
      </c>
      <c r="E40">
        <f>E39+IF(AND(D40&lt;&gt;"",COUNTIF(D$4:D40,D40)=1),1,0)</f>
        <v/>
      </c>
      <c r="F40">
        <f>IF(ROW()-3&gt;MAX(E$4:E$40),"",INDEX(D$4:D$40,MATCH(ROW()-3,E$4:E$40,0)))</f>
        <v/>
      </c>
      <c r="G40">
        <f>IF('Final Calculation Sheet'!$F$40="","",'Final Calculation Sheet'!$F$40)</f>
        <v/>
      </c>
      <c r="H40">
        <f>H39+IF(AND(G40&lt;&gt;"",COUNTIF(G$4:G40,G40)=1),1,0)</f>
        <v/>
      </c>
      <c r="I40">
        <f>IF(ROW()-3&gt;MAX(H$4:H$40),"",INDEX(G$4:G$40,MATCH(ROW()-3,H$4:H$40,0)))</f>
        <v/>
      </c>
      <c r="J40">
        <f>IF('Final Calculation Sheet'!$G$40="","",'Final Calculation Sheet'!$G$40)</f>
        <v/>
      </c>
      <c r="K40">
        <f>K39+IF(AND(J40&lt;&gt;"",COUNTIF(J$4:J40,J40)=1),1,0)</f>
        <v/>
      </c>
      <c r="L40">
        <f>IF(ROW()-3&gt;MAX(K$4:K$40),"",INDEX(J$4:J$40,MATCH(ROW()-3,K$4:K$40,0)))</f>
        <v/>
      </c>
      <c r="M40">
        <f>IF('Final Calculation Sheet'!$B$40="","",'Final Calculation Sheet'!$B$40)</f>
        <v/>
      </c>
      <c r="N40">
        <f>N39+IF(AND(M40&lt;&gt;"",COUNTIF(M$4:M40,M40)=1),1,0)</f>
        <v/>
      </c>
      <c r="O40">
        <f>IF(ROW()-3&gt;MAX(N$4:N$40),"",INDEX(M$4:M$40,MATCH(ROW()-3,N$4:N$40,0)))</f>
        <v/>
      </c>
      <c r="P40">
        <f>IF('Final Calculation Sheet'!$D$40="","",'Final Calculation Sheet'!$D$40)</f>
        <v/>
      </c>
      <c r="Q40">
        <f>Q39+IF(AND(P40&lt;&gt;"",COUNTIF(P$4:P40,P40)=1),1,0)</f>
        <v/>
      </c>
      <c r="R40">
        <f>IF(ROW()-3&gt;MAX(Q$4:Q$40),"",INDEX(P$4:P$40,MATCH(ROW()-3,Q$4:Q$40,0)))</f>
        <v/>
      </c>
      <c r="S40">
        <f>IF('Final Calculation Sheet'!$A$40="","",'Final Calculation Sheet'!$A$40)</f>
        <v/>
      </c>
      <c r="T40">
        <f>T39+IF(AND(S40&lt;&gt;"",COUNTIF(S$4:S40,S40)=1),1,0)</f>
        <v/>
      </c>
      <c r="U40">
        <f>IF(ROW()-3&gt;MAX(T$4:T$40),"",INDEX(S$4:S$40,MATCH(ROW()-3,T$4:T$40,0)))</f>
        <v/>
      </c>
      <c r="V40">
        <f>IF('Final Calculation Sheet'!$E$40="","",'Final Calculation Sheet'!$E$40)</f>
        <v/>
      </c>
      <c r="W40">
        <f>W39+IF(AND(V40&lt;&gt;"",COUNTIF(V$4:V40,V40)=1),1,0)</f>
        <v/>
      </c>
      <c r="X40">
        <f>IF(ROW()-3&gt;MAX(W$4:W$40),"",INDEX(V$4:V$40,MATCH(ROW()-3,W$4:W$40,0)))</f>
        <v/>
      </c>
      <c r="Y40">
        <f>IF('Final Calculation Sheet'!$C$40="","",'Final Calculation Sheet'!$C$40)</f>
        <v/>
      </c>
      <c r="Z40">
        <f>Z39+IF(AND(Y40&lt;&gt;"",COUNTIF(Y$4:Y40,Y40)=1),1,0)</f>
        <v/>
      </c>
      <c r="AA40">
        <f>IF(ROW()-3&gt;MAX(Z$4:Z$40),"",INDEX(Y$4:Y$40,MATCH(ROW()-3,Z$4:Z$40,0)))</f>
        <v/>
      </c>
      <c r="AB40">
        <f>IF('Final Calculation Sheet'!$H$40="","",'Final Calculation Sheet'!$H$40)</f>
        <v/>
      </c>
      <c r="AC40">
        <f>AC39+IF(AND(AB40&lt;&gt;"",COUNTIF(AB$4:AB40,AB40)=1),1,0)</f>
        <v/>
      </c>
      <c r="AD40">
        <f>IF(ROW()-3&gt;MAX(AC$4:AC$40),"",INDEX(AB$4:AB$40,MATCH(ROW()-3,AC$4:AC$40,0)))</f>
        <v/>
      </c>
      <c r="AE40">
        <f>IF('Final Calculation Sheet'!$I$40="","",'Final Calculation Sheet'!$I$40)</f>
        <v/>
      </c>
      <c r="AF40">
        <f>AF39+IF(AND(AE40&lt;&gt;"",COUNTIF(AE$4:AE40,AE40)=1),1,0)</f>
        <v/>
      </c>
      <c r="AG40">
        <f>IF(ROW()-3&gt;MAX(AF$4:AF$40),"",INDEX(AE$4:AE$40,MATCH(ROW()-3,AF$4:AF$40,0)))</f>
        <v/>
      </c>
      <c r="AH40">
        <f>IF('Final Calculation Sheet'!$J$40="","",'Final Calculation Sheet'!$J$40)</f>
        <v/>
      </c>
      <c r="AI40">
        <f>AI39+IF(AND(AH40&lt;&gt;"",COUNTIF(AH$4:AH40,AH40)=1),1,0)</f>
        <v/>
      </c>
      <c r="AJ40">
        <f>IF(ROW()-3&gt;MAX(AI$4:AI$40),"",INDEX(AH$4:AH$40,MATCH(ROW()-3,AI$4:AI$40,0)))</f>
        <v/>
      </c>
      <c r="AK40">
        <f>IF('Final Calculation Sheet'!$K$40="","",'Final Calculation Sheet'!$K$40)</f>
        <v/>
      </c>
      <c r="AL40">
        <f>AL39+IF(AND(AK40&lt;&gt;"",COUNTIF(AK$4:AK40,AK40)=1),1,0)</f>
        <v/>
      </c>
      <c r="AM40">
        <f>IF(ROW()-3&gt;MAX(AL$4:AL$40),"",INDEX(AK$4:AK$40,MATCH(ROW()-3,AL$4:AL$40,0)))</f>
        <v/>
      </c>
      <c r="AN40">
        <f>IF('Final Calculation Sheet'!$L$40="","",'Final Calculation Sheet'!$L$40)</f>
        <v/>
      </c>
      <c r="AO40">
        <f>AO39+IF(AND(AN40&lt;&gt;"",COUNTIF(AN$4:AN40,AN40)=1),1,0)</f>
        <v/>
      </c>
      <c r="AP40">
        <f>IF(ROW()-3&gt;MAX(AO$4:AO$40),"",INDEX(AN$4:AN$40,MATCH(ROW()-3,AO$4:AO$40,0)))</f>
        <v/>
      </c>
      <c r="AQ40">
        <f>IF('Final Calculation Sheet'!$M$40="","",'Final Calculation Sheet'!$M$40)</f>
        <v/>
      </c>
      <c r="AR40">
        <f>AR39+IF(AND(AQ40&lt;&gt;"",COUNTIF(AQ$4:AQ40,AQ40)=1),1,0)</f>
        <v/>
      </c>
      <c r="AS40">
        <f>IF(ROW()-3&gt;MAX(AR$4:AR$40),"",INDEX(AQ$4:AQ$40,MATCH(ROW()-3,AR$4:AR$40,0)))</f>
        <v/>
      </c>
      <c r="AT40">
        <f>IF('Final Calculation Sheet'!$N$40="","",'Final Calculation Sheet'!$N$40)</f>
        <v/>
      </c>
      <c r="AU40">
        <f>AU39+IF(AND(AT40&lt;&gt;"",COUNTIF(AT$4:AT40,AT40)=1),1,0)</f>
        <v/>
      </c>
      <c r="AV40">
        <f>IF(ROW()-3&gt;MAX(AU$4:AU$40),"",INDEX(AT$4:AT$40,MATCH(ROW()-3,AU$4:AU$40,0)))</f>
        <v/>
      </c>
      <c r="AW40">
        <f>IF('Final Calculation Sheet'!$O$40="","",'Final Calculation Sheet'!$O$40)</f>
        <v/>
      </c>
      <c r="AX40">
        <f>AX39+IF(AND(AW40&lt;&gt;"",COUNTIF(AW$4:AW40,AW40)=1),1,0)</f>
        <v/>
      </c>
      <c r="AY40">
        <f>IF(ROW()-3&gt;MAX(AX$4:AX$40),"",INDEX(AW$4:AW$40,MATCH(ROW()-3,AX$4:AX$40,0)))</f>
        <v/>
      </c>
      <c r="AZ40">
        <f>IF('Final Calculation Sheet'!$P$40="","",'Final Calculation Sheet'!$P$40)</f>
        <v/>
      </c>
      <c r="BA40">
        <f>BA39+IF(AND(AZ40&lt;&gt;"",COUNTIF(AZ$4:AZ40,AZ40)=1),1,0)</f>
        <v/>
      </c>
      <c r="BB40">
        <f>IF(ROW()-3&gt;MAX(BA$4:BA$40),"",INDEX(AZ$4:AZ$40,MATCH(ROW()-3,BA$4:BA$40,0)))</f>
        <v/>
      </c>
      <c r="BC40">
        <f>IF('Final Calculation Sheet'!$Q$40="","",'Final Calculation Sheet'!$Q$40)</f>
        <v/>
      </c>
      <c r="BD40">
        <f>BD39+IF(AND(BC40&lt;&gt;"",COUNTIF(BC$4:BC40,BC40)=1),1,0)</f>
        <v/>
      </c>
      <c r="BE40">
        <f>IF(ROW()-3&gt;MAX(BD$4:BD$40),"",INDEX(BC$4:BC$40,MATCH(ROW()-3,BD$4:BD$40,0)))</f>
        <v/>
      </c>
      <c r="BF40">
        <f>IF('Final Calculation Sheet'!$R$40="","",'Final Calculation Sheet'!$R$40)</f>
        <v/>
      </c>
      <c r="BG40">
        <f>BG39+IF(AND(BF40&lt;&gt;"",COUNTIF(BF$4:BF40,BF40)=1),1,0)</f>
        <v/>
      </c>
      <c r="BH40">
        <f>IF(ROW()-3&gt;MAX(BG$4:BG$40),"",INDEX(BF$4:BF$40,MATCH(ROW()-3,BG$4:BG$40,0)))</f>
        <v/>
      </c>
      <c r="BI40">
        <f>IF('Final Calculation Sheet'!$S$40="","",'Final Calculation Sheet'!$S$40)</f>
        <v/>
      </c>
      <c r="BJ40">
        <f>BJ39+IF(AND(BI40&lt;&gt;"",COUNTIF(BI$4:BI40,BI40)=1),1,0)</f>
        <v/>
      </c>
      <c r="BK40">
        <f>IF(ROW()-3&gt;MAX(BJ$4:BJ$40),"",INDEX(BI$4:BI$40,MATCH(ROW()-3,BJ$4:BJ$40,0)))</f>
        <v/>
      </c>
      <c r="BL40">
        <f>IF('Final Calculation Sheet'!$T$40="","",'Final Calculation Sheet'!$T$40)</f>
        <v/>
      </c>
      <c r="BM40">
        <f>BM39+IF(AND(BL40&lt;&gt;"",COUNTIF(BL$4:BL40,BL40)=1),1,0)</f>
        <v/>
      </c>
      <c r="BN40">
        <f>IF(ROW()-3&gt;MAX(BM$4:BM$40),"",INDEX(BL$4:BL$40,MATCH(ROW()-3,BM$4:BM$40,0)))</f>
        <v/>
      </c>
      <c r="BO40">
        <f>IF('Final Calculation Sheet'!$U$40="","",'Final Calculation Sheet'!$U$40)</f>
        <v/>
      </c>
      <c r="BP40">
        <f>BP39+IF(AND(BO40&lt;&gt;"",COUNTIF(BO$4:BO40,BO40)=1),1,0)</f>
        <v/>
      </c>
      <c r="BQ40">
        <f>IF(ROW()-3&gt;MAX(BP$4:BP$40),"",INDEX(BO$4:BO$40,MATCH(ROW()-3,BP$4:BP$40,0)))</f>
        <v/>
      </c>
      <c r="BR40">
        <f>IF('Final Calculation Sheet'!$V$40="","",'Final Calculation Sheet'!$V$40)</f>
        <v/>
      </c>
      <c r="BS40">
        <f>BS39+IF(AND(BR40&lt;&gt;"",COUNTIF(BR$4:BR40,BR40)=1),1,0)</f>
        <v/>
      </c>
      <c r="BT40">
        <f>IF(ROW()-3&gt;MAX(BS$4:BS$40),"",INDEX(BR$4:BR$40,MATCH(ROW()-3,BS$4:BS$40,0)))</f>
        <v/>
      </c>
      <c r="BU40">
        <f>IF('Final Calculation Sheet'!$W$40="","",'Final Calculation Sheet'!$W$40)</f>
        <v/>
      </c>
      <c r="BV40">
        <f>BV39+IF(AND(BU40&lt;&gt;"",COUNTIF(BU$4:BU40,BU40)=1),1,0)</f>
        <v/>
      </c>
      <c r="BW40">
        <f>IF(ROW()-3&gt;MAX(BV$4:BV$40),"",INDEX(BU$4:BU$40,MATCH(ROW()-3,BV$4:BV$40,0)))</f>
        <v/>
      </c>
      <c r="BX40">
        <f>IF('Final Calculation Sheet'!$X$40="","",'Final Calculation Sheet'!$X$40)</f>
        <v/>
      </c>
      <c r="BY40">
        <f>BY39+IF(AND(BX40&lt;&gt;"",COUNTIF(BX$4:BX40,BX40)=1),1,0)</f>
        <v/>
      </c>
      <c r="BZ40">
        <f>IF(ROW()-3&gt;MAX(BY$4:BY$40),"",INDEX(BX$4:BX$40,MATCH(ROW()-3,BY$4:BY$40,0)))</f>
        <v/>
      </c>
      <c r="CA40">
        <f>IF('Final Calculation Sheet'!$Y$40="","",'Final Calculation Sheet'!$Y$40)</f>
        <v/>
      </c>
      <c r="CB40">
        <f>CB39+IF(AND(CA40&lt;&gt;"",COUNTIF(CA$4:CA40,CA40)=1),1,0)</f>
        <v/>
      </c>
      <c r="CC40">
        <f>IF(ROW()-3&gt;MAX(CB$4:CB$40),"",INDEX(CA$4:CA$40,MATCH(ROW()-3,CB$4:CB$40,0)))</f>
        <v/>
      </c>
      <c r="CD40">
        <f>IF('Final Calculation Sheet'!$Z$40="","",'Final Calculation Sheet'!$Z$40)</f>
        <v/>
      </c>
      <c r="CE40">
        <f>CE39+IF(AND(CD40&lt;&gt;"",COUNTIF(CD$4:CD40,CD40)=1),1,0)</f>
        <v/>
      </c>
      <c r="CF40">
        <f>IF(ROW()-3&gt;MAX(CE$4:CE$40),"",INDEX(CD$4:CD$40,MATCH(ROW()-3,CE$4:CE$40,0)))</f>
        <v/>
      </c>
      <c r="CG40">
        <f>IF('Final Calculation Sheet'!$AA$40="","",'Final Calculation Sheet'!$AA$40)</f>
        <v/>
      </c>
      <c r="CH40">
        <f>CH39+IF(AND(CG40&lt;&gt;"",COUNTIF(CG$4:CG40,CG40)=1),1,0)</f>
        <v/>
      </c>
      <c r="CI40">
        <f>IF(ROW()-3&gt;MAX(CH$4:CH$40),"",INDEX(CG$4:CG$40,MATCH(ROW()-3,CH$4:CH$40,0)))</f>
        <v/>
      </c>
      <c r="CJ40">
        <f>IF('Final Calculation Sheet'!$AB$40="","",'Final Calculation Sheet'!$AB$40)</f>
        <v/>
      </c>
      <c r="CK40">
        <f>CK39+IF(AND(CJ40&lt;&gt;"",COUNTIF(CJ$4:CJ40,CJ40)=1),1,0)</f>
        <v/>
      </c>
      <c r="CL40">
        <f>IF(ROW()-3&gt;MAX(CK$4:CK$40),"",INDEX(CJ$4:CJ$40,MATCH(ROW()-3,CK$4:CK$40,0)))</f>
        <v/>
      </c>
      <c r="CM40">
        <f>IF('Final Calculation Sheet'!$AC$40="","",'Final Calculation Sheet'!$AC$40)</f>
        <v/>
      </c>
      <c r="CN40">
        <f>CN39+IF(AND(CM40&lt;&gt;"",COUNTIF(CM$4:CM40,CM40)=1),1,0)</f>
        <v/>
      </c>
      <c r="CO40">
        <f>IF(ROW()-3&gt;MAX(CN$4:CN$40),"",INDEX(CM$4:CM$40,MATCH(ROW()-3,CN$4:CN$40,0)))</f>
        <v/>
      </c>
      <c r="CP40">
        <f>IF('Final Calculation Sheet'!$AD$40="","",'Final Calculation Sheet'!$AD$40)</f>
        <v/>
      </c>
      <c r="CQ40">
        <f>CQ39+IF(AND(CP40&lt;&gt;"",COUNTIF(CP$4:CP40,CP40)=1),1,0)</f>
        <v/>
      </c>
      <c r="CR40">
        <f>IF(ROW()-3&gt;MAX(CQ$4:CQ$40),"",INDEX(CP$4:CP$40,MATCH(ROW()-3,CQ$4:CQ$40,0)))</f>
        <v/>
      </c>
      <c r="CS40">
        <f>IF('Final Calculation Sheet'!$AE$40="","",'Final Calculation Sheet'!$AE$40)</f>
        <v/>
      </c>
      <c r="CT40">
        <f>CT39+IF(AND(CS40&lt;&gt;"",COUNTIF(CS$4:CS40,CS40)=1),1,0)</f>
        <v/>
      </c>
      <c r="CU40">
        <f>IF(ROW()-3&gt;MAX(CT$4:CT$40),"",INDEX(CS$4:CS$40,MATCH(ROW()-3,CT$4:CT$40,0)))</f>
        <v/>
      </c>
      <c r="CV40">
        <f>IF('Final Calculation Sheet'!$AF$40="","",'Final Calculation Sheet'!$AF$40)</f>
        <v/>
      </c>
      <c r="CW40">
        <f>CW39+IF(AND(CV40&lt;&gt;"",COUNTIF(CV$4:CV40,CV40)=1),1,0)</f>
        <v/>
      </c>
      <c r="CX40">
        <f>IF(ROW()-3&gt;MAX(CW$4:CW$40),"",INDEX(CV$4:CV$40,MATCH(ROW()-3,CW$4:CW$40,0)))</f>
        <v/>
      </c>
      <c r="CY40">
        <f>IF('Final Calculation Sheet'!$AG$40="","",'Final Calculation Sheet'!$AG$40)</f>
        <v/>
      </c>
      <c r="CZ40">
        <f>CZ39+IF(AND(CY40&lt;&gt;"",COUNTIF(CY$4:CY40,CY40)=1),1,0)</f>
        <v/>
      </c>
      <c r="DA40">
        <f>IF(ROW()-3&gt;MAX(CZ$4:CZ$40),"",INDEX(CY$4:CY$40,MATCH(ROW()-3,CZ$4:CZ$40,0)))</f>
        <v/>
      </c>
      <c r="DC40">
        <f>DC39+IF(AND(DB40&lt;&gt;"",COUNTIF(DB$4:DB40,DB40)=1),1,0)</f>
        <v/>
      </c>
      <c r="DD40">
        <f>IF(ROW()-3&gt;MAX(DC$4:DC$40),"",INDEX(DB$4:DB$40,MATCH(ROW()-3,DC$4:DC$40,0)))</f>
        <v/>
      </c>
    </row>
    <row r="41">
      <c r="A41">
        <f>IF(INDEX('Final Calculation Sheet'!$G$4:$G$40,ROW()-40)="","",INDEX('Final Calculation Sheet'!$G$4:$G$40,ROW()-40))</f>
        <v/>
      </c>
      <c r="B41">
        <f>B40+IF(AND(A41&lt;&gt;"",COUNTIF(A$4:A41,A41)=1),1,0)</f>
        <v/>
      </c>
      <c r="C41">
        <f>IF(ROW()-3&gt;MAX(B$4:B$114),"",INDEX(A$4:A$114,MATCH(ROW()-3,B$4:B$114,0)))</f>
        <v/>
      </c>
      <c r="I41" t="inlineStr">
        <is>
          <t>(blank)</t>
        </is>
      </c>
      <c r="L41" t="inlineStr">
        <is>
          <t>(blank)</t>
        </is>
      </c>
      <c r="O41" t="inlineStr">
        <is>
          <t>(blank)</t>
        </is>
      </c>
      <c r="R41" t="inlineStr">
        <is>
          <t>(blank)</t>
        </is>
      </c>
      <c r="U41" t="inlineStr">
        <is>
          <t>(blank)</t>
        </is>
      </c>
      <c r="X41" t="inlineStr">
        <is>
          <t>(blank)</t>
        </is>
      </c>
      <c r="AA41" t="inlineStr">
        <is>
          <t>(blank)</t>
        </is>
      </c>
      <c r="AD41" t="inlineStr">
        <is>
          <t>(blank)</t>
        </is>
      </c>
      <c r="AG41" t="inlineStr">
        <is>
          <t>(blank)</t>
        </is>
      </c>
      <c r="AJ41" t="inlineStr">
        <is>
          <t>(blank)</t>
        </is>
      </c>
      <c r="AM41" t="inlineStr">
        <is>
          <t>(blank)</t>
        </is>
      </c>
      <c r="AP41" t="inlineStr">
        <is>
          <t>(blank)</t>
        </is>
      </c>
      <c r="AS41" t="inlineStr">
        <is>
          <t>(blank)</t>
        </is>
      </c>
      <c r="AV41" t="inlineStr">
        <is>
          <t>(blank)</t>
        </is>
      </c>
      <c r="AY41" t="inlineStr">
        <is>
          <t>(blank)</t>
        </is>
      </c>
      <c r="BB41" t="inlineStr">
        <is>
          <t>(blank)</t>
        </is>
      </c>
      <c r="BE41" t="inlineStr">
        <is>
          <t>(blank)</t>
        </is>
      </c>
      <c r="BH41" t="inlineStr">
        <is>
          <t>(blank)</t>
        </is>
      </c>
      <c r="BK41" t="inlineStr">
        <is>
          <t>(blank)</t>
        </is>
      </c>
      <c r="BN41" t="inlineStr">
        <is>
          <t>(blank)</t>
        </is>
      </c>
      <c r="BQ41" t="inlineStr">
        <is>
          <t>(blank)</t>
        </is>
      </c>
      <c r="BT41" t="inlineStr">
        <is>
          <t>(blank)</t>
        </is>
      </c>
      <c r="BW41" t="inlineStr">
        <is>
          <t>(blank)</t>
        </is>
      </c>
      <c r="BZ41" t="inlineStr">
        <is>
          <t>(blank)</t>
        </is>
      </c>
      <c r="CC41" t="inlineStr">
        <is>
          <t>(blank)</t>
        </is>
      </c>
      <c r="CF41" t="inlineStr">
        <is>
          <t>(blank)</t>
        </is>
      </c>
      <c r="CI41" t="inlineStr">
        <is>
          <t>(blank)</t>
        </is>
      </c>
      <c r="CL41" t="inlineStr">
        <is>
          <t>(blank)</t>
        </is>
      </c>
      <c r="CO41" t="inlineStr">
        <is>
          <t>(blank)</t>
        </is>
      </c>
      <c r="CR41" t="inlineStr">
        <is>
          <t>(blank)</t>
        </is>
      </c>
      <c r="CU41" t="inlineStr">
        <is>
          <t>(blank)</t>
        </is>
      </c>
      <c r="CX41" t="inlineStr">
        <is>
          <t>(blank)</t>
        </is>
      </c>
      <c r="DA41" t="inlineStr">
        <is>
          <t>(blank)</t>
        </is>
      </c>
    </row>
    <row r="42">
      <c r="A42">
        <f>IF(INDEX('Final Calculation Sheet'!$G$4:$G$40,ROW()-40)="","",INDEX('Final Calculation Sheet'!$G$4:$G$40,ROW()-40))</f>
        <v/>
      </c>
      <c r="B42">
        <f>B41+IF(AND(A42&lt;&gt;"",COUNTIF(A$4:A42,A42)=1),1,0)</f>
        <v/>
      </c>
      <c r="C42">
        <f>IF(ROW()-3&gt;MAX(B$4:B$114),"",INDEX(A$4:A$114,MATCH(ROW()-3,B$4:B$114,0)))</f>
        <v/>
      </c>
      <c r="I42" t="inlineStr">
        <is>
          <t>(nonblank)</t>
        </is>
      </c>
      <c r="L42" t="inlineStr">
        <is>
          <t>(nonblank)</t>
        </is>
      </c>
      <c r="O42" t="inlineStr">
        <is>
          <t>(nonblank)</t>
        </is>
      </c>
      <c r="R42" t="inlineStr">
        <is>
          <t>(nonblank)</t>
        </is>
      </c>
      <c r="U42" t="inlineStr">
        <is>
          <t>(nonblank)</t>
        </is>
      </c>
      <c r="X42" t="inlineStr">
        <is>
          <t>(nonblank)</t>
        </is>
      </c>
      <c r="AA42" t="inlineStr">
        <is>
          <t>(nonblank)</t>
        </is>
      </c>
      <c r="AD42" t="inlineStr">
        <is>
          <t>(nonblank)</t>
        </is>
      </c>
      <c r="AG42" t="inlineStr">
        <is>
          <t>(nonblank)</t>
        </is>
      </c>
      <c r="AJ42" t="inlineStr">
        <is>
          <t>(nonblank)</t>
        </is>
      </c>
      <c r="AM42" t="inlineStr">
        <is>
          <t>(nonblank)</t>
        </is>
      </c>
      <c r="AP42" t="inlineStr">
        <is>
          <t>(nonblank)</t>
        </is>
      </c>
      <c r="AS42" t="inlineStr">
        <is>
          <t>(nonblank)</t>
        </is>
      </c>
      <c r="AV42" t="inlineStr">
        <is>
          <t>(nonblank)</t>
        </is>
      </c>
      <c r="AY42" t="inlineStr">
        <is>
          <t>(nonblank)</t>
        </is>
      </c>
      <c r="BB42" t="inlineStr">
        <is>
          <t>(nonblank)</t>
        </is>
      </c>
      <c r="BE42" t="inlineStr">
        <is>
          <t>(nonblank)</t>
        </is>
      </c>
      <c r="BH42" t="inlineStr">
        <is>
          <t>(nonblank)</t>
        </is>
      </c>
      <c r="BK42" t="inlineStr">
        <is>
          <t>(nonblank)</t>
        </is>
      </c>
      <c r="BN42" t="inlineStr">
        <is>
          <t>(nonblank)</t>
        </is>
      </c>
      <c r="BQ42" t="inlineStr">
        <is>
          <t>(nonblank)</t>
        </is>
      </c>
      <c r="BT42" t="inlineStr">
        <is>
          <t>(nonblank)</t>
        </is>
      </c>
      <c r="BW42" t="inlineStr">
        <is>
          <t>(nonblank)</t>
        </is>
      </c>
      <c r="BZ42" t="inlineStr">
        <is>
          <t>(nonblank)</t>
        </is>
      </c>
      <c r="CC42" t="inlineStr">
        <is>
          <t>(nonblank)</t>
        </is>
      </c>
      <c r="CF42" t="inlineStr">
        <is>
          <t>(nonblank)</t>
        </is>
      </c>
      <c r="CI42" t="inlineStr">
        <is>
          <t>(nonblank)</t>
        </is>
      </c>
      <c r="CL42" t="inlineStr">
        <is>
          <t>(nonblank)</t>
        </is>
      </c>
      <c r="CO42" t="inlineStr">
        <is>
          <t>(nonblank)</t>
        </is>
      </c>
      <c r="CR42" t="inlineStr">
        <is>
          <t>(nonblank)</t>
        </is>
      </c>
      <c r="CU42" t="inlineStr">
        <is>
          <t>(nonblank)</t>
        </is>
      </c>
      <c r="CX42" t="inlineStr">
        <is>
          <t>(nonblank)</t>
        </is>
      </c>
      <c r="DA42" t="inlineStr">
        <is>
          <t>(nonblank)</t>
        </is>
      </c>
    </row>
    <row r="43">
      <c r="A43">
        <f>IF(INDEX('Final Calculation Sheet'!$G$4:$G$40,ROW()-40)="","",INDEX('Final Calculation Sheet'!$G$4:$G$40,ROW()-40))</f>
        <v/>
      </c>
      <c r="B43">
        <f>B42+IF(AND(A43&lt;&gt;"",COUNTIF(A$4:A43,A43)=1),1,0)</f>
        <v/>
      </c>
      <c r="C43">
        <f>IF(ROW()-3&gt;MAX(B$4:B$114),"",INDEX(A$4:A$114,MATCH(ROW()-3,B$4:B$114,0)))</f>
        <v/>
      </c>
    </row>
    <row r="44">
      <c r="A44">
        <f>IF(INDEX('Final Calculation Sheet'!$G$4:$G$40,ROW()-40)="","",INDEX('Final Calculation Sheet'!$G$4:$G$40,ROW()-40))</f>
        <v/>
      </c>
      <c r="B44">
        <f>B43+IF(AND(A44&lt;&gt;"",COUNTIF(A$4:A44,A44)=1),1,0)</f>
        <v/>
      </c>
      <c r="C44">
        <f>IF(ROW()-3&gt;MAX(B$4:B$114),"",INDEX(A$4:A$114,MATCH(ROW()-3,B$4:B$114,0)))</f>
        <v/>
      </c>
    </row>
    <row r="45">
      <c r="A45">
        <f>IF(INDEX('Final Calculation Sheet'!$G$4:$G$40,ROW()-40)="","",INDEX('Final Calculation Sheet'!$G$4:$G$40,ROW()-40))</f>
        <v/>
      </c>
      <c r="B45">
        <f>B44+IF(AND(A45&lt;&gt;"",COUNTIF(A$4:A45,A45)=1),1,0)</f>
        <v/>
      </c>
      <c r="C45">
        <f>IF(ROW()-3&gt;MAX(B$4:B$114),"",INDEX(A$4:A$114,MATCH(ROW()-3,B$4:B$114,0)))</f>
        <v/>
      </c>
    </row>
    <row r="46">
      <c r="A46">
        <f>IF(INDEX('Final Calculation Sheet'!$G$4:$G$40,ROW()-40)="","",INDEX('Final Calculation Sheet'!$G$4:$G$40,ROW()-40))</f>
        <v/>
      </c>
      <c r="B46">
        <f>B45+IF(AND(A46&lt;&gt;"",COUNTIF(A$4:A46,A46)=1),1,0)</f>
        <v/>
      </c>
      <c r="C46">
        <f>IF(ROW()-3&gt;MAX(B$4:B$114),"",INDEX(A$4:A$114,MATCH(ROW()-3,B$4:B$114,0)))</f>
        <v/>
      </c>
    </row>
    <row r="47">
      <c r="A47">
        <f>IF(INDEX('Final Calculation Sheet'!$G$4:$G$40,ROW()-40)="","",INDEX('Final Calculation Sheet'!$G$4:$G$40,ROW()-40))</f>
        <v/>
      </c>
      <c r="B47">
        <f>B46+IF(AND(A47&lt;&gt;"",COUNTIF(A$4:A47,A47)=1),1,0)</f>
        <v/>
      </c>
      <c r="C47">
        <f>IF(ROW()-3&gt;MAX(B$4:B$114),"",INDEX(A$4:A$114,MATCH(ROW()-3,B$4:B$114,0)))</f>
        <v/>
      </c>
    </row>
    <row r="48">
      <c r="A48">
        <f>IF(INDEX('Final Calculation Sheet'!$G$4:$G$40,ROW()-40)="","",INDEX('Final Calculation Sheet'!$G$4:$G$40,ROW()-40))</f>
        <v/>
      </c>
      <c r="B48">
        <f>B47+IF(AND(A48&lt;&gt;"",COUNTIF(A$4:A48,A48)=1),1,0)</f>
        <v/>
      </c>
      <c r="C48">
        <f>IF(ROW()-3&gt;MAX(B$4:B$114),"",INDEX(A$4:A$114,MATCH(ROW()-3,B$4:B$114,0)))</f>
        <v/>
      </c>
    </row>
    <row r="49">
      <c r="A49">
        <f>IF(INDEX('Final Calculation Sheet'!$G$4:$G$40,ROW()-40)="","",INDEX('Final Calculation Sheet'!$G$4:$G$40,ROW()-40))</f>
        <v/>
      </c>
      <c r="B49">
        <f>B48+IF(AND(A49&lt;&gt;"",COUNTIF(A$4:A49,A49)=1),1,0)</f>
        <v/>
      </c>
      <c r="C49">
        <f>IF(ROW()-3&gt;MAX(B$4:B$114),"",INDEX(A$4:A$114,MATCH(ROW()-3,B$4:B$114,0)))</f>
        <v/>
      </c>
    </row>
    <row r="50">
      <c r="A50">
        <f>IF(INDEX('Final Calculation Sheet'!$G$4:$G$40,ROW()-40)="","",INDEX('Final Calculation Sheet'!$G$4:$G$40,ROW()-40))</f>
        <v/>
      </c>
      <c r="B50">
        <f>B49+IF(AND(A50&lt;&gt;"",COUNTIF(A$4:A50,A50)=1),1,0)</f>
        <v/>
      </c>
      <c r="C50">
        <f>IF(ROW()-3&gt;MAX(B$4:B$114),"",INDEX(A$4:A$114,MATCH(ROW()-3,B$4:B$114,0)))</f>
        <v/>
      </c>
    </row>
    <row r="51">
      <c r="A51">
        <f>IF(INDEX('Final Calculation Sheet'!$G$4:$G$40,ROW()-40)="","",INDEX('Final Calculation Sheet'!$G$4:$G$40,ROW()-40))</f>
        <v/>
      </c>
      <c r="B51">
        <f>B50+IF(AND(A51&lt;&gt;"",COUNTIF(A$4:A51,A51)=1),1,0)</f>
        <v/>
      </c>
      <c r="C51">
        <f>IF(ROW()-3&gt;MAX(B$4:B$114),"",INDEX(A$4:A$114,MATCH(ROW()-3,B$4:B$114,0)))</f>
        <v/>
      </c>
    </row>
    <row r="52">
      <c r="A52">
        <f>IF(INDEX('Final Calculation Sheet'!$G$4:$G$40,ROW()-40)="","",INDEX('Final Calculation Sheet'!$G$4:$G$40,ROW()-40))</f>
        <v/>
      </c>
      <c r="B52">
        <f>B51+IF(AND(A52&lt;&gt;"",COUNTIF(A$4:A52,A52)=1),1,0)</f>
        <v/>
      </c>
      <c r="C52">
        <f>IF(ROW()-3&gt;MAX(B$4:B$114),"",INDEX(A$4:A$114,MATCH(ROW()-3,B$4:B$114,0)))</f>
        <v/>
      </c>
    </row>
    <row r="53">
      <c r="A53">
        <f>IF(INDEX('Final Calculation Sheet'!$G$4:$G$40,ROW()-40)="","",INDEX('Final Calculation Sheet'!$G$4:$G$40,ROW()-40))</f>
        <v/>
      </c>
      <c r="B53">
        <f>B52+IF(AND(A53&lt;&gt;"",COUNTIF(A$4:A53,A53)=1),1,0)</f>
        <v/>
      </c>
      <c r="C53">
        <f>IF(ROW()-3&gt;MAX(B$4:B$114),"",INDEX(A$4:A$114,MATCH(ROW()-3,B$4:B$114,0)))</f>
        <v/>
      </c>
    </row>
    <row r="54">
      <c r="A54">
        <f>IF(INDEX('Final Calculation Sheet'!$G$4:$G$40,ROW()-40)="","",INDEX('Final Calculation Sheet'!$G$4:$G$40,ROW()-40))</f>
        <v/>
      </c>
      <c r="B54">
        <f>B53+IF(AND(A54&lt;&gt;"",COUNTIF(A$4:A54,A54)=1),1,0)</f>
        <v/>
      </c>
      <c r="C54">
        <f>IF(ROW()-3&gt;MAX(B$4:B$114),"",INDEX(A$4:A$114,MATCH(ROW()-3,B$4:B$114,0)))</f>
        <v/>
      </c>
    </row>
    <row r="55">
      <c r="A55">
        <f>IF(INDEX('Final Calculation Sheet'!$G$4:$G$40,ROW()-40)="","",INDEX('Final Calculation Sheet'!$G$4:$G$40,ROW()-40))</f>
        <v/>
      </c>
      <c r="B55">
        <f>B54+IF(AND(A55&lt;&gt;"",COUNTIF(A$4:A55,A55)=1),1,0)</f>
        <v/>
      </c>
      <c r="C55">
        <f>IF(ROW()-3&gt;MAX(B$4:B$114),"",INDEX(A$4:A$114,MATCH(ROW()-3,B$4:B$114,0)))</f>
        <v/>
      </c>
    </row>
    <row r="56">
      <c r="A56">
        <f>IF(INDEX('Final Calculation Sheet'!$G$4:$G$40,ROW()-40)="","",INDEX('Final Calculation Sheet'!$G$4:$G$40,ROW()-40))</f>
        <v/>
      </c>
      <c r="B56">
        <f>B55+IF(AND(A56&lt;&gt;"",COUNTIF(A$4:A56,A56)=1),1,0)</f>
        <v/>
      </c>
      <c r="C56">
        <f>IF(ROW()-3&gt;MAX(B$4:B$114),"",INDEX(A$4:A$114,MATCH(ROW()-3,B$4:B$114,0)))</f>
        <v/>
      </c>
    </row>
    <row r="57">
      <c r="A57">
        <f>IF(INDEX('Final Calculation Sheet'!$G$4:$G$40,ROW()-40)="","",INDEX('Final Calculation Sheet'!$G$4:$G$40,ROW()-40))</f>
        <v/>
      </c>
      <c r="B57">
        <f>B56+IF(AND(A57&lt;&gt;"",COUNTIF(A$4:A57,A57)=1),1,0)</f>
        <v/>
      </c>
      <c r="C57">
        <f>IF(ROW()-3&gt;MAX(B$4:B$114),"",INDEX(A$4:A$114,MATCH(ROW()-3,B$4:B$114,0)))</f>
        <v/>
      </c>
    </row>
    <row r="58">
      <c r="A58">
        <f>IF(INDEX('Final Calculation Sheet'!$G$4:$G$40,ROW()-40)="","",INDEX('Final Calculation Sheet'!$G$4:$G$40,ROW()-40))</f>
        <v/>
      </c>
      <c r="B58">
        <f>B57+IF(AND(A58&lt;&gt;"",COUNTIF(A$4:A58,A58)=1),1,0)</f>
        <v/>
      </c>
      <c r="C58">
        <f>IF(ROW()-3&gt;MAX(B$4:B$114),"",INDEX(A$4:A$114,MATCH(ROW()-3,B$4:B$114,0)))</f>
        <v/>
      </c>
    </row>
    <row r="59">
      <c r="A59">
        <f>IF(INDEX('Final Calculation Sheet'!$G$4:$G$40,ROW()-40)="","",INDEX('Final Calculation Sheet'!$G$4:$G$40,ROW()-40))</f>
        <v/>
      </c>
      <c r="B59">
        <f>B58+IF(AND(A59&lt;&gt;"",COUNTIF(A$4:A59,A59)=1),1,0)</f>
        <v/>
      </c>
      <c r="C59">
        <f>IF(ROW()-3&gt;MAX(B$4:B$114),"",INDEX(A$4:A$114,MATCH(ROW()-3,B$4:B$114,0)))</f>
        <v/>
      </c>
    </row>
    <row r="60">
      <c r="A60">
        <f>IF(INDEX('Final Calculation Sheet'!$G$4:$G$40,ROW()-40)="","",INDEX('Final Calculation Sheet'!$G$4:$G$40,ROW()-40))</f>
        <v/>
      </c>
      <c r="B60">
        <f>B59+IF(AND(A60&lt;&gt;"",COUNTIF(A$4:A60,A60)=1),1,0)</f>
        <v/>
      </c>
      <c r="C60">
        <f>IF(ROW()-3&gt;MAX(B$4:B$114),"",INDEX(A$4:A$114,MATCH(ROW()-3,B$4:B$114,0)))</f>
        <v/>
      </c>
    </row>
    <row r="61">
      <c r="A61">
        <f>IF(INDEX('Final Calculation Sheet'!$G$4:$G$40,ROW()-40)="","",INDEX('Final Calculation Sheet'!$G$4:$G$40,ROW()-40))</f>
        <v/>
      </c>
      <c r="B61">
        <f>B60+IF(AND(A61&lt;&gt;"",COUNTIF(A$4:A61,A61)=1),1,0)</f>
        <v/>
      </c>
      <c r="C61">
        <f>IF(ROW()-3&gt;MAX(B$4:B$114),"",INDEX(A$4:A$114,MATCH(ROW()-3,B$4:B$114,0)))</f>
        <v/>
      </c>
    </row>
    <row r="62">
      <c r="A62">
        <f>IF(INDEX('Final Calculation Sheet'!$G$4:$G$40,ROW()-40)="","",INDEX('Final Calculation Sheet'!$G$4:$G$40,ROW()-40))</f>
        <v/>
      </c>
      <c r="B62">
        <f>B61+IF(AND(A62&lt;&gt;"",COUNTIF(A$4:A62,A62)=1),1,0)</f>
        <v/>
      </c>
      <c r="C62">
        <f>IF(ROW()-3&gt;MAX(B$4:B$114),"",INDEX(A$4:A$114,MATCH(ROW()-3,B$4:B$114,0)))</f>
        <v/>
      </c>
    </row>
    <row r="63">
      <c r="A63">
        <f>IF(INDEX('Final Calculation Sheet'!$G$4:$G$40,ROW()-40)="","",INDEX('Final Calculation Sheet'!$G$4:$G$40,ROW()-40))</f>
        <v/>
      </c>
      <c r="B63">
        <f>B62+IF(AND(A63&lt;&gt;"",COUNTIF(A$4:A63,A63)=1),1,0)</f>
        <v/>
      </c>
      <c r="C63">
        <f>IF(ROW()-3&gt;MAX(B$4:B$114),"",INDEX(A$4:A$114,MATCH(ROW()-3,B$4:B$114,0)))</f>
        <v/>
      </c>
    </row>
    <row r="64">
      <c r="A64">
        <f>IF(INDEX('Final Calculation Sheet'!$G$4:$G$40,ROW()-40)="","",INDEX('Final Calculation Sheet'!$G$4:$G$40,ROW()-40))</f>
        <v/>
      </c>
      <c r="B64">
        <f>B63+IF(AND(A64&lt;&gt;"",COUNTIF(A$4:A64,A64)=1),1,0)</f>
        <v/>
      </c>
      <c r="C64">
        <f>IF(ROW()-3&gt;MAX(B$4:B$114),"",INDEX(A$4:A$114,MATCH(ROW()-3,B$4:B$114,0)))</f>
        <v/>
      </c>
    </row>
    <row r="65">
      <c r="A65">
        <f>IF(INDEX('Final Calculation Sheet'!$G$4:$G$40,ROW()-40)="","",INDEX('Final Calculation Sheet'!$G$4:$G$40,ROW()-40))</f>
        <v/>
      </c>
      <c r="B65">
        <f>B64+IF(AND(A65&lt;&gt;"",COUNTIF(A$4:A65,A65)=1),1,0)</f>
        <v/>
      </c>
      <c r="C65">
        <f>IF(ROW()-3&gt;MAX(B$4:B$114),"",INDEX(A$4:A$114,MATCH(ROW()-3,B$4:B$114,0)))</f>
        <v/>
      </c>
    </row>
    <row r="66">
      <c r="A66">
        <f>IF(INDEX('Final Calculation Sheet'!$G$4:$G$40,ROW()-40)="","",INDEX('Final Calculation Sheet'!$G$4:$G$40,ROW()-40))</f>
        <v/>
      </c>
      <c r="B66">
        <f>B65+IF(AND(A66&lt;&gt;"",COUNTIF(A$4:A66,A66)=1),1,0)</f>
        <v/>
      </c>
      <c r="C66">
        <f>IF(ROW()-3&gt;MAX(B$4:B$114),"",INDEX(A$4:A$114,MATCH(ROW()-3,B$4:B$114,0)))</f>
        <v/>
      </c>
    </row>
    <row r="67">
      <c r="A67">
        <f>IF(INDEX('Final Calculation Sheet'!$G$4:$G$40,ROW()-40)="","",INDEX('Final Calculation Sheet'!$G$4:$G$40,ROW()-40))</f>
        <v/>
      </c>
      <c r="B67">
        <f>B66+IF(AND(A67&lt;&gt;"",COUNTIF(A$4:A67,A67)=1),1,0)</f>
        <v/>
      </c>
      <c r="C67">
        <f>IF(ROW()-3&gt;MAX(B$4:B$114),"",INDEX(A$4:A$114,MATCH(ROW()-3,B$4:B$114,0)))</f>
        <v/>
      </c>
    </row>
    <row r="68">
      <c r="A68">
        <f>IF(INDEX('Final Calculation Sheet'!$G$4:$G$40,ROW()-40)="","",INDEX('Final Calculation Sheet'!$G$4:$G$40,ROW()-40))</f>
        <v/>
      </c>
      <c r="B68">
        <f>B67+IF(AND(A68&lt;&gt;"",COUNTIF(A$4:A68,A68)=1),1,0)</f>
        <v/>
      </c>
      <c r="C68">
        <f>IF(ROW()-3&gt;MAX(B$4:B$114),"",INDEX(A$4:A$114,MATCH(ROW()-3,B$4:B$114,0)))</f>
        <v/>
      </c>
    </row>
    <row r="69">
      <c r="A69">
        <f>IF(INDEX('Final Calculation Sheet'!$G$4:$G$40,ROW()-40)="","",INDEX('Final Calculation Sheet'!$G$4:$G$40,ROW()-40))</f>
        <v/>
      </c>
      <c r="B69">
        <f>B68+IF(AND(A69&lt;&gt;"",COUNTIF(A$4:A69,A69)=1),1,0)</f>
        <v/>
      </c>
      <c r="C69">
        <f>IF(ROW()-3&gt;MAX(B$4:B$114),"",INDEX(A$4:A$114,MATCH(ROW()-3,B$4:B$114,0)))</f>
        <v/>
      </c>
    </row>
    <row r="70">
      <c r="A70">
        <f>IF(INDEX('Final Calculation Sheet'!$G$4:$G$40,ROW()-40)="","",INDEX('Final Calculation Sheet'!$G$4:$G$40,ROW()-40))</f>
        <v/>
      </c>
      <c r="B70">
        <f>B69+IF(AND(A70&lt;&gt;"",COUNTIF(A$4:A70,A70)=1),1,0)</f>
        <v/>
      </c>
      <c r="C70">
        <f>IF(ROW()-3&gt;MAX(B$4:B$114),"",INDEX(A$4:A$114,MATCH(ROW()-3,B$4:B$114,0)))</f>
        <v/>
      </c>
    </row>
    <row r="71">
      <c r="A71">
        <f>IF(INDEX('Final Calculation Sheet'!$G$4:$G$40,ROW()-40)="","",INDEX('Final Calculation Sheet'!$G$4:$G$40,ROW()-40))</f>
        <v/>
      </c>
      <c r="B71">
        <f>B70+IF(AND(A71&lt;&gt;"",COUNTIF(A$4:A71,A71)=1),1,0)</f>
        <v/>
      </c>
      <c r="C71">
        <f>IF(ROW()-3&gt;MAX(B$4:B$114),"",INDEX(A$4:A$114,MATCH(ROW()-3,B$4:B$114,0)))</f>
        <v/>
      </c>
    </row>
    <row r="72">
      <c r="A72">
        <f>IF(INDEX('Final Calculation Sheet'!$G$4:$G$40,ROW()-40)="","",INDEX('Final Calculation Sheet'!$G$4:$G$40,ROW()-40))</f>
        <v/>
      </c>
      <c r="B72">
        <f>B71+IF(AND(A72&lt;&gt;"",COUNTIF(A$4:A72,A72)=1),1,0)</f>
        <v/>
      </c>
      <c r="C72">
        <f>IF(ROW()-3&gt;MAX(B$4:B$114),"",INDEX(A$4:A$114,MATCH(ROW()-3,B$4:B$114,0)))</f>
        <v/>
      </c>
    </row>
    <row r="73">
      <c r="A73">
        <f>IF(INDEX('Final Calculation Sheet'!$G$4:$G$40,ROW()-40)="","",INDEX('Final Calculation Sheet'!$G$4:$G$40,ROW()-40))</f>
        <v/>
      </c>
      <c r="B73">
        <f>B72+IF(AND(A73&lt;&gt;"",COUNTIF(A$4:A73,A73)=1),1,0)</f>
        <v/>
      </c>
      <c r="C73">
        <f>IF(ROW()-3&gt;MAX(B$4:B$114),"",INDEX(A$4:A$114,MATCH(ROW()-3,B$4:B$114,0)))</f>
        <v/>
      </c>
    </row>
    <row r="74">
      <c r="A74">
        <f>IF(INDEX('Final Calculation Sheet'!$G$4:$G$40,ROW()-40)="","",INDEX('Final Calculation Sheet'!$G$4:$G$40,ROW()-40))</f>
        <v/>
      </c>
      <c r="B74">
        <f>B73+IF(AND(A74&lt;&gt;"",COUNTIF(A$4:A74,A74)=1),1,0)</f>
        <v/>
      </c>
      <c r="C74">
        <f>IF(ROW()-3&gt;MAX(B$4:B$114),"",INDEX(A$4:A$114,MATCH(ROW()-3,B$4:B$114,0)))</f>
        <v/>
      </c>
    </row>
    <row r="75">
      <c r="A75">
        <f>IF(INDEX('Final Calculation Sheet'!$G$4:$G$40,ROW()-40)="","",INDEX('Final Calculation Sheet'!$G$4:$G$40,ROW()-40))</f>
        <v/>
      </c>
      <c r="B75">
        <f>B74+IF(AND(A75&lt;&gt;"",COUNTIF(A$4:A75,A75)=1),1,0)</f>
        <v/>
      </c>
      <c r="C75">
        <f>IF(ROW()-3&gt;MAX(B$4:B$114),"",INDEX(A$4:A$114,MATCH(ROW()-3,B$4:B$114,0)))</f>
        <v/>
      </c>
    </row>
    <row r="76">
      <c r="A76">
        <f>IF(INDEX('Final Calculation Sheet'!$G$4:$G$40,ROW()-40)="","",INDEX('Final Calculation Sheet'!$G$4:$G$40,ROW()-40))</f>
        <v/>
      </c>
      <c r="B76">
        <f>B75+IF(AND(A76&lt;&gt;"",COUNTIF(A$4:A76,A76)=1),1,0)</f>
        <v/>
      </c>
      <c r="C76">
        <f>IF(ROW()-3&gt;MAX(B$4:B$114),"",INDEX(A$4:A$114,MATCH(ROW()-3,B$4:B$114,0)))</f>
        <v/>
      </c>
    </row>
    <row r="77">
      <c r="A77">
        <f>IF(INDEX('Final Calculation Sheet'!$G$4:$G$40,ROW()-40)="","",INDEX('Final Calculation Sheet'!$G$4:$G$40,ROW()-40))</f>
        <v/>
      </c>
      <c r="B77">
        <f>B76+IF(AND(A77&lt;&gt;"",COUNTIF(A$4:A77,A77)=1),1,0)</f>
        <v/>
      </c>
      <c r="C77">
        <f>IF(ROW()-3&gt;MAX(B$4:B$114),"",INDEX(A$4:A$114,MATCH(ROW()-3,B$4:B$114,0)))</f>
        <v/>
      </c>
    </row>
    <row r="78">
      <c r="A78">
        <f>IF(INDEX('Final Calculation Sheet'!$B$4:$B$40,ROW()-77)="","",INDEX('Final Calculation Sheet'!$B$4:$B$40,ROW()-77))</f>
        <v/>
      </c>
      <c r="B78">
        <f>B77+IF(AND(A78&lt;&gt;"",COUNTIF(A$4:A78,A78)=1),1,0)</f>
        <v/>
      </c>
      <c r="C78">
        <f>IF(ROW()-3&gt;MAX(B$4:B$114),"",INDEX(A$4:A$114,MATCH(ROW()-3,B$4:B$114,0)))</f>
        <v/>
      </c>
    </row>
    <row r="79">
      <c r="A79">
        <f>IF(INDEX('Final Calculation Sheet'!$B$4:$B$40,ROW()-77)="","",INDEX('Final Calculation Sheet'!$B$4:$B$40,ROW()-77))</f>
        <v/>
      </c>
      <c r="B79">
        <f>B78+IF(AND(A79&lt;&gt;"",COUNTIF(A$4:A79,A79)=1),1,0)</f>
        <v/>
      </c>
      <c r="C79">
        <f>IF(ROW()-3&gt;MAX(B$4:B$114),"",INDEX(A$4:A$114,MATCH(ROW()-3,B$4:B$114,0)))</f>
        <v/>
      </c>
    </row>
    <row r="80">
      <c r="A80">
        <f>IF(INDEX('Final Calculation Sheet'!$B$4:$B$40,ROW()-77)="","",INDEX('Final Calculation Sheet'!$B$4:$B$40,ROW()-77))</f>
        <v/>
      </c>
      <c r="B80">
        <f>B79+IF(AND(A80&lt;&gt;"",COUNTIF(A$4:A80,A80)=1),1,0)</f>
        <v/>
      </c>
      <c r="C80">
        <f>IF(ROW()-3&gt;MAX(B$4:B$114),"",INDEX(A$4:A$114,MATCH(ROW()-3,B$4:B$114,0)))</f>
        <v/>
      </c>
    </row>
    <row r="81">
      <c r="A81">
        <f>IF(INDEX('Final Calculation Sheet'!$B$4:$B$40,ROW()-77)="","",INDEX('Final Calculation Sheet'!$B$4:$B$40,ROW()-77))</f>
        <v/>
      </c>
      <c r="B81">
        <f>B80+IF(AND(A81&lt;&gt;"",COUNTIF(A$4:A81,A81)=1),1,0)</f>
        <v/>
      </c>
      <c r="C81">
        <f>IF(ROW()-3&gt;MAX(B$4:B$114),"",INDEX(A$4:A$114,MATCH(ROW()-3,B$4:B$114,0)))</f>
        <v/>
      </c>
    </row>
    <row r="82">
      <c r="A82">
        <f>IF(INDEX('Final Calculation Sheet'!$B$4:$B$40,ROW()-77)="","",INDEX('Final Calculation Sheet'!$B$4:$B$40,ROW()-77))</f>
        <v/>
      </c>
      <c r="B82">
        <f>B81+IF(AND(A82&lt;&gt;"",COUNTIF(A$4:A82,A82)=1),1,0)</f>
        <v/>
      </c>
      <c r="C82">
        <f>IF(ROW()-3&gt;MAX(B$4:B$114),"",INDEX(A$4:A$114,MATCH(ROW()-3,B$4:B$114,0)))</f>
        <v/>
      </c>
    </row>
    <row r="83">
      <c r="A83">
        <f>IF(INDEX('Final Calculation Sheet'!$B$4:$B$40,ROW()-77)="","",INDEX('Final Calculation Sheet'!$B$4:$B$40,ROW()-77))</f>
        <v/>
      </c>
      <c r="B83">
        <f>B82+IF(AND(A83&lt;&gt;"",COUNTIF(A$4:A83,A83)=1),1,0)</f>
        <v/>
      </c>
      <c r="C83">
        <f>IF(ROW()-3&gt;MAX(B$4:B$114),"",INDEX(A$4:A$114,MATCH(ROW()-3,B$4:B$114,0)))</f>
        <v/>
      </c>
    </row>
    <row r="84">
      <c r="A84">
        <f>IF(INDEX('Final Calculation Sheet'!$B$4:$B$40,ROW()-77)="","",INDEX('Final Calculation Sheet'!$B$4:$B$40,ROW()-77))</f>
        <v/>
      </c>
      <c r="B84">
        <f>B83+IF(AND(A84&lt;&gt;"",COUNTIF(A$4:A84,A84)=1),1,0)</f>
        <v/>
      </c>
      <c r="C84">
        <f>IF(ROW()-3&gt;MAX(B$4:B$114),"",INDEX(A$4:A$114,MATCH(ROW()-3,B$4:B$114,0)))</f>
        <v/>
      </c>
    </row>
    <row r="85">
      <c r="A85">
        <f>IF(INDEX('Final Calculation Sheet'!$B$4:$B$40,ROW()-77)="","",INDEX('Final Calculation Sheet'!$B$4:$B$40,ROW()-77))</f>
        <v/>
      </c>
      <c r="B85">
        <f>B84+IF(AND(A85&lt;&gt;"",COUNTIF(A$4:A85,A85)=1),1,0)</f>
        <v/>
      </c>
      <c r="C85">
        <f>IF(ROW()-3&gt;MAX(B$4:B$114),"",INDEX(A$4:A$114,MATCH(ROW()-3,B$4:B$114,0)))</f>
        <v/>
      </c>
    </row>
    <row r="86">
      <c r="A86">
        <f>IF(INDEX('Final Calculation Sheet'!$B$4:$B$40,ROW()-77)="","",INDEX('Final Calculation Sheet'!$B$4:$B$40,ROW()-77))</f>
        <v/>
      </c>
      <c r="B86">
        <f>B85+IF(AND(A86&lt;&gt;"",COUNTIF(A$4:A86,A86)=1),1,0)</f>
        <v/>
      </c>
      <c r="C86">
        <f>IF(ROW()-3&gt;MAX(B$4:B$114),"",INDEX(A$4:A$114,MATCH(ROW()-3,B$4:B$114,0)))</f>
        <v/>
      </c>
    </row>
    <row r="87">
      <c r="A87">
        <f>IF(INDEX('Final Calculation Sheet'!$B$4:$B$40,ROW()-77)="","",INDEX('Final Calculation Sheet'!$B$4:$B$40,ROW()-77))</f>
        <v/>
      </c>
      <c r="B87">
        <f>B86+IF(AND(A87&lt;&gt;"",COUNTIF(A$4:A87,A87)=1),1,0)</f>
        <v/>
      </c>
      <c r="C87">
        <f>IF(ROW()-3&gt;MAX(B$4:B$114),"",INDEX(A$4:A$114,MATCH(ROW()-3,B$4:B$114,0)))</f>
        <v/>
      </c>
    </row>
    <row r="88">
      <c r="A88">
        <f>IF(INDEX('Final Calculation Sheet'!$B$4:$B$40,ROW()-77)="","",INDEX('Final Calculation Sheet'!$B$4:$B$40,ROW()-77))</f>
        <v/>
      </c>
      <c r="B88">
        <f>B87+IF(AND(A88&lt;&gt;"",COUNTIF(A$4:A88,A88)=1),1,0)</f>
        <v/>
      </c>
      <c r="C88">
        <f>IF(ROW()-3&gt;MAX(B$4:B$114),"",INDEX(A$4:A$114,MATCH(ROW()-3,B$4:B$114,0)))</f>
        <v/>
      </c>
    </row>
    <row r="89">
      <c r="A89">
        <f>IF(INDEX('Final Calculation Sheet'!$B$4:$B$40,ROW()-77)="","",INDEX('Final Calculation Sheet'!$B$4:$B$40,ROW()-77))</f>
        <v/>
      </c>
      <c r="B89">
        <f>B88+IF(AND(A89&lt;&gt;"",COUNTIF(A$4:A89,A89)=1),1,0)</f>
        <v/>
      </c>
      <c r="C89">
        <f>IF(ROW()-3&gt;MAX(B$4:B$114),"",INDEX(A$4:A$114,MATCH(ROW()-3,B$4:B$114,0)))</f>
        <v/>
      </c>
    </row>
    <row r="90">
      <c r="A90">
        <f>IF(INDEX('Final Calculation Sheet'!$B$4:$B$40,ROW()-77)="","",INDEX('Final Calculation Sheet'!$B$4:$B$40,ROW()-77))</f>
        <v/>
      </c>
      <c r="B90">
        <f>B89+IF(AND(A90&lt;&gt;"",COUNTIF(A$4:A90,A90)=1),1,0)</f>
        <v/>
      </c>
      <c r="C90">
        <f>IF(ROW()-3&gt;MAX(B$4:B$114),"",INDEX(A$4:A$114,MATCH(ROW()-3,B$4:B$114,0)))</f>
        <v/>
      </c>
    </row>
    <row r="91">
      <c r="A91">
        <f>IF(INDEX('Final Calculation Sheet'!$B$4:$B$40,ROW()-77)="","",INDEX('Final Calculation Sheet'!$B$4:$B$40,ROW()-77))</f>
        <v/>
      </c>
      <c r="B91">
        <f>B90+IF(AND(A91&lt;&gt;"",COUNTIF(A$4:A91,A91)=1),1,0)</f>
        <v/>
      </c>
      <c r="C91">
        <f>IF(ROW()-3&gt;MAX(B$4:B$114),"",INDEX(A$4:A$114,MATCH(ROW()-3,B$4:B$114,0)))</f>
        <v/>
      </c>
    </row>
    <row r="92">
      <c r="A92">
        <f>IF(INDEX('Final Calculation Sheet'!$B$4:$B$40,ROW()-77)="","",INDEX('Final Calculation Sheet'!$B$4:$B$40,ROW()-77))</f>
        <v/>
      </c>
      <c r="B92">
        <f>B91+IF(AND(A92&lt;&gt;"",COUNTIF(A$4:A92,A92)=1),1,0)</f>
        <v/>
      </c>
      <c r="C92">
        <f>IF(ROW()-3&gt;MAX(B$4:B$114),"",INDEX(A$4:A$114,MATCH(ROW()-3,B$4:B$114,0)))</f>
        <v/>
      </c>
    </row>
    <row r="93">
      <c r="A93">
        <f>IF(INDEX('Final Calculation Sheet'!$B$4:$B$40,ROW()-77)="","",INDEX('Final Calculation Sheet'!$B$4:$B$40,ROW()-77))</f>
        <v/>
      </c>
      <c r="B93">
        <f>B92+IF(AND(A93&lt;&gt;"",COUNTIF(A$4:A93,A93)=1),1,0)</f>
        <v/>
      </c>
      <c r="C93">
        <f>IF(ROW()-3&gt;MAX(B$4:B$114),"",INDEX(A$4:A$114,MATCH(ROW()-3,B$4:B$114,0)))</f>
        <v/>
      </c>
    </row>
    <row r="94">
      <c r="A94">
        <f>IF(INDEX('Final Calculation Sheet'!$B$4:$B$40,ROW()-77)="","",INDEX('Final Calculation Sheet'!$B$4:$B$40,ROW()-77))</f>
        <v/>
      </c>
      <c r="B94">
        <f>B93+IF(AND(A94&lt;&gt;"",COUNTIF(A$4:A94,A94)=1),1,0)</f>
        <v/>
      </c>
      <c r="C94">
        <f>IF(ROW()-3&gt;MAX(B$4:B$114),"",INDEX(A$4:A$114,MATCH(ROW()-3,B$4:B$114,0)))</f>
        <v/>
      </c>
    </row>
    <row r="95">
      <c r="A95">
        <f>IF(INDEX('Final Calculation Sheet'!$B$4:$B$40,ROW()-77)="","",INDEX('Final Calculation Sheet'!$B$4:$B$40,ROW()-77))</f>
        <v/>
      </c>
      <c r="B95">
        <f>B94+IF(AND(A95&lt;&gt;"",COUNTIF(A$4:A95,A95)=1),1,0)</f>
        <v/>
      </c>
      <c r="C95">
        <f>IF(ROW()-3&gt;MAX(B$4:B$114),"",INDEX(A$4:A$114,MATCH(ROW()-3,B$4:B$114,0)))</f>
        <v/>
      </c>
    </row>
    <row r="96">
      <c r="A96">
        <f>IF(INDEX('Final Calculation Sheet'!$B$4:$B$40,ROW()-77)="","",INDEX('Final Calculation Sheet'!$B$4:$B$40,ROW()-77))</f>
        <v/>
      </c>
      <c r="B96">
        <f>B95+IF(AND(A96&lt;&gt;"",COUNTIF(A$4:A96,A96)=1),1,0)</f>
        <v/>
      </c>
      <c r="C96">
        <f>IF(ROW()-3&gt;MAX(B$4:B$114),"",INDEX(A$4:A$114,MATCH(ROW()-3,B$4:B$114,0)))</f>
        <v/>
      </c>
    </row>
    <row r="97">
      <c r="A97">
        <f>IF(INDEX('Final Calculation Sheet'!$B$4:$B$40,ROW()-77)="","",INDEX('Final Calculation Sheet'!$B$4:$B$40,ROW()-77))</f>
        <v/>
      </c>
      <c r="B97">
        <f>B96+IF(AND(A97&lt;&gt;"",COUNTIF(A$4:A97,A97)=1),1,0)</f>
        <v/>
      </c>
      <c r="C97">
        <f>IF(ROW()-3&gt;MAX(B$4:B$114),"",INDEX(A$4:A$114,MATCH(ROW()-3,B$4:B$114,0)))</f>
        <v/>
      </c>
    </row>
    <row r="98">
      <c r="A98">
        <f>IF(INDEX('Final Calculation Sheet'!$B$4:$B$40,ROW()-77)="","",INDEX('Final Calculation Sheet'!$B$4:$B$40,ROW()-77))</f>
        <v/>
      </c>
      <c r="B98">
        <f>B97+IF(AND(A98&lt;&gt;"",COUNTIF(A$4:A98,A98)=1),1,0)</f>
        <v/>
      </c>
      <c r="C98">
        <f>IF(ROW()-3&gt;MAX(B$4:B$114),"",INDEX(A$4:A$114,MATCH(ROW()-3,B$4:B$114,0)))</f>
        <v/>
      </c>
    </row>
    <row r="99">
      <c r="A99">
        <f>IF(INDEX('Final Calculation Sheet'!$B$4:$B$40,ROW()-77)="","",INDEX('Final Calculation Sheet'!$B$4:$B$40,ROW()-77))</f>
        <v/>
      </c>
      <c r="B99">
        <f>B98+IF(AND(A99&lt;&gt;"",COUNTIF(A$4:A99,A99)=1),1,0)</f>
        <v/>
      </c>
      <c r="C99">
        <f>IF(ROW()-3&gt;MAX(B$4:B$114),"",INDEX(A$4:A$114,MATCH(ROW()-3,B$4:B$114,0)))</f>
        <v/>
      </c>
    </row>
    <row r="100">
      <c r="A100">
        <f>IF(INDEX('Final Calculation Sheet'!$B$4:$B$40,ROW()-77)="","",INDEX('Final Calculation Sheet'!$B$4:$B$40,ROW()-77))</f>
        <v/>
      </c>
      <c r="B100">
        <f>B99+IF(AND(A100&lt;&gt;"",COUNTIF(A$4:A100,A100)=1),1,0)</f>
        <v/>
      </c>
      <c r="C100">
        <f>IF(ROW()-3&gt;MAX(B$4:B$114),"",INDEX(A$4:A$114,MATCH(ROW()-3,B$4:B$114,0)))</f>
        <v/>
      </c>
    </row>
    <row r="101">
      <c r="A101">
        <f>IF(INDEX('Final Calculation Sheet'!$B$4:$B$40,ROW()-77)="","",INDEX('Final Calculation Sheet'!$B$4:$B$40,ROW()-77))</f>
        <v/>
      </c>
      <c r="B101">
        <f>B100+IF(AND(A101&lt;&gt;"",COUNTIF(A$4:A101,A101)=1),1,0)</f>
        <v/>
      </c>
      <c r="C101">
        <f>IF(ROW()-3&gt;MAX(B$4:B$114),"",INDEX(A$4:A$114,MATCH(ROW()-3,B$4:B$114,0)))</f>
        <v/>
      </c>
    </row>
    <row r="102">
      <c r="A102">
        <f>IF(INDEX('Final Calculation Sheet'!$B$4:$B$40,ROW()-77)="","",INDEX('Final Calculation Sheet'!$B$4:$B$40,ROW()-77))</f>
        <v/>
      </c>
      <c r="B102">
        <f>B101+IF(AND(A102&lt;&gt;"",COUNTIF(A$4:A102,A102)=1),1,0)</f>
        <v/>
      </c>
      <c r="C102">
        <f>IF(ROW()-3&gt;MAX(B$4:B$114),"",INDEX(A$4:A$114,MATCH(ROW()-3,B$4:B$114,0)))</f>
        <v/>
      </c>
    </row>
    <row r="103">
      <c r="A103">
        <f>IF(INDEX('Final Calculation Sheet'!$B$4:$B$40,ROW()-77)="","",INDEX('Final Calculation Sheet'!$B$4:$B$40,ROW()-77))</f>
        <v/>
      </c>
      <c r="B103">
        <f>B102+IF(AND(A103&lt;&gt;"",COUNTIF(A$4:A103,A103)=1),1,0)</f>
        <v/>
      </c>
      <c r="C103">
        <f>IF(ROW()-3&gt;MAX(B$4:B$114),"",INDEX(A$4:A$114,MATCH(ROW()-3,B$4:B$114,0)))</f>
        <v/>
      </c>
    </row>
    <row r="104">
      <c r="A104">
        <f>IF(INDEX('Final Calculation Sheet'!$B$4:$B$40,ROW()-77)="","",INDEX('Final Calculation Sheet'!$B$4:$B$40,ROW()-77))</f>
        <v/>
      </c>
      <c r="B104">
        <f>B103+IF(AND(A104&lt;&gt;"",COUNTIF(A$4:A104,A104)=1),1,0)</f>
        <v/>
      </c>
      <c r="C104">
        <f>IF(ROW()-3&gt;MAX(B$4:B$114),"",INDEX(A$4:A$114,MATCH(ROW()-3,B$4:B$114,0)))</f>
        <v/>
      </c>
    </row>
    <row r="105">
      <c r="A105">
        <f>IF(INDEX('Final Calculation Sheet'!$B$4:$B$40,ROW()-77)="","",INDEX('Final Calculation Sheet'!$B$4:$B$40,ROW()-77))</f>
        <v/>
      </c>
      <c r="B105">
        <f>B104+IF(AND(A105&lt;&gt;"",COUNTIF(A$4:A105,A105)=1),1,0)</f>
        <v/>
      </c>
      <c r="C105">
        <f>IF(ROW()-3&gt;MAX(B$4:B$114),"",INDEX(A$4:A$114,MATCH(ROW()-3,B$4:B$114,0)))</f>
        <v/>
      </c>
    </row>
    <row r="106">
      <c r="A106">
        <f>IF(INDEX('Final Calculation Sheet'!$B$4:$B$40,ROW()-77)="","",INDEX('Final Calculation Sheet'!$B$4:$B$40,ROW()-77))</f>
        <v/>
      </c>
      <c r="B106">
        <f>B105+IF(AND(A106&lt;&gt;"",COUNTIF(A$4:A106,A106)=1),1,0)</f>
        <v/>
      </c>
      <c r="C106">
        <f>IF(ROW()-3&gt;MAX(B$4:B$114),"",INDEX(A$4:A$114,MATCH(ROW()-3,B$4:B$114,0)))</f>
        <v/>
      </c>
    </row>
    <row r="107">
      <c r="A107">
        <f>IF(INDEX('Final Calculation Sheet'!$B$4:$B$40,ROW()-77)="","",INDEX('Final Calculation Sheet'!$B$4:$B$40,ROW()-77))</f>
        <v/>
      </c>
      <c r="B107">
        <f>B106+IF(AND(A107&lt;&gt;"",COUNTIF(A$4:A107,A107)=1),1,0)</f>
        <v/>
      </c>
      <c r="C107">
        <f>IF(ROW()-3&gt;MAX(B$4:B$114),"",INDEX(A$4:A$114,MATCH(ROW()-3,B$4:B$114,0)))</f>
        <v/>
      </c>
    </row>
    <row r="108">
      <c r="A108">
        <f>IF(INDEX('Final Calculation Sheet'!$B$4:$B$40,ROW()-77)="","",INDEX('Final Calculation Sheet'!$B$4:$B$40,ROW()-77))</f>
        <v/>
      </c>
      <c r="B108">
        <f>B107+IF(AND(A108&lt;&gt;"",COUNTIF(A$4:A108,A108)=1),1,0)</f>
        <v/>
      </c>
      <c r="C108">
        <f>IF(ROW()-3&gt;MAX(B$4:B$114),"",INDEX(A$4:A$114,MATCH(ROW()-3,B$4:B$114,0)))</f>
        <v/>
      </c>
    </row>
    <row r="109">
      <c r="A109">
        <f>IF(INDEX('Final Calculation Sheet'!$B$4:$B$40,ROW()-77)="","",INDEX('Final Calculation Sheet'!$B$4:$B$40,ROW()-77))</f>
        <v/>
      </c>
      <c r="B109">
        <f>B108+IF(AND(A109&lt;&gt;"",COUNTIF(A$4:A109,A109)=1),1,0)</f>
        <v/>
      </c>
      <c r="C109">
        <f>IF(ROW()-3&gt;MAX(B$4:B$114),"",INDEX(A$4:A$114,MATCH(ROW()-3,B$4:B$114,0)))</f>
        <v/>
      </c>
    </row>
    <row r="110">
      <c r="A110">
        <f>IF(INDEX('Final Calculation Sheet'!$B$4:$B$40,ROW()-77)="","",INDEX('Final Calculation Sheet'!$B$4:$B$40,ROW()-77))</f>
        <v/>
      </c>
      <c r="B110">
        <f>B109+IF(AND(A110&lt;&gt;"",COUNTIF(A$4:A110,A110)=1),1,0)</f>
        <v/>
      </c>
      <c r="C110">
        <f>IF(ROW()-3&gt;MAX(B$4:B$114),"",INDEX(A$4:A$114,MATCH(ROW()-3,B$4:B$114,0)))</f>
        <v/>
      </c>
    </row>
    <row r="111">
      <c r="A111">
        <f>IF(INDEX('Final Calculation Sheet'!$B$4:$B$40,ROW()-77)="","",INDEX('Final Calculation Sheet'!$B$4:$B$40,ROW()-77))</f>
        <v/>
      </c>
      <c r="B111">
        <f>B110+IF(AND(A111&lt;&gt;"",COUNTIF(A$4:A111,A111)=1),1,0)</f>
        <v/>
      </c>
      <c r="C111">
        <f>IF(ROW()-3&gt;MAX(B$4:B$114),"",INDEX(A$4:A$114,MATCH(ROW()-3,B$4:B$114,0)))</f>
        <v/>
      </c>
    </row>
    <row r="112">
      <c r="A112">
        <f>IF(INDEX('Final Calculation Sheet'!$B$4:$B$40,ROW()-77)="","",INDEX('Final Calculation Sheet'!$B$4:$B$40,ROW()-77))</f>
        <v/>
      </c>
      <c r="B112">
        <f>B111+IF(AND(A112&lt;&gt;"",COUNTIF(A$4:A112,A112)=1),1,0)</f>
        <v/>
      </c>
      <c r="C112">
        <f>IF(ROW()-3&gt;MAX(B$4:B$114),"",INDEX(A$4:A$114,MATCH(ROW()-3,B$4:B$114,0)))</f>
        <v/>
      </c>
    </row>
    <row r="113">
      <c r="A113">
        <f>IF(INDEX('Final Calculation Sheet'!$B$4:$B$40,ROW()-77)="","",INDEX('Final Calculation Sheet'!$B$4:$B$40,ROW()-77))</f>
        <v/>
      </c>
      <c r="B113">
        <f>B112+IF(AND(A113&lt;&gt;"",COUNTIF(A$4:A113,A113)=1),1,0)</f>
        <v/>
      </c>
      <c r="C113">
        <f>IF(ROW()-3&gt;MAX(B$4:B$114),"",INDEX(A$4:A$114,MATCH(ROW()-3,B$4:B$114,0)))</f>
        <v/>
      </c>
    </row>
    <row r="114">
      <c r="A114">
        <f>IF(INDEX('Final Calculation Sheet'!$B$4:$B$40,ROW()-77)="","",INDEX('Final Calculation Sheet'!$B$4:$B$40,ROW()-77))</f>
        <v/>
      </c>
      <c r="B114">
        <f>B113+IF(AND(A114&lt;&gt;"",COUNTIF(A$4:A114,A114)=1),1,0)</f>
        <v/>
      </c>
      <c r="C114">
        <f>IF(ROW()-3&gt;MAX(B$4:B$114),"",INDEX(A$4:A$114,MATCH(ROW()-3,B$4:B$114,0)))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2026-09-10T04:43:20Z</dcterms:modified>
  <cp:lastModifiedBy>S.M.C</cp:lastModifiedBy>
  <cp:revision>0</cp:revision>
</cp:coreProperties>
</file>