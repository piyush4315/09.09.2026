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 name="_xlnm._FilterDatabase" localSheetId="2" hidden="1">'Buyer Groups'!$A$5:$AI$55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6">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
      <b val="1"/>
      <color rgb="00FFFFFF"/>
      <sz val="9"/>
    </font>
    <font>
      <name val="Calibri"/>
      <b val="1"/>
      <color rgb="001F3864"/>
      <sz val="10"/>
    </font>
    <font>
      <name val="Calibri"/>
      <b val="1"/>
      <color rgb="00FFFFFF"/>
      <sz val="10"/>
    </font>
    <font>
      <name val="Calibri"/>
      <b val="1"/>
      <color rgb="00FFFFFF"/>
      <sz val="11"/>
    </font>
    <font>
      <name val="Calibri"/>
      <b val="1"/>
      <color rgb="001F3864"/>
      <sz val="12"/>
    </font>
    <font/>
  </fonts>
  <fills count="22">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00404040"/>
      </patternFill>
    </fill>
    <fill>
      <patternFill patternType="solid">
        <fgColor rgb="00FFE699"/>
      </patternFill>
    </fill>
    <fill>
      <patternFill patternType="solid">
        <fgColor rgb="001F3864"/>
      </patternFill>
    </fill>
    <fill>
      <patternFill patternType="solid">
        <fgColor rgb="00DDEBF7"/>
      </patternFill>
    </fill>
    <fill>
      <patternFill patternType="solid">
        <fgColor rgb="002F5496"/>
      </patternFill>
    </fill>
    <fill>
      <patternFill patternType="solid">
        <fgColor rgb="00F4F9FD"/>
      </patternFill>
    </fill>
  </fills>
  <borders count="25">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n">
        <color rgb="00B0B0B0"/>
      </left>
      <right style="thin">
        <color rgb="00B0B0B0"/>
      </right>
      <top style="thin">
        <color rgb="00B0B0B0"/>
      </top>
      <bottom style="thin">
        <color rgb="00B0B0B0"/>
      </bottom>
    </border>
    <border>
      <top style="double">
        <color rgb="00FFFFFF"/>
      </top>
    </border>
  </borders>
  <cellStyleXfs count="1">
    <xf numFmtId="0" fontId="0" fillId="0" borderId="0"/>
  </cellStyleXfs>
  <cellXfs count="145">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0" fontId="20" fillId="16" borderId="23" pivotButton="0" quotePrefix="0" xfId="0"/>
    <xf numFmtId="0" fontId="21" fillId="17" borderId="23" applyProtection="1" pivotButton="0" quotePrefix="0" xfId="0">
      <protection locked="0" hidden="0"/>
    </xf>
    <xf numFmtId="0" fontId="7" fillId="18" borderId="0" applyAlignment="1" pivotButton="0" quotePrefix="0" xfId="0">
      <alignment horizontal="left" vertical="center" indent="1"/>
    </xf>
    <xf numFmtId="0" fontId="8" fillId="19" borderId="0" applyAlignment="1" pivotButton="0" quotePrefix="0" xfId="0">
      <alignment horizontal="left" vertical="center" wrapText="1"/>
    </xf>
    <xf numFmtId="0" fontId="24" fillId="17" borderId="17" applyAlignment="1" pivotButton="0" quotePrefix="0" xfId="0">
      <alignment horizontal="left" vertical="center" indent="1"/>
    </xf>
    <xf numFmtId="0" fontId="11" fillId="18" borderId="0" applyAlignment="1" pivotButton="0" quotePrefix="0" xfId="0">
      <alignment horizontal="right" vertical="center"/>
    </xf>
    <xf numFmtId="0" fontId="22" fillId="20" borderId="18" applyAlignment="1" pivotButton="0" quotePrefix="0" xfId="0">
      <alignment horizontal="center" vertical="center" wrapText="1"/>
    </xf>
    <xf numFmtId="0" fontId="22" fillId="20" borderId="0" applyAlignment="1" pivotButton="0" quotePrefix="0" xfId="0">
      <alignment horizontal="left" vertical="center"/>
    </xf>
    <xf numFmtId="0" fontId="22" fillId="20" borderId="0" pivotButton="0" quotePrefix="0" xfId="0"/>
    <xf numFmtId="0" fontId="20" fillId="18" borderId="23" pivotButton="0" quotePrefix="0" xfId="0"/>
    <xf numFmtId="1" fontId="15" fillId="21" borderId="0" applyAlignment="1" pivotButton="0" quotePrefix="0" xfId="0">
      <alignment horizontal="center" vertical="center" wrapText="1"/>
    </xf>
    <xf numFmtId="0" fontId="16" fillId="21" borderId="0" applyAlignment="1" pivotButton="0" quotePrefix="0" xfId="0">
      <alignment horizontal="left" vertical="center"/>
    </xf>
    <xf numFmtId="0" fontId="17" fillId="21" borderId="0" applyAlignment="1" pivotButton="0" quotePrefix="0" xfId="0">
      <alignment horizontal="left" vertical="center"/>
    </xf>
    <xf numFmtId="164" fontId="17" fillId="21" borderId="0" applyAlignment="1" pivotButton="0" quotePrefix="0" xfId="0">
      <alignment horizontal="right" vertical="center"/>
    </xf>
    <xf numFmtId="3" fontId="17" fillId="21" borderId="0" applyAlignment="1" pivotButton="0" quotePrefix="0" xfId="0">
      <alignment horizontal="right" vertical="center"/>
    </xf>
    <xf numFmtId="9" fontId="17" fillId="21" borderId="0" applyAlignment="1" pivotButton="0" quotePrefix="0" xfId="0">
      <alignment horizontal="right" vertical="center"/>
    </xf>
    <xf numFmtId="165" fontId="17" fillId="21" borderId="0" applyAlignment="1" pivotButton="0" quotePrefix="0" xfId="0">
      <alignment horizontal="right" vertical="center"/>
    </xf>
    <xf numFmtId="1" fontId="17" fillId="21" borderId="0" applyAlignment="1" pivotButton="0" quotePrefix="0" xfId="0">
      <alignment horizontal="right" vertical="center"/>
    </xf>
    <xf numFmtId="0" fontId="18" fillId="21" borderId="0" applyAlignment="1" pivotButton="0" quotePrefix="0" xfId="0">
      <alignment horizontal="center" vertical="center" wrapText="1"/>
    </xf>
    <xf numFmtId="1" fontId="23" fillId="18" borderId="24" applyAlignment="1" pivotButton="0" quotePrefix="0" xfId="0">
      <alignment horizontal="center" vertical="center" wrapText="1"/>
    </xf>
    <xf numFmtId="0" fontId="23" fillId="18" borderId="24" applyAlignment="1" pivotButton="0" quotePrefix="0" xfId="0">
      <alignment horizontal="left" vertical="center"/>
    </xf>
    <xf numFmtId="164" fontId="23" fillId="18" borderId="24" applyAlignment="1" pivotButton="0" quotePrefix="0" xfId="0">
      <alignment horizontal="right" vertical="center"/>
    </xf>
    <xf numFmtId="3" fontId="23" fillId="18" borderId="24" applyAlignment="1" pivotButton="0" quotePrefix="0" xfId="0">
      <alignment horizontal="right" vertical="center"/>
    </xf>
    <xf numFmtId="9" fontId="23" fillId="18" borderId="24" applyAlignment="1" pivotButton="0" quotePrefix="0" xfId="0">
      <alignment horizontal="right" vertical="center"/>
    </xf>
    <xf numFmtId="165" fontId="23" fillId="18" borderId="24" applyAlignment="1" pivotButton="0" quotePrefix="0" xfId="0">
      <alignment horizontal="right" vertical="center"/>
    </xf>
    <xf numFmtId="1" fontId="23" fillId="18" borderId="24" applyAlignment="1" pivotButton="0" quotePrefix="0" xfId="0">
      <alignment horizontal="right" vertical="center"/>
    </xf>
    <xf numFmtId="0" fontId="23" fillId="18" borderId="24" applyAlignment="1" pivotButton="0" quotePrefix="0" xfId="0">
      <alignment horizontal="center" vertical="center" wrapText="1"/>
    </xf>
    <xf numFmtId="1" fontId="23" fillId="15" borderId="0" applyAlignment="1" pivotButton="0" quotePrefix="0" xfId="0">
      <alignment horizontal="center" vertical="center" wrapText="1"/>
    </xf>
    <xf numFmtId="0" fontId="23" fillId="15" borderId="0" applyAlignment="1" pivotButton="0" quotePrefix="0" xfId="0">
      <alignment horizontal="left" vertical="center"/>
    </xf>
    <xf numFmtId="164" fontId="23" fillId="15" borderId="0" applyAlignment="1" pivotButton="0" quotePrefix="0" xfId="0">
      <alignment horizontal="right" vertical="center"/>
    </xf>
    <xf numFmtId="3" fontId="23" fillId="15" borderId="0" applyAlignment="1" pivotButton="0" quotePrefix="0" xfId="0">
      <alignment horizontal="right" vertical="center"/>
    </xf>
    <xf numFmtId="9" fontId="23" fillId="15" borderId="0" applyAlignment="1" pivotButton="0" quotePrefix="0" xfId="0">
      <alignment horizontal="right" vertical="center"/>
    </xf>
    <xf numFmtId="165" fontId="23" fillId="15" borderId="0" applyAlignment="1" pivotButton="0" quotePrefix="0" xfId="0">
      <alignment horizontal="right" vertical="center"/>
    </xf>
    <xf numFmtId="1" fontId="23" fillId="15" borderId="0" applyAlignment="1" pivotButton="0" quotePrefix="0" xfId="0">
      <alignment horizontal="right" vertical="center"/>
    </xf>
    <xf numFmtId="0" fontId="23" fillId="15" borderId="0" applyAlignment="1" pivotButton="0" quotePrefix="0" xfId="0">
      <alignment horizontal="center" vertical="center" wrapText="1"/>
    </xf>
    <xf numFmtId="0" fontId="25" fillId="0" borderId="0" applyAlignment="1" pivotButton="0" quotePrefix="0" xfId="0">
      <alignment horizontal="left" vertical="center"/>
    </xf>
    <xf numFmtId="0" fontId="25" fillId="0" borderId="0" pivotButton="0" quotePrefix="0" xfId="0"/>
  </cellXfs>
  <cellStyles count="1">
    <cellStyle name="Normal" xfId="0" builtinId="0"/>
  </cellStyles>
  <dxfs count="14">
    <dxf>
      <font>
        <b val="1"/>
        <color rgb="009C0006"/>
      </font>
      <fill>
        <patternFill patternType="solid">
          <fgColor rgb="00FCE4E4"/>
        </patternFill>
      </fill>
    </dxf>
    <dxf>
      <font>
        <b val="1"/>
        <color rgb="00375623"/>
      </font>
      <fill>
        <patternFill patternType="solid">
          <fgColor rgb="00E2EFDA"/>
        </patternFill>
      </fill>
    </dxf>
    <dxf>
      <font>
        <b val="1"/>
        <color rgb="FF9C0006"/>
      </font>
      <fill>
        <patternFill patternType="solid">
          <fgColor rgb="00FCE4E4"/>
        </patternFill>
      </fill>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ont>
        <b val="1"/>
        <color rgb="001F3864"/>
      </font>
      <fill>
        <patternFill patternType="solid">
          <fgColor rgb="00FFD966"/>
        </patternFill>
      </fill>
    </dxf>
    <dxf>
      <font>
        <b val="1"/>
        <color rgb="FFFFFFFF"/>
      </font>
      <fill>
        <patternFill patternType="solid">
          <fgColor rgb="FF1F3864"/>
          <bgColor rgb="FF1F3864"/>
        </patternFill>
      </fill>
    </dxf>
    <dxf>
      <font>
        <b val="1"/>
        <color rgb="FFFFFFFF"/>
      </font>
      <fill>
        <patternFill patternType="solid">
          <fgColor rgb="002F549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00375623"/>
      </font>
      <fill>
        <patternFill patternType="solid">
          <fgColor rgb="00E2EFDA"/>
        </patternFill>
      </fill>
    </dxf>
    <dxf>
      <font>
        <b val="1"/>
        <color rgb="009C0006"/>
      </font>
      <fill>
        <patternFill patternType="solid">
          <fgColor rgb="00FCE4E4"/>
        </patternFill>
      </fill>
    </dxf>
    <dxf>
      <font>
        <b val="1"/>
        <color rgb="001F3864"/>
      </font>
      <fill>
        <patternFill patternType="solid">
          <fgColor rgb="00FFD96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110" t="inlineStr">
        <is>
          <t>MSTC LIMITED  •  LIVE SEARCH   (results grouped by the value you typed, each group totalled, TOTAL MATCHED beneath them, the misses greyed in a REMAINING block, a GRAND TOTAL of both at the foot)</t>
        </is>
      </c>
    </row>
    <row r="2" ht="44.1" customHeight="1" s="77">
      <c r="A2" s="111"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112" t="n"/>
      <c r="C3" s="82" t="n"/>
      <c r="D3" s="83" t="n"/>
      <c r="E3" s="113" t="inlineStr">
        <is>
          <t>SEARCH IN  ▸</t>
        </is>
      </c>
      <c r="F3" s="61" t="inlineStr">
        <is>
          <t>Lot No. + Buyer + Name</t>
        </is>
      </c>
      <c r="G3" s="113"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114" t="inlineStr">
        <is>
          <t>#</t>
        </is>
      </c>
      <c r="B5" s="114" t="inlineStr">
        <is>
          <t>Lot No.</t>
        </is>
      </c>
      <c r="C5" s="114" t="inlineStr">
        <is>
          <t>Buyer</t>
        </is>
      </c>
      <c r="D5" s="114" t="inlineStr">
        <is>
          <t>Lot Name</t>
        </is>
      </c>
      <c r="E5" s="114" t="inlineStr">
        <is>
          <t>Bid Sheet</t>
        </is>
      </c>
      <c r="F5" s="114" t="inlineStr">
        <is>
          <t>Quantity</t>
        </is>
      </c>
      <c r="G5" s="114" t="inlineStr">
        <is>
          <t>Unit</t>
        </is>
      </c>
      <c r="H5" s="114" t="inlineStr">
        <is>
          <t>Rate</t>
        </is>
      </c>
      <c r="I5" s="114" t="inlineStr">
        <is>
          <t>Mat. Value</t>
        </is>
      </c>
      <c r="J5" s="114" t="inlineStr">
        <is>
          <t>GST</t>
        </is>
      </c>
      <c r="K5" s="114" t="inlineStr">
        <is>
          <t>Mat. Value + GST</t>
        </is>
      </c>
      <c r="L5" s="114" t="inlineStr">
        <is>
          <t>TCS</t>
        </is>
      </c>
      <c r="M5" s="114" t="inlineStr">
        <is>
          <t>TDS u/s 194(O)</t>
        </is>
      </c>
      <c r="N5" s="114" t="inlineStr">
        <is>
          <t>Service Charge to MSTC</t>
        </is>
      </c>
      <c r="O5" s="114" t="inlineStr">
        <is>
          <t>TDS u/s 194(H)</t>
        </is>
      </c>
      <c r="P5" s="114" t="inlineStr">
        <is>
          <t>Net Service Charge (post TDS 194H)</t>
        </is>
      </c>
      <c r="Q5" s="114" t="inlineStr">
        <is>
          <t>Service charge to MSTC</t>
        </is>
      </c>
      <c r="R5" s="114" t="inlineStr">
        <is>
          <t>GST TDS Rate</t>
        </is>
      </c>
      <c r="S5" s="114" t="inlineStr">
        <is>
          <t>GST TDS</t>
        </is>
      </c>
      <c r="T5" s="114" t="inlineStr">
        <is>
          <t>Total Receivables in Cash</t>
        </is>
      </c>
      <c r="U5" s="114" t="inlineStr">
        <is>
          <t>Security Deposit (Expected)</t>
        </is>
      </c>
      <c r="V5" s="114" t="inlineStr">
        <is>
          <t>Security Deposit (Received)</t>
        </is>
      </c>
      <c r="W5" s="114" t="inlineStr">
        <is>
          <t>Date of Receipt (col V)</t>
        </is>
      </c>
      <c r="X5" s="114" t="inlineStr">
        <is>
          <t>Final Payment (Expected)</t>
        </is>
      </c>
      <c r="Y5" s="114" t="inlineStr">
        <is>
          <t>Final Payment (Received)</t>
        </is>
      </c>
      <c r="Z5" s="114" t="inlineStr">
        <is>
          <t>Date of Receipt (col Y)</t>
        </is>
      </c>
      <c r="AA5" s="114" t="inlineStr">
        <is>
          <t>LPP Expected</t>
        </is>
      </c>
      <c r="AB5" s="114" t="inlineStr">
        <is>
          <t>LPP Received</t>
        </is>
      </c>
      <c r="AC5" s="114" t="inlineStr">
        <is>
          <t>Date of Recepit of LPP</t>
        </is>
      </c>
      <c r="AD5" s="114" t="inlineStr">
        <is>
          <t>Total Received</t>
        </is>
      </c>
      <c r="AE5" s="114" t="inlineStr">
        <is>
          <t>Outstanding</t>
        </is>
      </c>
      <c r="AF5" s="114" t="inlineStr">
        <is>
          <t>Invoice No.</t>
        </is>
      </c>
      <c r="AG5" s="114" t="inlineStr">
        <is>
          <t>SAP Document</t>
        </is>
      </c>
      <c r="AH5" s="114" t="inlineStr">
        <is>
          <t>Doc./Invoice Date</t>
        </is>
      </c>
      <c r="AI5" s="114" t="inlineStr">
        <is>
          <t>Payment Status</t>
        </is>
      </c>
      <c r="AJ5" s="143">
        <f>IF($B$3="",IF(ROW()=5,"— type above —",""),IF(ROW()-4&gt;AL$41,"",INDEX('Final Calculation Sheet'!$F$4:$F$40,MATCH(ROW()-4,$AL$5:$AL$41,0))&amp;" — "&amp;INDEX('Final Calculation Sheet'!$G$4:$G$40,MATCH(ROW()-4,$AL$5:$AL$41,0))))</f>
        <v/>
      </c>
      <c r="AK5" s="144">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s="144">
        <f>IF($B$3="",0,--(SUMPRODUCT(--($AR$6:$AY$6&lt;&gt;""),--ISNUMBER(SEARCH($AR$6:$AY$6,$AK5)))&gt;0))</f>
        <v/>
      </c>
      <c r="AM5" s="144">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N5" s="144" t="n"/>
      <c r="AO5" s="144" t="inlineStr">
        <is>
          <t>Lot No.</t>
        </is>
      </c>
      <c r="AP5" s="144" t="n"/>
      <c r="AQ5" s="144" t="n"/>
      <c r="AR5" s="144">
        <f>IF($AR$4="",99999,MIN(IFERROR(FIND(",",$AR$4),99999),IFERROR(FIND("+",$AR$4),99999)))</f>
        <v/>
      </c>
      <c r="AS5" s="144">
        <f>IF($AS$4="",99999,MIN(IFERROR(FIND(",",$AS$4),99999),IFERROR(FIND("+",$AS$4),99999)))</f>
        <v/>
      </c>
      <c r="AT5" s="144">
        <f>IF($AT$4="",99999,MIN(IFERROR(FIND(",",$AT$4),99999),IFERROR(FIND("+",$AT$4),99999)))</f>
        <v/>
      </c>
      <c r="AU5" s="144">
        <f>IF($AU$4="",99999,MIN(IFERROR(FIND(",",$AU$4),99999),IFERROR(FIND("+",$AU$4),99999)))</f>
        <v/>
      </c>
      <c r="AV5" s="144">
        <f>IF($AV$4="",99999,MIN(IFERROR(FIND(",",$AV$4),99999),IFERROR(FIND("+",$AV$4),99999)))</f>
        <v/>
      </c>
      <c r="AW5" s="144">
        <f>IF($AW$4="",99999,MIN(IFERROR(FIND(",",$AW$4),99999),IFERROR(FIND("+",$AW$4),99999)))</f>
        <v/>
      </c>
      <c r="AX5" s="144">
        <f>IF($AX$4="",99999,MIN(IFERROR(FIND(",",$AX$4),99999),IFERROR(FIND("+",$AX$4),99999)))</f>
        <v/>
      </c>
      <c r="AY5" s="144">
        <f>IF($AY$4="",99999,MIN(IFERROR(FIND(",",$AY$4),99999),IFERROR(FIND("+",$AY$4),99999)))</f>
        <v/>
      </c>
      <c r="AZ5" s="144">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s="144">
        <f>SUMPRODUCT(($AZ$5:$AZ$41=$AZ5)*($BC$5:$BC$41&lt;$BC5))+1</f>
        <v/>
      </c>
      <c r="BB5" s="144">
        <f>IF(INDEX($BF$4:$BF$13,$AZ5)=0,0,INDEX($BE$4:$BE$13,$AZ5)+$BA5-1)</f>
        <v/>
      </c>
      <c r="BC5" s="144" t="n">
        <v>4</v>
      </c>
      <c r="BD5" s="144">
        <f>COUNTIF($AZ$5:$AZ$41,2)</f>
        <v/>
      </c>
      <c r="BE5" s="144">
        <f>IF($BD4=0,$BE4,$BF4+1)</f>
        <v/>
      </c>
      <c r="BF5" s="144">
        <f>IF($BD5=0,0,$BE5+$BD5)</f>
        <v/>
      </c>
      <c r="BG5" s="144">
        <f>IF($BD13=0,$BE13,$BF13+1)</f>
        <v/>
      </c>
      <c r="BH5" s="144">
        <f>IFERROR(MATCH(5,$BF$4:$BF$13,0),0)</f>
        <v/>
      </c>
      <c r="BI5" s="144">
        <f>IF(5=$BG$5,1,0)</f>
        <v/>
      </c>
      <c r="BJ5" s="144">
        <f>IF(OR($BH5&gt;0,$BI5=1,$BL5=1),0,IFERROR(INDEX($BC$5:$BC$41,MATCH(5,$BB$5:$BB$41,0)),0))</f>
        <v/>
      </c>
      <c r="BK5" s="144">
        <f>IF($BJ5&gt;0,IF(INDEX($AZ$5:$AZ$41,MATCH(5,$BB$5:$BB$41,0))=10,1,0),IF($BH5=10,1,0))</f>
        <v/>
      </c>
      <c r="BL5" s="144">
        <f>IF(5=$BG$4,1,0)</f>
        <v/>
      </c>
      <c r="BM5" s="14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s="144">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s="144">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s="144">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s="144">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s="144">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s="144">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s="144">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s="144">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s="144">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s="144">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s="144">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s="144">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s="144">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s="144">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s="144">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s="144">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s="144">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s="144">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s="144">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s="144">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s="144">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s="144">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s="144">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s="144">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s="144">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s="144">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s="144">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s="144">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s="144">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s="144">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s="144">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s="144">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s="144">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s="144">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110" t="inlineStr">
        <is>
          <t>MSTC LIMITED  •  BUYER-WISE GROUPS   (each buyer’s lots in one block with a shaded ∑ subtotal beneath it, a blue TOTAL of every buyer and a green GRAND TOTAL cross-checked to the source at the foot)</t>
        </is>
      </c>
    </row>
    <row r="2" ht="44.1" customHeight="1" s="77">
      <c r="A2" s="111"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  •  FUNNEL FILTERS — every header in row 5 has a filter funnel: click it and use its search box to narrow the list down to matching lots. Note: subtotals, TOTAL and GRAND always show FULL (unfiltered) sums even while a filter is on.  •  SEARCH DROPDOWNS — every yellow search cell has a Live-Search-style dropdown (same lists, alphabetical order): click a search cell and press Alt+↓ to pick a value from its alphabetical list instead of typing.</t>
        </is>
      </c>
    </row>
    <row r="3" ht="22" customHeight="1" s="77">
      <c r="A3" s="59" t="inlineStr">
        <is>
          <t>BUYERS  ▸</t>
        </is>
      </c>
      <c r="B3" s="62">
        <f>SUMPRODUCT(1/COUNTIF('Final Calculation Sheet'!$G$4:$G$40,'Final Calculation Sheet'!$G$4:$G$40))</f>
        <v/>
      </c>
      <c r="C3" s="59" t="inlineStr">
        <is>
          <t>LOTS  ▸</t>
        </is>
      </c>
      <c r="D3" s="62">
        <f>COUNTA('Final Calculation Sheet'!$G$4:$G$40)</f>
        <v/>
      </c>
    </row>
    <row r="4" ht="18" customHeight="1" s="77">
      <c r="A4" s="117" t="inlineStr">
        <is>
          <t>SEARCH ▸</t>
        </is>
      </c>
      <c r="B4" s="109" t="n"/>
      <c r="C4" s="109" t="n"/>
      <c r="D4" s="109" t="n"/>
      <c r="E4" s="109" t="n"/>
      <c r="F4" s="109" t="n"/>
      <c r="G4" s="109" t="n"/>
      <c r="H4" s="109" t="n"/>
      <c r="I4" s="109" t="n"/>
      <c r="J4" s="109" t="n"/>
      <c r="K4" s="109" t="n"/>
      <c r="L4" s="109" t="n"/>
      <c r="M4" s="109" t="n"/>
      <c r="N4" s="109" t="n"/>
      <c r="O4" s="109" t="n"/>
      <c r="P4" s="109" t="n"/>
      <c r="Q4" s="109" t="n"/>
      <c r="R4" s="109" t="n"/>
      <c r="S4" s="109" t="n"/>
      <c r="T4" s="109" t="n"/>
      <c r="U4" s="109" t="n"/>
      <c r="V4" s="109" t="n"/>
      <c r="W4" s="109" t="n"/>
      <c r="X4" s="109" t="n"/>
      <c r="Y4" s="109" t="n"/>
      <c r="Z4" s="109" t="n"/>
      <c r="AA4" s="109" t="n"/>
      <c r="AB4" s="109" t="n"/>
      <c r="AC4" s="109" t="n"/>
      <c r="AD4" s="109" t="n"/>
      <c r="AE4" s="109" t="n"/>
      <c r="AF4" s="109" t="n"/>
      <c r="AG4" s="109" t="n"/>
      <c r="AH4" s="109" t="n"/>
      <c r="AI4" s="109" t="n"/>
    </row>
    <row r="5" ht="44.1" customHeight="1" s="77">
      <c r="A5" s="114" t="inlineStr">
        <is>
          <t>#</t>
        </is>
      </c>
      <c r="B5" s="114" t="inlineStr">
        <is>
          <t>Lot No.</t>
        </is>
      </c>
      <c r="C5" s="114" t="inlineStr">
        <is>
          <t>Buyer</t>
        </is>
      </c>
      <c r="D5" s="114" t="inlineStr">
        <is>
          <t>Lot Name</t>
        </is>
      </c>
      <c r="E5" s="114" t="inlineStr">
        <is>
          <t>Bid Sheet</t>
        </is>
      </c>
      <c r="F5" s="114" t="inlineStr">
        <is>
          <t>Quantity</t>
        </is>
      </c>
      <c r="G5" s="114" t="inlineStr">
        <is>
          <t>Unit</t>
        </is>
      </c>
      <c r="H5" s="114" t="inlineStr">
        <is>
          <t>Rate</t>
        </is>
      </c>
      <c r="I5" s="114" t="inlineStr">
        <is>
          <t>Mat. Value</t>
        </is>
      </c>
      <c r="J5" s="114" t="inlineStr">
        <is>
          <t>GST</t>
        </is>
      </c>
      <c r="K5" s="114" t="inlineStr">
        <is>
          <t>Mat. Value + GST</t>
        </is>
      </c>
      <c r="L5" s="114" t="inlineStr">
        <is>
          <t>TCS</t>
        </is>
      </c>
      <c r="M5" s="114" t="inlineStr">
        <is>
          <t>TDS u/s 194(O)</t>
        </is>
      </c>
      <c r="N5" s="114" t="inlineStr">
        <is>
          <t>Service Charge to MSTC</t>
        </is>
      </c>
      <c r="O5" s="114" t="inlineStr">
        <is>
          <t>TDS u/s 194(H)</t>
        </is>
      </c>
      <c r="P5" s="114" t="inlineStr">
        <is>
          <t>Net Service Charge (post TDS 194H)</t>
        </is>
      </c>
      <c r="Q5" s="114" t="inlineStr">
        <is>
          <t>Service charge to MSTC</t>
        </is>
      </c>
      <c r="R5" s="114" t="inlineStr">
        <is>
          <t>GST TDS Rate</t>
        </is>
      </c>
      <c r="S5" s="114" t="inlineStr">
        <is>
          <t>GST TDS</t>
        </is>
      </c>
      <c r="T5" s="114" t="inlineStr">
        <is>
          <t>Total Receivables in Cash</t>
        </is>
      </c>
      <c r="U5" s="114" t="inlineStr">
        <is>
          <t>Security Deposit (Expected)</t>
        </is>
      </c>
      <c r="V5" s="114" t="inlineStr">
        <is>
          <t>Security Deposit (Received)</t>
        </is>
      </c>
      <c r="W5" s="114" t="inlineStr">
        <is>
          <t>Date of Receipt (col V)</t>
        </is>
      </c>
      <c r="X5" s="114" t="inlineStr">
        <is>
          <t>Final Payment (Expected)</t>
        </is>
      </c>
      <c r="Y5" s="114" t="inlineStr">
        <is>
          <t>Final Payment (Received)</t>
        </is>
      </c>
      <c r="Z5" s="114" t="inlineStr">
        <is>
          <t>Date of Receipt (col Y)</t>
        </is>
      </c>
      <c r="AA5" s="114" t="inlineStr">
        <is>
          <t>LPP Expected</t>
        </is>
      </c>
      <c r="AB5" s="114" t="inlineStr">
        <is>
          <t>LPP Received</t>
        </is>
      </c>
      <c r="AC5" s="114" t="inlineStr">
        <is>
          <t>Date of Recepit of LPP</t>
        </is>
      </c>
      <c r="AD5" s="114" t="inlineStr">
        <is>
          <t>Total Received</t>
        </is>
      </c>
      <c r="AE5" s="114" t="inlineStr">
        <is>
          <t>Outstanding</t>
        </is>
      </c>
      <c r="AF5" s="114" t="inlineStr">
        <is>
          <t>Invoice No.</t>
        </is>
      </c>
      <c r="AG5" s="114" t="inlineStr">
        <is>
          <t>SAP Document</t>
        </is>
      </c>
      <c r="AH5" s="114" t="inlineStr">
        <is>
          <t>Doc./Invoice Date</t>
        </is>
      </c>
      <c r="AI5" s="114"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Sheet'!$AD$6&lt;=5,"SETTLED","OUTSTANDING"))</f>
        <v/>
      </c>
    </row>
    <row r="9" outlineLevel="1" ht="15" customHeight="1" s="77">
      <c r="A9" s="118" t="n">
        <v>2</v>
      </c>
      <c r="B9" s="119">
        <f>IF('Final Calculation Sheet'!$F$7="","",'Final Calculation Sheet'!$F$7)</f>
        <v/>
      </c>
      <c r="C9" s="119">
        <f>IF('Final Calculation Sheet'!$G$7="","",'Final Calculation Sheet'!$G$7)</f>
        <v/>
      </c>
      <c r="D9" s="120">
        <f>IF('Final Calculation Sheet'!$B$7="","",'Final Calculation Sheet'!$B$7)</f>
        <v/>
      </c>
      <c r="E9" s="120">
        <f>IF('Final Calculation Sheet'!$D$7="","",'Final Calculation Sheet'!$D$7)</f>
        <v/>
      </c>
      <c r="F9" s="120">
        <f>IF('Final Calculation Sheet'!$A$7="","",'Final Calculation Sheet'!$A$7)</f>
        <v/>
      </c>
      <c r="G9" s="120">
        <f>IF('Final Calculation Sheet'!$E$7="","",'Final Calculation Sheet'!$E$7)</f>
        <v/>
      </c>
      <c r="H9" s="121">
        <f>IF('Final Calculation Sheet'!$C$7="","",'Final Calculation Sheet'!$C$7)</f>
        <v/>
      </c>
      <c r="I9" s="121">
        <f>IF('Final Calculation Sheet'!$H$7="","",'Final Calculation Sheet'!$H$7)</f>
        <v/>
      </c>
      <c r="J9" s="121">
        <f>IF('Final Calculation Sheet'!$I$7="","",'Final Calculation Sheet'!$I$7)</f>
        <v/>
      </c>
      <c r="K9" s="121">
        <f>IF('Final Calculation Sheet'!$J$7="","",'Final Calculation Sheet'!$J$7)</f>
        <v/>
      </c>
      <c r="L9" s="121">
        <f>IF('Final Calculation Sheet'!$K$7="","",'Final Calculation Sheet'!$K$7)</f>
        <v/>
      </c>
      <c r="M9" s="121">
        <f>IF('Final Calculation Sheet'!$L$7="","",'Final Calculation Sheet'!$L$7)</f>
        <v/>
      </c>
      <c r="N9" s="121">
        <f>IF('Final Calculation Sheet'!$M$7="","",'Final Calculation Sheet'!$M$7)</f>
        <v/>
      </c>
      <c r="O9" s="122">
        <f>IF('Final Calculation Sheet'!$N$7="","",'Final Calculation Sheet'!$N$7)</f>
        <v/>
      </c>
      <c r="P9" s="121">
        <f>IF('Final Calculation Sheet'!$O$7="","",'Final Calculation Sheet'!$O$7)</f>
        <v/>
      </c>
      <c r="Q9" s="121">
        <f>IF('Final Calculation Sheet'!$P$7="","",'Final Calculation Sheet'!$P$7)</f>
        <v/>
      </c>
      <c r="R9" s="123">
        <f>IF('Final Calculation Sheet'!$Q$7="","",'Final Calculation Sheet'!$Q$7)</f>
        <v/>
      </c>
      <c r="S9" s="121">
        <f>IF('Final Calculation Sheet'!$R$7="","",'Final Calculation Sheet'!$R$7)</f>
        <v/>
      </c>
      <c r="T9" s="121">
        <f>IF('Final Calculation Sheet'!$S$7="","",'Final Calculation Sheet'!$S$7)</f>
        <v/>
      </c>
      <c r="U9" s="121">
        <f>IF('Final Calculation Sheet'!$T$7="","",'Final Calculation Sheet'!$T$7)</f>
        <v/>
      </c>
      <c r="V9" s="124">
        <f>IF('Final Calculation Sheet'!$U$7="","",'Final Calculation Sheet'!$U$7)</f>
        <v/>
      </c>
      <c r="W9" s="121">
        <f>IF('Final Calculation Sheet'!$V$7="","",'Final Calculation Sheet'!$V$7)</f>
        <v/>
      </c>
      <c r="X9" s="121">
        <f>IF('Final Calculation Sheet'!$W$7="","",'Final Calculation Sheet'!$W$7)</f>
        <v/>
      </c>
      <c r="Y9" s="121">
        <f>IF('Final Calculation Sheet'!$X$7="","",'Final Calculation Sheet'!$X$7)</f>
        <v/>
      </c>
      <c r="Z9" s="121">
        <f>IF('Final Calculation Sheet'!$Y$7="","",'Final Calculation Sheet'!$Y$7)</f>
        <v/>
      </c>
      <c r="AA9" s="121">
        <f>IF('Final Calculation Sheet'!$Z$7="","",'Final Calculation Sheet'!$Z$7)</f>
        <v/>
      </c>
      <c r="AB9" s="121">
        <f>IF('Final Calculation Sheet'!$AA$7="","",'Final Calculation Sheet'!$AA$7)</f>
        <v/>
      </c>
      <c r="AC9" s="121">
        <f>IF('Final Calculation Sheet'!$AB$7="","",'Final Calculation Sheet'!$AB$7)</f>
        <v/>
      </c>
      <c r="AD9" s="121">
        <f>IF('Final Calculation Sheet'!$AC$7="","",'Final Calculation Sheet'!$AC$7)</f>
        <v/>
      </c>
      <c r="AE9" s="121">
        <f>IF('Final Calculation Sheet'!$AD$7="","",'Final Calculation Sheet'!$AD$7)</f>
        <v/>
      </c>
      <c r="AF9" s="121">
        <f>IF('Final Calculation Sheet'!$AE$7="","",'Final Calculation Sheet'!$AE$7)</f>
        <v/>
      </c>
      <c r="AG9" s="125">
        <f>IF('Final Calculation Sheet'!$AF$7="","",'Final Calculation Sheet'!$AF$7)</f>
        <v/>
      </c>
      <c r="AH9" s="121">
        <f>IF('Final Calculation Sheet'!$AG$7="","",'Final Calculation Sheet'!$AG$7)</f>
        <v/>
      </c>
      <c r="AI9" s="126">
        <f>IF('Final Calculation Sheet'!$AD$7="","",IF('Final Calculation Sheet'!$AD$7&lt;=5,"SETTLED","OUTSTANDING"))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IF(AE10&lt;=5,"SETTLED","OUTSTANDING")</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Sheet'!$AD$15&lt;=5,"SETTLED","OUTSTANDING"))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IF(AE12&lt;=5,"SETTLED","OUTSTANDING")</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Sheet'!$AD$38&lt;=5,"SETTLED","OUTSTANDING"))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IF(AE14&lt;=5,"SETTLED","OUTSTANDING")</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Sheet'!$AD$27&lt;=5,"SETTLED","OUTSTANDING"))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Sheet'!$AD$5&lt;=5,"SETTLED","OUTSTANDING"))</f>
        <v/>
      </c>
    </row>
    <row r="18" outlineLevel="1" ht="15" customHeight="1" s="77">
      <c r="A18" s="118" t="n">
        <v>2</v>
      </c>
      <c r="B18" s="119">
        <f>IF('Final Calculation Sheet'!$F$10="","",'Final Calculation Sheet'!$F$10)</f>
        <v/>
      </c>
      <c r="C18" s="119">
        <f>IF('Final Calculation Sheet'!$G$10="","",'Final Calculation Sheet'!$G$10)</f>
        <v/>
      </c>
      <c r="D18" s="120">
        <f>IF('Final Calculation Sheet'!$B$10="","",'Final Calculation Sheet'!$B$10)</f>
        <v/>
      </c>
      <c r="E18" s="120">
        <f>IF('Final Calculation Sheet'!$D$10="","",'Final Calculation Sheet'!$D$10)</f>
        <v/>
      </c>
      <c r="F18" s="120">
        <f>IF('Final Calculation Sheet'!$A$10="","",'Final Calculation Sheet'!$A$10)</f>
        <v/>
      </c>
      <c r="G18" s="120">
        <f>IF('Final Calculation Sheet'!$E$10="","",'Final Calculation Sheet'!$E$10)</f>
        <v/>
      </c>
      <c r="H18" s="121">
        <f>IF('Final Calculation Sheet'!$C$10="","",'Final Calculation Sheet'!$C$10)</f>
        <v/>
      </c>
      <c r="I18" s="121">
        <f>IF('Final Calculation Sheet'!$H$10="","",'Final Calculation Sheet'!$H$10)</f>
        <v/>
      </c>
      <c r="J18" s="121">
        <f>IF('Final Calculation Sheet'!$I$10="","",'Final Calculation Sheet'!$I$10)</f>
        <v/>
      </c>
      <c r="K18" s="121">
        <f>IF('Final Calculation Sheet'!$J$10="","",'Final Calculation Sheet'!$J$10)</f>
        <v/>
      </c>
      <c r="L18" s="121">
        <f>IF('Final Calculation Sheet'!$K$10="","",'Final Calculation Sheet'!$K$10)</f>
        <v/>
      </c>
      <c r="M18" s="121">
        <f>IF('Final Calculation Sheet'!$L$10="","",'Final Calculation Sheet'!$L$10)</f>
        <v/>
      </c>
      <c r="N18" s="121">
        <f>IF('Final Calculation Sheet'!$M$10="","",'Final Calculation Sheet'!$M$10)</f>
        <v/>
      </c>
      <c r="O18" s="122">
        <f>IF('Final Calculation Sheet'!$N$10="","",'Final Calculation Sheet'!$N$10)</f>
        <v/>
      </c>
      <c r="P18" s="121">
        <f>IF('Final Calculation Sheet'!$O$10="","",'Final Calculation Sheet'!$O$10)</f>
        <v/>
      </c>
      <c r="Q18" s="121">
        <f>IF('Final Calculation Sheet'!$P$10="","",'Final Calculation Sheet'!$P$10)</f>
        <v/>
      </c>
      <c r="R18" s="123">
        <f>IF('Final Calculation Sheet'!$Q$10="","",'Final Calculation Sheet'!$Q$10)</f>
        <v/>
      </c>
      <c r="S18" s="121">
        <f>IF('Final Calculation Sheet'!$R$10="","",'Final Calculation Sheet'!$R$10)</f>
        <v/>
      </c>
      <c r="T18" s="121">
        <f>IF('Final Calculation Sheet'!$S$10="","",'Final Calculation Sheet'!$S$10)</f>
        <v/>
      </c>
      <c r="U18" s="121">
        <f>IF('Final Calculation Sheet'!$T$10="","",'Final Calculation Sheet'!$T$10)</f>
        <v/>
      </c>
      <c r="V18" s="124">
        <f>IF('Final Calculation Sheet'!$U$10="","",'Final Calculation Sheet'!$U$10)</f>
        <v/>
      </c>
      <c r="W18" s="121">
        <f>IF('Final Calculation Sheet'!$V$10="","",'Final Calculation Sheet'!$V$10)</f>
        <v/>
      </c>
      <c r="X18" s="121">
        <f>IF('Final Calculation Sheet'!$W$10="","",'Final Calculation Sheet'!$W$10)</f>
        <v/>
      </c>
      <c r="Y18" s="121">
        <f>IF('Final Calculation Sheet'!$X$10="","",'Final Calculation Sheet'!$X$10)</f>
        <v/>
      </c>
      <c r="Z18" s="121">
        <f>IF('Final Calculation Sheet'!$Y$10="","",'Final Calculation Sheet'!$Y$10)</f>
        <v/>
      </c>
      <c r="AA18" s="121">
        <f>IF('Final Calculation Sheet'!$Z$10="","",'Final Calculation Sheet'!$Z$10)</f>
        <v/>
      </c>
      <c r="AB18" s="121">
        <f>IF('Final Calculation Sheet'!$AA$10="","",'Final Calculation Sheet'!$AA$10)</f>
        <v/>
      </c>
      <c r="AC18" s="121">
        <f>IF('Final Calculation Sheet'!$AB$10="","",'Final Calculation Sheet'!$AB$10)</f>
        <v/>
      </c>
      <c r="AD18" s="121">
        <f>IF('Final Calculation Sheet'!$AC$10="","",'Final Calculation Sheet'!$AC$10)</f>
        <v/>
      </c>
      <c r="AE18" s="121">
        <f>IF('Final Calculation Sheet'!$AD$10="","",'Final Calculation Sheet'!$AD$10)</f>
        <v/>
      </c>
      <c r="AF18" s="121">
        <f>IF('Final Calculation Sheet'!$AE$10="","",'Final Calculation Sheet'!$AE$10)</f>
        <v/>
      </c>
      <c r="AG18" s="125">
        <f>IF('Final Calculation Sheet'!$AF$10="","",'Final Calculation Sheet'!$AF$10)</f>
        <v/>
      </c>
      <c r="AH18" s="121">
        <f>IF('Final Calculation Sheet'!$AG$10="","",'Final Calculation Sheet'!$AG$10)</f>
        <v/>
      </c>
      <c r="AI18" s="126">
        <f>IF('Final Calculation Sheet'!$AD$10="","",IF('Final Calculation Sheet'!$AD$10&lt;=5,"SETTLED","OUTSTANDING"))</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Sheet'!$AD$11&lt;=5,"SETTLED","OUTSTANDING"))</f>
        <v/>
      </c>
    </row>
    <row r="20" outlineLevel="1" ht="15" customHeight="1" s="77">
      <c r="A20" s="118" t="n">
        <v>4</v>
      </c>
      <c r="B20" s="119">
        <f>IF('Final Calculation Sheet'!$F$12="","",'Final Calculation Sheet'!$F$12)</f>
        <v/>
      </c>
      <c r="C20" s="119">
        <f>IF('Final Calculation Sheet'!$G$12="","",'Final Calculation Sheet'!$G$12)</f>
        <v/>
      </c>
      <c r="D20" s="120">
        <f>IF('Final Calculation Sheet'!$B$12="","",'Final Calculation Sheet'!$B$12)</f>
        <v/>
      </c>
      <c r="E20" s="120">
        <f>IF('Final Calculation Sheet'!$D$12="","",'Final Calculation Sheet'!$D$12)</f>
        <v/>
      </c>
      <c r="F20" s="120">
        <f>IF('Final Calculation Sheet'!$A$12="","",'Final Calculation Sheet'!$A$12)</f>
        <v/>
      </c>
      <c r="G20" s="120">
        <f>IF('Final Calculation Sheet'!$E$12="","",'Final Calculation Sheet'!$E$12)</f>
        <v/>
      </c>
      <c r="H20" s="121">
        <f>IF('Final Calculation Sheet'!$C$12="","",'Final Calculation Sheet'!$C$12)</f>
        <v/>
      </c>
      <c r="I20" s="121">
        <f>IF('Final Calculation Sheet'!$H$12="","",'Final Calculation Sheet'!$H$12)</f>
        <v/>
      </c>
      <c r="J20" s="121">
        <f>IF('Final Calculation Sheet'!$I$12="","",'Final Calculation Sheet'!$I$12)</f>
        <v/>
      </c>
      <c r="K20" s="121">
        <f>IF('Final Calculation Sheet'!$J$12="","",'Final Calculation Sheet'!$J$12)</f>
        <v/>
      </c>
      <c r="L20" s="121">
        <f>IF('Final Calculation Sheet'!$K$12="","",'Final Calculation Sheet'!$K$12)</f>
        <v/>
      </c>
      <c r="M20" s="121">
        <f>IF('Final Calculation Sheet'!$L$12="","",'Final Calculation Sheet'!$L$12)</f>
        <v/>
      </c>
      <c r="N20" s="121">
        <f>IF('Final Calculation Sheet'!$M$12="","",'Final Calculation Sheet'!$M$12)</f>
        <v/>
      </c>
      <c r="O20" s="122">
        <f>IF('Final Calculation Sheet'!$N$12="","",'Final Calculation Sheet'!$N$12)</f>
        <v/>
      </c>
      <c r="P20" s="121">
        <f>IF('Final Calculation Sheet'!$O$12="","",'Final Calculation Sheet'!$O$12)</f>
        <v/>
      </c>
      <c r="Q20" s="121">
        <f>IF('Final Calculation Sheet'!$P$12="","",'Final Calculation Sheet'!$P$12)</f>
        <v/>
      </c>
      <c r="R20" s="123">
        <f>IF('Final Calculation Sheet'!$Q$12="","",'Final Calculation Sheet'!$Q$12)</f>
        <v/>
      </c>
      <c r="S20" s="121">
        <f>IF('Final Calculation Sheet'!$R$12="","",'Final Calculation Sheet'!$R$12)</f>
        <v/>
      </c>
      <c r="T20" s="121">
        <f>IF('Final Calculation Sheet'!$S$12="","",'Final Calculation Sheet'!$S$12)</f>
        <v/>
      </c>
      <c r="U20" s="121">
        <f>IF('Final Calculation Sheet'!$T$12="","",'Final Calculation Sheet'!$T$12)</f>
        <v/>
      </c>
      <c r="V20" s="124">
        <f>IF('Final Calculation Sheet'!$U$12="","",'Final Calculation Sheet'!$U$12)</f>
        <v/>
      </c>
      <c r="W20" s="121">
        <f>IF('Final Calculation Sheet'!$V$12="","",'Final Calculation Sheet'!$V$12)</f>
        <v/>
      </c>
      <c r="X20" s="121">
        <f>IF('Final Calculation Sheet'!$W$12="","",'Final Calculation Sheet'!$W$12)</f>
        <v/>
      </c>
      <c r="Y20" s="121">
        <f>IF('Final Calculation Sheet'!$X$12="","",'Final Calculation Sheet'!$X$12)</f>
        <v/>
      </c>
      <c r="Z20" s="121">
        <f>IF('Final Calculation Sheet'!$Y$12="","",'Final Calculation Sheet'!$Y$12)</f>
        <v/>
      </c>
      <c r="AA20" s="121">
        <f>IF('Final Calculation Sheet'!$Z$12="","",'Final Calculation Sheet'!$Z$12)</f>
        <v/>
      </c>
      <c r="AB20" s="121">
        <f>IF('Final Calculation Sheet'!$AA$12="","",'Final Calculation Sheet'!$AA$12)</f>
        <v/>
      </c>
      <c r="AC20" s="121">
        <f>IF('Final Calculation Sheet'!$AB$12="","",'Final Calculation Sheet'!$AB$12)</f>
        <v/>
      </c>
      <c r="AD20" s="121">
        <f>IF('Final Calculation Sheet'!$AC$12="","",'Final Calculation Sheet'!$AC$12)</f>
        <v/>
      </c>
      <c r="AE20" s="121">
        <f>IF('Final Calculation Sheet'!$AD$12="","",'Final Calculation Sheet'!$AD$12)</f>
        <v/>
      </c>
      <c r="AF20" s="121">
        <f>IF('Final Calculation Sheet'!$AE$12="","",'Final Calculation Sheet'!$AE$12)</f>
        <v/>
      </c>
      <c r="AG20" s="125">
        <f>IF('Final Calculation Sheet'!$AF$12="","",'Final Calculation Sheet'!$AF$12)</f>
        <v/>
      </c>
      <c r="AH20" s="121">
        <f>IF('Final Calculation Sheet'!$AG$12="","",'Final Calculation Sheet'!$AG$12)</f>
        <v/>
      </c>
      <c r="AI20" s="126">
        <f>IF('Final Calculation Sheet'!$AD$12="","",IF('Final Calculation Sheet'!$AD$12&lt;=5,"SETTLED","OUTSTANDING"))</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Sheet'!$AD$18&lt;=5,"SETTLED","OUTSTANDING"))</f>
        <v/>
      </c>
    </row>
    <row r="22" outlineLevel="1" ht="15" customHeight="1" s="77">
      <c r="A22" s="118" t="n">
        <v>6</v>
      </c>
      <c r="B22" s="119">
        <f>IF('Final Calculation Sheet'!$F$19="","",'Final Calculation Sheet'!$F$19)</f>
        <v/>
      </c>
      <c r="C22" s="119">
        <f>IF('Final Calculation Sheet'!$G$19="","",'Final Calculation Sheet'!$G$19)</f>
        <v/>
      </c>
      <c r="D22" s="120">
        <f>IF('Final Calculation Sheet'!$B$19="","",'Final Calculation Sheet'!$B$19)</f>
        <v/>
      </c>
      <c r="E22" s="120">
        <f>IF('Final Calculation Sheet'!$D$19="","",'Final Calculation Sheet'!$D$19)</f>
        <v/>
      </c>
      <c r="F22" s="120">
        <f>IF('Final Calculation Sheet'!$A$19="","",'Final Calculation Sheet'!$A$19)</f>
        <v/>
      </c>
      <c r="G22" s="120">
        <f>IF('Final Calculation Sheet'!$E$19="","",'Final Calculation Sheet'!$E$19)</f>
        <v/>
      </c>
      <c r="H22" s="121">
        <f>IF('Final Calculation Sheet'!$C$19="","",'Final Calculation Sheet'!$C$19)</f>
        <v/>
      </c>
      <c r="I22" s="121">
        <f>IF('Final Calculation Sheet'!$H$19="","",'Final Calculation Sheet'!$H$19)</f>
        <v/>
      </c>
      <c r="J22" s="121">
        <f>IF('Final Calculation Sheet'!$I$19="","",'Final Calculation Sheet'!$I$19)</f>
        <v/>
      </c>
      <c r="K22" s="121">
        <f>IF('Final Calculation Sheet'!$J$19="","",'Final Calculation Sheet'!$J$19)</f>
        <v/>
      </c>
      <c r="L22" s="121">
        <f>IF('Final Calculation Sheet'!$K$19="","",'Final Calculation Sheet'!$K$19)</f>
        <v/>
      </c>
      <c r="M22" s="121">
        <f>IF('Final Calculation Sheet'!$L$19="","",'Final Calculation Sheet'!$L$19)</f>
        <v/>
      </c>
      <c r="N22" s="121">
        <f>IF('Final Calculation Sheet'!$M$19="","",'Final Calculation Sheet'!$M$19)</f>
        <v/>
      </c>
      <c r="O22" s="122">
        <f>IF('Final Calculation Sheet'!$N$19="","",'Final Calculation Sheet'!$N$19)</f>
        <v/>
      </c>
      <c r="P22" s="121">
        <f>IF('Final Calculation Sheet'!$O$19="","",'Final Calculation Sheet'!$O$19)</f>
        <v/>
      </c>
      <c r="Q22" s="121">
        <f>IF('Final Calculation Sheet'!$P$19="","",'Final Calculation Sheet'!$P$19)</f>
        <v/>
      </c>
      <c r="R22" s="123">
        <f>IF('Final Calculation Sheet'!$Q$19="","",'Final Calculation Sheet'!$Q$19)</f>
        <v/>
      </c>
      <c r="S22" s="121">
        <f>IF('Final Calculation Sheet'!$R$19="","",'Final Calculation Sheet'!$R$19)</f>
        <v/>
      </c>
      <c r="T22" s="121">
        <f>IF('Final Calculation Sheet'!$S$19="","",'Final Calculation Sheet'!$S$19)</f>
        <v/>
      </c>
      <c r="U22" s="121">
        <f>IF('Final Calculation Sheet'!$T$19="","",'Final Calculation Sheet'!$T$19)</f>
        <v/>
      </c>
      <c r="V22" s="124">
        <f>IF('Final Calculation Sheet'!$U$19="","",'Final Calculation Sheet'!$U$19)</f>
        <v/>
      </c>
      <c r="W22" s="121">
        <f>IF('Final Calculation Sheet'!$V$19="","",'Final Calculation Sheet'!$V$19)</f>
        <v/>
      </c>
      <c r="X22" s="121">
        <f>IF('Final Calculation Sheet'!$W$19="","",'Final Calculation Sheet'!$W$19)</f>
        <v/>
      </c>
      <c r="Y22" s="121">
        <f>IF('Final Calculation Sheet'!$X$19="","",'Final Calculation Sheet'!$X$19)</f>
        <v/>
      </c>
      <c r="Z22" s="121">
        <f>IF('Final Calculation Sheet'!$Y$19="","",'Final Calculation Sheet'!$Y$19)</f>
        <v/>
      </c>
      <c r="AA22" s="121">
        <f>IF('Final Calculation Sheet'!$Z$19="","",'Final Calculation Sheet'!$Z$19)</f>
        <v/>
      </c>
      <c r="AB22" s="121">
        <f>IF('Final Calculation Sheet'!$AA$19="","",'Final Calculation Sheet'!$AA$19)</f>
        <v/>
      </c>
      <c r="AC22" s="121">
        <f>IF('Final Calculation Sheet'!$AB$19="","",'Final Calculation Sheet'!$AB$19)</f>
        <v/>
      </c>
      <c r="AD22" s="121">
        <f>IF('Final Calculation Sheet'!$AC$19="","",'Final Calculation Sheet'!$AC$19)</f>
        <v/>
      </c>
      <c r="AE22" s="121">
        <f>IF('Final Calculation Sheet'!$AD$19="","",'Final Calculation Sheet'!$AD$19)</f>
        <v/>
      </c>
      <c r="AF22" s="121">
        <f>IF('Final Calculation Sheet'!$AE$19="","",'Final Calculation Sheet'!$AE$19)</f>
        <v/>
      </c>
      <c r="AG22" s="125">
        <f>IF('Final Calculation Sheet'!$AF$19="","",'Final Calculation Sheet'!$AF$19)</f>
        <v/>
      </c>
      <c r="AH22" s="121">
        <f>IF('Final Calculation Sheet'!$AG$19="","",'Final Calculation Sheet'!$AG$19)</f>
        <v/>
      </c>
      <c r="AI22" s="126">
        <f>IF('Final Calculation Sheet'!$AD$19="","",IF('Final Calculation Sheet'!$AD$19&lt;=5,"SETTLED","OUTSTANDING"))</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Sheet'!$AD$22&lt;=5,"SETTLED","OUTSTANDING"))</f>
        <v/>
      </c>
    </row>
    <row r="24" outlineLevel="1" ht="15" customHeight="1" s="77">
      <c r="A24" s="118" t="n">
        <v>8</v>
      </c>
      <c r="B24" s="119">
        <f>IF('Final Calculation Sheet'!$F$24="","",'Final Calculation Sheet'!$F$24)</f>
        <v/>
      </c>
      <c r="C24" s="119">
        <f>IF('Final Calculation Sheet'!$G$24="","",'Final Calculation Sheet'!$G$24)</f>
        <v/>
      </c>
      <c r="D24" s="120">
        <f>IF('Final Calculation Sheet'!$B$24="","",'Final Calculation Sheet'!$B$24)</f>
        <v/>
      </c>
      <c r="E24" s="120">
        <f>IF('Final Calculation Sheet'!$D$24="","",'Final Calculation Sheet'!$D$24)</f>
        <v/>
      </c>
      <c r="F24" s="120">
        <f>IF('Final Calculation Sheet'!$A$24="","",'Final Calculation Sheet'!$A$24)</f>
        <v/>
      </c>
      <c r="G24" s="120">
        <f>IF('Final Calculation Sheet'!$E$24="","",'Final Calculation Sheet'!$E$24)</f>
        <v/>
      </c>
      <c r="H24" s="121">
        <f>IF('Final Calculation Sheet'!$C$24="","",'Final Calculation Sheet'!$C$24)</f>
        <v/>
      </c>
      <c r="I24" s="121">
        <f>IF('Final Calculation Sheet'!$H$24="","",'Final Calculation Sheet'!$H$24)</f>
        <v/>
      </c>
      <c r="J24" s="121">
        <f>IF('Final Calculation Sheet'!$I$24="","",'Final Calculation Sheet'!$I$24)</f>
        <v/>
      </c>
      <c r="K24" s="121">
        <f>IF('Final Calculation Sheet'!$J$24="","",'Final Calculation Sheet'!$J$24)</f>
        <v/>
      </c>
      <c r="L24" s="121">
        <f>IF('Final Calculation Sheet'!$K$24="","",'Final Calculation Sheet'!$K$24)</f>
        <v/>
      </c>
      <c r="M24" s="121">
        <f>IF('Final Calculation Sheet'!$L$24="","",'Final Calculation Sheet'!$L$24)</f>
        <v/>
      </c>
      <c r="N24" s="121">
        <f>IF('Final Calculation Sheet'!$M$24="","",'Final Calculation Sheet'!$M$24)</f>
        <v/>
      </c>
      <c r="O24" s="122">
        <f>IF('Final Calculation Sheet'!$N$24="","",'Final Calculation Sheet'!$N$24)</f>
        <v/>
      </c>
      <c r="P24" s="121">
        <f>IF('Final Calculation Sheet'!$O$24="","",'Final Calculation Sheet'!$O$24)</f>
        <v/>
      </c>
      <c r="Q24" s="121">
        <f>IF('Final Calculation Sheet'!$P$24="","",'Final Calculation Sheet'!$P$24)</f>
        <v/>
      </c>
      <c r="R24" s="123">
        <f>IF('Final Calculation Sheet'!$Q$24="","",'Final Calculation Sheet'!$Q$24)</f>
        <v/>
      </c>
      <c r="S24" s="121">
        <f>IF('Final Calculation Sheet'!$R$24="","",'Final Calculation Sheet'!$R$24)</f>
        <v/>
      </c>
      <c r="T24" s="121">
        <f>IF('Final Calculation Sheet'!$S$24="","",'Final Calculation Sheet'!$S$24)</f>
        <v/>
      </c>
      <c r="U24" s="121">
        <f>IF('Final Calculation Sheet'!$T$24="","",'Final Calculation Sheet'!$T$24)</f>
        <v/>
      </c>
      <c r="V24" s="124">
        <f>IF('Final Calculation Sheet'!$U$24="","",'Final Calculation Sheet'!$U$24)</f>
        <v/>
      </c>
      <c r="W24" s="121">
        <f>IF('Final Calculation Sheet'!$V$24="","",'Final Calculation Sheet'!$V$24)</f>
        <v/>
      </c>
      <c r="X24" s="121">
        <f>IF('Final Calculation Sheet'!$W$24="","",'Final Calculation Sheet'!$W$24)</f>
        <v/>
      </c>
      <c r="Y24" s="121">
        <f>IF('Final Calculation Sheet'!$X$24="","",'Final Calculation Sheet'!$X$24)</f>
        <v/>
      </c>
      <c r="Z24" s="121">
        <f>IF('Final Calculation Sheet'!$Y$24="","",'Final Calculation Sheet'!$Y$24)</f>
        <v/>
      </c>
      <c r="AA24" s="121">
        <f>IF('Final Calculation Sheet'!$Z$24="","",'Final Calculation Sheet'!$Z$24)</f>
        <v/>
      </c>
      <c r="AB24" s="121">
        <f>IF('Final Calculation Sheet'!$AA$24="","",'Final Calculation Sheet'!$AA$24)</f>
        <v/>
      </c>
      <c r="AC24" s="121">
        <f>IF('Final Calculation Sheet'!$AB$24="","",'Final Calculation Sheet'!$AB$24)</f>
        <v/>
      </c>
      <c r="AD24" s="121">
        <f>IF('Final Calculation Sheet'!$AC$24="","",'Final Calculation Sheet'!$AC$24)</f>
        <v/>
      </c>
      <c r="AE24" s="121">
        <f>IF('Final Calculation Sheet'!$AD$24="","",'Final Calculation Sheet'!$AD$24)</f>
        <v/>
      </c>
      <c r="AF24" s="121">
        <f>IF('Final Calculation Sheet'!$AE$24="","",'Final Calculation Sheet'!$AE$24)</f>
        <v/>
      </c>
      <c r="AG24" s="125">
        <f>IF('Final Calculation Sheet'!$AF$24="","",'Final Calculation Sheet'!$AF$24)</f>
        <v/>
      </c>
      <c r="AH24" s="121">
        <f>IF('Final Calculation Sheet'!$AG$24="","",'Final Calculation Sheet'!$AG$24)</f>
        <v/>
      </c>
      <c r="AI24" s="126">
        <f>IF('Final Calculation Sheet'!$AD$24="","",IF('Final Calculation Sheet'!$AD$24&lt;=5,"SETTLED","OUTSTANDING"))</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Sheet'!$AD$26&lt;=5,"SETTLED","OUTSTANDING"))</f>
        <v/>
      </c>
    </row>
    <row r="26" outlineLevel="1" ht="15" customHeight="1" s="77">
      <c r="A26" s="118" t="n">
        <v>10</v>
      </c>
      <c r="B26" s="119">
        <f>IF('Final Calculation Sheet'!$F$30="","",'Final Calculation Sheet'!$F$30)</f>
        <v/>
      </c>
      <c r="C26" s="119">
        <f>IF('Final Calculation Sheet'!$G$30="","",'Final Calculation Sheet'!$G$30)</f>
        <v/>
      </c>
      <c r="D26" s="120">
        <f>IF('Final Calculation Sheet'!$B$30="","",'Final Calculation Sheet'!$B$30)</f>
        <v/>
      </c>
      <c r="E26" s="120">
        <f>IF('Final Calculation Sheet'!$D$30="","",'Final Calculation Sheet'!$D$30)</f>
        <v/>
      </c>
      <c r="F26" s="120">
        <f>IF('Final Calculation Sheet'!$A$30="","",'Final Calculation Sheet'!$A$30)</f>
        <v/>
      </c>
      <c r="G26" s="120">
        <f>IF('Final Calculation Sheet'!$E$30="","",'Final Calculation Sheet'!$E$30)</f>
        <v/>
      </c>
      <c r="H26" s="121">
        <f>IF('Final Calculation Sheet'!$C$30="","",'Final Calculation Sheet'!$C$30)</f>
        <v/>
      </c>
      <c r="I26" s="121">
        <f>IF('Final Calculation Sheet'!$H$30="","",'Final Calculation Sheet'!$H$30)</f>
        <v/>
      </c>
      <c r="J26" s="121">
        <f>IF('Final Calculation Sheet'!$I$30="","",'Final Calculation Sheet'!$I$30)</f>
        <v/>
      </c>
      <c r="K26" s="121">
        <f>IF('Final Calculation Sheet'!$J$30="","",'Final Calculation Sheet'!$J$30)</f>
        <v/>
      </c>
      <c r="L26" s="121">
        <f>IF('Final Calculation Sheet'!$K$30="","",'Final Calculation Sheet'!$K$30)</f>
        <v/>
      </c>
      <c r="M26" s="121">
        <f>IF('Final Calculation Sheet'!$L$30="","",'Final Calculation Sheet'!$L$30)</f>
        <v/>
      </c>
      <c r="N26" s="121">
        <f>IF('Final Calculation Sheet'!$M$30="","",'Final Calculation Sheet'!$M$30)</f>
        <v/>
      </c>
      <c r="O26" s="122">
        <f>IF('Final Calculation Sheet'!$N$30="","",'Final Calculation Sheet'!$N$30)</f>
        <v/>
      </c>
      <c r="P26" s="121">
        <f>IF('Final Calculation Sheet'!$O$30="","",'Final Calculation Sheet'!$O$30)</f>
        <v/>
      </c>
      <c r="Q26" s="121">
        <f>IF('Final Calculation Sheet'!$P$30="","",'Final Calculation Sheet'!$P$30)</f>
        <v/>
      </c>
      <c r="R26" s="123">
        <f>IF('Final Calculation Sheet'!$Q$30="","",'Final Calculation Sheet'!$Q$30)</f>
        <v/>
      </c>
      <c r="S26" s="121">
        <f>IF('Final Calculation Sheet'!$R$30="","",'Final Calculation Sheet'!$R$30)</f>
        <v/>
      </c>
      <c r="T26" s="121">
        <f>IF('Final Calculation Sheet'!$S$30="","",'Final Calculation Sheet'!$S$30)</f>
        <v/>
      </c>
      <c r="U26" s="121">
        <f>IF('Final Calculation Sheet'!$T$30="","",'Final Calculation Sheet'!$T$30)</f>
        <v/>
      </c>
      <c r="V26" s="124">
        <f>IF('Final Calculation Sheet'!$U$30="","",'Final Calculation Sheet'!$U$30)</f>
        <v/>
      </c>
      <c r="W26" s="121">
        <f>IF('Final Calculation Sheet'!$V$30="","",'Final Calculation Sheet'!$V$30)</f>
        <v/>
      </c>
      <c r="X26" s="121">
        <f>IF('Final Calculation Sheet'!$W$30="","",'Final Calculation Sheet'!$W$30)</f>
        <v/>
      </c>
      <c r="Y26" s="121">
        <f>IF('Final Calculation Sheet'!$X$30="","",'Final Calculation Sheet'!$X$30)</f>
        <v/>
      </c>
      <c r="Z26" s="121">
        <f>IF('Final Calculation Sheet'!$Y$30="","",'Final Calculation Sheet'!$Y$30)</f>
        <v/>
      </c>
      <c r="AA26" s="121">
        <f>IF('Final Calculation Sheet'!$Z$30="","",'Final Calculation Sheet'!$Z$30)</f>
        <v/>
      </c>
      <c r="AB26" s="121">
        <f>IF('Final Calculation Sheet'!$AA$30="","",'Final Calculation Sheet'!$AA$30)</f>
        <v/>
      </c>
      <c r="AC26" s="121">
        <f>IF('Final Calculation Sheet'!$AB$30="","",'Final Calculation Sheet'!$AB$30)</f>
        <v/>
      </c>
      <c r="AD26" s="121">
        <f>IF('Final Calculation Sheet'!$AC$30="","",'Final Calculation Sheet'!$AC$30)</f>
        <v/>
      </c>
      <c r="AE26" s="121">
        <f>IF('Final Calculation Sheet'!$AD$30="","",'Final Calculation Sheet'!$AD$30)</f>
        <v/>
      </c>
      <c r="AF26" s="121">
        <f>IF('Final Calculation Sheet'!$AE$30="","",'Final Calculation Sheet'!$AE$30)</f>
        <v/>
      </c>
      <c r="AG26" s="125">
        <f>IF('Final Calculation Sheet'!$AF$30="","",'Final Calculation Sheet'!$AF$30)</f>
        <v/>
      </c>
      <c r="AH26" s="121">
        <f>IF('Final Calculation Sheet'!$AG$30="","",'Final Calculation Sheet'!$AG$30)</f>
        <v/>
      </c>
      <c r="AI26" s="126">
        <f>IF('Final Calculation Sheet'!$AD$30="","",IF('Final Calculation Sheet'!$AD$30&lt;=5,"SETTLED","OUTSTANDING"))</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Sheet'!$AD$32&lt;=5,"SETTLED","OUTSTANDING"))</f>
        <v/>
      </c>
    </row>
    <row r="28" outlineLevel="1" ht="15" customHeight="1" s="77">
      <c r="A28" s="118" t="n">
        <v>12</v>
      </c>
      <c r="B28" s="119">
        <f>IF('Final Calculation Sheet'!$F$33="","",'Final Calculation Sheet'!$F$33)</f>
        <v/>
      </c>
      <c r="C28" s="119">
        <f>IF('Final Calculation Sheet'!$G$33="","",'Final Calculation Sheet'!$G$33)</f>
        <v/>
      </c>
      <c r="D28" s="120">
        <f>IF('Final Calculation Sheet'!$B$33="","",'Final Calculation Sheet'!$B$33)</f>
        <v/>
      </c>
      <c r="E28" s="120">
        <f>IF('Final Calculation Sheet'!$D$33="","",'Final Calculation Sheet'!$D$33)</f>
        <v/>
      </c>
      <c r="F28" s="120">
        <f>IF('Final Calculation Sheet'!$A$33="","",'Final Calculation Sheet'!$A$33)</f>
        <v/>
      </c>
      <c r="G28" s="120">
        <f>IF('Final Calculation Sheet'!$E$33="","",'Final Calculation Sheet'!$E$33)</f>
        <v/>
      </c>
      <c r="H28" s="121">
        <f>IF('Final Calculation Sheet'!$C$33="","",'Final Calculation Sheet'!$C$33)</f>
        <v/>
      </c>
      <c r="I28" s="121">
        <f>IF('Final Calculation Sheet'!$H$33="","",'Final Calculation Sheet'!$H$33)</f>
        <v/>
      </c>
      <c r="J28" s="121">
        <f>IF('Final Calculation Sheet'!$I$33="","",'Final Calculation Sheet'!$I$33)</f>
        <v/>
      </c>
      <c r="K28" s="121">
        <f>IF('Final Calculation Sheet'!$J$33="","",'Final Calculation Sheet'!$J$33)</f>
        <v/>
      </c>
      <c r="L28" s="121">
        <f>IF('Final Calculation Sheet'!$K$33="","",'Final Calculation Sheet'!$K$33)</f>
        <v/>
      </c>
      <c r="M28" s="121">
        <f>IF('Final Calculation Sheet'!$L$33="","",'Final Calculation Sheet'!$L$33)</f>
        <v/>
      </c>
      <c r="N28" s="121">
        <f>IF('Final Calculation Sheet'!$M$33="","",'Final Calculation Sheet'!$M$33)</f>
        <v/>
      </c>
      <c r="O28" s="122">
        <f>IF('Final Calculation Sheet'!$N$33="","",'Final Calculation Sheet'!$N$33)</f>
        <v/>
      </c>
      <c r="P28" s="121">
        <f>IF('Final Calculation Sheet'!$O$33="","",'Final Calculation Sheet'!$O$33)</f>
        <v/>
      </c>
      <c r="Q28" s="121">
        <f>IF('Final Calculation Sheet'!$P$33="","",'Final Calculation Sheet'!$P$33)</f>
        <v/>
      </c>
      <c r="R28" s="123">
        <f>IF('Final Calculation Sheet'!$Q$33="","",'Final Calculation Sheet'!$Q$33)</f>
        <v/>
      </c>
      <c r="S28" s="121">
        <f>IF('Final Calculation Sheet'!$R$33="","",'Final Calculation Sheet'!$R$33)</f>
        <v/>
      </c>
      <c r="T28" s="121">
        <f>IF('Final Calculation Sheet'!$S$33="","",'Final Calculation Sheet'!$S$33)</f>
        <v/>
      </c>
      <c r="U28" s="121">
        <f>IF('Final Calculation Sheet'!$T$33="","",'Final Calculation Sheet'!$T$33)</f>
        <v/>
      </c>
      <c r="V28" s="124">
        <f>IF('Final Calculation Sheet'!$U$33="","",'Final Calculation Sheet'!$U$33)</f>
        <v/>
      </c>
      <c r="W28" s="121">
        <f>IF('Final Calculation Sheet'!$V$33="","",'Final Calculation Sheet'!$V$33)</f>
        <v/>
      </c>
      <c r="X28" s="121">
        <f>IF('Final Calculation Sheet'!$W$33="","",'Final Calculation Sheet'!$W$33)</f>
        <v/>
      </c>
      <c r="Y28" s="121">
        <f>IF('Final Calculation Sheet'!$X$33="","",'Final Calculation Sheet'!$X$33)</f>
        <v/>
      </c>
      <c r="Z28" s="121">
        <f>IF('Final Calculation Sheet'!$Y$33="","",'Final Calculation Sheet'!$Y$33)</f>
        <v/>
      </c>
      <c r="AA28" s="121">
        <f>IF('Final Calculation Sheet'!$Z$33="","",'Final Calculation Sheet'!$Z$33)</f>
        <v/>
      </c>
      <c r="AB28" s="121">
        <f>IF('Final Calculation Sheet'!$AA$33="","",'Final Calculation Sheet'!$AA$33)</f>
        <v/>
      </c>
      <c r="AC28" s="121">
        <f>IF('Final Calculation Sheet'!$AB$33="","",'Final Calculation Sheet'!$AB$33)</f>
        <v/>
      </c>
      <c r="AD28" s="121">
        <f>IF('Final Calculation Sheet'!$AC$33="","",'Final Calculation Sheet'!$AC$33)</f>
        <v/>
      </c>
      <c r="AE28" s="121">
        <f>IF('Final Calculation Sheet'!$AD$33="","",'Final Calculation Sheet'!$AD$33)</f>
        <v/>
      </c>
      <c r="AF28" s="121">
        <f>IF('Final Calculation Sheet'!$AE$33="","",'Final Calculation Sheet'!$AE$33)</f>
        <v/>
      </c>
      <c r="AG28" s="125">
        <f>IF('Final Calculation Sheet'!$AF$33="","",'Final Calculation Sheet'!$AF$33)</f>
        <v/>
      </c>
      <c r="AH28" s="121">
        <f>IF('Final Calculation Sheet'!$AG$33="","",'Final Calculation Sheet'!$AG$33)</f>
        <v/>
      </c>
      <c r="AI28" s="126">
        <f>IF('Final Calculation Sheet'!$AD$33="","",IF('Final Calculation Sheet'!$AD$33&lt;=5,"SETTLED","OUTSTANDING"))</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Sheet'!$AD$37&lt;=5,"SETTLED","OUTSTANDING"))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IF(AE30&lt;=5,"SETTLED","OUTSTANDING")</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Sheet'!$AD$21&lt;=5,"SETTLED","OUTSTANDING"))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IF(AE32&lt;=5,"SETTLED","OUTSTANDING")</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Sheet'!$AD$8&lt;=5,"SETTLED","OUTSTANDING"))</f>
        <v/>
      </c>
    </row>
    <row r="34" outlineLevel="1" ht="15" customHeight="1" s="77">
      <c r="A34" s="118" t="n">
        <v>2</v>
      </c>
      <c r="B34" s="119">
        <f>IF('Final Calculation Sheet'!$F$20="","",'Final Calculation Sheet'!$F$20)</f>
        <v/>
      </c>
      <c r="C34" s="119">
        <f>IF('Final Calculation Sheet'!$G$20="","",'Final Calculation Sheet'!$G$20)</f>
        <v/>
      </c>
      <c r="D34" s="120">
        <f>IF('Final Calculation Sheet'!$B$20="","",'Final Calculation Sheet'!$B$20)</f>
        <v/>
      </c>
      <c r="E34" s="120">
        <f>IF('Final Calculation Sheet'!$D$20="","",'Final Calculation Sheet'!$D$20)</f>
        <v/>
      </c>
      <c r="F34" s="120">
        <f>IF('Final Calculation Sheet'!$A$20="","",'Final Calculation Sheet'!$A$20)</f>
        <v/>
      </c>
      <c r="G34" s="120">
        <f>IF('Final Calculation Sheet'!$E$20="","",'Final Calculation Sheet'!$E$20)</f>
        <v/>
      </c>
      <c r="H34" s="121">
        <f>IF('Final Calculation Sheet'!$C$20="","",'Final Calculation Sheet'!$C$20)</f>
        <v/>
      </c>
      <c r="I34" s="121">
        <f>IF('Final Calculation Sheet'!$H$20="","",'Final Calculation Sheet'!$H$20)</f>
        <v/>
      </c>
      <c r="J34" s="121">
        <f>IF('Final Calculation Sheet'!$I$20="","",'Final Calculation Sheet'!$I$20)</f>
        <v/>
      </c>
      <c r="K34" s="121">
        <f>IF('Final Calculation Sheet'!$J$20="","",'Final Calculation Sheet'!$J$20)</f>
        <v/>
      </c>
      <c r="L34" s="121">
        <f>IF('Final Calculation Sheet'!$K$20="","",'Final Calculation Sheet'!$K$20)</f>
        <v/>
      </c>
      <c r="M34" s="121">
        <f>IF('Final Calculation Sheet'!$L$20="","",'Final Calculation Sheet'!$L$20)</f>
        <v/>
      </c>
      <c r="N34" s="121">
        <f>IF('Final Calculation Sheet'!$M$20="","",'Final Calculation Sheet'!$M$20)</f>
        <v/>
      </c>
      <c r="O34" s="122">
        <f>IF('Final Calculation Sheet'!$N$20="","",'Final Calculation Sheet'!$N$20)</f>
        <v/>
      </c>
      <c r="P34" s="121">
        <f>IF('Final Calculation Sheet'!$O$20="","",'Final Calculation Sheet'!$O$20)</f>
        <v/>
      </c>
      <c r="Q34" s="121">
        <f>IF('Final Calculation Sheet'!$P$20="","",'Final Calculation Sheet'!$P$20)</f>
        <v/>
      </c>
      <c r="R34" s="123">
        <f>IF('Final Calculation Sheet'!$Q$20="","",'Final Calculation Sheet'!$Q$20)</f>
        <v/>
      </c>
      <c r="S34" s="121">
        <f>IF('Final Calculation Sheet'!$R$20="","",'Final Calculation Sheet'!$R$20)</f>
        <v/>
      </c>
      <c r="T34" s="121">
        <f>IF('Final Calculation Sheet'!$S$20="","",'Final Calculation Sheet'!$S$20)</f>
        <v/>
      </c>
      <c r="U34" s="121">
        <f>IF('Final Calculation Sheet'!$T$20="","",'Final Calculation Sheet'!$T$20)</f>
        <v/>
      </c>
      <c r="V34" s="124">
        <f>IF('Final Calculation Sheet'!$U$20="","",'Final Calculation Sheet'!$U$20)</f>
        <v/>
      </c>
      <c r="W34" s="121">
        <f>IF('Final Calculation Sheet'!$V$20="","",'Final Calculation Sheet'!$V$20)</f>
        <v/>
      </c>
      <c r="X34" s="121">
        <f>IF('Final Calculation Sheet'!$W$20="","",'Final Calculation Sheet'!$W$20)</f>
        <v/>
      </c>
      <c r="Y34" s="121">
        <f>IF('Final Calculation Sheet'!$X$20="","",'Final Calculation Sheet'!$X$20)</f>
        <v/>
      </c>
      <c r="Z34" s="121">
        <f>IF('Final Calculation Sheet'!$Y$20="","",'Final Calculation Sheet'!$Y$20)</f>
        <v/>
      </c>
      <c r="AA34" s="121">
        <f>IF('Final Calculation Sheet'!$Z$20="","",'Final Calculation Sheet'!$Z$20)</f>
        <v/>
      </c>
      <c r="AB34" s="121">
        <f>IF('Final Calculation Sheet'!$AA$20="","",'Final Calculation Sheet'!$AA$20)</f>
        <v/>
      </c>
      <c r="AC34" s="121">
        <f>IF('Final Calculation Sheet'!$AB$20="","",'Final Calculation Sheet'!$AB$20)</f>
        <v/>
      </c>
      <c r="AD34" s="121">
        <f>IF('Final Calculation Sheet'!$AC$20="","",'Final Calculation Sheet'!$AC$20)</f>
        <v/>
      </c>
      <c r="AE34" s="121">
        <f>IF('Final Calculation Sheet'!$AD$20="","",'Final Calculation Sheet'!$AD$20)</f>
        <v/>
      </c>
      <c r="AF34" s="121">
        <f>IF('Final Calculation Sheet'!$AE$20="","",'Final Calculation Sheet'!$AE$20)</f>
        <v/>
      </c>
      <c r="AG34" s="125">
        <f>IF('Final Calculation Sheet'!$AF$20="","",'Final Calculation Sheet'!$AF$20)</f>
        <v/>
      </c>
      <c r="AH34" s="121">
        <f>IF('Final Calculation Sheet'!$AG$20="","",'Final Calculation Sheet'!$AG$20)</f>
        <v/>
      </c>
      <c r="AI34" s="126">
        <f>IF('Final Calculation Sheet'!$AD$20="","",IF('Final Calculation Sheet'!$AD$20&lt;=5,"SETTLED","OUTSTANDING"))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IF(AE35&lt;=5,"SETTLED","OUTSTANDING")</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Sheet'!$AD$39&lt;=5,"SETTLED","OUTSTANDING"))</f>
        <v/>
      </c>
    </row>
    <row r="37" outlineLevel="1" ht="15" customHeight="1" s="77">
      <c r="A37" s="118" t="n">
        <v>2</v>
      </c>
      <c r="B37" s="119">
        <f>IF('Final Calculation Sheet'!$F$40="","",'Final Calculation Sheet'!$F$40)</f>
        <v/>
      </c>
      <c r="C37" s="119">
        <f>IF('Final Calculation Sheet'!$G$40="","",'Final Calculation Sheet'!$G$40)</f>
        <v/>
      </c>
      <c r="D37" s="120">
        <f>IF('Final Calculation Sheet'!$B$40="","",'Final Calculation Sheet'!$B$40)</f>
        <v/>
      </c>
      <c r="E37" s="120">
        <f>IF('Final Calculation Sheet'!$D$40="","",'Final Calculation Sheet'!$D$40)</f>
        <v/>
      </c>
      <c r="F37" s="120">
        <f>IF('Final Calculation Sheet'!$A$40="","",'Final Calculation Sheet'!$A$40)</f>
        <v/>
      </c>
      <c r="G37" s="120">
        <f>IF('Final Calculation Sheet'!$E$40="","",'Final Calculation Sheet'!$E$40)</f>
        <v/>
      </c>
      <c r="H37" s="121">
        <f>IF('Final Calculation Sheet'!$C$40="","",'Final Calculation Sheet'!$C$40)</f>
        <v/>
      </c>
      <c r="I37" s="121">
        <f>IF('Final Calculation Sheet'!$H$40="","",'Final Calculation Sheet'!$H$40)</f>
        <v/>
      </c>
      <c r="J37" s="121">
        <f>IF('Final Calculation Sheet'!$I$40="","",'Final Calculation Sheet'!$I$40)</f>
        <v/>
      </c>
      <c r="K37" s="121">
        <f>IF('Final Calculation Sheet'!$J$40="","",'Final Calculation Sheet'!$J$40)</f>
        <v/>
      </c>
      <c r="L37" s="121">
        <f>IF('Final Calculation Sheet'!$K$40="","",'Final Calculation Sheet'!$K$40)</f>
        <v/>
      </c>
      <c r="M37" s="121">
        <f>IF('Final Calculation Sheet'!$L$40="","",'Final Calculation Sheet'!$L$40)</f>
        <v/>
      </c>
      <c r="N37" s="121">
        <f>IF('Final Calculation Sheet'!$M$40="","",'Final Calculation Sheet'!$M$40)</f>
        <v/>
      </c>
      <c r="O37" s="122">
        <f>IF('Final Calculation Sheet'!$N$40="","",'Final Calculation Sheet'!$N$40)</f>
        <v/>
      </c>
      <c r="P37" s="121">
        <f>IF('Final Calculation Sheet'!$O$40="","",'Final Calculation Sheet'!$O$40)</f>
        <v/>
      </c>
      <c r="Q37" s="121">
        <f>IF('Final Calculation Sheet'!$P$40="","",'Final Calculation Sheet'!$P$40)</f>
        <v/>
      </c>
      <c r="R37" s="123">
        <f>IF('Final Calculation Sheet'!$Q$40="","",'Final Calculation Sheet'!$Q$40)</f>
        <v/>
      </c>
      <c r="S37" s="121">
        <f>IF('Final Calculation Sheet'!$R$40="","",'Final Calculation Sheet'!$R$40)</f>
        <v/>
      </c>
      <c r="T37" s="121">
        <f>IF('Final Calculation Sheet'!$S$40="","",'Final Calculation Sheet'!$S$40)</f>
        <v/>
      </c>
      <c r="U37" s="121">
        <f>IF('Final Calculation Sheet'!$T$40="","",'Final Calculation Sheet'!$T$40)</f>
        <v/>
      </c>
      <c r="V37" s="124">
        <f>IF('Final Calculation Sheet'!$U$40="","",'Final Calculation Sheet'!$U$40)</f>
        <v/>
      </c>
      <c r="W37" s="121">
        <f>IF('Final Calculation Sheet'!$V$40="","",'Final Calculation Sheet'!$V$40)</f>
        <v/>
      </c>
      <c r="X37" s="121">
        <f>IF('Final Calculation Sheet'!$W$40="","",'Final Calculation Sheet'!$W$40)</f>
        <v/>
      </c>
      <c r="Y37" s="121">
        <f>IF('Final Calculation Sheet'!$X$40="","",'Final Calculation Sheet'!$X$40)</f>
        <v/>
      </c>
      <c r="Z37" s="121">
        <f>IF('Final Calculation Sheet'!$Y$40="","",'Final Calculation Sheet'!$Y$40)</f>
        <v/>
      </c>
      <c r="AA37" s="121">
        <f>IF('Final Calculation Sheet'!$Z$40="","",'Final Calculation Sheet'!$Z$40)</f>
        <v/>
      </c>
      <c r="AB37" s="121">
        <f>IF('Final Calculation Sheet'!$AA$40="","",'Final Calculation Sheet'!$AA$40)</f>
        <v/>
      </c>
      <c r="AC37" s="121">
        <f>IF('Final Calculation Sheet'!$AB$40="","",'Final Calculation Sheet'!$AB$40)</f>
        <v/>
      </c>
      <c r="AD37" s="121">
        <f>IF('Final Calculation Sheet'!$AC$40="","",'Final Calculation Sheet'!$AC$40)</f>
        <v/>
      </c>
      <c r="AE37" s="121">
        <f>IF('Final Calculation Sheet'!$AD$40="","",'Final Calculation Sheet'!$AD$40)</f>
        <v/>
      </c>
      <c r="AF37" s="121">
        <f>IF('Final Calculation Sheet'!$AE$40="","",'Final Calculation Sheet'!$AE$40)</f>
        <v/>
      </c>
      <c r="AG37" s="125">
        <f>IF('Final Calculation Sheet'!$AF$40="","",'Final Calculation Sheet'!$AF$40)</f>
        <v/>
      </c>
      <c r="AH37" s="121">
        <f>IF('Final Calculation Sheet'!$AG$40="","",'Final Calculation Sheet'!$AG$40)</f>
        <v/>
      </c>
      <c r="AI37" s="126">
        <f>IF('Final Calculation Sheet'!$AD$40="","",IF('Final Calculation Sheet'!$AD$40&lt;=5,"SETTLED","OUTSTANDING"))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IF(AE38&lt;=5,"SETTLED","OUTSTANDING")</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Sheet'!$AD$31&lt;=5,"SETTLED","OUTSTANDING"))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IF(AE40&lt;=5,"SETTLED","OUTSTANDING")</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Sheet'!$AD$9&lt;=5,"SETTLED","OUTSTANDING"))</f>
        <v/>
      </c>
    </row>
    <row r="42" outlineLevel="1" ht="15" customHeight="1" s="77">
      <c r="A42" s="118" t="n">
        <v>2</v>
      </c>
      <c r="B42" s="119">
        <f>IF('Final Calculation Sheet'!$F$14="","",'Final Calculation Sheet'!$F$14)</f>
        <v/>
      </c>
      <c r="C42" s="119">
        <f>IF('Final Calculation Sheet'!$G$14="","",'Final Calculation Sheet'!$G$14)</f>
        <v/>
      </c>
      <c r="D42" s="120">
        <f>IF('Final Calculation Sheet'!$B$14="","",'Final Calculation Sheet'!$B$14)</f>
        <v/>
      </c>
      <c r="E42" s="120">
        <f>IF('Final Calculation Sheet'!$D$14="","",'Final Calculation Sheet'!$D$14)</f>
        <v/>
      </c>
      <c r="F42" s="120">
        <f>IF('Final Calculation Sheet'!$A$14="","",'Final Calculation Sheet'!$A$14)</f>
        <v/>
      </c>
      <c r="G42" s="120">
        <f>IF('Final Calculation Sheet'!$E$14="","",'Final Calculation Sheet'!$E$14)</f>
        <v/>
      </c>
      <c r="H42" s="121">
        <f>IF('Final Calculation Sheet'!$C$14="","",'Final Calculation Sheet'!$C$14)</f>
        <v/>
      </c>
      <c r="I42" s="121">
        <f>IF('Final Calculation Sheet'!$H$14="","",'Final Calculation Sheet'!$H$14)</f>
        <v/>
      </c>
      <c r="J42" s="121">
        <f>IF('Final Calculation Sheet'!$I$14="","",'Final Calculation Sheet'!$I$14)</f>
        <v/>
      </c>
      <c r="K42" s="121">
        <f>IF('Final Calculation Sheet'!$J$14="","",'Final Calculation Sheet'!$J$14)</f>
        <v/>
      </c>
      <c r="L42" s="121">
        <f>IF('Final Calculation Sheet'!$K$14="","",'Final Calculation Sheet'!$K$14)</f>
        <v/>
      </c>
      <c r="M42" s="121">
        <f>IF('Final Calculation Sheet'!$L$14="","",'Final Calculation Sheet'!$L$14)</f>
        <v/>
      </c>
      <c r="N42" s="121">
        <f>IF('Final Calculation Sheet'!$M$14="","",'Final Calculation Sheet'!$M$14)</f>
        <v/>
      </c>
      <c r="O42" s="122">
        <f>IF('Final Calculation Sheet'!$N$14="","",'Final Calculation Sheet'!$N$14)</f>
        <v/>
      </c>
      <c r="P42" s="121">
        <f>IF('Final Calculation Sheet'!$O$14="","",'Final Calculation Sheet'!$O$14)</f>
        <v/>
      </c>
      <c r="Q42" s="121">
        <f>IF('Final Calculation Sheet'!$P$14="","",'Final Calculation Sheet'!$P$14)</f>
        <v/>
      </c>
      <c r="R42" s="123">
        <f>IF('Final Calculation Sheet'!$Q$14="","",'Final Calculation Sheet'!$Q$14)</f>
        <v/>
      </c>
      <c r="S42" s="121">
        <f>IF('Final Calculation Sheet'!$R$14="","",'Final Calculation Sheet'!$R$14)</f>
        <v/>
      </c>
      <c r="T42" s="121">
        <f>IF('Final Calculation Sheet'!$S$14="","",'Final Calculation Sheet'!$S$14)</f>
        <v/>
      </c>
      <c r="U42" s="121">
        <f>IF('Final Calculation Sheet'!$T$14="","",'Final Calculation Sheet'!$T$14)</f>
        <v/>
      </c>
      <c r="V42" s="124">
        <f>IF('Final Calculation Sheet'!$U$14="","",'Final Calculation Sheet'!$U$14)</f>
        <v/>
      </c>
      <c r="W42" s="121">
        <f>IF('Final Calculation Sheet'!$V$14="","",'Final Calculation Sheet'!$V$14)</f>
        <v/>
      </c>
      <c r="X42" s="121">
        <f>IF('Final Calculation Sheet'!$W$14="","",'Final Calculation Sheet'!$W$14)</f>
        <v/>
      </c>
      <c r="Y42" s="121">
        <f>IF('Final Calculation Sheet'!$X$14="","",'Final Calculation Sheet'!$X$14)</f>
        <v/>
      </c>
      <c r="Z42" s="121">
        <f>IF('Final Calculation Sheet'!$Y$14="","",'Final Calculation Sheet'!$Y$14)</f>
        <v/>
      </c>
      <c r="AA42" s="121">
        <f>IF('Final Calculation Sheet'!$Z$14="","",'Final Calculation Sheet'!$Z$14)</f>
        <v/>
      </c>
      <c r="AB42" s="121">
        <f>IF('Final Calculation Sheet'!$AA$14="","",'Final Calculation Sheet'!$AA$14)</f>
        <v/>
      </c>
      <c r="AC42" s="121">
        <f>IF('Final Calculation Sheet'!$AB$14="","",'Final Calculation Sheet'!$AB$14)</f>
        <v/>
      </c>
      <c r="AD42" s="121">
        <f>IF('Final Calculation Sheet'!$AC$14="","",'Final Calculation Sheet'!$AC$14)</f>
        <v/>
      </c>
      <c r="AE42" s="121">
        <f>IF('Final Calculation Sheet'!$AD$14="","",'Final Calculation Sheet'!$AD$14)</f>
        <v/>
      </c>
      <c r="AF42" s="121">
        <f>IF('Final Calculation Sheet'!$AE$14="","",'Final Calculation Sheet'!$AE$14)</f>
        <v/>
      </c>
      <c r="AG42" s="125">
        <f>IF('Final Calculation Sheet'!$AF$14="","",'Final Calculation Sheet'!$AF$14)</f>
        <v/>
      </c>
      <c r="AH42" s="121">
        <f>IF('Final Calculation Sheet'!$AG$14="","",'Final Calculation Sheet'!$AG$14)</f>
        <v/>
      </c>
      <c r="AI42" s="126">
        <f>IF('Final Calculation Sheet'!$AD$14="","",IF('Final Calculation Sheet'!$AD$14&lt;=5,"SETTLED","OUTSTANDING"))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IF(AE43&lt;=5,"SETTLED","OUTSTANDING")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Sheet'!$AD$13&lt;=5,"SETTLED","OUTSTANDING"))</f>
        <v/>
      </c>
    </row>
    <row r="45" outlineLevel="1" ht="15" customHeight="1" s="77">
      <c r="A45" s="118" t="n">
        <v>2</v>
      </c>
      <c r="B45" s="119">
        <f>IF('Final Calculation Sheet'!$F$16="","",'Final Calculation Sheet'!$F$16)</f>
        <v/>
      </c>
      <c r="C45" s="119">
        <f>IF('Final Calculation Sheet'!$G$16="","",'Final Calculation Sheet'!$G$16)</f>
        <v/>
      </c>
      <c r="D45" s="120">
        <f>IF('Final Calculation Sheet'!$B$16="","",'Final Calculation Sheet'!$B$16)</f>
        <v/>
      </c>
      <c r="E45" s="120">
        <f>IF('Final Calculation Sheet'!$D$16="","",'Final Calculation Sheet'!$D$16)</f>
        <v/>
      </c>
      <c r="F45" s="120">
        <f>IF('Final Calculation Sheet'!$A$16="","",'Final Calculation Sheet'!$A$16)</f>
        <v/>
      </c>
      <c r="G45" s="120">
        <f>IF('Final Calculation Sheet'!$E$16="","",'Final Calculation Sheet'!$E$16)</f>
        <v/>
      </c>
      <c r="H45" s="121">
        <f>IF('Final Calculation Sheet'!$C$16="","",'Final Calculation Sheet'!$C$16)</f>
        <v/>
      </c>
      <c r="I45" s="121">
        <f>IF('Final Calculation Sheet'!$H$16="","",'Final Calculation Sheet'!$H$16)</f>
        <v/>
      </c>
      <c r="J45" s="121">
        <f>IF('Final Calculation Sheet'!$I$16="","",'Final Calculation Sheet'!$I$16)</f>
        <v/>
      </c>
      <c r="K45" s="121">
        <f>IF('Final Calculation Sheet'!$J$16="","",'Final Calculation Sheet'!$J$16)</f>
        <v/>
      </c>
      <c r="L45" s="121">
        <f>IF('Final Calculation Sheet'!$K$16="","",'Final Calculation Sheet'!$K$16)</f>
        <v/>
      </c>
      <c r="M45" s="121">
        <f>IF('Final Calculation Sheet'!$L$16="","",'Final Calculation Sheet'!$L$16)</f>
        <v/>
      </c>
      <c r="N45" s="121">
        <f>IF('Final Calculation Sheet'!$M$16="","",'Final Calculation Sheet'!$M$16)</f>
        <v/>
      </c>
      <c r="O45" s="122">
        <f>IF('Final Calculation Sheet'!$N$16="","",'Final Calculation Sheet'!$N$16)</f>
        <v/>
      </c>
      <c r="P45" s="121">
        <f>IF('Final Calculation Sheet'!$O$16="","",'Final Calculation Sheet'!$O$16)</f>
        <v/>
      </c>
      <c r="Q45" s="121">
        <f>IF('Final Calculation Sheet'!$P$16="","",'Final Calculation Sheet'!$P$16)</f>
        <v/>
      </c>
      <c r="R45" s="123">
        <f>IF('Final Calculation Sheet'!$Q$16="","",'Final Calculation Sheet'!$Q$16)</f>
        <v/>
      </c>
      <c r="S45" s="121">
        <f>IF('Final Calculation Sheet'!$R$16="","",'Final Calculation Sheet'!$R$16)</f>
        <v/>
      </c>
      <c r="T45" s="121">
        <f>IF('Final Calculation Sheet'!$S$16="","",'Final Calculation Sheet'!$S$16)</f>
        <v/>
      </c>
      <c r="U45" s="121">
        <f>IF('Final Calculation Sheet'!$T$16="","",'Final Calculation Sheet'!$T$16)</f>
        <v/>
      </c>
      <c r="V45" s="124">
        <f>IF('Final Calculation Sheet'!$U$16="","",'Final Calculation Sheet'!$U$16)</f>
        <v/>
      </c>
      <c r="W45" s="121">
        <f>IF('Final Calculation Sheet'!$V$16="","",'Final Calculation Sheet'!$V$16)</f>
        <v/>
      </c>
      <c r="X45" s="121">
        <f>IF('Final Calculation Sheet'!$W$16="","",'Final Calculation Sheet'!$W$16)</f>
        <v/>
      </c>
      <c r="Y45" s="121">
        <f>IF('Final Calculation Sheet'!$X$16="","",'Final Calculation Sheet'!$X$16)</f>
        <v/>
      </c>
      <c r="Z45" s="121">
        <f>IF('Final Calculation Sheet'!$Y$16="","",'Final Calculation Sheet'!$Y$16)</f>
        <v/>
      </c>
      <c r="AA45" s="121">
        <f>IF('Final Calculation Sheet'!$Z$16="","",'Final Calculation Sheet'!$Z$16)</f>
        <v/>
      </c>
      <c r="AB45" s="121">
        <f>IF('Final Calculation Sheet'!$AA$16="","",'Final Calculation Sheet'!$AA$16)</f>
        <v/>
      </c>
      <c r="AC45" s="121">
        <f>IF('Final Calculation Sheet'!$AB$16="","",'Final Calculation Sheet'!$AB$16)</f>
        <v/>
      </c>
      <c r="AD45" s="121">
        <f>IF('Final Calculation Sheet'!$AC$16="","",'Final Calculation Sheet'!$AC$16)</f>
        <v/>
      </c>
      <c r="AE45" s="121">
        <f>IF('Final Calculation Sheet'!$AD$16="","",'Final Calculation Sheet'!$AD$16)</f>
        <v/>
      </c>
      <c r="AF45" s="121">
        <f>IF('Final Calculation Sheet'!$AE$16="","",'Final Calculation Sheet'!$AE$16)</f>
        <v/>
      </c>
      <c r="AG45" s="125">
        <f>IF('Final Calculation Sheet'!$AF$16="","",'Final Calculation Sheet'!$AF$16)</f>
        <v/>
      </c>
      <c r="AH45" s="121">
        <f>IF('Final Calculation Sheet'!$AG$16="","",'Final Calculation Sheet'!$AG$16)</f>
        <v/>
      </c>
      <c r="AI45" s="126">
        <f>IF('Final Calculation Sheet'!$AD$16="","",IF('Final Calculation Sheet'!$AD$16&lt;=5,"SETTLED","OUTSTANDING"))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Sheet'!$AD$17&lt;=5,"SETTLED","OUTSTANDING"))</f>
        <v/>
      </c>
    </row>
    <row r="47" outlineLevel="1" ht="15" customHeight="1" s="77">
      <c r="A47" s="118" t="n">
        <v>4</v>
      </c>
      <c r="B47" s="119">
        <f>IF('Final Calculation Sheet'!$F$23="","",'Final Calculation Sheet'!$F$23)</f>
        <v/>
      </c>
      <c r="C47" s="119">
        <f>IF('Final Calculation Sheet'!$G$23="","",'Final Calculation Sheet'!$G$23)</f>
        <v/>
      </c>
      <c r="D47" s="120">
        <f>IF('Final Calculation Sheet'!$B$23="","",'Final Calculation Sheet'!$B$23)</f>
        <v/>
      </c>
      <c r="E47" s="120">
        <f>IF('Final Calculation Sheet'!$D$23="","",'Final Calculation Sheet'!$D$23)</f>
        <v/>
      </c>
      <c r="F47" s="120">
        <f>IF('Final Calculation Sheet'!$A$23="","",'Final Calculation Sheet'!$A$23)</f>
        <v/>
      </c>
      <c r="G47" s="120">
        <f>IF('Final Calculation Sheet'!$E$23="","",'Final Calculation Sheet'!$E$23)</f>
        <v/>
      </c>
      <c r="H47" s="121">
        <f>IF('Final Calculation Sheet'!$C$23="","",'Final Calculation Sheet'!$C$23)</f>
        <v/>
      </c>
      <c r="I47" s="121">
        <f>IF('Final Calculation Sheet'!$H$23="","",'Final Calculation Sheet'!$H$23)</f>
        <v/>
      </c>
      <c r="J47" s="121">
        <f>IF('Final Calculation Sheet'!$I$23="","",'Final Calculation Sheet'!$I$23)</f>
        <v/>
      </c>
      <c r="K47" s="121">
        <f>IF('Final Calculation Sheet'!$J$23="","",'Final Calculation Sheet'!$J$23)</f>
        <v/>
      </c>
      <c r="L47" s="121">
        <f>IF('Final Calculation Sheet'!$K$23="","",'Final Calculation Sheet'!$K$23)</f>
        <v/>
      </c>
      <c r="M47" s="121">
        <f>IF('Final Calculation Sheet'!$L$23="","",'Final Calculation Sheet'!$L$23)</f>
        <v/>
      </c>
      <c r="N47" s="121">
        <f>IF('Final Calculation Sheet'!$M$23="","",'Final Calculation Sheet'!$M$23)</f>
        <v/>
      </c>
      <c r="O47" s="122">
        <f>IF('Final Calculation Sheet'!$N$23="","",'Final Calculation Sheet'!$N$23)</f>
        <v/>
      </c>
      <c r="P47" s="121">
        <f>IF('Final Calculation Sheet'!$O$23="","",'Final Calculation Sheet'!$O$23)</f>
        <v/>
      </c>
      <c r="Q47" s="121">
        <f>IF('Final Calculation Sheet'!$P$23="","",'Final Calculation Sheet'!$P$23)</f>
        <v/>
      </c>
      <c r="R47" s="123">
        <f>IF('Final Calculation Sheet'!$Q$23="","",'Final Calculation Sheet'!$Q$23)</f>
        <v/>
      </c>
      <c r="S47" s="121">
        <f>IF('Final Calculation Sheet'!$R$23="","",'Final Calculation Sheet'!$R$23)</f>
        <v/>
      </c>
      <c r="T47" s="121">
        <f>IF('Final Calculation Sheet'!$S$23="","",'Final Calculation Sheet'!$S$23)</f>
        <v/>
      </c>
      <c r="U47" s="121">
        <f>IF('Final Calculation Sheet'!$T$23="","",'Final Calculation Sheet'!$T$23)</f>
        <v/>
      </c>
      <c r="V47" s="124">
        <f>IF('Final Calculation Sheet'!$U$23="","",'Final Calculation Sheet'!$U$23)</f>
        <v/>
      </c>
      <c r="W47" s="121">
        <f>IF('Final Calculation Sheet'!$V$23="","",'Final Calculation Sheet'!$V$23)</f>
        <v/>
      </c>
      <c r="X47" s="121">
        <f>IF('Final Calculation Sheet'!$W$23="","",'Final Calculation Sheet'!$W$23)</f>
        <v/>
      </c>
      <c r="Y47" s="121">
        <f>IF('Final Calculation Sheet'!$X$23="","",'Final Calculation Sheet'!$X$23)</f>
        <v/>
      </c>
      <c r="Z47" s="121">
        <f>IF('Final Calculation Sheet'!$Y$23="","",'Final Calculation Sheet'!$Y$23)</f>
        <v/>
      </c>
      <c r="AA47" s="121">
        <f>IF('Final Calculation Sheet'!$Z$23="","",'Final Calculation Sheet'!$Z$23)</f>
        <v/>
      </c>
      <c r="AB47" s="121">
        <f>IF('Final Calculation Sheet'!$AA$23="","",'Final Calculation Sheet'!$AA$23)</f>
        <v/>
      </c>
      <c r="AC47" s="121">
        <f>IF('Final Calculation Sheet'!$AB$23="","",'Final Calculation Sheet'!$AB$23)</f>
        <v/>
      </c>
      <c r="AD47" s="121">
        <f>IF('Final Calculation Sheet'!$AC$23="","",'Final Calculation Sheet'!$AC$23)</f>
        <v/>
      </c>
      <c r="AE47" s="121">
        <f>IF('Final Calculation Sheet'!$AD$23="","",'Final Calculation Sheet'!$AD$23)</f>
        <v/>
      </c>
      <c r="AF47" s="121">
        <f>IF('Final Calculation Sheet'!$AE$23="","",'Final Calculation Sheet'!$AE$23)</f>
        <v/>
      </c>
      <c r="AG47" s="125">
        <f>IF('Final Calculation Sheet'!$AF$23="","",'Final Calculation Sheet'!$AF$23)</f>
        <v/>
      </c>
      <c r="AH47" s="121">
        <f>IF('Final Calculation Sheet'!$AG$23="","",'Final Calculation Sheet'!$AG$23)</f>
        <v/>
      </c>
      <c r="AI47" s="126">
        <f>IF('Final Calculation Sheet'!$AD$23="","",IF('Final Calculation Sheet'!$AD$23&lt;=5,"SETTLED","OUTSTANDING"))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Sheet'!$AD$29&lt;=5,"SETTLED","OUTSTANDING"))</f>
        <v/>
      </c>
    </row>
    <row r="49" outlineLevel="1" ht="15" customHeight="1" s="77">
      <c r="A49" s="118" t="n">
        <v>6</v>
      </c>
      <c r="B49" s="119">
        <f>IF('Final Calculation Sheet'!$F$34="","",'Final Calculation Sheet'!$F$34)</f>
        <v/>
      </c>
      <c r="C49" s="119">
        <f>IF('Final Calculation Sheet'!$G$34="","",'Final Calculation Sheet'!$G$34)</f>
        <v/>
      </c>
      <c r="D49" s="120">
        <f>IF('Final Calculation Sheet'!$B$34="","",'Final Calculation Sheet'!$B$34)</f>
        <v/>
      </c>
      <c r="E49" s="120">
        <f>IF('Final Calculation Sheet'!$D$34="","",'Final Calculation Sheet'!$D$34)</f>
        <v/>
      </c>
      <c r="F49" s="120">
        <f>IF('Final Calculation Sheet'!$A$34="","",'Final Calculation Sheet'!$A$34)</f>
        <v/>
      </c>
      <c r="G49" s="120">
        <f>IF('Final Calculation Sheet'!$E$34="","",'Final Calculation Sheet'!$E$34)</f>
        <v/>
      </c>
      <c r="H49" s="121">
        <f>IF('Final Calculation Sheet'!$C$34="","",'Final Calculation Sheet'!$C$34)</f>
        <v/>
      </c>
      <c r="I49" s="121">
        <f>IF('Final Calculation Sheet'!$H$34="","",'Final Calculation Sheet'!$H$34)</f>
        <v/>
      </c>
      <c r="J49" s="121">
        <f>IF('Final Calculation Sheet'!$I$34="","",'Final Calculation Sheet'!$I$34)</f>
        <v/>
      </c>
      <c r="K49" s="121">
        <f>IF('Final Calculation Sheet'!$J$34="","",'Final Calculation Sheet'!$J$34)</f>
        <v/>
      </c>
      <c r="L49" s="121">
        <f>IF('Final Calculation Sheet'!$K$34="","",'Final Calculation Sheet'!$K$34)</f>
        <v/>
      </c>
      <c r="M49" s="121">
        <f>IF('Final Calculation Sheet'!$L$34="","",'Final Calculation Sheet'!$L$34)</f>
        <v/>
      </c>
      <c r="N49" s="121">
        <f>IF('Final Calculation Sheet'!$M$34="","",'Final Calculation Sheet'!$M$34)</f>
        <v/>
      </c>
      <c r="O49" s="122">
        <f>IF('Final Calculation Sheet'!$N$34="","",'Final Calculation Sheet'!$N$34)</f>
        <v/>
      </c>
      <c r="P49" s="121">
        <f>IF('Final Calculation Sheet'!$O$34="","",'Final Calculation Sheet'!$O$34)</f>
        <v/>
      </c>
      <c r="Q49" s="121">
        <f>IF('Final Calculation Sheet'!$P$34="","",'Final Calculation Sheet'!$P$34)</f>
        <v/>
      </c>
      <c r="R49" s="123">
        <f>IF('Final Calculation Sheet'!$Q$34="","",'Final Calculation Sheet'!$Q$34)</f>
        <v/>
      </c>
      <c r="S49" s="121">
        <f>IF('Final Calculation Sheet'!$R$34="","",'Final Calculation Sheet'!$R$34)</f>
        <v/>
      </c>
      <c r="T49" s="121">
        <f>IF('Final Calculation Sheet'!$S$34="","",'Final Calculation Sheet'!$S$34)</f>
        <v/>
      </c>
      <c r="U49" s="121">
        <f>IF('Final Calculation Sheet'!$T$34="","",'Final Calculation Sheet'!$T$34)</f>
        <v/>
      </c>
      <c r="V49" s="124">
        <f>IF('Final Calculation Sheet'!$U$34="","",'Final Calculation Sheet'!$U$34)</f>
        <v/>
      </c>
      <c r="W49" s="121">
        <f>IF('Final Calculation Sheet'!$V$34="","",'Final Calculation Sheet'!$V$34)</f>
        <v/>
      </c>
      <c r="X49" s="121">
        <f>IF('Final Calculation Sheet'!$W$34="","",'Final Calculation Sheet'!$W$34)</f>
        <v/>
      </c>
      <c r="Y49" s="121">
        <f>IF('Final Calculation Sheet'!$X$34="","",'Final Calculation Sheet'!$X$34)</f>
        <v/>
      </c>
      <c r="Z49" s="121">
        <f>IF('Final Calculation Sheet'!$Y$34="","",'Final Calculation Sheet'!$Y$34)</f>
        <v/>
      </c>
      <c r="AA49" s="121">
        <f>IF('Final Calculation Sheet'!$Z$34="","",'Final Calculation Sheet'!$Z$34)</f>
        <v/>
      </c>
      <c r="AB49" s="121">
        <f>IF('Final Calculation Sheet'!$AA$34="","",'Final Calculation Sheet'!$AA$34)</f>
        <v/>
      </c>
      <c r="AC49" s="121">
        <f>IF('Final Calculation Sheet'!$AB$34="","",'Final Calculation Sheet'!$AB$34)</f>
        <v/>
      </c>
      <c r="AD49" s="121">
        <f>IF('Final Calculation Sheet'!$AC$34="","",'Final Calculation Sheet'!$AC$34)</f>
        <v/>
      </c>
      <c r="AE49" s="121">
        <f>IF('Final Calculation Sheet'!$AD$34="","",'Final Calculation Sheet'!$AD$34)</f>
        <v/>
      </c>
      <c r="AF49" s="121">
        <f>IF('Final Calculation Sheet'!$AE$34="","",'Final Calculation Sheet'!$AE$34)</f>
        <v/>
      </c>
      <c r="AG49" s="125">
        <f>IF('Final Calculation Sheet'!$AF$34="","",'Final Calculation Sheet'!$AF$34)</f>
        <v/>
      </c>
      <c r="AH49" s="121">
        <f>IF('Final Calculation Sheet'!$AG$34="","",'Final Calculation Sheet'!$AG$34)</f>
        <v/>
      </c>
      <c r="AI49" s="126">
        <f>IF('Final Calculation Sheet'!$AD$34="","",IF('Final Calculation Sheet'!$AD$34&lt;=5,"SETTLED","OUTSTANDING"))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Sheet'!$AD$36&lt;=5,"SETTLED","OUTSTANDING"))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IF(AE51&lt;=5,"SETTLED","OUTSTANDING")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Sheet'!$AD$25&lt;=5,"SETTLED","OUTSTANDING"))</f>
        <v/>
      </c>
    </row>
    <row r="53" outlineLevel="1" ht="15" customHeight="1" s="77">
      <c r="A53" s="118" t="n">
        <v>2</v>
      </c>
      <c r="B53" s="119">
        <f>IF('Final Calculation Sheet'!$F$28="","",'Final Calculation Sheet'!$F$28)</f>
        <v/>
      </c>
      <c r="C53" s="119">
        <f>IF('Final Calculation Sheet'!$G$28="","",'Final Calculation Sheet'!$G$28)</f>
        <v/>
      </c>
      <c r="D53" s="120">
        <f>IF('Final Calculation Sheet'!$B$28="","",'Final Calculation Sheet'!$B$28)</f>
        <v/>
      </c>
      <c r="E53" s="120">
        <f>IF('Final Calculation Sheet'!$D$28="","",'Final Calculation Sheet'!$D$28)</f>
        <v/>
      </c>
      <c r="F53" s="120">
        <f>IF('Final Calculation Sheet'!$A$28="","",'Final Calculation Sheet'!$A$28)</f>
        <v/>
      </c>
      <c r="G53" s="120">
        <f>IF('Final Calculation Sheet'!$E$28="","",'Final Calculation Sheet'!$E$28)</f>
        <v/>
      </c>
      <c r="H53" s="121">
        <f>IF('Final Calculation Sheet'!$C$28="","",'Final Calculation Sheet'!$C$28)</f>
        <v/>
      </c>
      <c r="I53" s="121">
        <f>IF('Final Calculation Sheet'!$H$28="","",'Final Calculation Sheet'!$H$28)</f>
        <v/>
      </c>
      <c r="J53" s="121">
        <f>IF('Final Calculation Sheet'!$I$28="","",'Final Calculation Sheet'!$I$28)</f>
        <v/>
      </c>
      <c r="K53" s="121">
        <f>IF('Final Calculation Sheet'!$J$28="","",'Final Calculation Sheet'!$J$28)</f>
        <v/>
      </c>
      <c r="L53" s="121">
        <f>IF('Final Calculation Sheet'!$K$28="","",'Final Calculation Sheet'!$K$28)</f>
        <v/>
      </c>
      <c r="M53" s="121">
        <f>IF('Final Calculation Sheet'!$L$28="","",'Final Calculation Sheet'!$L$28)</f>
        <v/>
      </c>
      <c r="N53" s="121">
        <f>IF('Final Calculation Sheet'!$M$28="","",'Final Calculation Sheet'!$M$28)</f>
        <v/>
      </c>
      <c r="O53" s="122">
        <f>IF('Final Calculation Sheet'!$N$28="","",'Final Calculation Sheet'!$N$28)</f>
        <v/>
      </c>
      <c r="P53" s="121">
        <f>IF('Final Calculation Sheet'!$O$28="","",'Final Calculation Sheet'!$O$28)</f>
        <v/>
      </c>
      <c r="Q53" s="121">
        <f>IF('Final Calculation Sheet'!$P$28="","",'Final Calculation Sheet'!$P$28)</f>
        <v/>
      </c>
      <c r="R53" s="123">
        <f>IF('Final Calculation Sheet'!$Q$28="","",'Final Calculation Sheet'!$Q$28)</f>
        <v/>
      </c>
      <c r="S53" s="121">
        <f>IF('Final Calculation Sheet'!$R$28="","",'Final Calculation Sheet'!$R$28)</f>
        <v/>
      </c>
      <c r="T53" s="121">
        <f>IF('Final Calculation Sheet'!$S$28="","",'Final Calculation Sheet'!$S$28)</f>
        <v/>
      </c>
      <c r="U53" s="121">
        <f>IF('Final Calculation Sheet'!$T$28="","",'Final Calculation Sheet'!$T$28)</f>
        <v/>
      </c>
      <c r="V53" s="124">
        <f>IF('Final Calculation Sheet'!$U$28="","",'Final Calculation Sheet'!$U$28)</f>
        <v/>
      </c>
      <c r="W53" s="121">
        <f>IF('Final Calculation Sheet'!$V$28="","",'Final Calculation Sheet'!$V$28)</f>
        <v/>
      </c>
      <c r="X53" s="121">
        <f>IF('Final Calculation Sheet'!$W$28="","",'Final Calculation Sheet'!$W$28)</f>
        <v/>
      </c>
      <c r="Y53" s="121">
        <f>IF('Final Calculation Sheet'!$X$28="","",'Final Calculation Sheet'!$X$28)</f>
        <v/>
      </c>
      <c r="Z53" s="121">
        <f>IF('Final Calculation Sheet'!$Y$28="","",'Final Calculation Sheet'!$Y$28)</f>
        <v/>
      </c>
      <c r="AA53" s="121">
        <f>IF('Final Calculation Sheet'!$Z$28="","",'Final Calculation Sheet'!$Z$28)</f>
        <v/>
      </c>
      <c r="AB53" s="121">
        <f>IF('Final Calculation Sheet'!$AA$28="","",'Final Calculation Sheet'!$AA$28)</f>
        <v/>
      </c>
      <c r="AC53" s="121">
        <f>IF('Final Calculation Sheet'!$AB$28="","",'Final Calculation Sheet'!$AB$28)</f>
        <v/>
      </c>
      <c r="AD53" s="121">
        <f>IF('Final Calculation Sheet'!$AC$28="","",'Final Calculation Sheet'!$AC$28)</f>
        <v/>
      </c>
      <c r="AE53" s="121">
        <f>IF('Final Calculation Sheet'!$AD$28="","",'Final Calculation Sheet'!$AD$28)</f>
        <v/>
      </c>
      <c r="AF53" s="121">
        <f>IF('Final Calculation Sheet'!$AE$28="","",'Final Calculation Sheet'!$AE$28)</f>
        <v/>
      </c>
      <c r="AG53" s="125">
        <f>IF('Final Calculation Sheet'!$AF$28="","",'Final Calculation Sheet'!$AF$28)</f>
        <v/>
      </c>
      <c r="AH53" s="121">
        <f>IF('Final Calculation Sheet'!$AG$28="","",'Final Calculation Sheet'!$AG$28)</f>
        <v/>
      </c>
      <c r="AI53" s="126">
        <f>IF('Final Calculation Sheet'!$AD$28="","",IF('Final Calculation Sheet'!$AD$28&lt;=5,"SETTLED","OUTSTANDING"))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Sheet'!$AD$35&lt;=5,"SETTLED","OUTSTANDING"))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IF(AE55&lt;=5,"SETTLED","OUTSTANDING")</f>
        <v/>
      </c>
    </row>
    <row r="56" ht="15" customHeight="1" s="77">
      <c r="A56" s="127" t="inlineStr">
        <is>
          <t>∑</t>
        </is>
      </c>
      <c r="B56" s="128" t="n"/>
      <c r="C56" s="128">
        <f>COUNTA('Final Calculation Sheet'!$G$4:$G$40)&amp;" lot(s)"</f>
        <v/>
      </c>
      <c r="D56" s="128" t="inlineStr">
        <is>
          <t>TOTAL — every buyer together</t>
        </is>
      </c>
      <c r="E56" s="128" t="inlineStr">
        <is>
          <t>–</t>
        </is>
      </c>
      <c r="F56" s="128">
        <f>SUM(F7,F10,F12,F14,F16,F30,F32,F35,F38,F40,F43,F51,F55)</f>
        <v/>
      </c>
      <c r="G56" s="128" t="inlineStr">
        <is>
          <t>–</t>
        </is>
      </c>
      <c r="H56" s="129" t="inlineStr">
        <is>
          <t>–</t>
        </is>
      </c>
      <c r="I56" s="129">
        <f>SUM(I7,I10,I12,I14,I16,I30,I32,I35,I38,I40,I43,I51,I55)</f>
        <v/>
      </c>
      <c r="J56" s="129">
        <f>SUM(J7,J10,J12,J14,J16,J30,J32,J35,J38,J40,J43,J51,J55)</f>
        <v/>
      </c>
      <c r="K56" s="129">
        <f>SUM(K7,K10,K12,K14,K16,K30,K32,K35,K38,K40,K43,K51,K55)</f>
        <v/>
      </c>
      <c r="L56" s="129">
        <f>SUM(L7,L10,L12,L14,L16,L30,L32,L35,L38,L40,L43,L51,L55)</f>
        <v/>
      </c>
      <c r="M56" s="129">
        <f>SUM(M7,M10,M12,M14,M16,M30,M32,M35,M38,M40,M43,M51,M55)</f>
        <v/>
      </c>
      <c r="N56" s="129">
        <f>SUM(N7,N10,N12,N14,N16,N30,N32,N35,N38,N40,N43,N51,N55)</f>
        <v/>
      </c>
      <c r="O56" s="130">
        <f>SUM(O7,O10,O12,O14,O16,O30,O32,O35,O38,O40,O43,O51,O55)</f>
        <v/>
      </c>
      <c r="P56" s="129">
        <f>SUM(P7,P10,P12,P14,P16,P30,P32,P35,P38,P40,P43,P51,P55)</f>
        <v/>
      </c>
      <c r="Q56" s="129">
        <f>SUM(Q7,Q10,Q12,Q14,Q16,Q30,Q32,Q35,Q38,Q40,Q43,Q51,Q55)</f>
        <v/>
      </c>
      <c r="R56" s="131" t="inlineStr">
        <is>
          <t>–</t>
        </is>
      </c>
      <c r="S56" s="129">
        <f>SUM(S7,S10,S12,S14,S16,S30,S32,S35,S38,S40,S43,S51,S55)</f>
        <v/>
      </c>
      <c r="T56" s="129">
        <f>SUM(T7,T10,T12,T14,T16,T30,T32,T35,T38,T40,T43,T51,T55)</f>
        <v/>
      </c>
      <c r="U56" s="129">
        <f>SUM(U7,U10,U12,U14,U16,U30,U32,U35,U38,U40,U43,U51,U55)</f>
        <v/>
      </c>
      <c r="V56" s="132">
        <f>SUM(V7,V10,V12,V14,V16,V30,V32,V35,V38,V40,V43,V51,V55)</f>
        <v/>
      </c>
      <c r="W56" s="129" t="inlineStr">
        <is>
          <t>–</t>
        </is>
      </c>
      <c r="X56" s="129">
        <f>SUM(X7,X10,X12,X14,X16,X30,X32,X35,X38,X40,X43,X51,X55)</f>
        <v/>
      </c>
      <c r="Y56" s="129">
        <f>SUM(Y7,Y10,Y12,Y14,Y16,Y30,Y32,Y35,Y38,Y40,Y43,Y51,Y55)</f>
        <v/>
      </c>
      <c r="Z56" s="129" t="inlineStr">
        <is>
          <t>–</t>
        </is>
      </c>
      <c r="AA56" s="129">
        <f>SUM(AA7,AA10,AA12,AA14,AA16,AA30,AA32,AA35,AA38,AA40,AA43,AA51,AA55)</f>
        <v/>
      </c>
      <c r="AB56" s="129">
        <f>SUM(AB7,AB10,AB12,AB14,AB16,AB30,AB32,AB35,AB38,AB40,AB43,AB51,AB55)</f>
        <v/>
      </c>
      <c r="AC56" s="129" t="inlineStr">
        <is>
          <t>–</t>
        </is>
      </c>
      <c r="AD56" s="129">
        <f>SUM(AD7,AD10,AD12,AD14,AD16,AD30,AD32,AD35,AD38,AD40,AD43,AD51,AD55)</f>
        <v/>
      </c>
      <c r="AE56" s="129">
        <f>SUM(AE7,AE10,AE12,AE14,AE16,AE30,AE32,AE35,AE38,AE40,AE43,AE51,AE55)</f>
        <v/>
      </c>
      <c r="AF56" s="129" t="inlineStr">
        <is>
          <t>–</t>
        </is>
      </c>
      <c r="AG56" s="133" t="inlineStr">
        <is>
          <t>–</t>
        </is>
      </c>
      <c r="AH56" s="129" t="inlineStr">
        <is>
          <t>–</t>
        </is>
      </c>
      <c r="AI56" s="134">
        <f>IF(AE56&lt;=5,"SETTLED","OUTSTANDING")</f>
        <v/>
      </c>
    </row>
    <row r="57" ht="15" customHeight="1" s="77">
      <c r="A57" s="135" t="inlineStr">
        <is>
          <t>∑</t>
        </is>
      </c>
      <c r="B57" s="136" t="n"/>
      <c r="C57" s="136">
        <f>COUNTA('Final Calculation Sheet'!$G$4:$G$40)&amp;" lot(s)"</f>
        <v/>
      </c>
      <c r="D57" s="136" t="inlineStr">
        <is>
          <t>GRAND TOTAL — cross-checked to source</t>
        </is>
      </c>
      <c r="E57" s="136" t="inlineStr">
        <is>
          <t>–</t>
        </is>
      </c>
      <c r="F57" s="136">
        <f>SUM('Final Calculation Sheet'!$A$4:$A$40)</f>
        <v/>
      </c>
      <c r="G57" s="136" t="inlineStr">
        <is>
          <t>–</t>
        </is>
      </c>
      <c r="H57" s="137" t="inlineStr">
        <is>
          <t>–</t>
        </is>
      </c>
      <c r="I57" s="137">
        <f>SUM('Final Calculation Sheet'!$H$4:$H$40)</f>
        <v/>
      </c>
      <c r="J57" s="137">
        <f>SUM('Final Calculation Sheet'!$I$4:$I$40)</f>
        <v/>
      </c>
      <c r="K57" s="137">
        <f>SUM('Final Calculation Sheet'!$J$4:$J$40)</f>
        <v/>
      </c>
      <c r="L57" s="137">
        <f>SUM('Final Calculation Sheet'!$K$4:$K$40)</f>
        <v/>
      </c>
      <c r="M57" s="137">
        <f>SUM('Final Calculation Sheet'!$L$4:$L$40)</f>
        <v/>
      </c>
      <c r="N57" s="137">
        <f>SUM('Final Calculation Sheet'!$M$4:$M$40)</f>
        <v/>
      </c>
      <c r="O57" s="138">
        <f>SUM('Final Calculation Sheet'!$N$4:$N$40)</f>
        <v/>
      </c>
      <c r="P57" s="137">
        <f>SUM('Final Calculation Sheet'!$O$4:$O$40)</f>
        <v/>
      </c>
      <c r="Q57" s="137">
        <f>SUM('Final Calculation Sheet'!$P$4:$P$40)</f>
        <v/>
      </c>
      <c r="R57" s="139" t="inlineStr">
        <is>
          <t>–</t>
        </is>
      </c>
      <c r="S57" s="137">
        <f>SUM('Final Calculation Sheet'!$R$4:$R$40)</f>
        <v/>
      </c>
      <c r="T57" s="137">
        <f>SUM('Final Calculation Sheet'!$S$4:$S$40)</f>
        <v/>
      </c>
      <c r="U57" s="137">
        <f>SUM('Final Calculation Sheet'!$T$4:$T$40)</f>
        <v/>
      </c>
      <c r="V57" s="140">
        <f>SUM('Final Calculation Sheet'!$U$4:$U$40)</f>
        <v/>
      </c>
      <c r="W57" s="137" t="inlineStr">
        <is>
          <t>–</t>
        </is>
      </c>
      <c r="X57" s="137">
        <f>SUM('Final Calculation Sheet'!$W$4:$W$40)</f>
        <v/>
      </c>
      <c r="Y57" s="137">
        <f>SUM('Final Calculation Sheet'!$X$4:$X$40)</f>
        <v/>
      </c>
      <c r="Z57" s="137" t="inlineStr">
        <is>
          <t>–</t>
        </is>
      </c>
      <c r="AA57" s="137">
        <f>SUM('Final Calculation Sheet'!$Z$4:$Z$40)</f>
        <v/>
      </c>
      <c r="AB57" s="137">
        <f>SUM('Final Calculation Sheet'!$AA$4:$AA$40)</f>
        <v/>
      </c>
      <c r="AC57" s="137" t="inlineStr">
        <is>
          <t>–</t>
        </is>
      </c>
      <c r="AD57" s="137">
        <f>SUM('Final Calculation Sheet'!$AC$4:$AC$40)</f>
        <v/>
      </c>
      <c r="AE57" s="137">
        <f>SUM('Final Calculation Sheet'!$AD$4:$AD$40)</f>
        <v/>
      </c>
      <c r="AF57" s="137" t="inlineStr">
        <is>
          <t>–</t>
        </is>
      </c>
      <c r="AG57" s="141" t="inlineStr">
        <is>
          <t>–</t>
        </is>
      </c>
      <c r="AH57" s="137" t="inlineStr">
        <is>
          <t>–</t>
        </is>
      </c>
      <c r="AI57" s="142">
        <f>IF(AE57&lt;=5,"SETTLED","OUTSTANDING")</f>
        <v/>
      </c>
    </row>
  </sheetData>
  <autoFilter ref="A5:AI55"/>
  <mergeCells count="2">
    <mergeCell ref="A2:AI2"/>
    <mergeCell ref="A1:AI1"/>
  </mergeCells>
  <conditionalFormatting sqref="AE6:AE57">
    <cfRule type="cellIs" priority="1" operator="greaterThan" dxfId="2">
      <formula>5</formula>
    </cfRule>
  </conditionalFormatting>
  <conditionalFormatting sqref="AI6:AI57">
    <cfRule type="cellIs" priority="2" operator="equal" dxfId="1">
      <formula>"SETTLED"</formula>
    </cfRule>
    <cfRule type="cellIs" priority="3" operator="equal" dxfId="0">
      <formula>"OUTSTANDING"</formula>
    </cfRule>
  </conditionalFormatting>
  <conditionalFormatting sqref="B6:B55">
    <cfRule type="expression" priority="4" dxfId="5">
      <formula>AND(ISNUMBER($A6),$B$4&lt;&gt;"",IF($B$4="(blank)",B6="",IF($B$4="(nonblank)",B6&lt;&gt;"",ISNUMBER(SEARCH($B$4,B6)))))</formula>
    </cfRule>
  </conditionalFormatting>
  <conditionalFormatting sqref="C6:C55">
    <cfRule type="expression" priority="5" dxfId="5">
      <formula>AND(ISNUMBER($A6),$C$4&lt;&gt;"",IF($C$4="(blank)",C6="",IF($C$4="(nonblank)",C6&lt;&gt;"",ISNUMBER(SEARCH($C$4,C6)))))</formula>
    </cfRule>
  </conditionalFormatting>
  <conditionalFormatting sqref="D6:D55">
    <cfRule type="expression" priority="6" dxfId="5">
      <formula>AND(ISNUMBER($A6),$D$4&lt;&gt;"",IF($D$4="(blank)",D6="",IF($D$4="(nonblank)",D6&lt;&gt;"",ISNUMBER(SEARCH($D$4,D6)))))</formula>
    </cfRule>
  </conditionalFormatting>
  <conditionalFormatting sqref="E6:E55">
    <cfRule type="expression" priority="7" dxfId="5">
      <formula>AND(ISNUMBER($A6),$E$4&lt;&gt;"",IF($E$4="(blank)",E6="",IF($E$4="(nonblank)",E6&lt;&gt;"",ISNUMBER(SEARCH($E$4,E6)))))</formula>
    </cfRule>
  </conditionalFormatting>
  <conditionalFormatting sqref="F6:F55">
    <cfRule type="expression" priority="8" dxfId="5">
      <formula>AND(ISNUMBER($A6),$F$4&lt;&gt;"",IF($F$4="(blank)",F6="",IF($F$4="(nonblank)",F6&lt;&gt;"",ISNUMBER(SEARCH($F$4,F6)))))</formula>
    </cfRule>
  </conditionalFormatting>
  <conditionalFormatting sqref="G6:G55">
    <cfRule type="expression" priority="9" dxfId="5">
      <formula>AND(ISNUMBER($A6),$G$4&lt;&gt;"",IF($G$4="(blank)",G6="",IF($G$4="(nonblank)",G6&lt;&gt;"",ISNUMBER(SEARCH($G$4,G6)))))</formula>
    </cfRule>
  </conditionalFormatting>
  <conditionalFormatting sqref="H6:H55">
    <cfRule type="expression" priority="10" dxfId="5">
      <formula>AND(ISNUMBER($A6),$H$4&lt;&gt;"",IF($H$4="(blank)",H6="",IF($H$4="(nonblank)",H6&lt;&gt;"",ISNUMBER(SEARCH($H$4,H6)))))</formula>
    </cfRule>
  </conditionalFormatting>
  <conditionalFormatting sqref="I6:I55">
    <cfRule type="expression" priority="11" dxfId="5">
      <formula>AND(ISNUMBER($A6),$I$4&lt;&gt;"",IF($I$4="(blank)",I6="",IF($I$4="(nonblank)",I6&lt;&gt;"",ISNUMBER(SEARCH($I$4,I6)))))</formula>
    </cfRule>
  </conditionalFormatting>
  <conditionalFormatting sqref="J6:J55">
    <cfRule type="expression" priority="12" dxfId="5">
      <formula>AND(ISNUMBER($A6),$J$4&lt;&gt;"",IF($J$4="(blank)",J6="",IF($J$4="(nonblank)",J6&lt;&gt;"",ISNUMBER(SEARCH($J$4,J6)))))</formula>
    </cfRule>
  </conditionalFormatting>
  <conditionalFormatting sqref="K6:K55">
    <cfRule type="expression" priority="13" dxfId="5">
      <formula>AND(ISNUMBER($A6),$K$4&lt;&gt;"",IF($K$4="(blank)",K6="",IF($K$4="(nonblank)",K6&lt;&gt;"",ISNUMBER(SEARCH($K$4,K6)))))</formula>
    </cfRule>
  </conditionalFormatting>
  <conditionalFormatting sqref="L6:L55">
    <cfRule type="expression" priority="14" dxfId="5">
      <formula>AND(ISNUMBER($A6),$L$4&lt;&gt;"",IF($L$4="(blank)",L6="",IF($L$4="(nonblank)",L6&lt;&gt;"",ISNUMBER(SEARCH($L$4,L6)))))</formula>
    </cfRule>
  </conditionalFormatting>
  <conditionalFormatting sqref="M6:M55">
    <cfRule type="expression" priority="15" dxfId="5">
      <formula>AND(ISNUMBER($A6),$M$4&lt;&gt;"",IF($M$4="(blank)",M6="",IF($M$4="(nonblank)",M6&lt;&gt;"",ISNUMBER(SEARCH($M$4,M6)))))</formula>
    </cfRule>
  </conditionalFormatting>
  <conditionalFormatting sqref="N6:N55">
    <cfRule type="expression" priority="16" dxfId="5">
      <formula>AND(ISNUMBER($A6),$N$4&lt;&gt;"",IF($N$4="(blank)",N6="",IF($N$4="(nonblank)",N6&lt;&gt;"",ISNUMBER(SEARCH($N$4,N6)))))</formula>
    </cfRule>
  </conditionalFormatting>
  <conditionalFormatting sqref="O6:O55">
    <cfRule type="expression" priority="17" dxfId="5">
      <formula>AND(ISNUMBER($A6),$O$4&lt;&gt;"",IF($O$4="(blank)",O6="",IF($O$4="(nonblank)",O6&lt;&gt;"",ISNUMBER(SEARCH($O$4,O6)))))</formula>
    </cfRule>
  </conditionalFormatting>
  <conditionalFormatting sqref="P6:P55">
    <cfRule type="expression" priority="18" dxfId="5">
      <formula>AND(ISNUMBER($A6),$P$4&lt;&gt;"",IF($P$4="(blank)",P6="",IF($P$4="(nonblank)",P6&lt;&gt;"",ISNUMBER(SEARCH($P$4,P6)))))</formula>
    </cfRule>
  </conditionalFormatting>
  <conditionalFormatting sqref="Q6:Q55">
    <cfRule type="expression" priority="19" dxfId="5">
      <formula>AND(ISNUMBER($A6),$Q$4&lt;&gt;"",IF($Q$4="(blank)",Q6="",IF($Q$4="(nonblank)",Q6&lt;&gt;"",ISNUMBER(SEARCH($Q$4,Q6)))))</formula>
    </cfRule>
  </conditionalFormatting>
  <conditionalFormatting sqref="R6:R55">
    <cfRule type="expression" priority="20" dxfId="5">
      <formula>AND(ISNUMBER($A6),$R$4&lt;&gt;"",IF($R$4="(blank)",R6="",IF($R$4="(nonblank)",R6&lt;&gt;"",ISNUMBER(SEARCH($R$4,R6)))))</formula>
    </cfRule>
  </conditionalFormatting>
  <conditionalFormatting sqref="S6:S55">
    <cfRule type="expression" priority="21" dxfId="5">
      <formula>AND(ISNUMBER($A6),$S$4&lt;&gt;"",IF($S$4="(blank)",S6="",IF($S$4="(nonblank)",S6&lt;&gt;"",ISNUMBER(SEARCH($S$4,S6)))))</formula>
    </cfRule>
  </conditionalFormatting>
  <conditionalFormatting sqref="T6:T55">
    <cfRule type="expression" priority="22" dxfId="5">
      <formula>AND(ISNUMBER($A6),$T$4&lt;&gt;"",IF($T$4="(blank)",T6="",IF($T$4="(nonblank)",T6&lt;&gt;"",ISNUMBER(SEARCH($T$4,T6)))))</formula>
    </cfRule>
  </conditionalFormatting>
  <conditionalFormatting sqref="U6:U55">
    <cfRule type="expression" priority="23" dxfId="5">
      <formula>AND(ISNUMBER($A6),$U$4&lt;&gt;"",IF($U$4="(blank)",U6="",IF($U$4="(nonblank)",U6&lt;&gt;"",ISNUMBER(SEARCH($U$4,U6)))))</formula>
    </cfRule>
  </conditionalFormatting>
  <conditionalFormatting sqref="V6:V55">
    <cfRule type="expression" priority="24" dxfId="5">
      <formula>AND(ISNUMBER($A6),$V$4&lt;&gt;"",IF($V$4="(blank)",V6="",IF($V$4="(nonblank)",V6&lt;&gt;"",ISNUMBER(SEARCH($V$4,V6)))))</formula>
    </cfRule>
  </conditionalFormatting>
  <conditionalFormatting sqref="W6:W55">
    <cfRule type="expression" priority="25" dxfId="5">
      <formula>AND(ISNUMBER($A6),$W$4&lt;&gt;"",IF($W$4="(blank)",W6="",IF($W$4="(nonblank)",W6&lt;&gt;"",ISNUMBER(SEARCH($W$4,W6)))))</formula>
    </cfRule>
  </conditionalFormatting>
  <conditionalFormatting sqref="X6:X55">
    <cfRule type="expression" priority="26" dxfId="5">
      <formula>AND(ISNUMBER($A6),$X$4&lt;&gt;"",IF($X$4="(blank)",X6="",IF($X$4="(nonblank)",X6&lt;&gt;"",ISNUMBER(SEARCH($X$4,X6)))))</formula>
    </cfRule>
  </conditionalFormatting>
  <conditionalFormatting sqref="Y6:Y55">
    <cfRule type="expression" priority="27" dxfId="5">
      <formula>AND(ISNUMBER($A6),$Y$4&lt;&gt;"",IF($Y$4="(blank)",Y6="",IF($Y$4="(nonblank)",Y6&lt;&gt;"",ISNUMBER(SEARCH($Y$4,Y6)))))</formula>
    </cfRule>
  </conditionalFormatting>
  <conditionalFormatting sqref="Z6:Z55">
    <cfRule type="expression" priority="28" dxfId="5">
      <formula>AND(ISNUMBER($A6),$Z$4&lt;&gt;"",IF($Z$4="(blank)",Z6="",IF($Z$4="(nonblank)",Z6&lt;&gt;"",ISNUMBER(SEARCH($Z$4,Z6)))))</formula>
    </cfRule>
  </conditionalFormatting>
  <conditionalFormatting sqref="AA6:AA55">
    <cfRule type="expression" priority="29" dxfId="5">
      <formula>AND(ISNUMBER($A6),$AA$4&lt;&gt;"",IF($AA$4="(blank)",AA6="",IF($AA$4="(nonblank)",AA6&lt;&gt;"",ISNUMBER(SEARCH($AA$4,AA6)))))</formula>
    </cfRule>
  </conditionalFormatting>
  <conditionalFormatting sqref="AB6:AB55">
    <cfRule type="expression" priority="30" dxfId="5">
      <formula>AND(ISNUMBER($A6),$AB$4&lt;&gt;"",IF($AB$4="(blank)",AB6="",IF($AB$4="(nonblank)",AB6&lt;&gt;"",ISNUMBER(SEARCH($AB$4,AB6)))))</formula>
    </cfRule>
  </conditionalFormatting>
  <conditionalFormatting sqref="AC6:AC55">
    <cfRule type="expression" priority="31" dxfId="5">
      <formula>AND(ISNUMBER($A6),$AC$4&lt;&gt;"",IF($AC$4="(blank)",AC6="",IF($AC$4="(nonblank)",AC6&lt;&gt;"",ISNUMBER(SEARCH($AC$4,AC6)))))</formula>
    </cfRule>
  </conditionalFormatting>
  <conditionalFormatting sqref="AD6:AD55">
    <cfRule type="expression" priority="32" dxfId="5">
      <formula>AND(ISNUMBER($A6),$AD$4&lt;&gt;"",IF($AD$4="(blank)",AD6="",IF($AD$4="(nonblank)",AD6&lt;&gt;"",ISNUMBER(SEARCH($AD$4,AD6)))))</formula>
    </cfRule>
  </conditionalFormatting>
  <conditionalFormatting sqref="AE6:AE55">
    <cfRule type="expression" priority="33" dxfId="5">
      <formula>AND(ISNUMBER($A6),$AE$4&lt;&gt;"",IF($AE$4="(blank)",AE6="",IF($AE$4="(nonblank)",AE6&lt;&gt;"",ISNUMBER(SEARCH($AE$4,AE6)))))</formula>
    </cfRule>
  </conditionalFormatting>
  <conditionalFormatting sqref="AF6:AF55">
    <cfRule type="expression" priority="34" dxfId="5">
      <formula>AND(ISNUMBER($A6),$AF$4&lt;&gt;"",IF($AF$4="(blank)",AF6="",IF($AF$4="(nonblank)",AF6&lt;&gt;"",ISNUMBER(SEARCH($AF$4,AF6)))))</formula>
    </cfRule>
  </conditionalFormatting>
  <conditionalFormatting sqref="AG6:AG55">
    <cfRule type="expression" priority="35" dxfId="5">
      <formula>AND(ISNUMBER($A6),$AG$4&lt;&gt;"",IF($AG$4="(blank)",AG6="",IF($AG$4="(nonblank)",AG6&lt;&gt;"",ISNUMBER(SEARCH($AG$4,AG6)))))</formula>
    </cfRule>
  </conditionalFormatting>
  <conditionalFormatting sqref="AH6:AH55">
    <cfRule type="expression" priority="36" dxfId="5">
      <formula>AND(ISNUMBER($A6),$AH$4&lt;&gt;"",IF($AH$4="(blank)",AH6="",IF($AH$4="(nonblank)",AH6&lt;&gt;"",ISNUMBER(SEARCH($AH$4,AH6)))))</formula>
    </cfRule>
  </conditionalFormatting>
  <conditionalFormatting sqref="AI6:AI55">
    <cfRule type="expression" priority="37" dxfId="5">
      <formula>AND(ISNUMBER($A6),$AI$4&lt;&gt;"",IF($AI$4="(blank)",AI6="",IF($AI$4="(nonblank)",AI6&lt;&gt;"",ISNUMBER(SEARCH($AI$4,AI6)))))</formula>
    </cfRule>
  </conditionalFormatting>
  <dataValidations count="34">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2026-09-10T09:14:37Z</dcterms:modified>
  <cp:lastModifiedBy>S.M.C</cp:lastModifiedBy>
  <cp:revision>0</cp:revision>
</cp:coreProperties>
</file>