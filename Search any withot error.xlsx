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SUGN_B">'Buyer Groups'!$AN$4:INDEX('Buyer Groups'!$AN$4:$AN$42,MAX('Buyer Groups'!$AM$4:$AM$42)+2)</definedName>
    <definedName name="SUGN_C">'Buyer Groups'!$AP$4:INDEX('Buyer Groups'!$AP$4:$AP$42,MAX('Buyer Groups'!$AO$4:$AO$42)+2)</definedName>
    <definedName name="SUGN_D">'Buyer Groups'!$AR$4:INDEX('Buyer Groups'!$AR$4:$AR$42,MAX('Buyer Groups'!$AQ$4:$AQ$42)+2)</definedName>
    <definedName name="SUGN_E">'Buyer Groups'!$AT$4:INDEX('Buyer Groups'!$AT$4:$AT$42,MAX('Buyer Groups'!$AS$4:$AS$42)+2)</definedName>
    <definedName name="SUGN_F">'Buyer Groups'!$AV$4:INDEX('Buyer Groups'!$AV$4:$AV$42,MAX('Buyer Groups'!$AU$4:$AU$42)+2)</definedName>
    <definedName name="SUGN_G">'Buyer Groups'!$AX$4:INDEX('Buyer Groups'!$AX$4:$AX$42,MAX('Buyer Groups'!$AW$4:$AW$42)+2)</definedName>
    <definedName name="SUGN_H">'Buyer Groups'!$AZ$4:INDEX('Buyer Groups'!$AZ$4:$AZ$42,MAX('Buyer Groups'!$AY$4:$AY$42)+2)</definedName>
    <definedName name="SUGN_I">'Buyer Groups'!$BB$4:INDEX('Buyer Groups'!$BB$4:$BB$42,MAX('Buyer Groups'!$BA$4:$BA$42)+2)</definedName>
    <definedName name="SUGN_J">'Buyer Groups'!$BD$4:INDEX('Buyer Groups'!$BD$4:$BD$42,MAX('Buyer Groups'!$BC$4:$BC$42)+2)</definedName>
    <definedName name="SUGN_K">'Buyer Groups'!$BF$4:INDEX('Buyer Groups'!$BF$4:$BF$42,MAX('Buyer Groups'!$BE$4:$BE$42)+2)</definedName>
    <definedName name="SUGN_L">'Buyer Groups'!$BH$4:INDEX('Buyer Groups'!$BH$4:$BH$42,MAX('Buyer Groups'!$BG$4:$BG$42)+2)</definedName>
    <definedName name="SUGN_M">'Buyer Groups'!$BJ$4:INDEX('Buyer Groups'!$BJ$4:$BJ$42,MAX('Buyer Groups'!$BI$4:$BI$42)+2)</definedName>
    <definedName name="SUGN_N">'Buyer Groups'!$BL$4:INDEX('Buyer Groups'!$BL$4:$BL$42,MAX('Buyer Groups'!$BK$4:$BK$42)+2)</definedName>
    <definedName name="SUGN_O">'Buyer Groups'!$BN$4:INDEX('Buyer Groups'!$BN$4:$BN$42,MAX('Buyer Groups'!$BM$4:$BM$42)+2)</definedName>
    <definedName name="SUGN_P">'Buyer Groups'!$BP$4:INDEX('Buyer Groups'!$BP$4:$BP$42,MAX('Buyer Groups'!$BO$4:$BO$42)+2)</definedName>
    <definedName name="SUGN_Q">'Buyer Groups'!$BR$4:INDEX('Buyer Groups'!$BR$4:$BR$42,MAX('Buyer Groups'!$BQ$4:$BQ$42)+2)</definedName>
    <definedName name="SUGN_R">'Buyer Groups'!$BT$4:INDEX('Buyer Groups'!$BT$4:$BT$42,MAX('Buyer Groups'!$BS$4:$BS$42)+2)</definedName>
    <definedName name="SUGN_S">'Buyer Groups'!$BV$4:INDEX('Buyer Groups'!$BV$4:$BV$42,MAX('Buyer Groups'!$BU$4:$BU$42)+2)</definedName>
    <definedName name="SUGN_T">'Buyer Groups'!$BX$4:INDEX('Buyer Groups'!$BX$4:$BX$42,MAX('Buyer Groups'!$BW$4:$BW$42)+2)</definedName>
    <definedName name="SUGN_U">'Buyer Groups'!$BZ$4:INDEX('Buyer Groups'!$BZ$4:$BZ$42,MAX('Buyer Groups'!$BY$4:$BY$42)+2)</definedName>
    <definedName name="SUGN_V">'Buyer Groups'!$CB$4:INDEX('Buyer Groups'!$CB$4:$CB$42,MAX('Buyer Groups'!$CA$4:$CA$42)+2)</definedName>
    <definedName name="SUGN_W">'Buyer Groups'!$CD$4:INDEX('Buyer Groups'!$CD$4:$CD$42,MAX('Buyer Groups'!$CC$4:$CC$42)+2)</definedName>
    <definedName name="SUGN_X">'Buyer Groups'!$CF$4:INDEX('Buyer Groups'!$CF$4:$CF$42,MAX('Buyer Groups'!$CE$4:$CE$42)+2)</definedName>
    <definedName name="SUGN_Y">'Buyer Groups'!$CH$4:INDEX('Buyer Groups'!$CH$4:$CH$42,MAX('Buyer Groups'!$CG$4:$CG$42)+2)</definedName>
    <definedName name="SUGN_Z">'Buyer Groups'!$CJ$4:INDEX('Buyer Groups'!$CJ$4:$CJ$42,MAX('Buyer Groups'!$CI$4:$CI$42)+2)</definedName>
    <definedName name="SUGN_AA">'Buyer Groups'!$CL$4:INDEX('Buyer Groups'!$CL$4:$CL$42,MAX('Buyer Groups'!$CK$4:$CK$42)+2)</definedName>
    <definedName name="SUGN_AB">'Buyer Groups'!$CN$4:INDEX('Buyer Groups'!$CN$4:$CN$42,MAX('Buyer Groups'!$CM$4:$CM$42)+2)</definedName>
    <definedName name="SUGN_AC">'Buyer Groups'!$CP$4:INDEX('Buyer Groups'!$CP$4:$CP$42,MAX('Buyer Groups'!$CO$4:$CO$42)+2)</definedName>
    <definedName name="SUGN_AD">'Buyer Groups'!$CR$4:INDEX('Buyer Groups'!$CR$4:$CR$42,MAX('Buyer Groups'!$CQ$4:$CQ$42)+2)</definedName>
    <definedName name="SUGN_AE">'Buyer Groups'!$CT$4:INDEX('Buyer Groups'!$CT$4:$CT$42,MAX('Buyer Groups'!$CS$4:$CS$42)+2)</definedName>
    <definedName name="SUGN_AF">'Buyer Groups'!$CV$4:INDEX('Buyer Groups'!$CV$4:$CV$42,MAX('Buyer Groups'!$CU$4:$CU$42)+2)</definedName>
    <definedName name="SUGN_AG">'Buyer Groups'!$CX$4:INDEX('Buyer Groups'!$CX$4:$CX$42,MAX('Buyer Groups'!$CW$4:$CW$42)+2)</definedName>
    <definedName name="SUGN_AH">'Buyer Groups'!$CZ$4:INDEX('Buyer Groups'!$CZ$4:$CZ$42,MAX('Buyer Groups'!$CY$4:$CY$42)+2)</definedName>
    <definedName name="SUGN_AI">'Buyer Groups'!$DB$4:INDEX('Buyer Groups'!$DB$4:$DB$42,MAX('Buyer Groups'!$DA$4:$DA$42)+2)</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7">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
      <name val="Calibri"/>
      <b val="1"/>
      <color rgb="00FFFFFF"/>
      <sz val="10"/>
    </font>
    <font>
      <name val="Calibri"/>
      <b val="1"/>
      <color rgb="00FFFFFF"/>
      <sz val="11"/>
    </font>
    <font>
      <name val="Calibri"/>
      <b val="1"/>
      <color rgb="001F3864"/>
      <sz val="12"/>
    </font>
    <font/>
    <font>
      <name val="Calibri"/>
      <i val="1"/>
      <color rgb="00666666"/>
      <sz val="10"/>
    </font>
  </fonts>
  <fills count="22">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
      <patternFill patternType="solid">
        <fgColor rgb="001F3864"/>
      </patternFill>
    </fill>
    <fill>
      <patternFill patternType="solid">
        <fgColor rgb="00DDEBF7"/>
      </patternFill>
    </fill>
    <fill>
      <patternFill patternType="solid">
        <fgColor rgb="002F5496"/>
      </patternFill>
    </fill>
    <fill>
      <patternFill patternType="solid">
        <fgColor rgb="00F4F9FD"/>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
      <top style="double">
        <color rgb="00FFFFFF"/>
      </top>
    </border>
  </borders>
  <cellStyleXfs count="1">
    <xf numFmtId="0" fontId="0" fillId="0" borderId="0"/>
  </cellStyleXfs>
  <cellXfs count="16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xf numFmtId="0" fontId="7" fillId="18" borderId="0" applyAlignment="1" pivotButton="0" quotePrefix="0" xfId="0">
      <alignment horizontal="left" vertical="center" indent="1"/>
    </xf>
    <xf numFmtId="0" fontId="8" fillId="19" borderId="0" applyAlignment="1" pivotButton="0" quotePrefix="0" xfId="0">
      <alignment horizontal="left" vertical="center" wrapText="1"/>
    </xf>
    <xf numFmtId="0" fontId="24" fillId="17" borderId="17" applyAlignment="1" pivotButton="0" quotePrefix="0" xfId="0">
      <alignment horizontal="left" vertical="center" indent="1"/>
    </xf>
    <xf numFmtId="0" fontId="11" fillId="18" borderId="0" applyAlignment="1" pivotButton="0" quotePrefix="0" xfId="0">
      <alignment horizontal="right" vertical="center"/>
    </xf>
    <xf numFmtId="0" fontId="22" fillId="20" borderId="18" applyAlignment="1" pivotButton="0" quotePrefix="0" xfId="0">
      <alignment horizontal="center" vertical="center" wrapText="1"/>
    </xf>
    <xf numFmtId="0" fontId="22" fillId="20" borderId="0" applyAlignment="1" pivotButton="0" quotePrefix="0" xfId="0">
      <alignment horizontal="left" vertical="center"/>
    </xf>
    <xf numFmtId="0" fontId="22" fillId="20" borderId="0" pivotButton="0" quotePrefix="0" xfId="0"/>
    <xf numFmtId="0" fontId="20" fillId="18" borderId="23" pivotButton="0" quotePrefix="0" xfId="0"/>
    <xf numFmtId="1" fontId="15" fillId="21" borderId="0" applyAlignment="1" pivotButton="0" quotePrefix="0" xfId="0">
      <alignment horizontal="center" vertical="center" wrapText="1"/>
    </xf>
    <xf numFmtId="0" fontId="16" fillId="21" borderId="0" applyAlignment="1" pivotButton="0" quotePrefix="0" xfId="0">
      <alignment horizontal="left" vertical="center"/>
    </xf>
    <xf numFmtId="0" fontId="17" fillId="21" borderId="0" applyAlignment="1" pivotButton="0" quotePrefix="0" xfId="0">
      <alignment horizontal="left" vertical="center"/>
    </xf>
    <xf numFmtId="164" fontId="17" fillId="21" borderId="0" applyAlignment="1" pivotButton="0" quotePrefix="0" xfId="0">
      <alignment horizontal="right" vertical="center"/>
    </xf>
    <xf numFmtId="3" fontId="17" fillId="21" borderId="0" applyAlignment="1" pivotButton="0" quotePrefix="0" xfId="0">
      <alignment horizontal="right" vertical="center"/>
    </xf>
    <xf numFmtId="9" fontId="17" fillId="21" borderId="0" applyAlignment="1" pivotButton="0" quotePrefix="0" xfId="0">
      <alignment horizontal="right" vertical="center"/>
    </xf>
    <xf numFmtId="165" fontId="17" fillId="21" borderId="0" applyAlignment="1" pivotButton="0" quotePrefix="0" xfId="0">
      <alignment horizontal="right" vertical="center"/>
    </xf>
    <xf numFmtId="1" fontId="17" fillId="21" borderId="0" applyAlignment="1" pivotButton="0" quotePrefix="0" xfId="0">
      <alignment horizontal="right" vertical="center"/>
    </xf>
    <xf numFmtId="0" fontId="18" fillId="21" borderId="0" applyAlignment="1" pivotButton="0" quotePrefix="0" xfId="0">
      <alignment horizontal="center" vertical="center" wrapText="1"/>
    </xf>
    <xf numFmtId="1" fontId="23" fillId="18" borderId="24" applyAlignment="1" pivotButton="0" quotePrefix="0" xfId="0">
      <alignment horizontal="center" vertical="center" wrapText="1"/>
    </xf>
    <xf numFmtId="0" fontId="23" fillId="18" borderId="24" applyAlignment="1" pivotButton="0" quotePrefix="0" xfId="0">
      <alignment horizontal="left" vertical="center"/>
    </xf>
    <xf numFmtId="164" fontId="23" fillId="18" borderId="24" applyAlignment="1" pivotButton="0" quotePrefix="0" xfId="0">
      <alignment horizontal="right" vertical="center"/>
    </xf>
    <xf numFmtId="3" fontId="23" fillId="18" borderId="24" applyAlignment="1" pivotButton="0" quotePrefix="0" xfId="0">
      <alignment horizontal="right" vertical="center"/>
    </xf>
    <xf numFmtId="9" fontId="23" fillId="18" borderId="24" applyAlignment="1" pivotButton="0" quotePrefix="0" xfId="0">
      <alignment horizontal="right" vertical="center"/>
    </xf>
    <xf numFmtId="165" fontId="23" fillId="18" borderId="24" applyAlignment="1" pivotButton="0" quotePrefix="0" xfId="0">
      <alignment horizontal="right" vertical="center"/>
    </xf>
    <xf numFmtId="1" fontId="23" fillId="18" borderId="24" applyAlignment="1" pivotButton="0" quotePrefix="0" xfId="0">
      <alignment horizontal="right" vertical="center"/>
    </xf>
    <xf numFmtId="0" fontId="23" fillId="18" borderId="24" applyAlignment="1" pivotButton="0" quotePrefix="0" xfId="0">
      <alignment horizontal="center" vertical="center" wrapText="1"/>
    </xf>
    <xf numFmtId="1" fontId="23" fillId="15" borderId="0" applyAlignment="1" pivotButton="0" quotePrefix="0" xfId="0">
      <alignment horizontal="center" vertical="center" wrapText="1"/>
    </xf>
    <xf numFmtId="0" fontId="23" fillId="15" borderId="0" applyAlignment="1" pivotButton="0" quotePrefix="0" xfId="0">
      <alignment horizontal="left" vertical="center"/>
    </xf>
    <xf numFmtId="164" fontId="23" fillId="15" borderId="0" applyAlignment="1" pivotButton="0" quotePrefix="0" xfId="0">
      <alignment horizontal="right" vertical="center"/>
    </xf>
    <xf numFmtId="3" fontId="23" fillId="15" borderId="0" applyAlignment="1" pivotButton="0" quotePrefix="0" xfId="0">
      <alignment horizontal="right" vertical="center"/>
    </xf>
    <xf numFmtId="9" fontId="23" fillId="15" borderId="0" applyAlignment="1" pivotButton="0" quotePrefix="0" xfId="0">
      <alignment horizontal="right" vertical="center"/>
    </xf>
    <xf numFmtId="165" fontId="23" fillId="15" borderId="0" applyAlignment="1" pivotButton="0" quotePrefix="0" xfId="0">
      <alignment horizontal="right" vertical="center"/>
    </xf>
    <xf numFmtId="1" fontId="23" fillId="15" borderId="0" applyAlignment="1" pivotButton="0" quotePrefix="0" xfId="0">
      <alignment horizontal="right" vertical="center"/>
    </xf>
    <xf numFmtId="0" fontId="23" fillId="15" borderId="0" applyAlignment="1" pivotButton="0" quotePrefix="0" xfId="0">
      <alignment horizontal="center" vertical="center" wrapText="1"/>
    </xf>
    <xf numFmtId="0" fontId="25" fillId="0" borderId="0" applyAlignment="1" pivotButton="0" quotePrefix="0" xfId="0">
      <alignment horizontal="left" vertical="center"/>
    </xf>
    <xf numFmtId="0" fontId="25" fillId="0" borderId="0" pivotButton="0" quotePrefix="0" xfId="0"/>
    <xf numFmtId="0" fontId="23" fillId="18" borderId="0" pivotButton="0" quotePrefix="0" xfId="0"/>
    <xf numFmtId="0" fontId="15" fillId="0" borderId="0" pivotButton="0" quotePrefix="0" xfId="0"/>
    <xf numFmtId="0" fontId="16" fillId="0" borderId="0" pivotButton="0" quotePrefix="0" xfId="0"/>
    <xf numFmtId="0" fontId="26" fillId="0" borderId="0" pivotButton="0" quotePrefix="0" xfId="0"/>
    <xf numFmtId="0" fontId="17" fillId="0" borderId="0" pivotButton="0" quotePrefix="0" xfId="0"/>
    <xf numFmtId="164" fontId="17" fillId="0" borderId="0" pivotButton="0" quotePrefix="0" xfId="0"/>
    <xf numFmtId="3" fontId="17" fillId="0" borderId="0" pivotButton="0" quotePrefix="0" xfId="0"/>
    <xf numFmtId="9" fontId="17" fillId="0" borderId="0" pivotButton="0" quotePrefix="0" xfId="0"/>
    <xf numFmtId="165" fontId="17" fillId="0" borderId="0" pivotButton="0" quotePrefix="0" xfId="0"/>
    <xf numFmtId="1" fontId="17" fillId="0" borderId="0" pivotButton="0" quotePrefix="0" xfId="0"/>
    <xf numFmtId="0" fontId="18" fillId="0" borderId="0" pivotButton="0" quotePrefix="0" xfId="0"/>
    <xf numFmtId="0" fontId="15" fillId="21" borderId="0" pivotButton="0" quotePrefix="0" xfId="0"/>
    <xf numFmtId="0" fontId="16" fillId="21" borderId="0" pivotButton="0" quotePrefix="0" xfId="0"/>
    <xf numFmtId="0" fontId="17" fillId="21" borderId="0" pivotButton="0" quotePrefix="0" xfId="0"/>
    <xf numFmtId="164" fontId="17" fillId="21" borderId="0" pivotButton="0" quotePrefix="0" xfId="0"/>
    <xf numFmtId="3" fontId="17" fillId="21" borderId="0" pivotButton="0" quotePrefix="0" xfId="0"/>
    <xf numFmtId="9" fontId="17" fillId="21" borderId="0" pivotButton="0" quotePrefix="0" xfId="0"/>
    <xf numFmtId="165" fontId="17" fillId="21" borderId="0" pivotButton="0" quotePrefix="0" xfId="0"/>
    <xf numFmtId="1" fontId="17" fillId="21" borderId="0" pivotButton="0" quotePrefix="0" xfId="0"/>
    <xf numFmtId="0" fontId="18" fillId="21" borderId="0" pivotButton="0" quotePrefix="0" xfId="0"/>
  </cellXfs>
  <cellStyles count="1">
    <cellStyle name="Normal" xfId="0" builtinId="0"/>
  </cellStyles>
  <dxfs count="14">
    <dxf>
      <font>
        <b val="1"/>
        <color rgb="009C0006"/>
      </font>
      <fill>
        <patternFill patternType="solid">
          <fgColor rgb="00FCE4E4"/>
        </patternFill>
      </fill>
    </dxf>
    <dxf>
      <font>
        <b val="1"/>
        <color rgb="00375623"/>
      </font>
      <fill>
        <patternFill patternType="solid">
          <fgColor rgb="00E2EFDA"/>
        </patternFill>
      </fill>
    </dxf>
    <dxf>
      <font>
        <b val="1"/>
        <color rgb="FF9C0006"/>
      </font>
      <fill>
        <patternFill patternType="solid">
          <fgColor rgb="00FCE4E4"/>
        </patternFill>
      </fill>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ont>
        <b val="1"/>
        <color rgb="001F3864"/>
      </font>
      <fill>
        <patternFill patternType="solid">
          <fgColor rgb="00FFD966"/>
        </patternFill>
      </fill>
    </dxf>
    <dxf>
      <font>
        <b val="1"/>
        <color rgb="FFFFFFFF"/>
      </font>
      <fill>
        <patternFill patternType="solid">
          <fgColor rgb="FF1F3864"/>
          <bgColor rgb="FF1F3864"/>
        </patternFill>
      </fill>
    </dxf>
    <dxf>
      <font>
        <b val="1"/>
        <color rgb="FFFFFFFF"/>
      </font>
      <fill>
        <patternFill patternType="solid">
          <fgColor rgb="002F549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00375623"/>
      </font>
      <fill>
        <patternFill patternType="solid">
          <fgColor rgb="00E2EFDA"/>
        </patternFill>
      </fill>
    </dxf>
    <dxf>
      <font>
        <b val="1"/>
        <color rgb="009C0006"/>
      </font>
      <fill>
        <patternFill patternType="solid">
          <fgColor rgb="00FCE4E4"/>
        </patternFill>
      </fill>
    </dxf>
    <dxf>
      <font>
        <b val="1"/>
        <color rgb="001F3864"/>
      </font>
      <fill>
        <patternFill patternType="solid">
          <fgColor rgb="00FFD96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110" t="inlineStr">
        <is>
          <t>MSTC LIMITED  •  LIVE SEARCH   (results grouped by the value you typed, each group totalled, TOTAL MATCHED beneath them, the misses greyed in a REMAINING block, a GRAND TOTAL of both at the foot)</t>
        </is>
      </c>
    </row>
    <row r="2" ht="44.1" customHeight="1" s="77">
      <c r="A2" s="111"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112" t="n"/>
      <c r="C3" s="82" t="n"/>
      <c r="D3" s="83" t="n"/>
      <c r="E3" s="113" t="inlineStr">
        <is>
          <t>SEARCH IN  ▸</t>
        </is>
      </c>
      <c r="F3" s="61" t="inlineStr">
        <is>
          <t>Lot No. + Buyer + Name</t>
        </is>
      </c>
      <c r="G3" s="113"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J5" s="143">
        <f>IF($B$3="",IF(ROW()=5,"— type above —",""),IF(ROW()-4&gt;AL$41,"",INDEX('Final Calculation Sheet'!$F$4:$F$40,MATCH(ROW()-4,$AL$5:$AL$41,0))&amp;" — "&amp;INDEX('Final Calculation Sheet'!$G$4:$G$40,MATCH(ROW()-4,$AL$5:$AL$41,0))))</f>
        <v/>
      </c>
      <c r="AK5" s="144">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144">
        <f>IF($B$3="",0,--(SUMPRODUCT(--($AR$6:$AY$6&lt;&gt;""),--ISNUMBER(SEARCH($AR$6:$AY$6,$AK5)))&gt;0))</f>
        <v/>
      </c>
      <c r="AM5" s="144">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144" t="n"/>
      <c r="AO5" s="144" t="inlineStr">
        <is>
          <t>Lot No.</t>
        </is>
      </c>
      <c r="AP5" s="144" t="n"/>
      <c r="AQ5" s="144" t="n"/>
      <c r="AR5" s="144">
        <f>IF($AR$4="",99999,MIN(IFERROR(FIND(",",$AR$4),99999),IFERROR(FIND("+",$AR$4),99999)))</f>
        <v/>
      </c>
      <c r="AS5" s="144">
        <f>IF($AS$4="",99999,MIN(IFERROR(FIND(",",$AS$4),99999),IFERROR(FIND("+",$AS$4),99999)))</f>
        <v/>
      </c>
      <c r="AT5" s="144">
        <f>IF($AT$4="",99999,MIN(IFERROR(FIND(",",$AT$4),99999),IFERROR(FIND("+",$AT$4),99999)))</f>
        <v/>
      </c>
      <c r="AU5" s="144">
        <f>IF($AU$4="",99999,MIN(IFERROR(FIND(",",$AU$4),99999),IFERROR(FIND("+",$AU$4),99999)))</f>
        <v/>
      </c>
      <c r="AV5" s="144">
        <f>IF($AV$4="",99999,MIN(IFERROR(FIND(",",$AV$4),99999),IFERROR(FIND("+",$AV$4),99999)))</f>
        <v/>
      </c>
      <c r="AW5" s="144">
        <f>IF($AW$4="",99999,MIN(IFERROR(FIND(",",$AW$4),99999),IFERROR(FIND("+",$AW$4),99999)))</f>
        <v/>
      </c>
      <c r="AX5" s="144">
        <f>IF($AX$4="",99999,MIN(IFERROR(FIND(",",$AX$4),99999),IFERROR(FIND("+",$AX$4),99999)))</f>
        <v/>
      </c>
      <c r="AY5" s="144">
        <f>IF($AY$4="",99999,MIN(IFERROR(FIND(",",$AY$4),99999),IFERROR(FIND("+",$AY$4),99999)))</f>
        <v/>
      </c>
      <c r="AZ5" s="144">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144">
        <f>SUMPRODUCT(($AZ$5:$AZ$41=$AZ5)*($BC$5:$BC$41&lt;$BC5))+1</f>
        <v/>
      </c>
      <c r="BB5" s="144">
        <f>IF(INDEX($BF$4:$BF$13,$AZ5)=0,0,INDEX($BE$4:$BE$13,$AZ5)+$BA5-1)</f>
        <v/>
      </c>
      <c r="BC5" s="144" t="n">
        <v>4</v>
      </c>
      <c r="BD5" s="144">
        <f>COUNTIF($AZ$5:$AZ$41,2)</f>
        <v/>
      </c>
      <c r="BE5" s="144">
        <f>IF($BD4=0,$BE4,$BF4+1)</f>
        <v/>
      </c>
      <c r="BF5" s="144">
        <f>IF($BD5=0,0,$BE5+$BD5)</f>
        <v/>
      </c>
      <c r="BG5" s="144">
        <f>IF($BD13=0,$BE13,$BF13+1)</f>
        <v/>
      </c>
      <c r="BH5" s="144">
        <f>IFERROR(MATCH(5,$BF$4:$BF$13,0),0)</f>
        <v/>
      </c>
      <c r="BI5" s="144">
        <f>IF(5=$BG$5,1,0)</f>
        <v/>
      </c>
      <c r="BJ5" s="144">
        <f>IF(OR($BH5&gt;0,$BI5=1,$BL5=1),0,IFERROR(INDEX($BC$5:$BC$41,MATCH(5,$BB$5:$BB$41,0)),0))</f>
        <v/>
      </c>
      <c r="BK5" s="144">
        <f>IF($BJ5&gt;0,IF(INDEX($AZ$5:$AZ$41,MATCH(5,$BB$5:$BB$41,0))=10,1,0),IF($BH5=10,1,0))</f>
        <v/>
      </c>
      <c r="BL5" s="144">
        <f>IF(5=$BG$4,1,0)</f>
        <v/>
      </c>
      <c r="BM5" s="14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144">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144">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s="144">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144">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144">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144">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144">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144">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144">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144">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144">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144">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144">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144">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144">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144">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144">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144">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144">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144">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144">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144">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144">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144">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144">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144">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144">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144">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144">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144">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144">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s="144">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s="144">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s="144">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DB96"/>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hidden="1" width="13" customWidth="1" style="77" min="36" max="36"/>
    <col hidden="1" width="13" customWidth="1" style="77" min="37" max="37"/>
    <col hidden="1" width="13" customWidth="1" style="77" min="38" max="38"/>
    <col hidden="1" width="13" customWidth="1" style="77" min="39" max="39"/>
    <col hidden="1" width="13" customWidth="1" style="77" min="40" max="40"/>
    <col hidden="1" width="13" customWidth="1" style="77" min="41" max="41"/>
    <col hidden="1" width="13" customWidth="1" style="77" min="42" max="42"/>
    <col hidden="1" width="13" customWidth="1" style="77" min="43" max="43"/>
    <col hidden="1" width="13" customWidth="1" style="77" min="44" max="44"/>
    <col hidden="1" width="13" customWidth="1" style="77" min="45" max="45"/>
    <col hidden="1" width="13" customWidth="1" style="77" min="46" max="46"/>
    <col hidden="1" width="13" customWidth="1" style="77" min="47" max="47"/>
    <col hidden="1" width="13" customWidth="1" style="77" min="48" max="48"/>
    <col hidden="1" width="13" customWidth="1" style="77" min="49" max="49"/>
    <col hidden="1" width="13" customWidth="1" style="77" min="50" max="50"/>
    <col hidden="1" width="13" customWidth="1" style="77" min="51" max="51"/>
    <col hidden="1" width="13" customWidth="1" style="77" min="52" max="52"/>
    <col hidden="1" width="13" customWidth="1" style="77" min="53" max="53"/>
    <col hidden="1" width="13" customWidth="1" style="77" min="54" max="54"/>
    <col hidden="1" width="13" customWidth="1" style="77" min="55" max="55"/>
    <col hidden="1" width="13" customWidth="1" style="77" min="56" max="56"/>
    <col hidden="1" width="13" customWidth="1" style="77" min="57" max="57"/>
    <col hidden="1" width="13" customWidth="1" style="77" min="58" max="58"/>
    <col hidden="1" width="13" customWidth="1" style="77" min="59" max="59"/>
    <col hidden="1" width="13" customWidth="1" style="77" min="60" max="60"/>
    <col hidden="1" width="13" customWidth="1" style="77" min="61" max="61"/>
    <col hidden="1" width="13" customWidth="1" style="77" min="62" max="62"/>
    <col hidden="1" width="13" customWidth="1" style="77" min="63" max="63"/>
    <col hidden="1" width="13" customWidth="1" style="77" min="64" max="64"/>
    <col hidden="1" width="13" customWidth="1" style="77" min="65" max="65"/>
    <col hidden="1" width="13" customWidth="1" style="77" min="66" max="66"/>
    <col hidden="1" width="13" customWidth="1" style="77" min="67" max="67"/>
    <col hidden="1" width="13" customWidth="1" style="77" min="68" max="68"/>
    <col hidden="1" width="13" customWidth="1" style="77" min="69" max="69"/>
    <col hidden="1" width="13" customWidth="1" style="77" min="70" max="70"/>
    <col hidden="1" width="13" customWidth="1" style="77" min="71" max="71"/>
    <col hidden="1" width="13" customWidth="1" style="77" min="72" max="72"/>
    <col hidden="1" width="13" customWidth="1" style="77" min="73" max="73"/>
    <col hidden="1" width="13" customWidth="1" style="77" min="74" max="74"/>
    <col hidden="1" width="13" customWidth="1" style="77" min="75" max="75"/>
    <col hidden="1" width="13" customWidth="1" style="77" min="76" max="76"/>
    <col hidden="1" width="13" customWidth="1" style="77" min="77" max="77"/>
    <col hidden="1" width="13" customWidth="1" style="77" min="78" max="78"/>
    <col hidden="1" width="13" customWidth="1" style="77" min="79" max="79"/>
    <col hidden="1" width="13" customWidth="1" style="77" min="80" max="80"/>
    <col hidden="1" width="13" customWidth="1" style="77" min="81" max="81"/>
    <col hidden="1" width="13" customWidth="1" style="77" min="82" max="82"/>
    <col hidden="1" width="13" customWidth="1" style="77" min="83" max="83"/>
    <col hidden="1" width="13" customWidth="1" style="77" min="84" max="84"/>
    <col hidden="1" width="13" customWidth="1" style="77" min="85" max="85"/>
    <col hidden="1" width="13" customWidth="1" style="77" min="86" max="86"/>
    <col hidden="1" width="13" customWidth="1" style="77" min="87" max="87"/>
    <col hidden="1" width="13" customWidth="1" style="77" min="88" max="88"/>
    <col hidden="1" width="13" customWidth="1" style="77" min="89" max="89"/>
    <col hidden="1" width="13" customWidth="1" style="77" min="90" max="90"/>
    <col hidden="1" width="13" customWidth="1" style="77" min="91" max="91"/>
    <col hidden="1" width="13" customWidth="1" style="77" min="92" max="92"/>
    <col hidden="1" width="13" customWidth="1" style="77" min="93" max="93"/>
    <col hidden="1" width="13" customWidth="1" style="77" min="94" max="94"/>
    <col hidden="1" width="13" customWidth="1" style="77" min="95" max="95"/>
    <col hidden="1" width="13" customWidth="1" style="77" min="96" max="96"/>
    <col hidden="1" width="13" customWidth="1" style="77" min="97" max="97"/>
    <col hidden="1" width="13" customWidth="1" style="77" min="98" max="98"/>
    <col hidden="1" width="13" customWidth="1" style="77" min="99" max="99"/>
    <col hidden="1" width="13" customWidth="1" style="77" min="100" max="100"/>
    <col hidden="1" width="13" customWidth="1" style="77" min="101" max="101"/>
    <col hidden="1" width="13" customWidth="1" style="77" min="102" max="102"/>
    <col hidden="1" width="13" customWidth="1" style="77" min="103" max="103"/>
    <col hidden="1" width="13" customWidth="1" style="77" min="104" max="104"/>
    <col hidden="1" width="13" customWidth="1" style="77" min="105" max="105"/>
    <col hidden="1" width="13" customWidth="1" style="77" min="106" max="106"/>
  </cols>
  <sheetData>
    <row r="1" ht="30" customHeight="1" s="77">
      <c r="A1" s="110" t="inlineStr">
        <is>
          <t>MSTC LIMITED  •  BUYER-WISE GROUPS   (each buyer’s lots in one block with a shaded ∑ subtotal beneath it, a blue TOTAL of every buyer and a green GRAND TOTAL cross-checked to the source at the foot)</t>
        </is>
      </c>
    </row>
    <row r="2" ht="44.1" customHeight="1" s="77">
      <c r="A2" s="111"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Live-Search-style dropdown (same lists, alphabetical order): click a search cell and press Alt+↓ to pick a value from its alphabetical list instead of typing.  •  MATCHED LOTS — the block beneath GRAND TOTAL lists every lot matching the SEARCH row (same rule as the yellow highlight: contains-text per column, AND across columns, (blank)/(nonblank) supported). Picking a dropdown value renders its matches here with a live count; for multi-value ANY (comma) or wildcards use Live Search.  •  NARROWING DROPDOWNS — type a few letters in any yellow search cell, then press Alt+↓: the dropdown lists only values containing what you typed (same contains rule as the highlight). Clear the cell for the full alphabetical list again.</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7"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c r="AM4">
        <f>IF(AND('Lists'!$O$4&lt;&gt;"",ISNUMBER(SEARCH($B$4,'Lists'!$O$4))),1,0)</f>
        <v/>
      </c>
      <c r="AN4">
        <f>IF(ROW()-3&gt;MAX($AM$4:$AM$42),"",INDEX('Lists'!$O$4:$O$42,MATCH(ROW()-3,$AM$4:$AM$42,0)))</f>
        <v/>
      </c>
      <c r="AO4">
        <f>IF(AND('Lists'!$T$4&lt;&gt;"",ISNUMBER(SEARCH($C$4,'Lists'!$T$4))),1,0)</f>
        <v/>
      </c>
      <c r="AP4">
        <f>IF(ROW()-3&gt;MAX($AO$4:$AO$42),"",INDEX('Lists'!$T$4:$T$42,MATCH(ROW()-3,$AO$4:$AO$42,0)))</f>
        <v/>
      </c>
      <c r="AQ4">
        <f>IF(AND('Lists'!$Y$4&lt;&gt;"",ISNUMBER(SEARCH($D$4,'Lists'!$Y$4))),1,0)</f>
        <v/>
      </c>
      <c r="AR4">
        <f>IF(ROW()-3&gt;MAX($AQ$4:$AQ$42),"",INDEX('Lists'!$Y$4:$Y$42,MATCH(ROW()-3,$AQ$4:$AQ$42,0)))</f>
        <v/>
      </c>
      <c r="AS4">
        <f>IF(AND('Lists'!$AD$4&lt;&gt;"",ISNUMBER(SEARCH($E$4,'Lists'!$AD$4))),1,0)</f>
        <v/>
      </c>
      <c r="AT4">
        <f>IF(ROW()-3&gt;MAX($AS$4:$AS$42),"",INDEX('Lists'!$AD$4:$AD$42,MATCH(ROW()-3,$AS$4:$AS$42,0)))</f>
        <v/>
      </c>
      <c r="AU4">
        <f>IF(AND('Lists'!$AI$4&lt;&gt;"",ISNUMBER(SEARCH($F$4,'Lists'!$AI$4))),1,0)</f>
        <v/>
      </c>
      <c r="AV4">
        <f>IF(ROW()-3&gt;MAX($AU$4:$AU$42),"",INDEX('Lists'!$AI$4:$AI$42,MATCH(ROW()-3,$AU$4:$AU$42,0)))</f>
        <v/>
      </c>
      <c r="AW4">
        <f>IF(AND('Lists'!$AN$4&lt;&gt;"",ISNUMBER(SEARCH($G$4,'Lists'!$AN$4))),1,0)</f>
        <v/>
      </c>
      <c r="AX4">
        <f>IF(ROW()-3&gt;MAX($AW$4:$AW$42),"",INDEX('Lists'!$AN$4:$AN$42,MATCH(ROW()-3,$AW$4:$AW$42,0)))</f>
        <v/>
      </c>
      <c r="AY4">
        <f>IF(AND('Lists'!$AS$4&lt;&gt;"",ISNUMBER(SEARCH($H$4,'Lists'!$AS$4))),1,0)</f>
        <v/>
      </c>
      <c r="AZ4">
        <f>IF(ROW()-3&gt;MAX($AY$4:$AY$42),"",INDEX('Lists'!$AS$4:$AS$42,MATCH(ROW()-3,$AY$4:$AY$42,0)))</f>
        <v/>
      </c>
      <c r="BA4">
        <f>IF(AND('Lists'!$AX$4&lt;&gt;"",ISNUMBER(SEARCH($I$4,'Lists'!$AX$4))),1,0)</f>
        <v/>
      </c>
      <c r="BB4">
        <f>IF(ROW()-3&gt;MAX($BA$4:$BA$42),"",INDEX('Lists'!$AX$4:$AX$42,MATCH(ROW()-3,$BA$4:$BA$42,0)))</f>
        <v/>
      </c>
      <c r="BC4">
        <f>IF(AND('Lists'!$BC$4&lt;&gt;"",ISNUMBER(SEARCH($J$4,'Lists'!$BC$4))),1,0)</f>
        <v/>
      </c>
      <c r="BD4">
        <f>IF(ROW()-3&gt;MAX($BC$4:$BC$42),"",INDEX('Lists'!$BC$4:$BC$42,MATCH(ROW()-3,$BC$4:$BC$42,0)))</f>
        <v/>
      </c>
      <c r="BE4">
        <f>IF(AND('Lists'!$BH$4&lt;&gt;"",ISNUMBER(SEARCH($K$4,'Lists'!$BH$4))),1,0)</f>
        <v/>
      </c>
      <c r="BF4">
        <f>IF(ROW()-3&gt;MAX($BE$4:$BE$42),"",INDEX('Lists'!$BH$4:$BH$42,MATCH(ROW()-3,$BE$4:$BE$42,0)))</f>
        <v/>
      </c>
      <c r="BG4">
        <f>IF(AND('Lists'!$BM$4&lt;&gt;"",ISNUMBER(SEARCH($L$4,'Lists'!$BM$4))),1,0)</f>
        <v/>
      </c>
      <c r="BH4">
        <f>IF(ROW()-3&gt;MAX($BG$4:$BG$42),"",INDEX('Lists'!$BM$4:$BM$42,MATCH(ROW()-3,$BG$4:$BG$42,0)))</f>
        <v/>
      </c>
      <c r="BI4">
        <f>IF(AND('Lists'!$BR$4&lt;&gt;"",ISNUMBER(SEARCH($M$4,'Lists'!$BR$4))),1,0)</f>
        <v/>
      </c>
      <c r="BJ4">
        <f>IF(ROW()-3&gt;MAX($BI$4:$BI$42),"",INDEX('Lists'!$BR$4:$BR$42,MATCH(ROW()-3,$BI$4:$BI$42,0)))</f>
        <v/>
      </c>
      <c r="BK4">
        <f>IF(AND('Lists'!$BW$4&lt;&gt;"",ISNUMBER(SEARCH($N$4,'Lists'!$BW$4))),1,0)</f>
        <v/>
      </c>
      <c r="BL4">
        <f>IF(ROW()-3&gt;MAX($BK$4:$BK$42),"",INDEX('Lists'!$BW$4:$BW$42,MATCH(ROW()-3,$BK$4:$BK$42,0)))</f>
        <v/>
      </c>
      <c r="BM4">
        <f>IF(AND('Lists'!$CB$4&lt;&gt;"",ISNUMBER(SEARCH($O$4,'Lists'!$CB$4))),1,0)</f>
        <v/>
      </c>
      <c r="BN4">
        <f>IF(ROW()-3&gt;MAX($BM$4:$BM$42),"",INDEX('Lists'!$CB$4:$CB$42,MATCH(ROW()-3,$BM$4:$BM$42,0)))</f>
        <v/>
      </c>
      <c r="BO4">
        <f>IF(AND('Lists'!$CG$4&lt;&gt;"",ISNUMBER(SEARCH($P$4,'Lists'!$CG$4))),1,0)</f>
        <v/>
      </c>
      <c r="BP4">
        <f>IF(ROW()-3&gt;MAX($BO$4:$BO$42),"",INDEX('Lists'!$CG$4:$CG$42,MATCH(ROW()-3,$BO$4:$BO$42,0)))</f>
        <v/>
      </c>
      <c r="BQ4">
        <f>IF(AND('Lists'!$CL$4&lt;&gt;"",ISNUMBER(SEARCH($Q$4,'Lists'!$CL$4))),1,0)</f>
        <v/>
      </c>
      <c r="BR4">
        <f>IF(ROW()-3&gt;MAX($BQ$4:$BQ$42),"",INDEX('Lists'!$CL$4:$CL$42,MATCH(ROW()-3,$BQ$4:$BQ$42,0)))</f>
        <v/>
      </c>
      <c r="BS4">
        <f>IF(AND('Lists'!$CQ$4&lt;&gt;"",ISNUMBER(SEARCH($R$4,'Lists'!$CQ$4))),1,0)</f>
        <v/>
      </c>
      <c r="BT4">
        <f>IF(ROW()-3&gt;MAX($BS$4:$BS$42),"",INDEX('Lists'!$CQ$4:$CQ$42,MATCH(ROW()-3,$BS$4:$BS$42,0)))</f>
        <v/>
      </c>
      <c r="BU4">
        <f>IF(AND('Lists'!$CV$4&lt;&gt;"",ISNUMBER(SEARCH($S$4,'Lists'!$CV$4))),1,0)</f>
        <v/>
      </c>
      <c r="BV4">
        <f>IF(ROW()-3&gt;MAX($BU$4:$BU$42),"",INDEX('Lists'!$CV$4:$CV$42,MATCH(ROW()-3,$BU$4:$BU$42,0)))</f>
        <v/>
      </c>
      <c r="BW4">
        <f>IF(AND('Lists'!$DA$4&lt;&gt;"",ISNUMBER(SEARCH($T$4,'Lists'!$DA$4))),1,0)</f>
        <v/>
      </c>
      <c r="BX4">
        <f>IF(ROW()-3&gt;MAX($BW$4:$BW$42),"",INDEX('Lists'!$DA$4:$DA$42,MATCH(ROW()-3,$BW$4:$BW$42,0)))</f>
        <v/>
      </c>
      <c r="BY4">
        <f>IF(AND('Lists'!$DF$4&lt;&gt;"",ISNUMBER(SEARCH($U$4,'Lists'!$DF$4))),1,0)</f>
        <v/>
      </c>
      <c r="BZ4">
        <f>IF(ROW()-3&gt;MAX($BY$4:$BY$42),"",INDEX('Lists'!$DF$4:$DF$42,MATCH(ROW()-3,$BY$4:$BY$42,0)))</f>
        <v/>
      </c>
      <c r="CA4">
        <f>IF(AND('Lists'!$DK$4&lt;&gt;"",ISNUMBER(SEARCH($V$4,'Lists'!$DK$4))),1,0)</f>
        <v/>
      </c>
      <c r="CB4">
        <f>IF(ROW()-3&gt;MAX($CA$4:$CA$42),"",INDEX('Lists'!$DK$4:$DK$42,MATCH(ROW()-3,$CA$4:$CA$42,0)))</f>
        <v/>
      </c>
      <c r="CC4">
        <f>IF(AND('Lists'!$DP$4&lt;&gt;"",ISNUMBER(SEARCH($W$4,'Lists'!$DP$4))),1,0)</f>
        <v/>
      </c>
      <c r="CD4">
        <f>IF(ROW()-3&gt;MAX($CC$4:$CC$42),"",INDEX('Lists'!$DP$4:$DP$42,MATCH(ROW()-3,$CC$4:$CC$42,0)))</f>
        <v/>
      </c>
      <c r="CE4">
        <f>IF(AND('Lists'!$DU$4&lt;&gt;"",ISNUMBER(SEARCH($X$4,'Lists'!$DU$4))),1,0)</f>
        <v/>
      </c>
      <c r="CF4">
        <f>IF(ROW()-3&gt;MAX($CE$4:$CE$42),"",INDEX('Lists'!$DU$4:$DU$42,MATCH(ROW()-3,$CE$4:$CE$42,0)))</f>
        <v/>
      </c>
      <c r="CG4">
        <f>IF(AND('Lists'!$DZ$4&lt;&gt;"",ISNUMBER(SEARCH($Y$4,'Lists'!$DZ$4))),1,0)</f>
        <v/>
      </c>
      <c r="CH4">
        <f>IF(ROW()-3&gt;MAX($CG$4:$CG$42),"",INDEX('Lists'!$DZ$4:$DZ$42,MATCH(ROW()-3,$CG$4:$CG$42,0)))</f>
        <v/>
      </c>
      <c r="CI4">
        <f>IF(AND('Lists'!$EE$4&lt;&gt;"",ISNUMBER(SEARCH($Z$4,'Lists'!$EE$4))),1,0)</f>
        <v/>
      </c>
      <c r="CJ4">
        <f>IF(ROW()-3&gt;MAX($CI$4:$CI$42),"",INDEX('Lists'!$EE$4:$EE$42,MATCH(ROW()-3,$CI$4:$CI$42,0)))</f>
        <v/>
      </c>
      <c r="CK4">
        <f>IF(AND('Lists'!$EJ$4&lt;&gt;"",ISNUMBER(SEARCH($AA$4,'Lists'!$EJ$4))),1,0)</f>
        <v/>
      </c>
      <c r="CL4">
        <f>IF(ROW()-3&gt;MAX($CK$4:$CK$42),"",INDEX('Lists'!$EJ$4:$EJ$42,MATCH(ROW()-3,$CK$4:$CK$42,0)))</f>
        <v/>
      </c>
      <c r="CM4">
        <f>IF(AND('Lists'!$EO$4&lt;&gt;"",ISNUMBER(SEARCH($AB$4,'Lists'!$EO$4))),1,0)</f>
        <v/>
      </c>
      <c r="CN4">
        <f>IF(ROW()-3&gt;MAX($CM$4:$CM$42),"",INDEX('Lists'!$EO$4:$EO$42,MATCH(ROW()-3,$CM$4:$CM$42,0)))</f>
        <v/>
      </c>
      <c r="CO4">
        <f>IF(AND('Lists'!$ET$4&lt;&gt;"",ISNUMBER(SEARCH($AC$4,'Lists'!$ET$4))),1,0)</f>
        <v/>
      </c>
      <c r="CP4">
        <f>IF(ROW()-3&gt;MAX($CO$4:$CO$42),"",INDEX('Lists'!$ET$4:$ET$42,MATCH(ROW()-3,$CO$4:$CO$42,0)))</f>
        <v/>
      </c>
      <c r="CQ4">
        <f>IF(AND('Lists'!$EY$4&lt;&gt;"",ISNUMBER(SEARCH($AD$4,'Lists'!$EY$4))),1,0)</f>
        <v/>
      </c>
      <c r="CR4">
        <f>IF(ROW()-3&gt;MAX($CQ$4:$CQ$42),"",INDEX('Lists'!$EY$4:$EY$42,MATCH(ROW()-3,$CQ$4:$CQ$42,0)))</f>
        <v/>
      </c>
      <c r="CS4">
        <f>IF(AND('Lists'!$FD$4&lt;&gt;"",ISNUMBER(SEARCH($AE$4,'Lists'!$FD$4))),1,0)</f>
        <v/>
      </c>
      <c r="CT4">
        <f>IF(ROW()-3&gt;MAX($CS$4:$CS$42),"",INDEX('Lists'!$FD$4:$FD$42,MATCH(ROW()-3,$CS$4:$CS$42,0)))</f>
        <v/>
      </c>
      <c r="CU4">
        <f>IF(AND('Lists'!$FI$4&lt;&gt;"",ISNUMBER(SEARCH($AF$4,'Lists'!$FI$4))),1,0)</f>
        <v/>
      </c>
      <c r="CV4">
        <f>IF(ROW()-3&gt;MAX($CU$4:$CU$42),"",INDEX('Lists'!$FI$4:$FI$42,MATCH(ROW()-3,$CU$4:$CU$42,0)))</f>
        <v/>
      </c>
      <c r="CW4">
        <f>IF(AND('Lists'!$FN$4&lt;&gt;"",ISNUMBER(SEARCH($AG$4,'Lists'!$FN$4))),1,0)</f>
        <v/>
      </c>
      <c r="CX4">
        <f>IF(ROW()-3&gt;MAX($CW$4:$CW$42),"",INDEX('Lists'!$FN$4:$FN$42,MATCH(ROW()-3,$CW$4:$CW$42,0)))</f>
        <v/>
      </c>
      <c r="CY4">
        <f>IF(AND('Lists'!$FS$4&lt;&gt;"",ISNUMBER(SEARCH($AH$4,'Lists'!$FS$4))),1,0)</f>
        <v/>
      </c>
      <c r="CZ4">
        <f>IF(ROW()-3&gt;MAX($CY$4:$CY$42),"",INDEX('Lists'!$FS$4:$FS$42,MATCH(ROW()-3,$CY$4:$CY$42,0)))</f>
        <v/>
      </c>
      <c r="DA4">
        <f>IF(AND('Lists'!$FX$4&lt;&gt;"",ISNUMBER(SEARCH($AI$4,'Lists'!$FX$4))),1,0)</f>
        <v/>
      </c>
      <c r="DB4">
        <f>IF(ROW()-3&gt;MAX($DA$4:$DA$42),"",INDEX('Lists'!$FX$4:$FX$42,MATCH(ROW()-3,$DA$4:$DA$42,0)))</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M5">
        <f>AM4+IF(AND('Lists'!$O$5&lt;&gt;"",ISNUMBER(SEARCH($B$4,'Lists'!$O$5))),1,0)</f>
        <v/>
      </c>
      <c r="AN5">
        <f>IF(ROW()-3&gt;MAX($AM$4:$AM$42),"",INDEX('Lists'!$O$4:$O$42,MATCH(ROW()-3,$AM$4:$AM$42,0)))</f>
        <v/>
      </c>
      <c r="AO5">
        <f>AO4+IF(AND('Lists'!$T$5&lt;&gt;"",ISNUMBER(SEARCH($C$4,'Lists'!$T$5))),1,0)</f>
        <v/>
      </c>
      <c r="AP5">
        <f>IF(ROW()-3&gt;MAX($AO$4:$AO$42),"",INDEX('Lists'!$T$4:$T$42,MATCH(ROW()-3,$AO$4:$AO$42,0)))</f>
        <v/>
      </c>
      <c r="AQ5">
        <f>AQ4+IF(AND('Lists'!$Y$5&lt;&gt;"",ISNUMBER(SEARCH($D$4,'Lists'!$Y$5))),1,0)</f>
        <v/>
      </c>
      <c r="AR5">
        <f>IF(ROW()-3&gt;MAX($AQ$4:$AQ$42),"",INDEX('Lists'!$Y$4:$Y$42,MATCH(ROW()-3,$AQ$4:$AQ$42,0)))</f>
        <v/>
      </c>
      <c r="AS5">
        <f>AS4+IF(AND('Lists'!$AD$5&lt;&gt;"",ISNUMBER(SEARCH($E$4,'Lists'!$AD$5))),1,0)</f>
        <v/>
      </c>
      <c r="AT5">
        <f>IF(ROW()-3&gt;MAX($AS$4:$AS$42),"",INDEX('Lists'!$AD$4:$AD$42,MATCH(ROW()-3,$AS$4:$AS$42,0)))</f>
        <v/>
      </c>
      <c r="AU5">
        <f>AU4+IF(AND('Lists'!$AI$5&lt;&gt;"",ISNUMBER(SEARCH($F$4,'Lists'!$AI$5))),1,0)</f>
        <v/>
      </c>
      <c r="AV5">
        <f>IF(ROW()-3&gt;MAX($AU$4:$AU$42),"",INDEX('Lists'!$AI$4:$AI$42,MATCH(ROW()-3,$AU$4:$AU$42,0)))</f>
        <v/>
      </c>
      <c r="AW5">
        <f>AW4+IF(AND('Lists'!$AN$5&lt;&gt;"",ISNUMBER(SEARCH($G$4,'Lists'!$AN$5))),1,0)</f>
        <v/>
      </c>
      <c r="AX5">
        <f>IF(ROW()-3&gt;MAX($AW$4:$AW$42),"",INDEX('Lists'!$AN$4:$AN$42,MATCH(ROW()-3,$AW$4:$AW$42,0)))</f>
        <v/>
      </c>
      <c r="AY5">
        <f>AY4+IF(AND('Lists'!$AS$5&lt;&gt;"",ISNUMBER(SEARCH($H$4,'Lists'!$AS$5))),1,0)</f>
        <v/>
      </c>
      <c r="AZ5">
        <f>IF(ROW()-3&gt;MAX($AY$4:$AY$42),"",INDEX('Lists'!$AS$4:$AS$42,MATCH(ROW()-3,$AY$4:$AY$42,0)))</f>
        <v/>
      </c>
      <c r="BA5">
        <f>BA4+IF(AND('Lists'!$AX$5&lt;&gt;"",ISNUMBER(SEARCH($I$4,'Lists'!$AX$5))),1,0)</f>
        <v/>
      </c>
      <c r="BB5">
        <f>IF(ROW()-3&gt;MAX($BA$4:$BA$42),"",INDEX('Lists'!$AX$4:$AX$42,MATCH(ROW()-3,$BA$4:$BA$42,0)))</f>
        <v/>
      </c>
      <c r="BC5">
        <f>BC4+IF(AND('Lists'!$BC$5&lt;&gt;"",ISNUMBER(SEARCH($J$4,'Lists'!$BC$5))),1,0)</f>
        <v/>
      </c>
      <c r="BD5">
        <f>IF(ROW()-3&gt;MAX($BC$4:$BC$42),"",INDEX('Lists'!$BC$4:$BC$42,MATCH(ROW()-3,$BC$4:$BC$42,0)))</f>
        <v/>
      </c>
      <c r="BE5">
        <f>BE4+IF(AND('Lists'!$BH$5&lt;&gt;"",ISNUMBER(SEARCH($K$4,'Lists'!$BH$5))),1,0)</f>
        <v/>
      </c>
      <c r="BF5">
        <f>IF(ROW()-3&gt;MAX($BE$4:$BE$42),"",INDEX('Lists'!$BH$4:$BH$42,MATCH(ROW()-3,$BE$4:$BE$42,0)))</f>
        <v/>
      </c>
      <c r="BG5">
        <f>BG4+IF(AND('Lists'!$BM$5&lt;&gt;"",ISNUMBER(SEARCH($L$4,'Lists'!$BM$5))),1,0)</f>
        <v/>
      </c>
      <c r="BH5">
        <f>IF(ROW()-3&gt;MAX($BG$4:$BG$42),"",INDEX('Lists'!$BM$4:$BM$42,MATCH(ROW()-3,$BG$4:$BG$42,0)))</f>
        <v/>
      </c>
      <c r="BI5">
        <f>BI4+IF(AND('Lists'!$BR$5&lt;&gt;"",ISNUMBER(SEARCH($M$4,'Lists'!$BR$5))),1,0)</f>
        <v/>
      </c>
      <c r="BJ5">
        <f>IF(ROW()-3&gt;MAX($BI$4:$BI$42),"",INDEX('Lists'!$BR$4:$BR$42,MATCH(ROW()-3,$BI$4:$BI$42,0)))</f>
        <v/>
      </c>
      <c r="BK5">
        <f>BK4+IF(AND('Lists'!$BW$5&lt;&gt;"",ISNUMBER(SEARCH($N$4,'Lists'!$BW$5))),1,0)</f>
        <v/>
      </c>
      <c r="BL5">
        <f>IF(ROW()-3&gt;MAX($BK$4:$BK$42),"",INDEX('Lists'!$BW$4:$BW$42,MATCH(ROW()-3,$BK$4:$BK$42,0)))</f>
        <v/>
      </c>
      <c r="BM5">
        <f>BM4+IF(AND('Lists'!$CB$5&lt;&gt;"",ISNUMBER(SEARCH($O$4,'Lists'!$CB$5))),1,0)</f>
        <v/>
      </c>
      <c r="BN5">
        <f>IF(ROW()-3&gt;MAX($BM$4:$BM$42),"",INDEX('Lists'!$CB$4:$CB$42,MATCH(ROW()-3,$BM$4:$BM$42,0)))</f>
        <v/>
      </c>
      <c r="BO5">
        <f>BO4+IF(AND('Lists'!$CG$5&lt;&gt;"",ISNUMBER(SEARCH($P$4,'Lists'!$CG$5))),1,0)</f>
        <v/>
      </c>
      <c r="BP5">
        <f>IF(ROW()-3&gt;MAX($BO$4:$BO$42),"",INDEX('Lists'!$CG$4:$CG$42,MATCH(ROW()-3,$BO$4:$BO$42,0)))</f>
        <v/>
      </c>
      <c r="BQ5">
        <f>BQ4+IF(AND('Lists'!$CL$5&lt;&gt;"",ISNUMBER(SEARCH($Q$4,'Lists'!$CL$5))),1,0)</f>
        <v/>
      </c>
      <c r="BR5">
        <f>IF(ROW()-3&gt;MAX($BQ$4:$BQ$42),"",INDEX('Lists'!$CL$4:$CL$42,MATCH(ROW()-3,$BQ$4:$BQ$42,0)))</f>
        <v/>
      </c>
      <c r="BS5">
        <f>BS4+IF(AND('Lists'!$CQ$5&lt;&gt;"",ISNUMBER(SEARCH($R$4,'Lists'!$CQ$5))),1,0)</f>
        <v/>
      </c>
      <c r="BT5">
        <f>IF(ROW()-3&gt;MAX($BS$4:$BS$42),"",INDEX('Lists'!$CQ$4:$CQ$42,MATCH(ROW()-3,$BS$4:$BS$42,0)))</f>
        <v/>
      </c>
      <c r="BU5">
        <f>BU4+IF(AND('Lists'!$CV$5&lt;&gt;"",ISNUMBER(SEARCH($S$4,'Lists'!$CV$5))),1,0)</f>
        <v/>
      </c>
      <c r="BV5">
        <f>IF(ROW()-3&gt;MAX($BU$4:$BU$42),"",INDEX('Lists'!$CV$4:$CV$42,MATCH(ROW()-3,$BU$4:$BU$42,0)))</f>
        <v/>
      </c>
      <c r="BW5">
        <f>BW4+IF(AND('Lists'!$DA$5&lt;&gt;"",ISNUMBER(SEARCH($T$4,'Lists'!$DA$5))),1,0)</f>
        <v/>
      </c>
      <c r="BX5">
        <f>IF(ROW()-3&gt;MAX($BW$4:$BW$42),"",INDEX('Lists'!$DA$4:$DA$42,MATCH(ROW()-3,$BW$4:$BW$42,0)))</f>
        <v/>
      </c>
      <c r="BY5">
        <f>BY4+IF(AND('Lists'!$DF$5&lt;&gt;"",ISNUMBER(SEARCH($U$4,'Lists'!$DF$5))),1,0)</f>
        <v/>
      </c>
      <c r="BZ5">
        <f>IF(ROW()-3&gt;MAX($BY$4:$BY$42),"",INDEX('Lists'!$DF$4:$DF$42,MATCH(ROW()-3,$BY$4:$BY$42,0)))</f>
        <v/>
      </c>
      <c r="CA5">
        <f>CA4+IF(AND('Lists'!$DK$5&lt;&gt;"",ISNUMBER(SEARCH($V$4,'Lists'!$DK$5))),1,0)</f>
        <v/>
      </c>
      <c r="CB5">
        <f>IF(ROW()-3&gt;MAX($CA$4:$CA$42),"",INDEX('Lists'!$DK$4:$DK$42,MATCH(ROW()-3,$CA$4:$CA$42,0)))</f>
        <v/>
      </c>
      <c r="CC5">
        <f>CC4+IF(AND('Lists'!$DP$5&lt;&gt;"",ISNUMBER(SEARCH($W$4,'Lists'!$DP$5))),1,0)</f>
        <v/>
      </c>
      <c r="CD5">
        <f>IF(ROW()-3&gt;MAX($CC$4:$CC$42),"",INDEX('Lists'!$DP$4:$DP$42,MATCH(ROW()-3,$CC$4:$CC$42,0)))</f>
        <v/>
      </c>
      <c r="CE5">
        <f>CE4+IF(AND('Lists'!$DU$5&lt;&gt;"",ISNUMBER(SEARCH($X$4,'Lists'!$DU$5))),1,0)</f>
        <v/>
      </c>
      <c r="CF5">
        <f>IF(ROW()-3&gt;MAX($CE$4:$CE$42),"",INDEX('Lists'!$DU$4:$DU$42,MATCH(ROW()-3,$CE$4:$CE$42,0)))</f>
        <v/>
      </c>
      <c r="CG5">
        <f>CG4+IF(AND('Lists'!$DZ$5&lt;&gt;"",ISNUMBER(SEARCH($Y$4,'Lists'!$DZ$5))),1,0)</f>
        <v/>
      </c>
      <c r="CH5">
        <f>IF(ROW()-3&gt;MAX($CG$4:$CG$42),"",INDEX('Lists'!$DZ$4:$DZ$42,MATCH(ROW()-3,$CG$4:$CG$42,0)))</f>
        <v/>
      </c>
      <c r="CI5">
        <f>CI4+IF(AND('Lists'!$EE$5&lt;&gt;"",ISNUMBER(SEARCH($Z$4,'Lists'!$EE$5))),1,0)</f>
        <v/>
      </c>
      <c r="CJ5">
        <f>IF(ROW()-3&gt;MAX($CI$4:$CI$42),"",INDEX('Lists'!$EE$4:$EE$42,MATCH(ROW()-3,$CI$4:$CI$42,0)))</f>
        <v/>
      </c>
      <c r="CK5">
        <f>CK4+IF(AND('Lists'!$EJ$5&lt;&gt;"",ISNUMBER(SEARCH($AA$4,'Lists'!$EJ$5))),1,0)</f>
        <v/>
      </c>
      <c r="CL5">
        <f>IF(ROW()-3&gt;MAX($CK$4:$CK$42),"",INDEX('Lists'!$EJ$4:$EJ$42,MATCH(ROW()-3,$CK$4:$CK$42,0)))</f>
        <v/>
      </c>
      <c r="CM5">
        <f>CM4+IF(AND('Lists'!$EO$5&lt;&gt;"",ISNUMBER(SEARCH($AB$4,'Lists'!$EO$5))),1,0)</f>
        <v/>
      </c>
      <c r="CN5">
        <f>IF(ROW()-3&gt;MAX($CM$4:$CM$42),"",INDEX('Lists'!$EO$4:$EO$42,MATCH(ROW()-3,$CM$4:$CM$42,0)))</f>
        <v/>
      </c>
      <c r="CO5">
        <f>CO4+IF(AND('Lists'!$ET$5&lt;&gt;"",ISNUMBER(SEARCH($AC$4,'Lists'!$ET$5))),1,0)</f>
        <v/>
      </c>
      <c r="CP5">
        <f>IF(ROW()-3&gt;MAX($CO$4:$CO$42),"",INDEX('Lists'!$ET$4:$ET$42,MATCH(ROW()-3,$CO$4:$CO$42,0)))</f>
        <v/>
      </c>
      <c r="CQ5">
        <f>CQ4+IF(AND('Lists'!$EY$5&lt;&gt;"",ISNUMBER(SEARCH($AD$4,'Lists'!$EY$5))),1,0)</f>
        <v/>
      </c>
      <c r="CR5">
        <f>IF(ROW()-3&gt;MAX($CQ$4:$CQ$42),"",INDEX('Lists'!$EY$4:$EY$42,MATCH(ROW()-3,$CQ$4:$CQ$42,0)))</f>
        <v/>
      </c>
      <c r="CS5">
        <f>CS4+IF(AND('Lists'!$FD$5&lt;&gt;"",ISNUMBER(SEARCH($AE$4,'Lists'!$FD$5))),1,0)</f>
        <v/>
      </c>
      <c r="CT5">
        <f>IF(ROW()-3&gt;MAX($CS$4:$CS$42),"",INDEX('Lists'!$FD$4:$FD$42,MATCH(ROW()-3,$CS$4:$CS$42,0)))</f>
        <v/>
      </c>
      <c r="CU5">
        <f>CU4+IF(AND('Lists'!$FI$5&lt;&gt;"",ISNUMBER(SEARCH($AF$4,'Lists'!$FI$5))),1,0)</f>
        <v/>
      </c>
      <c r="CV5">
        <f>IF(ROW()-3&gt;MAX($CU$4:$CU$42),"",INDEX('Lists'!$FI$4:$FI$42,MATCH(ROW()-3,$CU$4:$CU$42,0)))</f>
        <v/>
      </c>
      <c r="CW5">
        <f>CW4+IF(AND('Lists'!$FN$5&lt;&gt;"",ISNUMBER(SEARCH($AG$4,'Lists'!$FN$5))),1,0)</f>
        <v/>
      </c>
      <c r="CX5">
        <f>IF(ROW()-3&gt;MAX($CW$4:$CW$42),"",INDEX('Lists'!$FN$4:$FN$42,MATCH(ROW()-3,$CW$4:$CW$42,0)))</f>
        <v/>
      </c>
      <c r="CY5">
        <f>CY4+IF(AND('Lists'!$FS$5&lt;&gt;"",ISNUMBER(SEARCH($AH$4,'Lists'!$FS$5))),1,0)</f>
        <v/>
      </c>
      <c r="CZ5">
        <f>IF(ROW()-3&gt;MAX($CY$4:$CY$42),"",INDEX('Lists'!$FS$4:$FS$42,MATCH(ROW()-3,$CY$4:$CY$42,0)))</f>
        <v/>
      </c>
      <c r="DA5">
        <f>DA4+IF(AND('Lists'!$FX$5&lt;&gt;"",ISNUMBER(SEARCH($AI$4,'Lists'!$FX$5))),1,0)</f>
        <v/>
      </c>
      <c r="DB5">
        <f>IF(ROW()-3&gt;MAX($DA$4:$DA$42),"",INDEX('Lists'!$FX$4:$FX$42,MATCH(ROW()-3,$DA$4:$DA$42,0)))</f>
        <v/>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c r="AJ6">
        <f>AND(IF($B$4="",TRUE,IF($B$4="(blank)",'Final Calculation Sheet'!$F$4="",IF($B$4="(nonblank)",'Final Calculation Sheet'!$F$4&lt;&gt;"",ISNUMBER(SEARCH($B$4,'Final Calculation Sheet'!$F$4))))),IF($C$4="",TRUE,IF($C$4="(blank)",'Final Calculation Sheet'!$G$4="",IF($C$4="(nonblank)",'Final Calculation Sheet'!$G$4&lt;&gt;"",ISNUMBER(SEARCH($C$4,'Final Calculation Sheet'!$G$4))))),IF($D$4="",TRUE,IF($D$4="(blank)",'Final Calculation Sheet'!$B$4="",IF($D$4="(nonblank)",'Final Calculation Sheet'!$B$4&lt;&gt;"",ISNUMBER(SEARCH($D$4,'Final Calculation Sheet'!$B$4))))),IF($E$4="",TRUE,IF($E$4="(blank)",'Final Calculation Sheet'!$D$4="",IF($E$4="(nonblank)",'Final Calculation Sheet'!$D$4&lt;&gt;"",ISNUMBER(SEARCH($E$4,'Final Calculation Sheet'!$D$4))))),IF($F$4="",TRUE,IF($F$4="(blank)",'Final Calculation Sheet'!$A$4="",IF($F$4="(nonblank)",'Final Calculation Sheet'!$A$4&lt;&gt;"",ISNUMBER(SEARCH($F$4,'Final Calculation Sheet'!$A$4))))),IF($G$4="",TRUE,IF($G$4="(blank)",'Final Calculation Sheet'!$E$4="",IF($G$4="(nonblank)",'Final Calculation Sheet'!$E$4&lt;&gt;"",ISNUMBER(SEARCH($G$4,'Final Calculation Sheet'!$E$4))))),IF($H$4="",TRUE,IF($H$4="(blank)",'Final Calculation Sheet'!$C$4="",IF($H$4="(nonblank)",'Final Calculation Sheet'!$C$4&lt;&gt;"",ISNUMBER(SEARCH($H$4,'Final Calculation Sheet'!$C$4))))),IF($I$4="",TRUE,IF($I$4="(blank)",'Final Calculation Sheet'!$H$4="",IF($I$4="(nonblank)",'Final Calculation Sheet'!$H$4&lt;&gt;"",ISNUMBER(SEARCH($I$4,'Final Calculation Sheet'!$H$4))))),IF($J$4="",TRUE,IF($J$4="(blank)",'Final Calculation Sheet'!$I$4="",IF($J$4="(nonblank)",'Final Calculation Sheet'!$I$4&lt;&gt;"",ISNUMBER(SEARCH($J$4,'Final Calculation Sheet'!$I$4))))),IF($K$4="",TRUE,IF($K$4="(blank)",'Final Calculation Sheet'!$J$4="",IF($K$4="(nonblank)",'Final Calculation Sheet'!$J$4&lt;&gt;"",ISNUMBER(SEARCH($K$4,'Final Calculation Sheet'!$J$4))))),IF($L$4="",TRUE,IF($L$4="(blank)",'Final Calculation Sheet'!$K$4="",IF($L$4="(nonblank)",'Final Calculation Sheet'!$K$4&lt;&gt;"",ISNUMBER(SEARCH($L$4,'Final Calculation Sheet'!$K$4))))),IF($M$4="",TRUE,IF($M$4="(blank)",'Final Calculation Sheet'!$L$4="",IF($M$4="(nonblank)",'Final Calculation Sheet'!$L$4&lt;&gt;"",ISNUMBER(SEARCH($M$4,'Final Calculation Sheet'!$L$4))))),IF($N$4="",TRUE,IF($N$4="(blank)",'Final Calculation Sheet'!$M$4="",IF($N$4="(nonblank)",'Final Calculation Sheet'!$M$4&lt;&gt;"",ISNUMBER(SEARCH($N$4,'Final Calculation Sheet'!$M$4))))),IF($O$4="",TRUE,IF($O$4="(blank)",'Final Calculation Sheet'!$N$4="",IF($O$4="(nonblank)",'Final Calculation Sheet'!$N$4&lt;&gt;"",ISNUMBER(SEARCH($O$4,'Final Calculation Sheet'!$N$4))))),IF($P$4="",TRUE,IF($P$4="(blank)",'Final Calculation Sheet'!$O$4="",IF($P$4="(nonblank)",'Final Calculation Sheet'!$O$4&lt;&gt;"",ISNUMBER(SEARCH($P$4,'Final Calculation Sheet'!$O$4))))),IF($Q$4="",TRUE,IF($Q$4="(blank)",'Final Calculation Sheet'!$P$4="",IF($Q$4="(nonblank)",'Final Calculation Sheet'!$P$4&lt;&gt;"",ISNUMBER(SEARCH($Q$4,'Final Calculation Sheet'!$P$4))))),IF($R$4="",TRUE,IF($R$4="(blank)",'Final Calculation Sheet'!$Q$4="",IF($R$4="(nonblank)",'Final Calculation Sheet'!$Q$4&lt;&gt;"",ISNUMBER(SEARCH($R$4,'Final Calculation Sheet'!$Q$4))))),IF($S$4="",TRUE,IF($S$4="(blank)",'Final Calculation Sheet'!$R$4="",IF($S$4="(nonblank)",'Final Calculation Sheet'!$R$4&lt;&gt;"",ISNUMBER(SEARCH($S$4,'Final Calculation Sheet'!$R$4))))),IF($T$4="",TRUE,IF($T$4="(blank)",'Final Calculation Sheet'!$S$4="",IF($T$4="(nonblank)",'Final Calculation Sheet'!$S$4&lt;&gt;"",ISNUMBER(SEARCH($T$4,'Final Calculation Sheet'!$S$4))))),IF($U$4="",TRUE,IF($U$4="(blank)",'Final Calculation Sheet'!$T$4="",IF($U$4="(nonblank)",'Final Calculation Sheet'!$T$4&lt;&gt;"",ISNUMBER(SEARCH($U$4,'Final Calculation Sheet'!$T$4))))),IF($V$4="",TRUE,IF($V$4="(blank)",'Final Calculation Sheet'!$U$4="",IF($V$4="(nonblank)",'Final Calculation Sheet'!$U$4&lt;&gt;"",ISNUMBER(SEARCH($V$4,'Final Calculation Sheet'!$U$4))))),IF($W$4="",TRUE,IF($W$4="(blank)",'Final Calculation Sheet'!$V$4="",IF($W$4="(nonblank)",'Final Calculation Sheet'!$V$4&lt;&gt;"",ISNUMBER(SEARCH($W$4,'Final Calculation Sheet'!$V$4))))),IF($X$4="",TRUE,IF($X$4="(blank)",'Final Calculation Sheet'!$W$4="",IF($X$4="(nonblank)",'Final Calculation Sheet'!$W$4&lt;&gt;"",ISNUMBER(SEARCH($X$4,'Final Calculation Sheet'!$W$4))))),IF($Y$4="",TRUE,IF($Y$4="(blank)",'Final Calculation Sheet'!$X$4="",IF($Y$4="(nonblank)",'Final Calculation Sheet'!$X$4&lt;&gt;"",ISNUMBER(SEARCH($Y$4,'Final Calculation Sheet'!$X$4))))),IF($Z$4="",TRUE,IF($Z$4="(blank)",'Final Calculation Sheet'!$Y$4="",IF($Z$4="(nonblank)",'Final Calculation Sheet'!$Y$4&lt;&gt;"",ISNUMBER(SEARCH($Z$4,'Final Calculation Sheet'!$Y$4))))),IF($AA$4="",TRUE,IF($AA$4="(blank)",'Final Calculation Sheet'!$Z$4="",IF($AA$4="(nonblank)",'Final Calculation Sheet'!$Z$4&lt;&gt;"",ISNUMBER(SEARCH($AA$4,'Final Calculation Sheet'!$Z$4))))),IF($AB$4="",TRUE,IF($AB$4="(blank)",'Final Calculation Sheet'!$AA$4="",IF($AB$4="(nonblank)",'Final Calculation Sheet'!$AA$4&lt;&gt;"",ISNUMBER(SEARCH($AB$4,'Final Calculation Sheet'!$AA$4))))),IF($AC$4="",TRUE,IF($AC$4="(blank)",'Final Calculation Sheet'!$AB$4="",IF($AC$4="(nonblank)",'Final Calculation Sheet'!$AB$4&lt;&gt;"",ISNUMBER(SEARCH($AC$4,'Final Calculation Sheet'!$AB$4))))),IF($AD$4="",TRUE,IF($AD$4="(blank)",'Final Calculation Sheet'!$AC$4="",IF($AD$4="(nonblank)",'Final Calculation Sheet'!$AC$4&lt;&gt;"",ISNUMBER(SEARCH($AD$4,'Final Calculation Sheet'!$AC$4))))),IF($AE$4="",TRUE,IF($AE$4="(blank)",'Final Calculation Sheet'!$AD$4="",IF($AE$4="(nonblank)",'Final Calculation Sheet'!$AD$4&lt;&gt;"",ISNUMBER(SEARCH($AE$4,'Final Calculation Sheet'!$AD$4))))),IF($AF$4="",TRUE,IF($AF$4="(blank)",'Final Calculation Sheet'!$AE$4="",IF($AF$4="(nonblank)",'Final Calculation Sheet'!$AE$4&lt;&gt;"",ISNUMBER(SEARCH($AF$4,'Final Calculation Sheet'!$AE$4))))),IF($AG$4="",TRUE,IF($AG$4="(blank)",'Final Calculation Sheet'!$AF$4="",IF($AG$4="(nonblank)",'Final Calculation Sheet'!$AF$4&lt;&gt;"",ISNUMBER(SEARCH($AG$4,'Final Calculation Sheet'!$AF$4))))),IF($AH$4="",TRUE,IF($AH$4="(blank)",'Final Calculation Sheet'!$AG$4="",IF($AH$4="(nonblank)",'Final Calculation Sheet'!$AG$4&lt;&gt;"",ISNUMBER(SEARCH($AH$4,'Final Calculation Sheet'!$AG$4))))),IF($AI$4="",TRUE,IF($AI$4="(blank)",IF('Final Calculation Sheet'!$AD$4&lt;=5,"SETTLED","OUTSTANDING")="",IF($AI$4="(nonblank)",IF('Final Calculation Sheet'!$AD$4&lt;=5,"SETTLED","OUTSTANDING")&lt;&gt;"",ISNUMBER(SEARCH($AI$4,IF('Final Calculation Sheet'!$AD$4&lt;=5,"SETTLED","OUTSTANDING")))))))</f>
        <v/>
      </c>
      <c r="AK6">
        <f>IF(AJ6=1,COUNTIF(AJ$6:AJ6,1),"")</f>
        <v/>
      </c>
      <c r="AM6">
        <f>AM5+IF(AND('Lists'!$O$6&lt;&gt;"",ISNUMBER(SEARCH($B$4,'Lists'!$O$6))),1,0)</f>
        <v/>
      </c>
      <c r="AN6">
        <f>IF(ROW()-3&gt;MAX($AM$4:$AM$42),"",INDEX('Lists'!$O$4:$O$42,MATCH(ROW()-3,$AM$4:$AM$42,0)))</f>
        <v/>
      </c>
      <c r="AO6">
        <f>AO5+IF(AND('Lists'!$T$6&lt;&gt;"",ISNUMBER(SEARCH($C$4,'Lists'!$T$6))),1,0)</f>
        <v/>
      </c>
      <c r="AP6">
        <f>IF(ROW()-3&gt;MAX($AO$4:$AO$42),"",INDEX('Lists'!$T$4:$T$42,MATCH(ROW()-3,$AO$4:$AO$42,0)))</f>
        <v/>
      </c>
      <c r="AQ6">
        <f>AQ5+IF(AND('Lists'!$Y$6&lt;&gt;"",ISNUMBER(SEARCH($D$4,'Lists'!$Y$6))),1,0)</f>
        <v/>
      </c>
      <c r="AR6">
        <f>IF(ROW()-3&gt;MAX($AQ$4:$AQ$42),"",INDEX('Lists'!$Y$4:$Y$42,MATCH(ROW()-3,$AQ$4:$AQ$42,0)))</f>
        <v/>
      </c>
      <c r="AS6">
        <f>AS5+IF(AND('Lists'!$AD$6&lt;&gt;"",ISNUMBER(SEARCH($E$4,'Lists'!$AD$6))),1,0)</f>
        <v/>
      </c>
      <c r="AT6">
        <f>IF(ROW()-3&gt;MAX($AS$4:$AS$42),"",INDEX('Lists'!$AD$4:$AD$42,MATCH(ROW()-3,$AS$4:$AS$42,0)))</f>
        <v/>
      </c>
      <c r="AU6">
        <f>AU5+IF(AND('Lists'!$AI$6&lt;&gt;"",ISNUMBER(SEARCH($F$4,'Lists'!$AI$6))),1,0)</f>
        <v/>
      </c>
      <c r="AV6">
        <f>IF(ROW()-3&gt;MAX($AU$4:$AU$42),"",INDEX('Lists'!$AI$4:$AI$42,MATCH(ROW()-3,$AU$4:$AU$42,0)))</f>
        <v/>
      </c>
      <c r="AW6">
        <f>AW5+IF(AND('Lists'!$AN$6&lt;&gt;"",ISNUMBER(SEARCH($G$4,'Lists'!$AN$6))),1,0)</f>
        <v/>
      </c>
      <c r="AX6">
        <f>IF(ROW()-3&gt;MAX($AW$4:$AW$42),"",INDEX('Lists'!$AN$4:$AN$42,MATCH(ROW()-3,$AW$4:$AW$42,0)))</f>
        <v/>
      </c>
      <c r="AY6">
        <f>AY5+IF(AND('Lists'!$AS$6&lt;&gt;"",ISNUMBER(SEARCH($H$4,'Lists'!$AS$6))),1,0)</f>
        <v/>
      </c>
      <c r="AZ6">
        <f>IF(ROW()-3&gt;MAX($AY$4:$AY$42),"",INDEX('Lists'!$AS$4:$AS$42,MATCH(ROW()-3,$AY$4:$AY$42,0)))</f>
        <v/>
      </c>
      <c r="BA6">
        <f>BA5+IF(AND('Lists'!$AX$6&lt;&gt;"",ISNUMBER(SEARCH($I$4,'Lists'!$AX$6))),1,0)</f>
        <v/>
      </c>
      <c r="BB6">
        <f>IF(ROW()-3&gt;MAX($BA$4:$BA$42),"",INDEX('Lists'!$AX$4:$AX$42,MATCH(ROW()-3,$BA$4:$BA$42,0)))</f>
        <v/>
      </c>
      <c r="BC6">
        <f>BC5+IF(AND('Lists'!$BC$6&lt;&gt;"",ISNUMBER(SEARCH($J$4,'Lists'!$BC$6))),1,0)</f>
        <v/>
      </c>
      <c r="BD6">
        <f>IF(ROW()-3&gt;MAX($BC$4:$BC$42),"",INDEX('Lists'!$BC$4:$BC$42,MATCH(ROW()-3,$BC$4:$BC$42,0)))</f>
        <v/>
      </c>
      <c r="BE6">
        <f>BE5+IF(AND('Lists'!$BH$6&lt;&gt;"",ISNUMBER(SEARCH($K$4,'Lists'!$BH$6))),1,0)</f>
        <v/>
      </c>
      <c r="BF6">
        <f>IF(ROW()-3&gt;MAX($BE$4:$BE$42),"",INDEX('Lists'!$BH$4:$BH$42,MATCH(ROW()-3,$BE$4:$BE$42,0)))</f>
        <v/>
      </c>
      <c r="BG6">
        <f>BG5+IF(AND('Lists'!$BM$6&lt;&gt;"",ISNUMBER(SEARCH($L$4,'Lists'!$BM$6))),1,0)</f>
        <v/>
      </c>
      <c r="BH6">
        <f>IF(ROW()-3&gt;MAX($BG$4:$BG$42),"",INDEX('Lists'!$BM$4:$BM$42,MATCH(ROW()-3,$BG$4:$BG$42,0)))</f>
        <v/>
      </c>
      <c r="BI6">
        <f>BI5+IF(AND('Lists'!$BR$6&lt;&gt;"",ISNUMBER(SEARCH($M$4,'Lists'!$BR$6))),1,0)</f>
        <v/>
      </c>
      <c r="BJ6">
        <f>IF(ROW()-3&gt;MAX($BI$4:$BI$42),"",INDEX('Lists'!$BR$4:$BR$42,MATCH(ROW()-3,$BI$4:$BI$42,0)))</f>
        <v/>
      </c>
      <c r="BK6">
        <f>BK5+IF(AND('Lists'!$BW$6&lt;&gt;"",ISNUMBER(SEARCH($N$4,'Lists'!$BW$6))),1,0)</f>
        <v/>
      </c>
      <c r="BL6">
        <f>IF(ROW()-3&gt;MAX($BK$4:$BK$42),"",INDEX('Lists'!$BW$4:$BW$42,MATCH(ROW()-3,$BK$4:$BK$42,0)))</f>
        <v/>
      </c>
      <c r="BM6">
        <f>BM5+IF(AND('Lists'!$CB$6&lt;&gt;"",ISNUMBER(SEARCH($O$4,'Lists'!$CB$6))),1,0)</f>
        <v/>
      </c>
      <c r="BN6">
        <f>IF(ROW()-3&gt;MAX($BM$4:$BM$42),"",INDEX('Lists'!$CB$4:$CB$42,MATCH(ROW()-3,$BM$4:$BM$42,0)))</f>
        <v/>
      </c>
      <c r="BO6">
        <f>BO5+IF(AND('Lists'!$CG$6&lt;&gt;"",ISNUMBER(SEARCH($P$4,'Lists'!$CG$6))),1,0)</f>
        <v/>
      </c>
      <c r="BP6">
        <f>IF(ROW()-3&gt;MAX($BO$4:$BO$42),"",INDEX('Lists'!$CG$4:$CG$42,MATCH(ROW()-3,$BO$4:$BO$42,0)))</f>
        <v/>
      </c>
      <c r="BQ6">
        <f>BQ5+IF(AND('Lists'!$CL$6&lt;&gt;"",ISNUMBER(SEARCH($Q$4,'Lists'!$CL$6))),1,0)</f>
        <v/>
      </c>
      <c r="BR6">
        <f>IF(ROW()-3&gt;MAX($BQ$4:$BQ$42),"",INDEX('Lists'!$CL$4:$CL$42,MATCH(ROW()-3,$BQ$4:$BQ$42,0)))</f>
        <v/>
      </c>
      <c r="BS6">
        <f>BS5+IF(AND('Lists'!$CQ$6&lt;&gt;"",ISNUMBER(SEARCH($R$4,'Lists'!$CQ$6))),1,0)</f>
        <v/>
      </c>
      <c r="BT6">
        <f>IF(ROW()-3&gt;MAX($BS$4:$BS$42),"",INDEX('Lists'!$CQ$4:$CQ$42,MATCH(ROW()-3,$BS$4:$BS$42,0)))</f>
        <v/>
      </c>
      <c r="BU6">
        <f>BU5+IF(AND('Lists'!$CV$6&lt;&gt;"",ISNUMBER(SEARCH($S$4,'Lists'!$CV$6))),1,0)</f>
        <v/>
      </c>
      <c r="BV6">
        <f>IF(ROW()-3&gt;MAX($BU$4:$BU$42),"",INDEX('Lists'!$CV$4:$CV$42,MATCH(ROW()-3,$BU$4:$BU$42,0)))</f>
        <v/>
      </c>
      <c r="BW6">
        <f>BW5+IF(AND('Lists'!$DA$6&lt;&gt;"",ISNUMBER(SEARCH($T$4,'Lists'!$DA$6))),1,0)</f>
        <v/>
      </c>
      <c r="BX6">
        <f>IF(ROW()-3&gt;MAX($BW$4:$BW$42),"",INDEX('Lists'!$DA$4:$DA$42,MATCH(ROW()-3,$BW$4:$BW$42,0)))</f>
        <v/>
      </c>
      <c r="BY6">
        <f>BY5+IF(AND('Lists'!$DF$6&lt;&gt;"",ISNUMBER(SEARCH($U$4,'Lists'!$DF$6))),1,0)</f>
        <v/>
      </c>
      <c r="BZ6">
        <f>IF(ROW()-3&gt;MAX($BY$4:$BY$42),"",INDEX('Lists'!$DF$4:$DF$42,MATCH(ROW()-3,$BY$4:$BY$42,0)))</f>
        <v/>
      </c>
      <c r="CA6">
        <f>CA5+IF(AND('Lists'!$DK$6&lt;&gt;"",ISNUMBER(SEARCH($V$4,'Lists'!$DK$6))),1,0)</f>
        <v/>
      </c>
      <c r="CB6">
        <f>IF(ROW()-3&gt;MAX($CA$4:$CA$42),"",INDEX('Lists'!$DK$4:$DK$42,MATCH(ROW()-3,$CA$4:$CA$42,0)))</f>
        <v/>
      </c>
      <c r="CC6">
        <f>CC5+IF(AND('Lists'!$DP$6&lt;&gt;"",ISNUMBER(SEARCH($W$4,'Lists'!$DP$6))),1,0)</f>
        <v/>
      </c>
      <c r="CD6">
        <f>IF(ROW()-3&gt;MAX($CC$4:$CC$42),"",INDEX('Lists'!$DP$4:$DP$42,MATCH(ROW()-3,$CC$4:$CC$42,0)))</f>
        <v/>
      </c>
      <c r="CE6">
        <f>CE5+IF(AND('Lists'!$DU$6&lt;&gt;"",ISNUMBER(SEARCH($X$4,'Lists'!$DU$6))),1,0)</f>
        <v/>
      </c>
      <c r="CF6">
        <f>IF(ROW()-3&gt;MAX($CE$4:$CE$42),"",INDEX('Lists'!$DU$4:$DU$42,MATCH(ROW()-3,$CE$4:$CE$42,0)))</f>
        <v/>
      </c>
      <c r="CG6">
        <f>CG5+IF(AND('Lists'!$DZ$6&lt;&gt;"",ISNUMBER(SEARCH($Y$4,'Lists'!$DZ$6))),1,0)</f>
        <v/>
      </c>
      <c r="CH6">
        <f>IF(ROW()-3&gt;MAX($CG$4:$CG$42),"",INDEX('Lists'!$DZ$4:$DZ$42,MATCH(ROW()-3,$CG$4:$CG$42,0)))</f>
        <v/>
      </c>
      <c r="CI6">
        <f>CI5+IF(AND('Lists'!$EE$6&lt;&gt;"",ISNUMBER(SEARCH($Z$4,'Lists'!$EE$6))),1,0)</f>
        <v/>
      </c>
      <c r="CJ6">
        <f>IF(ROW()-3&gt;MAX($CI$4:$CI$42),"",INDEX('Lists'!$EE$4:$EE$42,MATCH(ROW()-3,$CI$4:$CI$42,0)))</f>
        <v/>
      </c>
      <c r="CK6">
        <f>CK5+IF(AND('Lists'!$EJ$6&lt;&gt;"",ISNUMBER(SEARCH($AA$4,'Lists'!$EJ$6))),1,0)</f>
        <v/>
      </c>
      <c r="CL6">
        <f>IF(ROW()-3&gt;MAX($CK$4:$CK$42),"",INDEX('Lists'!$EJ$4:$EJ$42,MATCH(ROW()-3,$CK$4:$CK$42,0)))</f>
        <v/>
      </c>
      <c r="CM6">
        <f>CM5+IF(AND('Lists'!$EO$6&lt;&gt;"",ISNUMBER(SEARCH($AB$4,'Lists'!$EO$6))),1,0)</f>
        <v/>
      </c>
      <c r="CN6">
        <f>IF(ROW()-3&gt;MAX($CM$4:$CM$42),"",INDEX('Lists'!$EO$4:$EO$42,MATCH(ROW()-3,$CM$4:$CM$42,0)))</f>
        <v/>
      </c>
      <c r="CO6">
        <f>CO5+IF(AND('Lists'!$ET$6&lt;&gt;"",ISNUMBER(SEARCH($AC$4,'Lists'!$ET$6))),1,0)</f>
        <v/>
      </c>
      <c r="CP6">
        <f>IF(ROW()-3&gt;MAX($CO$4:$CO$42),"",INDEX('Lists'!$ET$4:$ET$42,MATCH(ROW()-3,$CO$4:$CO$42,0)))</f>
        <v/>
      </c>
      <c r="CQ6">
        <f>CQ5+IF(AND('Lists'!$EY$6&lt;&gt;"",ISNUMBER(SEARCH($AD$4,'Lists'!$EY$6))),1,0)</f>
        <v/>
      </c>
      <c r="CR6">
        <f>IF(ROW()-3&gt;MAX($CQ$4:$CQ$42),"",INDEX('Lists'!$EY$4:$EY$42,MATCH(ROW()-3,$CQ$4:$CQ$42,0)))</f>
        <v/>
      </c>
      <c r="CS6">
        <f>CS5+IF(AND('Lists'!$FD$6&lt;&gt;"",ISNUMBER(SEARCH($AE$4,'Lists'!$FD$6))),1,0)</f>
        <v/>
      </c>
      <c r="CT6">
        <f>IF(ROW()-3&gt;MAX($CS$4:$CS$42),"",INDEX('Lists'!$FD$4:$FD$42,MATCH(ROW()-3,$CS$4:$CS$42,0)))</f>
        <v/>
      </c>
      <c r="CU6">
        <f>CU5+IF(AND('Lists'!$FI$6&lt;&gt;"",ISNUMBER(SEARCH($AF$4,'Lists'!$FI$6))),1,0)</f>
        <v/>
      </c>
      <c r="CV6">
        <f>IF(ROW()-3&gt;MAX($CU$4:$CU$42),"",INDEX('Lists'!$FI$4:$FI$42,MATCH(ROW()-3,$CU$4:$CU$42,0)))</f>
        <v/>
      </c>
      <c r="CW6">
        <f>CW5+IF(AND('Lists'!$FN$6&lt;&gt;"",ISNUMBER(SEARCH($AG$4,'Lists'!$FN$6))),1,0)</f>
        <v/>
      </c>
      <c r="CX6">
        <f>IF(ROW()-3&gt;MAX($CW$4:$CW$42),"",INDEX('Lists'!$FN$4:$FN$42,MATCH(ROW()-3,$CW$4:$CW$42,0)))</f>
        <v/>
      </c>
      <c r="CY6">
        <f>CY5+IF(AND('Lists'!$FS$6&lt;&gt;"",ISNUMBER(SEARCH($AH$4,'Lists'!$FS$6))),1,0)</f>
        <v/>
      </c>
      <c r="CZ6">
        <f>IF(ROW()-3&gt;MAX($CY$4:$CY$42),"",INDEX('Lists'!$FS$4:$FS$42,MATCH(ROW()-3,$CY$4:$CY$42,0)))</f>
        <v/>
      </c>
      <c r="DA6">
        <f>DA5+IF(AND('Lists'!$FX$6&lt;&gt;"",ISNUMBER(SEARCH($AI$4,'Lists'!$FX$6))),1,0)</f>
        <v/>
      </c>
      <c r="DB6">
        <f>IF(ROW()-3&gt;MAX($DA$4:$DA$42),"",INDEX('Lists'!$FX$4:$FX$42,MATCH(ROW()-3,$DA$4:$DA$42,0)))</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c r="AJ7">
        <f>AND(IF($B$4="",TRUE,IF($B$4="(blank)",'Final Calculation Sheet'!$F$5="",IF($B$4="(nonblank)",'Final Calculation Sheet'!$F$5&lt;&gt;"",ISNUMBER(SEARCH($B$4,'Final Calculation Sheet'!$F$5))))),IF($C$4="",TRUE,IF($C$4="(blank)",'Final Calculation Sheet'!$G$5="",IF($C$4="(nonblank)",'Final Calculation Sheet'!$G$5&lt;&gt;"",ISNUMBER(SEARCH($C$4,'Final Calculation Sheet'!$G$5))))),IF($D$4="",TRUE,IF($D$4="(blank)",'Final Calculation Sheet'!$B$5="",IF($D$4="(nonblank)",'Final Calculation Sheet'!$B$5&lt;&gt;"",ISNUMBER(SEARCH($D$4,'Final Calculation Sheet'!$B$5))))),IF($E$4="",TRUE,IF($E$4="(blank)",'Final Calculation Sheet'!$D$5="",IF($E$4="(nonblank)",'Final Calculation Sheet'!$D$5&lt;&gt;"",ISNUMBER(SEARCH($E$4,'Final Calculation Sheet'!$D$5))))),IF($F$4="",TRUE,IF($F$4="(blank)",'Final Calculation Sheet'!$A$5="",IF($F$4="(nonblank)",'Final Calculation Sheet'!$A$5&lt;&gt;"",ISNUMBER(SEARCH($F$4,'Final Calculation Sheet'!$A$5))))),IF($G$4="",TRUE,IF($G$4="(blank)",'Final Calculation Sheet'!$E$5="",IF($G$4="(nonblank)",'Final Calculation Sheet'!$E$5&lt;&gt;"",ISNUMBER(SEARCH($G$4,'Final Calculation Sheet'!$E$5))))),IF($H$4="",TRUE,IF($H$4="(blank)",'Final Calculation Sheet'!$C$5="",IF($H$4="(nonblank)",'Final Calculation Sheet'!$C$5&lt;&gt;"",ISNUMBER(SEARCH($H$4,'Final Calculation Sheet'!$C$5))))),IF($I$4="",TRUE,IF($I$4="(blank)",'Final Calculation Sheet'!$H$5="",IF($I$4="(nonblank)",'Final Calculation Sheet'!$H$5&lt;&gt;"",ISNUMBER(SEARCH($I$4,'Final Calculation Sheet'!$H$5))))),IF($J$4="",TRUE,IF($J$4="(blank)",'Final Calculation Sheet'!$I$5="",IF($J$4="(nonblank)",'Final Calculation Sheet'!$I$5&lt;&gt;"",ISNUMBER(SEARCH($J$4,'Final Calculation Sheet'!$I$5))))),IF($K$4="",TRUE,IF($K$4="(blank)",'Final Calculation Sheet'!$J$5="",IF($K$4="(nonblank)",'Final Calculation Sheet'!$J$5&lt;&gt;"",ISNUMBER(SEARCH($K$4,'Final Calculation Sheet'!$J$5))))),IF($L$4="",TRUE,IF($L$4="(blank)",'Final Calculation Sheet'!$K$5="",IF($L$4="(nonblank)",'Final Calculation Sheet'!$K$5&lt;&gt;"",ISNUMBER(SEARCH($L$4,'Final Calculation Sheet'!$K$5))))),IF($M$4="",TRUE,IF($M$4="(blank)",'Final Calculation Sheet'!$L$5="",IF($M$4="(nonblank)",'Final Calculation Sheet'!$L$5&lt;&gt;"",ISNUMBER(SEARCH($M$4,'Final Calculation Sheet'!$L$5))))),IF($N$4="",TRUE,IF($N$4="(blank)",'Final Calculation Sheet'!$M$5="",IF($N$4="(nonblank)",'Final Calculation Sheet'!$M$5&lt;&gt;"",ISNUMBER(SEARCH($N$4,'Final Calculation Sheet'!$M$5))))),IF($O$4="",TRUE,IF($O$4="(blank)",'Final Calculation Sheet'!$N$5="",IF($O$4="(nonblank)",'Final Calculation Sheet'!$N$5&lt;&gt;"",ISNUMBER(SEARCH($O$4,'Final Calculation Sheet'!$N$5))))),IF($P$4="",TRUE,IF($P$4="(blank)",'Final Calculation Sheet'!$O$5="",IF($P$4="(nonblank)",'Final Calculation Sheet'!$O$5&lt;&gt;"",ISNUMBER(SEARCH($P$4,'Final Calculation Sheet'!$O$5))))),IF($Q$4="",TRUE,IF($Q$4="(blank)",'Final Calculation Sheet'!$P$5="",IF($Q$4="(nonblank)",'Final Calculation Sheet'!$P$5&lt;&gt;"",ISNUMBER(SEARCH($Q$4,'Final Calculation Sheet'!$P$5))))),IF($R$4="",TRUE,IF($R$4="(blank)",'Final Calculation Sheet'!$Q$5="",IF($R$4="(nonblank)",'Final Calculation Sheet'!$Q$5&lt;&gt;"",ISNUMBER(SEARCH($R$4,'Final Calculation Sheet'!$Q$5))))),IF($S$4="",TRUE,IF($S$4="(blank)",'Final Calculation Sheet'!$R$5="",IF($S$4="(nonblank)",'Final Calculation Sheet'!$R$5&lt;&gt;"",ISNUMBER(SEARCH($S$4,'Final Calculation Sheet'!$R$5))))),IF($T$4="",TRUE,IF($T$4="(blank)",'Final Calculation Sheet'!$S$5="",IF($T$4="(nonblank)",'Final Calculation Sheet'!$S$5&lt;&gt;"",ISNUMBER(SEARCH($T$4,'Final Calculation Sheet'!$S$5))))),IF($U$4="",TRUE,IF($U$4="(blank)",'Final Calculation Sheet'!$T$5="",IF($U$4="(nonblank)",'Final Calculation Sheet'!$T$5&lt;&gt;"",ISNUMBER(SEARCH($U$4,'Final Calculation Sheet'!$T$5))))),IF($V$4="",TRUE,IF($V$4="(blank)",'Final Calculation Sheet'!$U$5="",IF($V$4="(nonblank)",'Final Calculation Sheet'!$U$5&lt;&gt;"",ISNUMBER(SEARCH($V$4,'Final Calculation Sheet'!$U$5))))),IF($W$4="",TRUE,IF($W$4="(blank)",'Final Calculation Sheet'!$V$5="",IF($W$4="(nonblank)",'Final Calculation Sheet'!$V$5&lt;&gt;"",ISNUMBER(SEARCH($W$4,'Final Calculation Sheet'!$V$5))))),IF($X$4="",TRUE,IF($X$4="(blank)",'Final Calculation Sheet'!$W$5="",IF($X$4="(nonblank)",'Final Calculation Sheet'!$W$5&lt;&gt;"",ISNUMBER(SEARCH($X$4,'Final Calculation Sheet'!$W$5))))),IF($Y$4="",TRUE,IF($Y$4="(blank)",'Final Calculation Sheet'!$X$5="",IF($Y$4="(nonblank)",'Final Calculation Sheet'!$X$5&lt;&gt;"",ISNUMBER(SEARCH($Y$4,'Final Calculation Sheet'!$X$5))))),IF($Z$4="",TRUE,IF($Z$4="(blank)",'Final Calculation Sheet'!$Y$5="",IF($Z$4="(nonblank)",'Final Calculation Sheet'!$Y$5&lt;&gt;"",ISNUMBER(SEARCH($Z$4,'Final Calculation Sheet'!$Y$5))))),IF($AA$4="",TRUE,IF($AA$4="(blank)",'Final Calculation Sheet'!$Z$5="",IF($AA$4="(nonblank)",'Final Calculation Sheet'!$Z$5&lt;&gt;"",ISNUMBER(SEARCH($AA$4,'Final Calculation Sheet'!$Z$5))))),IF($AB$4="",TRUE,IF($AB$4="(blank)",'Final Calculation Sheet'!$AA$5="",IF($AB$4="(nonblank)",'Final Calculation Sheet'!$AA$5&lt;&gt;"",ISNUMBER(SEARCH($AB$4,'Final Calculation Sheet'!$AA$5))))),IF($AC$4="",TRUE,IF($AC$4="(blank)",'Final Calculation Sheet'!$AB$5="",IF($AC$4="(nonblank)",'Final Calculation Sheet'!$AB$5&lt;&gt;"",ISNUMBER(SEARCH($AC$4,'Final Calculation Sheet'!$AB$5))))),IF($AD$4="",TRUE,IF($AD$4="(blank)",'Final Calculation Sheet'!$AC$5="",IF($AD$4="(nonblank)",'Final Calculation Sheet'!$AC$5&lt;&gt;"",ISNUMBER(SEARCH($AD$4,'Final Calculation Sheet'!$AC$5))))),IF($AE$4="",TRUE,IF($AE$4="(blank)",'Final Calculation Sheet'!$AD$5="",IF($AE$4="(nonblank)",'Final Calculation Sheet'!$AD$5&lt;&gt;"",ISNUMBER(SEARCH($AE$4,'Final Calculation Sheet'!$AD$5))))),IF($AF$4="",TRUE,IF($AF$4="(blank)",'Final Calculation Sheet'!$AE$5="",IF($AF$4="(nonblank)",'Final Calculation Sheet'!$AE$5&lt;&gt;"",ISNUMBER(SEARCH($AF$4,'Final Calculation Sheet'!$AE$5))))),IF($AG$4="",TRUE,IF($AG$4="(blank)",'Final Calculation Sheet'!$AF$5="",IF($AG$4="(nonblank)",'Final Calculation Sheet'!$AF$5&lt;&gt;"",ISNUMBER(SEARCH($AG$4,'Final Calculation Sheet'!$AF$5))))),IF($AH$4="",TRUE,IF($AH$4="(blank)",'Final Calculation Sheet'!$AG$5="",IF($AH$4="(nonblank)",'Final Calculation Sheet'!$AG$5&lt;&gt;"",ISNUMBER(SEARCH($AH$4,'Final Calculation Sheet'!$AG$5))))),IF($AI$4="",TRUE,IF($AI$4="(blank)",IF('Final Calculation Sheet'!$AD$5&lt;=5,"SETTLED","OUTSTANDING")="",IF($AI$4="(nonblank)",IF('Final Calculation Sheet'!$AD$5&lt;=5,"SETTLED","OUTSTANDING")&lt;&gt;"",ISNUMBER(SEARCH($AI$4,IF('Final Calculation Sheet'!$AD$5&lt;=5,"SETTLED","OUTSTANDING")))))))</f>
        <v/>
      </c>
      <c r="AK7">
        <f>IF(AJ7=1,COUNTIF(AJ$6:AJ7,1),"")</f>
        <v/>
      </c>
      <c r="AM7">
        <f>AM6+IF(AND('Lists'!$O$7&lt;&gt;"",ISNUMBER(SEARCH($B$4,'Lists'!$O$7))),1,0)</f>
        <v/>
      </c>
      <c r="AN7">
        <f>IF(ROW()-3&gt;MAX($AM$4:$AM$42),"",INDEX('Lists'!$O$4:$O$42,MATCH(ROW()-3,$AM$4:$AM$42,0)))</f>
        <v/>
      </c>
      <c r="AO7">
        <f>AO6+IF(AND('Lists'!$T$7&lt;&gt;"",ISNUMBER(SEARCH($C$4,'Lists'!$T$7))),1,0)</f>
        <v/>
      </c>
      <c r="AP7">
        <f>IF(ROW()-3&gt;MAX($AO$4:$AO$42),"",INDEX('Lists'!$T$4:$T$42,MATCH(ROW()-3,$AO$4:$AO$42,0)))</f>
        <v/>
      </c>
      <c r="AQ7">
        <f>AQ6+IF(AND('Lists'!$Y$7&lt;&gt;"",ISNUMBER(SEARCH($D$4,'Lists'!$Y$7))),1,0)</f>
        <v/>
      </c>
      <c r="AR7">
        <f>IF(ROW()-3&gt;MAX($AQ$4:$AQ$42),"",INDEX('Lists'!$Y$4:$Y$42,MATCH(ROW()-3,$AQ$4:$AQ$42,0)))</f>
        <v/>
      </c>
      <c r="AS7">
        <f>AS6+IF(AND('Lists'!$AD$7&lt;&gt;"",ISNUMBER(SEARCH($E$4,'Lists'!$AD$7))),1,0)</f>
        <v/>
      </c>
      <c r="AT7">
        <f>IF(ROW()-3&gt;MAX($AS$4:$AS$42),"",INDEX('Lists'!$AD$4:$AD$42,MATCH(ROW()-3,$AS$4:$AS$42,0)))</f>
        <v/>
      </c>
      <c r="AU7">
        <f>AU6+IF(AND('Lists'!$AI$7&lt;&gt;"",ISNUMBER(SEARCH($F$4,'Lists'!$AI$7))),1,0)</f>
        <v/>
      </c>
      <c r="AV7">
        <f>IF(ROW()-3&gt;MAX($AU$4:$AU$42),"",INDEX('Lists'!$AI$4:$AI$42,MATCH(ROW()-3,$AU$4:$AU$42,0)))</f>
        <v/>
      </c>
      <c r="AW7">
        <f>AW6+IF(AND('Lists'!$AN$7&lt;&gt;"",ISNUMBER(SEARCH($G$4,'Lists'!$AN$7))),1,0)</f>
        <v/>
      </c>
      <c r="AX7">
        <f>IF(ROW()-3&gt;MAX($AW$4:$AW$42),"",INDEX('Lists'!$AN$4:$AN$42,MATCH(ROW()-3,$AW$4:$AW$42,0)))</f>
        <v/>
      </c>
      <c r="AY7">
        <f>AY6+IF(AND('Lists'!$AS$7&lt;&gt;"",ISNUMBER(SEARCH($H$4,'Lists'!$AS$7))),1,0)</f>
        <v/>
      </c>
      <c r="AZ7">
        <f>IF(ROW()-3&gt;MAX($AY$4:$AY$42),"",INDEX('Lists'!$AS$4:$AS$42,MATCH(ROW()-3,$AY$4:$AY$42,0)))</f>
        <v/>
      </c>
      <c r="BA7">
        <f>BA6+IF(AND('Lists'!$AX$7&lt;&gt;"",ISNUMBER(SEARCH($I$4,'Lists'!$AX$7))),1,0)</f>
        <v/>
      </c>
      <c r="BB7">
        <f>IF(ROW()-3&gt;MAX($BA$4:$BA$42),"",INDEX('Lists'!$AX$4:$AX$42,MATCH(ROW()-3,$BA$4:$BA$42,0)))</f>
        <v/>
      </c>
      <c r="BC7">
        <f>BC6+IF(AND('Lists'!$BC$7&lt;&gt;"",ISNUMBER(SEARCH($J$4,'Lists'!$BC$7))),1,0)</f>
        <v/>
      </c>
      <c r="BD7">
        <f>IF(ROW()-3&gt;MAX($BC$4:$BC$42),"",INDEX('Lists'!$BC$4:$BC$42,MATCH(ROW()-3,$BC$4:$BC$42,0)))</f>
        <v/>
      </c>
      <c r="BE7">
        <f>BE6+IF(AND('Lists'!$BH$7&lt;&gt;"",ISNUMBER(SEARCH($K$4,'Lists'!$BH$7))),1,0)</f>
        <v/>
      </c>
      <c r="BF7">
        <f>IF(ROW()-3&gt;MAX($BE$4:$BE$42),"",INDEX('Lists'!$BH$4:$BH$42,MATCH(ROW()-3,$BE$4:$BE$42,0)))</f>
        <v/>
      </c>
      <c r="BG7">
        <f>BG6+IF(AND('Lists'!$BM$7&lt;&gt;"",ISNUMBER(SEARCH($L$4,'Lists'!$BM$7))),1,0)</f>
        <v/>
      </c>
      <c r="BH7">
        <f>IF(ROW()-3&gt;MAX($BG$4:$BG$42),"",INDEX('Lists'!$BM$4:$BM$42,MATCH(ROW()-3,$BG$4:$BG$42,0)))</f>
        <v/>
      </c>
      <c r="BI7">
        <f>BI6+IF(AND('Lists'!$BR$7&lt;&gt;"",ISNUMBER(SEARCH($M$4,'Lists'!$BR$7))),1,0)</f>
        <v/>
      </c>
      <c r="BJ7">
        <f>IF(ROW()-3&gt;MAX($BI$4:$BI$42),"",INDEX('Lists'!$BR$4:$BR$42,MATCH(ROW()-3,$BI$4:$BI$42,0)))</f>
        <v/>
      </c>
      <c r="BK7">
        <f>BK6+IF(AND('Lists'!$BW$7&lt;&gt;"",ISNUMBER(SEARCH($N$4,'Lists'!$BW$7))),1,0)</f>
        <v/>
      </c>
      <c r="BL7">
        <f>IF(ROW()-3&gt;MAX($BK$4:$BK$42),"",INDEX('Lists'!$BW$4:$BW$42,MATCH(ROW()-3,$BK$4:$BK$42,0)))</f>
        <v/>
      </c>
      <c r="BM7">
        <f>BM6+IF(AND('Lists'!$CB$7&lt;&gt;"",ISNUMBER(SEARCH($O$4,'Lists'!$CB$7))),1,0)</f>
        <v/>
      </c>
      <c r="BN7">
        <f>IF(ROW()-3&gt;MAX($BM$4:$BM$42),"",INDEX('Lists'!$CB$4:$CB$42,MATCH(ROW()-3,$BM$4:$BM$42,0)))</f>
        <v/>
      </c>
      <c r="BO7">
        <f>BO6+IF(AND('Lists'!$CG$7&lt;&gt;"",ISNUMBER(SEARCH($P$4,'Lists'!$CG$7))),1,0)</f>
        <v/>
      </c>
      <c r="BP7">
        <f>IF(ROW()-3&gt;MAX($BO$4:$BO$42),"",INDEX('Lists'!$CG$4:$CG$42,MATCH(ROW()-3,$BO$4:$BO$42,0)))</f>
        <v/>
      </c>
      <c r="BQ7">
        <f>BQ6+IF(AND('Lists'!$CL$7&lt;&gt;"",ISNUMBER(SEARCH($Q$4,'Lists'!$CL$7))),1,0)</f>
        <v/>
      </c>
      <c r="BR7">
        <f>IF(ROW()-3&gt;MAX($BQ$4:$BQ$42),"",INDEX('Lists'!$CL$4:$CL$42,MATCH(ROW()-3,$BQ$4:$BQ$42,0)))</f>
        <v/>
      </c>
      <c r="BS7">
        <f>BS6+IF(AND('Lists'!$CQ$7&lt;&gt;"",ISNUMBER(SEARCH($R$4,'Lists'!$CQ$7))),1,0)</f>
        <v/>
      </c>
      <c r="BT7">
        <f>IF(ROW()-3&gt;MAX($BS$4:$BS$42),"",INDEX('Lists'!$CQ$4:$CQ$42,MATCH(ROW()-3,$BS$4:$BS$42,0)))</f>
        <v/>
      </c>
      <c r="BU7">
        <f>BU6+IF(AND('Lists'!$CV$7&lt;&gt;"",ISNUMBER(SEARCH($S$4,'Lists'!$CV$7))),1,0)</f>
        <v/>
      </c>
      <c r="BV7">
        <f>IF(ROW()-3&gt;MAX($BU$4:$BU$42),"",INDEX('Lists'!$CV$4:$CV$42,MATCH(ROW()-3,$BU$4:$BU$42,0)))</f>
        <v/>
      </c>
      <c r="BW7">
        <f>BW6+IF(AND('Lists'!$DA$7&lt;&gt;"",ISNUMBER(SEARCH($T$4,'Lists'!$DA$7))),1,0)</f>
        <v/>
      </c>
      <c r="BX7">
        <f>IF(ROW()-3&gt;MAX($BW$4:$BW$42),"",INDEX('Lists'!$DA$4:$DA$42,MATCH(ROW()-3,$BW$4:$BW$42,0)))</f>
        <v/>
      </c>
      <c r="BY7">
        <f>BY6+IF(AND('Lists'!$DF$7&lt;&gt;"",ISNUMBER(SEARCH($U$4,'Lists'!$DF$7))),1,0)</f>
        <v/>
      </c>
      <c r="BZ7">
        <f>IF(ROW()-3&gt;MAX($BY$4:$BY$42),"",INDEX('Lists'!$DF$4:$DF$42,MATCH(ROW()-3,$BY$4:$BY$42,0)))</f>
        <v/>
      </c>
      <c r="CA7">
        <f>CA6+IF(AND('Lists'!$DK$7&lt;&gt;"",ISNUMBER(SEARCH($V$4,'Lists'!$DK$7))),1,0)</f>
        <v/>
      </c>
      <c r="CB7">
        <f>IF(ROW()-3&gt;MAX($CA$4:$CA$42),"",INDEX('Lists'!$DK$4:$DK$42,MATCH(ROW()-3,$CA$4:$CA$42,0)))</f>
        <v/>
      </c>
      <c r="CC7">
        <f>CC6+IF(AND('Lists'!$DP$7&lt;&gt;"",ISNUMBER(SEARCH($W$4,'Lists'!$DP$7))),1,0)</f>
        <v/>
      </c>
      <c r="CD7">
        <f>IF(ROW()-3&gt;MAX($CC$4:$CC$42),"",INDEX('Lists'!$DP$4:$DP$42,MATCH(ROW()-3,$CC$4:$CC$42,0)))</f>
        <v/>
      </c>
      <c r="CE7">
        <f>CE6+IF(AND('Lists'!$DU$7&lt;&gt;"",ISNUMBER(SEARCH($X$4,'Lists'!$DU$7))),1,0)</f>
        <v/>
      </c>
      <c r="CF7">
        <f>IF(ROW()-3&gt;MAX($CE$4:$CE$42),"",INDEX('Lists'!$DU$4:$DU$42,MATCH(ROW()-3,$CE$4:$CE$42,0)))</f>
        <v/>
      </c>
      <c r="CG7">
        <f>CG6+IF(AND('Lists'!$DZ$7&lt;&gt;"",ISNUMBER(SEARCH($Y$4,'Lists'!$DZ$7))),1,0)</f>
        <v/>
      </c>
      <c r="CH7">
        <f>IF(ROW()-3&gt;MAX($CG$4:$CG$42),"",INDEX('Lists'!$DZ$4:$DZ$42,MATCH(ROW()-3,$CG$4:$CG$42,0)))</f>
        <v/>
      </c>
      <c r="CI7">
        <f>CI6+IF(AND('Lists'!$EE$7&lt;&gt;"",ISNUMBER(SEARCH($Z$4,'Lists'!$EE$7))),1,0)</f>
        <v/>
      </c>
      <c r="CJ7">
        <f>IF(ROW()-3&gt;MAX($CI$4:$CI$42),"",INDEX('Lists'!$EE$4:$EE$42,MATCH(ROW()-3,$CI$4:$CI$42,0)))</f>
        <v/>
      </c>
      <c r="CK7">
        <f>CK6+IF(AND('Lists'!$EJ$7&lt;&gt;"",ISNUMBER(SEARCH($AA$4,'Lists'!$EJ$7))),1,0)</f>
        <v/>
      </c>
      <c r="CL7">
        <f>IF(ROW()-3&gt;MAX($CK$4:$CK$42),"",INDEX('Lists'!$EJ$4:$EJ$42,MATCH(ROW()-3,$CK$4:$CK$42,0)))</f>
        <v/>
      </c>
      <c r="CM7">
        <f>CM6+IF(AND('Lists'!$EO$7&lt;&gt;"",ISNUMBER(SEARCH($AB$4,'Lists'!$EO$7))),1,0)</f>
        <v/>
      </c>
      <c r="CN7">
        <f>IF(ROW()-3&gt;MAX($CM$4:$CM$42),"",INDEX('Lists'!$EO$4:$EO$42,MATCH(ROW()-3,$CM$4:$CM$42,0)))</f>
        <v/>
      </c>
      <c r="CO7">
        <f>CO6+IF(AND('Lists'!$ET$7&lt;&gt;"",ISNUMBER(SEARCH($AC$4,'Lists'!$ET$7))),1,0)</f>
        <v/>
      </c>
      <c r="CP7">
        <f>IF(ROW()-3&gt;MAX($CO$4:$CO$42),"",INDEX('Lists'!$ET$4:$ET$42,MATCH(ROW()-3,$CO$4:$CO$42,0)))</f>
        <v/>
      </c>
      <c r="CQ7">
        <f>CQ6+IF(AND('Lists'!$EY$7&lt;&gt;"",ISNUMBER(SEARCH($AD$4,'Lists'!$EY$7))),1,0)</f>
        <v/>
      </c>
      <c r="CR7">
        <f>IF(ROW()-3&gt;MAX($CQ$4:$CQ$42),"",INDEX('Lists'!$EY$4:$EY$42,MATCH(ROW()-3,$CQ$4:$CQ$42,0)))</f>
        <v/>
      </c>
      <c r="CS7">
        <f>CS6+IF(AND('Lists'!$FD$7&lt;&gt;"",ISNUMBER(SEARCH($AE$4,'Lists'!$FD$7))),1,0)</f>
        <v/>
      </c>
      <c r="CT7">
        <f>IF(ROW()-3&gt;MAX($CS$4:$CS$42),"",INDEX('Lists'!$FD$4:$FD$42,MATCH(ROW()-3,$CS$4:$CS$42,0)))</f>
        <v/>
      </c>
      <c r="CU7">
        <f>CU6+IF(AND('Lists'!$FI$7&lt;&gt;"",ISNUMBER(SEARCH($AF$4,'Lists'!$FI$7))),1,0)</f>
        <v/>
      </c>
      <c r="CV7">
        <f>IF(ROW()-3&gt;MAX($CU$4:$CU$42),"",INDEX('Lists'!$FI$4:$FI$42,MATCH(ROW()-3,$CU$4:$CU$42,0)))</f>
        <v/>
      </c>
      <c r="CW7">
        <f>CW6+IF(AND('Lists'!$FN$7&lt;&gt;"",ISNUMBER(SEARCH($AG$4,'Lists'!$FN$7))),1,0)</f>
        <v/>
      </c>
      <c r="CX7">
        <f>IF(ROW()-3&gt;MAX($CW$4:$CW$42),"",INDEX('Lists'!$FN$4:$FN$42,MATCH(ROW()-3,$CW$4:$CW$42,0)))</f>
        <v/>
      </c>
      <c r="CY7">
        <f>CY6+IF(AND('Lists'!$FS$7&lt;&gt;"",ISNUMBER(SEARCH($AH$4,'Lists'!$FS$7))),1,0)</f>
        <v/>
      </c>
      <c r="CZ7">
        <f>IF(ROW()-3&gt;MAX($CY$4:$CY$42),"",INDEX('Lists'!$FS$4:$FS$42,MATCH(ROW()-3,$CY$4:$CY$42,0)))</f>
        <v/>
      </c>
      <c r="DA7">
        <f>DA6+IF(AND('Lists'!$FX$7&lt;&gt;"",ISNUMBER(SEARCH($AI$4,'Lists'!$FX$7))),1,0)</f>
        <v/>
      </c>
      <c r="DB7">
        <f>IF(ROW()-3&gt;MAX($DA$4:$DA$42),"",INDEX('Lists'!$FX$4:$FX$42,MATCH(ROW()-3,$DA$4:$DA$42,0)))</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c r="AJ8">
        <f>AND(IF($B$4="",TRUE,IF($B$4="(blank)",'Final Calculation Sheet'!$F$6="",IF($B$4="(nonblank)",'Final Calculation Sheet'!$F$6&lt;&gt;"",ISNUMBER(SEARCH($B$4,'Final Calculation Sheet'!$F$6))))),IF($C$4="",TRUE,IF($C$4="(blank)",'Final Calculation Sheet'!$G$6="",IF($C$4="(nonblank)",'Final Calculation Sheet'!$G$6&lt;&gt;"",ISNUMBER(SEARCH($C$4,'Final Calculation Sheet'!$G$6))))),IF($D$4="",TRUE,IF($D$4="(blank)",'Final Calculation Sheet'!$B$6="",IF($D$4="(nonblank)",'Final Calculation Sheet'!$B$6&lt;&gt;"",ISNUMBER(SEARCH($D$4,'Final Calculation Sheet'!$B$6))))),IF($E$4="",TRUE,IF($E$4="(blank)",'Final Calculation Sheet'!$D$6="",IF($E$4="(nonblank)",'Final Calculation Sheet'!$D$6&lt;&gt;"",ISNUMBER(SEARCH($E$4,'Final Calculation Sheet'!$D$6))))),IF($F$4="",TRUE,IF($F$4="(blank)",'Final Calculation Sheet'!$A$6="",IF($F$4="(nonblank)",'Final Calculation Sheet'!$A$6&lt;&gt;"",ISNUMBER(SEARCH($F$4,'Final Calculation Sheet'!$A$6))))),IF($G$4="",TRUE,IF($G$4="(blank)",'Final Calculation Sheet'!$E$6="",IF($G$4="(nonblank)",'Final Calculation Sheet'!$E$6&lt;&gt;"",ISNUMBER(SEARCH($G$4,'Final Calculation Sheet'!$E$6))))),IF($H$4="",TRUE,IF($H$4="(blank)",'Final Calculation Sheet'!$C$6="",IF($H$4="(nonblank)",'Final Calculation Sheet'!$C$6&lt;&gt;"",ISNUMBER(SEARCH($H$4,'Final Calculation Sheet'!$C$6))))),IF($I$4="",TRUE,IF($I$4="(blank)",'Final Calculation Sheet'!$H$6="",IF($I$4="(nonblank)",'Final Calculation Sheet'!$H$6&lt;&gt;"",ISNUMBER(SEARCH($I$4,'Final Calculation Sheet'!$H$6))))),IF($J$4="",TRUE,IF($J$4="(blank)",'Final Calculation Sheet'!$I$6="",IF($J$4="(nonblank)",'Final Calculation Sheet'!$I$6&lt;&gt;"",ISNUMBER(SEARCH($J$4,'Final Calculation Sheet'!$I$6))))),IF($K$4="",TRUE,IF($K$4="(blank)",'Final Calculation Sheet'!$J$6="",IF($K$4="(nonblank)",'Final Calculation Sheet'!$J$6&lt;&gt;"",ISNUMBER(SEARCH($K$4,'Final Calculation Sheet'!$J$6))))),IF($L$4="",TRUE,IF($L$4="(blank)",'Final Calculation Sheet'!$K$6="",IF($L$4="(nonblank)",'Final Calculation Sheet'!$K$6&lt;&gt;"",ISNUMBER(SEARCH($L$4,'Final Calculation Sheet'!$K$6))))),IF($M$4="",TRUE,IF($M$4="(blank)",'Final Calculation Sheet'!$L$6="",IF($M$4="(nonblank)",'Final Calculation Sheet'!$L$6&lt;&gt;"",ISNUMBER(SEARCH($M$4,'Final Calculation Sheet'!$L$6))))),IF($N$4="",TRUE,IF($N$4="(blank)",'Final Calculation Sheet'!$M$6="",IF($N$4="(nonblank)",'Final Calculation Sheet'!$M$6&lt;&gt;"",ISNUMBER(SEARCH($N$4,'Final Calculation Sheet'!$M$6))))),IF($O$4="",TRUE,IF($O$4="(blank)",'Final Calculation Sheet'!$N$6="",IF($O$4="(nonblank)",'Final Calculation Sheet'!$N$6&lt;&gt;"",ISNUMBER(SEARCH($O$4,'Final Calculation Sheet'!$N$6))))),IF($P$4="",TRUE,IF($P$4="(blank)",'Final Calculation Sheet'!$O$6="",IF($P$4="(nonblank)",'Final Calculation Sheet'!$O$6&lt;&gt;"",ISNUMBER(SEARCH($P$4,'Final Calculation Sheet'!$O$6))))),IF($Q$4="",TRUE,IF($Q$4="(blank)",'Final Calculation Sheet'!$P$6="",IF($Q$4="(nonblank)",'Final Calculation Sheet'!$P$6&lt;&gt;"",ISNUMBER(SEARCH($Q$4,'Final Calculation Sheet'!$P$6))))),IF($R$4="",TRUE,IF($R$4="(blank)",'Final Calculation Sheet'!$Q$6="",IF($R$4="(nonblank)",'Final Calculation Sheet'!$Q$6&lt;&gt;"",ISNUMBER(SEARCH($R$4,'Final Calculation Sheet'!$Q$6))))),IF($S$4="",TRUE,IF($S$4="(blank)",'Final Calculation Sheet'!$R$6="",IF($S$4="(nonblank)",'Final Calculation Sheet'!$R$6&lt;&gt;"",ISNUMBER(SEARCH($S$4,'Final Calculation Sheet'!$R$6))))),IF($T$4="",TRUE,IF($T$4="(blank)",'Final Calculation Sheet'!$S$6="",IF($T$4="(nonblank)",'Final Calculation Sheet'!$S$6&lt;&gt;"",ISNUMBER(SEARCH($T$4,'Final Calculation Sheet'!$S$6))))),IF($U$4="",TRUE,IF($U$4="(blank)",'Final Calculation Sheet'!$T$6="",IF($U$4="(nonblank)",'Final Calculation Sheet'!$T$6&lt;&gt;"",ISNUMBER(SEARCH($U$4,'Final Calculation Sheet'!$T$6))))),IF($V$4="",TRUE,IF($V$4="(blank)",'Final Calculation Sheet'!$U$6="",IF($V$4="(nonblank)",'Final Calculation Sheet'!$U$6&lt;&gt;"",ISNUMBER(SEARCH($V$4,'Final Calculation Sheet'!$U$6))))),IF($W$4="",TRUE,IF($W$4="(blank)",'Final Calculation Sheet'!$V$6="",IF($W$4="(nonblank)",'Final Calculation Sheet'!$V$6&lt;&gt;"",ISNUMBER(SEARCH($W$4,'Final Calculation Sheet'!$V$6))))),IF($X$4="",TRUE,IF($X$4="(blank)",'Final Calculation Sheet'!$W$6="",IF($X$4="(nonblank)",'Final Calculation Sheet'!$W$6&lt;&gt;"",ISNUMBER(SEARCH($X$4,'Final Calculation Sheet'!$W$6))))),IF($Y$4="",TRUE,IF($Y$4="(blank)",'Final Calculation Sheet'!$X$6="",IF($Y$4="(nonblank)",'Final Calculation Sheet'!$X$6&lt;&gt;"",ISNUMBER(SEARCH($Y$4,'Final Calculation Sheet'!$X$6))))),IF($Z$4="",TRUE,IF($Z$4="(blank)",'Final Calculation Sheet'!$Y$6="",IF($Z$4="(nonblank)",'Final Calculation Sheet'!$Y$6&lt;&gt;"",ISNUMBER(SEARCH($Z$4,'Final Calculation Sheet'!$Y$6))))),IF($AA$4="",TRUE,IF($AA$4="(blank)",'Final Calculation Sheet'!$Z$6="",IF($AA$4="(nonblank)",'Final Calculation Sheet'!$Z$6&lt;&gt;"",ISNUMBER(SEARCH($AA$4,'Final Calculation Sheet'!$Z$6))))),IF($AB$4="",TRUE,IF($AB$4="(blank)",'Final Calculation Sheet'!$AA$6="",IF($AB$4="(nonblank)",'Final Calculation Sheet'!$AA$6&lt;&gt;"",ISNUMBER(SEARCH($AB$4,'Final Calculation Sheet'!$AA$6))))),IF($AC$4="",TRUE,IF($AC$4="(blank)",'Final Calculation Sheet'!$AB$6="",IF($AC$4="(nonblank)",'Final Calculation Sheet'!$AB$6&lt;&gt;"",ISNUMBER(SEARCH($AC$4,'Final Calculation Sheet'!$AB$6))))),IF($AD$4="",TRUE,IF($AD$4="(blank)",'Final Calculation Sheet'!$AC$6="",IF($AD$4="(nonblank)",'Final Calculation Sheet'!$AC$6&lt;&gt;"",ISNUMBER(SEARCH($AD$4,'Final Calculation Sheet'!$AC$6))))),IF($AE$4="",TRUE,IF($AE$4="(blank)",'Final Calculation Sheet'!$AD$6="",IF($AE$4="(nonblank)",'Final Calculation Sheet'!$AD$6&lt;&gt;"",ISNUMBER(SEARCH($AE$4,'Final Calculation Sheet'!$AD$6))))),IF($AF$4="",TRUE,IF($AF$4="(blank)",'Final Calculation Sheet'!$AE$6="",IF($AF$4="(nonblank)",'Final Calculation Sheet'!$AE$6&lt;&gt;"",ISNUMBER(SEARCH($AF$4,'Final Calculation Sheet'!$AE$6))))),IF($AG$4="",TRUE,IF($AG$4="(blank)",'Final Calculation Sheet'!$AF$6="",IF($AG$4="(nonblank)",'Final Calculation Sheet'!$AF$6&lt;&gt;"",ISNUMBER(SEARCH($AG$4,'Final Calculation Sheet'!$AF$6))))),IF($AH$4="",TRUE,IF($AH$4="(blank)",'Final Calculation Sheet'!$AG$6="",IF($AH$4="(nonblank)",'Final Calculation Sheet'!$AG$6&lt;&gt;"",ISNUMBER(SEARCH($AH$4,'Final Calculation Sheet'!$AG$6))))),IF($AI$4="",TRUE,IF($AI$4="(blank)",IF('Final Calculation Sheet'!$AD$6&lt;=5,"SETTLED","OUTSTANDING")="",IF($AI$4="(nonblank)",IF('Final Calculation Sheet'!$AD$6&lt;=5,"SETTLED","OUTSTANDING")&lt;&gt;"",ISNUMBER(SEARCH($AI$4,IF('Final Calculation Sheet'!$AD$6&lt;=5,"SETTLED","OUTSTANDING")))))))</f>
        <v/>
      </c>
      <c r="AK8">
        <f>IF(AJ8=1,COUNTIF(AJ$6:AJ8,1),"")</f>
        <v/>
      </c>
      <c r="AM8">
        <f>AM7+IF(AND('Lists'!$O$8&lt;&gt;"",ISNUMBER(SEARCH($B$4,'Lists'!$O$8))),1,0)</f>
        <v/>
      </c>
      <c r="AN8">
        <f>IF(ROW()-3&gt;MAX($AM$4:$AM$42),"",INDEX('Lists'!$O$4:$O$42,MATCH(ROW()-3,$AM$4:$AM$42,0)))</f>
        <v/>
      </c>
      <c r="AO8">
        <f>AO7+IF(AND('Lists'!$T$8&lt;&gt;"",ISNUMBER(SEARCH($C$4,'Lists'!$T$8))),1,0)</f>
        <v/>
      </c>
      <c r="AP8">
        <f>IF(ROW()-3&gt;MAX($AO$4:$AO$42),"",INDEX('Lists'!$T$4:$T$42,MATCH(ROW()-3,$AO$4:$AO$42,0)))</f>
        <v/>
      </c>
      <c r="AQ8">
        <f>AQ7+IF(AND('Lists'!$Y$8&lt;&gt;"",ISNUMBER(SEARCH($D$4,'Lists'!$Y$8))),1,0)</f>
        <v/>
      </c>
      <c r="AR8">
        <f>IF(ROW()-3&gt;MAX($AQ$4:$AQ$42),"",INDEX('Lists'!$Y$4:$Y$42,MATCH(ROW()-3,$AQ$4:$AQ$42,0)))</f>
        <v/>
      </c>
      <c r="AS8">
        <f>AS7+IF(AND('Lists'!$AD$8&lt;&gt;"",ISNUMBER(SEARCH($E$4,'Lists'!$AD$8))),1,0)</f>
        <v/>
      </c>
      <c r="AT8">
        <f>IF(ROW()-3&gt;MAX($AS$4:$AS$42),"",INDEX('Lists'!$AD$4:$AD$42,MATCH(ROW()-3,$AS$4:$AS$42,0)))</f>
        <v/>
      </c>
      <c r="AU8">
        <f>AU7+IF(AND('Lists'!$AI$8&lt;&gt;"",ISNUMBER(SEARCH($F$4,'Lists'!$AI$8))),1,0)</f>
        <v/>
      </c>
      <c r="AV8">
        <f>IF(ROW()-3&gt;MAX($AU$4:$AU$42),"",INDEX('Lists'!$AI$4:$AI$42,MATCH(ROW()-3,$AU$4:$AU$42,0)))</f>
        <v/>
      </c>
      <c r="AW8">
        <f>AW7+IF(AND('Lists'!$AN$8&lt;&gt;"",ISNUMBER(SEARCH($G$4,'Lists'!$AN$8))),1,0)</f>
        <v/>
      </c>
      <c r="AX8">
        <f>IF(ROW()-3&gt;MAX($AW$4:$AW$42),"",INDEX('Lists'!$AN$4:$AN$42,MATCH(ROW()-3,$AW$4:$AW$42,0)))</f>
        <v/>
      </c>
      <c r="AY8">
        <f>AY7+IF(AND('Lists'!$AS$8&lt;&gt;"",ISNUMBER(SEARCH($H$4,'Lists'!$AS$8))),1,0)</f>
        <v/>
      </c>
      <c r="AZ8">
        <f>IF(ROW()-3&gt;MAX($AY$4:$AY$42),"",INDEX('Lists'!$AS$4:$AS$42,MATCH(ROW()-3,$AY$4:$AY$42,0)))</f>
        <v/>
      </c>
      <c r="BA8">
        <f>BA7+IF(AND('Lists'!$AX$8&lt;&gt;"",ISNUMBER(SEARCH($I$4,'Lists'!$AX$8))),1,0)</f>
        <v/>
      </c>
      <c r="BB8">
        <f>IF(ROW()-3&gt;MAX($BA$4:$BA$42),"",INDEX('Lists'!$AX$4:$AX$42,MATCH(ROW()-3,$BA$4:$BA$42,0)))</f>
        <v/>
      </c>
      <c r="BC8">
        <f>BC7+IF(AND('Lists'!$BC$8&lt;&gt;"",ISNUMBER(SEARCH($J$4,'Lists'!$BC$8))),1,0)</f>
        <v/>
      </c>
      <c r="BD8">
        <f>IF(ROW()-3&gt;MAX($BC$4:$BC$42),"",INDEX('Lists'!$BC$4:$BC$42,MATCH(ROW()-3,$BC$4:$BC$42,0)))</f>
        <v/>
      </c>
      <c r="BE8">
        <f>BE7+IF(AND('Lists'!$BH$8&lt;&gt;"",ISNUMBER(SEARCH($K$4,'Lists'!$BH$8))),1,0)</f>
        <v/>
      </c>
      <c r="BF8">
        <f>IF(ROW()-3&gt;MAX($BE$4:$BE$42),"",INDEX('Lists'!$BH$4:$BH$42,MATCH(ROW()-3,$BE$4:$BE$42,0)))</f>
        <v/>
      </c>
      <c r="BG8">
        <f>BG7+IF(AND('Lists'!$BM$8&lt;&gt;"",ISNUMBER(SEARCH($L$4,'Lists'!$BM$8))),1,0)</f>
        <v/>
      </c>
      <c r="BH8">
        <f>IF(ROW()-3&gt;MAX($BG$4:$BG$42),"",INDEX('Lists'!$BM$4:$BM$42,MATCH(ROW()-3,$BG$4:$BG$42,0)))</f>
        <v/>
      </c>
      <c r="BI8">
        <f>BI7+IF(AND('Lists'!$BR$8&lt;&gt;"",ISNUMBER(SEARCH($M$4,'Lists'!$BR$8))),1,0)</f>
        <v/>
      </c>
      <c r="BJ8">
        <f>IF(ROW()-3&gt;MAX($BI$4:$BI$42),"",INDEX('Lists'!$BR$4:$BR$42,MATCH(ROW()-3,$BI$4:$BI$42,0)))</f>
        <v/>
      </c>
      <c r="BK8">
        <f>BK7+IF(AND('Lists'!$BW$8&lt;&gt;"",ISNUMBER(SEARCH($N$4,'Lists'!$BW$8))),1,0)</f>
        <v/>
      </c>
      <c r="BL8">
        <f>IF(ROW()-3&gt;MAX($BK$4:$BK$42),"",INDEX('Lists'!$BW$4:$BW$42,MATCH(ROW()-3,$BK$4:$BK$42,0)))</f>
        <v/>
      </c>
      <c r="BM8">
        <f>BM7+IF(AND('Lists'!$CB$8&lt;&gt;"",ISNUMBER(SEARCH($O$4,'Lists'!$CB$8))),1,0)</f>
        <v/>
      </c>
      <c r="BN8">
        <f>IF(ROW()-3&gt;MAX($BM$4:$BM$42),"",INDEX('Lists'!$CB$4:$CB$42,MATCH(ROW()-3,$BM$4:$BM$42,0)))</f>
        <v/>
      </c>
      <c r="BO8">
        <f>BO7+IF(AND('Lists'!$CG$8&lt;&gt;"",ISNUMBER(SEARCH($P$4,'Lists'!$CG$8))),1,0)</f>
        <v/>
      </c>
      <c r="BP8">
        <f>IF(ROW()-3&gt;MAX($BO$4:$BO$42),"",INDEX('Lists'!$CG$4:$CG$42,MATCH(ROW()-3,$BO$4:$BO$42,0)))</f>
        <v/>
      </c>
      <c r="BQ8">
        <f>BQ7+IF(AND('Lists'!$CL$8&lt;&gt;"",ISNUMBER(SEARCH($Q$4,'Lists'!$CL$8))),1,0)</f>
        <v/>
      </c>
      <c r="BR8">
        <f>IF(ROW()-3&gt;MAX($BQ$4:$BQ$42),"",INDEX('Lists'!$CL$4:$CL$42,MATCH(ROW()-3,$BQ$4:$BQ$42,0)))</f>
        <v/>
      </c>
      <c r="BS8">
        <f>BS7+IF(AND('Lists'!$CQ$8&lt;&gt;"",ISNUMBER(SEARCH($R$4,'Lists'!$CQ$8))),1,0)</f>
        <v/>
      </c>
      <c r="BT8">
        <f>IF(ROW()-3&gt;MAX($BS$4:$BS$42),"",INDEX('Lists'!$CQ$4:$CQ$42,MATCH(ROW()-3,$BS$4:$BS$42,0)))</f>
        <v/>
      </c>
      <c r="BU8">
        <f>BU7+IF(AND('Lists'!$CV$8&lt;&gt;"",ISNUMBER(SEARCH($S$4,'Lists'!$CV$8))),1,0)</f>
        <v/>
      </c>
      <c r="BV8">
        <f>IF(ROW()-3&gt;MAX($BU$4:$BU$42),"",INDEX('Lists'!$CV$4:$CV$42,MATCH(ROW()-3,$BU$4:$BU$42,0)))</f>
        <v/>
      </c>
      <c r="BW8">
        <f>BW7+IF(AND('Lists'!$DA$8&lt;&gt;"",ISNUMBER(SEARCH($T$4,'Lists'!$DA$8))),1,0)</f>
        <v/>
      </c>
      <c r="BX8">
        <f>IF(ROW()-3&gt;MAX($BW$4:$BW$42),"",INDEX('Lists'!$DA$4:$DA$42,MATCH(ROW()-3,$BW$4:$BW$42,0)))</f>
        <v/>
      </c>
      <c r="BY8">
        <f>BY7+IF(AND('Lists'!$DF$8&lt;&gt;"",ISNUMBER(SEARCH($U$4,'Lists'!$DF$8))),1,0)</f>
        <v/>
      </c>
      <c r="BZ8">
        <f>IF(ROW()-3&gt;MAX($BY$4:$BY$42),"",INDEX('Lists'!$DF$4:$DF$42,MATCH(ROW()-3,$BY$4:$BY$42,0)))</f>
        <v/>
      </c>
      <c r="CA8">
        <f>CA7+IF(AND('Lists'!$DK$8&lt;&gt;"",ISNUMBER(SEARCH($V$4,'Lists'!$DK$8))),1,0)</f>
        <v/>
      </c>
      <c r="CB8">
        <f>IF(ROW()-3&gt;MAX($CA$4:$CA$42),"",INDEX('Lists'!$DK$4:$DK$42,MATCH(ROW()-3,$CA$4:$CA$42,0)))</f>
        <v/>
      </c>
      <c r="CC8">
        <f>CC7+IF(AND('Lists'!$DP$8&lt;&gt;"",ISNUMBER(SEARCH($W$4,'Lists'!$DP$8))),1,0)</f>
        <v/>
      </c>
      <c r="CD8">
        <f>IF(ROW()-3&gt;MAX($CC$4:$CC$42),"",INDEX('Lists'!$DP$4:$DP$42,MATCH(ROW()-3,$CC$4:$CC$42,0)))</f>
        <v/>
      </c>
      <c r="CE8">
        <f>CE7+IF(AND('Lists'!$DU$8&lt;&gt;"",ISNUMBER(SEARCH($X$4,'Lists'!$DU$8))),1,0)</f>
        <v/>
      </c>
      <c r="CF8">
        <f>IF(ROW()-3&gt;MAX($CE$4:$CE$42),"",INDEX('Lists'!$DU$4:$DU$42,MATCH(ROW()-3,$CE$4:$CE$42,0)))</f>
        <v/>
      </c>
      <c r="CG8">
        <f>CG7+IF(AND('Lists'!$DZ$8&lt;&gt;"",ISNUMBER(SEARCH($Y$4,'Lists'!$DZ$8))),1,0)</f>
        <v/>
      </c>
      <c r="CH8">
        <f>IF(ROW()-3&gt;MAX($CG$4:$CG$42),"",INDEX('Lists'!$DZ$4:$DZ$42,MATCH(ROW()-3,$CG$4:$CG$42,0)))</f>
        <v/>
      </c>
      <c r="CI8">
        <f>CI7+IF(AND('Lists'!$EE$8&lt;&gt;"",ISNUMBER(SEARCH($Z$4,'Lists'!$EE$8))),1,0)</f>
        <v/>
      </c>
      <c r="CJ8">
        <f>IF(ROW()-3&gt;MAX($CI$4:$CI$42),"",INDEX('Lists'!$EE$4:$EE$42,MATCH(ROW()-3,$CI$4:$CI$42,0)))</f>
        <v/>
      </c>
      <c r="CK8">
        <f>CK7+IF(AND('Lists'!$EJ$8&lt;&gt;"",ISNUMBER(SEARCH($AA$4,'Lists'!$EJ$8))),1,0)</f>
        <v/>
      </c>
      <c r="CL8">
        <f>IF(ROW()-3&gt;MAX($CK$4:$CK$42),"",INDEX('Lists'!$EJ$4:$EJ$42,MATCH(ROW()-3,$CK$4:$CK$42,0)))</f>
        <v/>
      </c>
      <c r="CM8">
        <f>CM7+IF(AND('Lists'!$EO$8&lt;&gt;"",ISNUMBER(SEARCH($AB$4,'Lists'!$EO$8))),1,0)</f>
        <v/>
      </c>
      <c r="CN8">
        <f>IF(ROW()-3&gt;MAX($CM$4:$CM$42),"",INDEX('Lists'!$EO$4:$EO$42,MATCH(ROW()-3,$CM$4:$CM$42,0)))</f>
        <v/>
      </c>
      <c r="CO8">
        <f>CO7+IF(AND('Lists'!$ET$8&lt;&gt;"",ISNUMBER(SEARCH($AC$4,'Lists'!$ET$8))),1,0)</f>
        <v/>
      </c>
      <c r="CP8">
        <f>IF(ROW()-3&gt;MAX($CO$4:$CO$42),"",INDEX('Lists'!$ET$4:$ET$42,MATCH(ROW()-3,$CO$4:$CO$42,0)))</f>
        <v/>
      </c>
      <c r="CQ8">
        <f>CQ7+IF(AND('Lists'!$EY$8&lt;&gt;"",ISNUMBER(SEARCH($AD$4,'Lists'!$EY$8))),1,0)</f>
        <v/>
      </c>
      <c r="CR8">
        <f>IF(ROW()-3&gt;MAX($CQ$4:$CQ$42),"",INDEX('Lists'!$EY$4:$EY$42,MATCH(ROW()-3,$CQ$4:$CQ$42,0)))</f>
        <v/>
      </c>
      <c r="CS8">
        <f>CS7+IF(AND('Lists'!$FD$8&lt;&gt;"",ISNUMBER(SEARCH($AE$4,'Lists'!$FD$8))),1,0)</f>
        <v/>
      </c>
      <c r="CT8">
        <f>IF(ROW()-3&gt;MAX($CS$4:$CS$42),"",INDEX('Lists'!$FD$4:$FD$42,MATCH(ROW()-3,$CS$4:$CS$42,0)))</f>
        <v/>
      </c>
      <c r="CU8">
        <f>CU7+IF(AND('Lists'!$FI$8&lt;&gt;"",ISNUMBER(SEARCH($AF$4,'Lists'!$FI$8))),1,0)</f>
        <v/>
      </c>
      <c r="CV8">
        <f>IF(ROW()-3&gt;MAX($CU$4:$CU$42),"",INDEX('Lists'!$FI$4:$FI$42,MATCH(ROW()-3,$CU$4:$CU$42,0)))</f>
        <v/>
      </c>
      <c r="CW8">
        <f>CW7+IF(AND('Lists'!$FN$8&lt;&gt;"",ISNUMBER(SEARCH($AG$4,'Lists'!$FN$8))),1,0)</f>
        <v/>
      </c>
      <c r="CX8">
        <f>IF(ROW()-3&gt;MAX($CW$4:$CW$42),"",INDEX('Lists'!$FN$4:$FN$42,MATCH(ROW()-3,$CW$4:$CW$42,0)))</f>
        <v/>
      </c>
      <c r="CY8">
        <f>CY7+IF(AND('Lists'!$FS$8&lt;&gt;"",ISNUMBER(SEARCH($AH$4,'Lists'!$FS$8))),1,0)</f>
        <v/>
      </c>
      <c r="CZ8">
        <f>IF(ROW()-3&gt;MAX($CY$4:$CY$42),"",INDEX('Lists'!$FS$4:$FS$42,MATCH(ROW()-3,$CY$4:$CY$42,0)))</f>
        <v/>
      </c>
      <c r="DA8">
        <f>DA7+IF(AND('Lists'!$FX$8&lt;&gt;"",ISNUMBER(SEARCH($AI$4,'Lists'!$FX$8))),1,0)</f>
        <v/>
      </c>
      <c r="DB8">
        <f>IF(ROW()-3&gt;MAX($DA$4:$DA$42),"",INDEX('Lists'!$FX$4:$FX$42,MATCH(ROW()-3,$DA$4:$DA$42,0)))</f>
        <v/>
      </c>
    </row>
    <row r="9" outlineLevel="1" ht="15" customHeight="1" s="77">
      <c r="A9" s="118" t="n">
        <v>2</v>
      </c>
      <c r="B9" s="119">
        <f>IF('Final Calculation Sheet'!$F$7="","",'Final Calculation Sheet'!$F$7)</f>
        <v/>
      </c>
      <c r="C9" s="119">
        <f>IF('Final Calculation Sheet'!$G$7="","",'Final Calculation Sheet'!$G$7)</f>
        <v/>
      </c>
      <c r="D9" s="120">
        <f>IF('Final Calculation Sheet'!$B$7="","",'Final Calculation Sheet'!$B$7)</f>
        <v/>
      </c>
      <c r="E9" s="120">
        <f>IF('Final Calculation Sheet'!$D$7="","",'Final Calculation Sheet'!$D$7)</f>
        <v/>
      </c>
      <c r="F9" s="120">
        <f>IF('Final Calculation Sheet'!$A$7="","",'Final Calculation Sheet'!$A$7)</f>
        <v/>
      </c>
      <c r="G9" s="120">
        <f>IF('Final Calculation Sheet'!$E$7="","",'Final Calculation Sheet'!$E$7)</f>
        <v/>
      </c>
      <c r="H9" s="121">
        <f>IF('Final Calculation Sheet'!$C$7="","",'Final Calculation Sheet'!$C$7)</f>
        <v/>
      </c>
      <c r="I9" s="121">
        <f>IF('Final Calculation Sheet'!$H$7="","",'Final Calculation Sheet'!$H$7)</f>
        <v/>
      </c>
      <c r="J9" s="121">
        <f>IF('Final Calculation Sheet'!$I$7="","",'Final Calculation Sheet'!$I$7)</f>
        <v/>
      </c>
      <c r="K9" s="121">
        <f>IF('Final Calculation Sheet'!$J$7="","",'Final Calculation Sheet'!$J$7)</f>
        <v/>
      </c>
      <c r="L9" s="121">
        <f>IF('Final Calculation Sheet'!$K$7="","",'Final Calculation Sheet'!$K$7)</f>
        <v/>
      </c>
      <c r="M9" s="121">
        <f>IF('Final Calculation Sheet'!$L$7="","",'Final Calculation Sheet'!$L$7)</f>
        <v/>
      </c>
      <c r="N9" s="121">
        <f>IF('Final Calculation Sheet'!$M$7="","",'Final Calculation Sheet'!$M$7)</f>
        <v/>
      </c>
      <c r="O9" s="122">
        <f>IF('Final Calculation Sheet'!$N$7="","",'Final Calculation Sheet'!$N$7)</f>
        <v/>
      </c>
      <c r="P9" s="121">
        <f>IF('Final Calculation Sheet'!$O$7="","",'Final Calculation Sheet'!$O$7)</f>
        <v/>
      </c>
      <c r="Q9" s="121">
        <f>IF('Final Calculation Sheet'!$P$7="","",'Final Calculation Sheet'!$P$7)</f>
        <v/>
      </c>
      <c r="R9" s="123">
        <f>IF('Final Calculation Sheet'!$Q$7="","",'Final Calculation Sheet'!$Q$7)</f>
        <v/>
      </c>
      <c r="S9" s="121">
        <f>IF('Final Calculation Sheet'!$R$7="","",'Final Calculation Sheet'!$R$7)</f>
        <v/>
      </c>
      <c r="T9" s="121">
        <f>IF('Final Calculation Sheet'!$S$7="","",'Final Calculation Sheet'!$S$7)</f>
        <v/>
      </c>
      <c r="U9" s="121">
        <f>IF('Final Calculation Sheet'!$T$7="","",'Final Calculation Sheet'!$T$7)</f>
        <v/>
      </c>
      <c r="V9" s="124">
        <f>IF('Final Calculation Sheet'!$U$7="","",'Final Calculation Sheet'!$U$7)</f>
        <v/>
      </c>
      <c r="W9" s="121">
        <f>IF('Final Calculation Sheet'!$V$7="","",'Final Calculation Sheet'!$V$7)</f>
        <v/>
      </c>
      <c r="X9" s="121">
        <f>IF('Final Calculation Sheet'!$W$7="","",'Final Calculation Sheet'!$W$7)</f>
        <v/>
      </c>
      <c r="Y9" s="121">
        <f>IF('Final Calculation Sheet'!$X$7="","",'Final Calculation Sheet'!$X$7)</f>
        <v/>
      </c>
      <c r="Z9" s="121">
        <f>IF('Final Calculation Sheet'!$Y$7="","",'Final Calculation Sheet'!$Y$7)</f>
        <v/>
      </c>
      <c r="AA9" s="121">
        <f>IF('Final Calculation Sheet'!$Z$7="","",'Final Calculation Sheet'!$Z$7)</f>
        <v/>
      </c>
      <c r="AB9" s="121">
        <f>IF('Final Calculation Sheet'!$AA$7="","",'Final Calculation Sheet'!$AA$7)</f>
        <v/>
      </c>
      <c r="AC9" s="121">
        <f>IF('Final Calculation Sheet'!$AB$7="","",'Final Calculation Sheet'!$AB$7)</f>
        <v/>
      </c>
      <c r="AD9" s="121">
        <f>IF('Final Calculation Sheet'!$AC$7="","",'Final Calculation Sheet'!$AC$7)</f>
        <v/>
      </c>
      <c r="AE9" s="121">
        <f>IF('Final Calculation Sheet'!$AD$7="","",'Final Calculation Sheet'!$AD$7)</f>
        <v/>
      </c>
      <c r="AF9" s="121">
        <f>IF('Final Calculation Sheet'!$AE$7="","",'Final Calculation Sheet'!$AE$7)</f>
        <v/>
      </c>
      <c r="AG9" s="125">
        <f>IF('Final Calculation Sheet'!$AF$7="","",'Final Calculation Sheet'!$AF$7)</f>
        <v/>
      </c>
      <c r="AH9" s="121">
        <f>IF('Final Calculation Sheet'!$AG$7="","",'Final Calculation Sheet'!$AG$7)</f>
        <v/>
      </c>
      <c r="AI9" s="126">
        <f>IF('Final Calculation Sheet'!$AD$7="","",IF('Final Calculation Sheet'!$AD$7&lt;=5,"SETTLED","OUTSTANDING"))</f>
        <v/>
      </c>
      <c r="AJ9">
        <f>AND(IF($B$4="",TRUE,IF($B$4="(blank)",'Final Calculation Sheet'!$F$7="",IF($B$4="(nonblank)",'Final Calculation Sheet'!$F$7&lt;&gt;"",ISNUMBER(SEARCH($B$4,'Final Calculation Sheet'!$F$7))))),IF($C$4="",TRUE,IF($C$4="(blank)",'Final Calculation Sheet'!$G$7="",IF($C$4="(nonblank)",'Final Calculation Sheet'!$G$7&lt;&gt;"",ISNUMBER(SEARCH($C$4,'Final Calculation Sheet'!$G$7))))),IF($D$4="",TRUE,IF($D$4="(blank)",'Final Calculation Sheet'!$B$7="",IF($D$4="(nonblank)",'Final Calculation Sheet'!$B$7&lt;&gt;"",ISNUMBER(SEARCH($D$4,'Final Calculation Sheet'!$B$7))))),IF($E$4="",TRUE,IF($E$4="(blank)",'Final Calculation Sheet'!$D$7="",IF($E$4="(nonblank)",'Final Calculation Sheet'!$D$7&lt;&gt;"",ISNUMBER(SEARCH($E$4,'Final Calculation Sheet'!$D$7))))),IF($F$4="",TRUE,IF($F$4="(blank)",'Final Calculation Sheet'!$A$7="",IF($F$4="(nonblank)",'Final Calculation Sheet'!$A$7&lt;&gt;"",ISNUMBER(SEARCH($F$4,'Final Calculation Sheet'!$A$7))))),IF($G$4="",TRUE,IF($G$4="(blank)",'Final Calculation Sheet'!$E$7="",IF($G$4="(nonblank)",'Final Calculation Sheet'!$E$7&lt;&gt;"",ISNUMBER(SEARCH($G$4,'Final Calculation Sheet'!$E$7))))),IF($H$4="",TRUE,IF($H$4="(blank)",'Final Calculation Sheet'!$C$7="",IF($H$4="(nonblank)",'Final Calculation Sheet'!$C$7&lt;&gt;"",ISNUMBER(SEARCH($H$4,'Final Calculation Sheet'!$C$7))))),IF($I$4="",TRUE,IF($I$4="(blank)",'Final Calculation Sheet'!$H$7="",IF($I$4="(nonblank)",'Final Calculation Sheet'!$H$7&lt;&gt;"",ISNUMBER(SEARCH($I$4,'Final Calculation Sheet'!$H$7))))),IF($J$4="",TRUE,IF($J$4="(blank)",'Final Calculation Sheet'!$I$7="",IF($J$4="(nonblank)",'Final Calculation Sheet'!$I$7&lt;&gt;"",ISNUMBER(SEARCH($J$4,'Final Calculation Sheet'!$I$7))))),IF($K$4="",TRUE,IF($K$4="(blank)",'Final Calculation Sheet'!$J$7="",IF($K$4="(nonblank)",'Final Calculation Sheet'!$J$7&lt;&gt;"",ISNUMBER(SEARCH($K$4,'Final Calculation Sheet'!$J$7))))),IF($L$4="",TRUE,IF($L$4="(blank)",'Final Calculation Sheet'!$K$7="",IF($L$4="(nonblank)",'Final Calculation Sheet'!$K$7&lt;&gt;"",ISNUMBER(SEARCH($L$4,'Final Calculation Sheet'!$K$7))))),IF($M$4="",TRUE,IF($M$4="(blank)",'Final Calculation Sheet'!$L$7="",IF($M$4="(nonblank)",'Final Calculation Sheet'!$L$7&lt;&gt;"",ISNUMBER(SEARCH($M$4,'Final Calculation Sheet'!$L$7))))),IF($N$4="",TRUE,IF($N$4="(blank)",'Final Calculation Sheet'!$M$7="",IF($N$4="(nonblank)",'Final Calculation Sheet'!$M$7&lt;&gt;"",ISNUMBER(SEARCH($N$4,'Final Calculation Sheet'!$M$7))))),IF($O$4="",TRUE,IF($O$4="(blank)",'Final Calculation Sheet'!$N$7="",IF($O$4="(nonblank)",'Final Calculation Sheet'!$N$7&lt;&gt;"",ISNUMBER(SEARCH($O$4,'Final Calculation Sheet'!$N$7))))),IF($P$4="",TRUE,IF($P$4="(blank)",'Final Calculation Sheet'!$O$7="",IF($P$4="(nonblank)",'Final Calculation Sheet'!$O$7&lt;&gt;"",ISNUMBER(SEARCH($P$4,'Final Calculation Sheet'!$O$7))))),IF($Q$4="",TRUE,IF($Q$4="(blank)",'Final Calculation Sheet'!$P$7="",IF($Q$4="(nonblank)",'Final Calculation Sheet'!$P$7&lt;&gt;"",ISNUMBER(SEARCH($Q$4,'Final Calculation Sheet'!$P$7))))),IF($R$4="",TRUE,IF($R$4="(blank)",'Final Calculation Sheet'!$Q$7="",IF($R$4="(nonblank)",'Final Calculation Sheet'!$Q$7&lt;&gt;"",ISNUMBER(SEARCH($R$4,'Final Calculation Sheet'!$Q$7))))),IF($S$4="",TRUE,IF($S$4="(blank)",'Final Calculation Sheet'!$R$7="",IF($S$4="(nonblank)",'Final Calculation Sheet'!$R$7&lt;&gt;"",ISNUMBER(SEARCH($S$4,'Final Calculation Sheet'!$R$7))))),IF($T$4="",TRUE,IF($T$4="(blank)",'Final Calculation Sheet'!$S$7="",IF($T$4="(nonblank)",'Final Calculation Sheet'!$S$7&lt;&gt;"",ISNUMBER(SEARCH($T$4,'Final Calculation Sheet'!$S$7))))),IF($U$4="",TRUE,IF($U$4="(blank)",'Final Calculation Sheet'!$T$7="",IF($U$4="(nonblank)",'Final Calculation Sheet'!$T$7&lt;&gt;"",ISNUMBER(SEARCH($U$4,'Final Calculation Sheet'!$T$7))))),IF($V$4="",TRUE,IF($V$4="(blank)",'Final Calculation Sheet'!$U$7="",IF($V$4="(nonblank)",'Final Calculation Sheet'!$U$7&lt;&gt;"",ISNUMBER(SEARCH($V$4,'Final Calculation Sheet'!$U$7))))),IF($W$4="",TRUE,IF($W$4="(blank)",'Final Calculation Sheet'!$V$7="",IF($W$4="(nonblank)",'Final Calculation Sheet'!$V$7&lt;&gt;"",ISNUMBER(SEARCH($W$4,'Final Calculation Sheet'!$V$7))))),IF($X$4="",TRUE,IF($X$4="(blank)",'Final Calculation Sheet'!$W$7="",IF($X$4="(nonblank)",'Final Calculation Sheet'!$W$7&lt;&gt;"",ISNUMBER(SEARCH($X$4,'Final Calculation Sheet'!$W$7))))),IF($Y$4="",TRUE,IF($Y$4="(blank)",'Final Calculation Sheet'!$X$7="",IF($Y$4="(nonblank)",'Final Calculation Sheet'!$X$7&lt;&gt;"",ISNUMBER(SEARCH($Y$4,'Final Calculation Sheet'!$X$7))))),IF($Z$4="",TRUE,IF($Z$4="(blank)",'Final Calculation Sheet'!$Y$7="",IF($Z$4="(nonblank)",'Final Calculation Sheet'!$Y$7&lt;&gt;"",ISNUMBER(SEARCH($Z$4,'Final Calculation Sheet'!$Y$7))))),IF($AA$4="",TRUE,IF($AA$4="(blank)",'Final Calculation Sheet'!$Z$7="",IF($AA$4="(nonblank)",'Final Calculation Sheet'!$Z$7&lt;&gt;"",ISNUMBER(SEARCH($AA$4,'Final Calculation Sheet'!$Z$7))))),IF($AB$4="",TRUE,IF($AB$4="(blank)",'Final Calculation Sheet'!$AA$7="",IF($AB$4="(nonblank)",'Final Calculation Sheet'!$AA$7&lt;&gt;"",ISNUMBER(SEARCH($AB$4,'Final Calculation Sheet'!$AA$7))))),IF($AC$4="",TRUE,IF($AC$4="(blank)",'Final Calculation Sheet'!$AB$7="",IF($AC$4="(nonblank)",'Final Calculation Sheet'!$AB$7&lt;&gt;"",ISNUMBER(SEARCH($AC$4,'Final Calculation Sheet'!$AB$7))))),IF($AD$4="",TRUE,IF($AD$4="(blank)",'Final Calculation Sheet'!$AC$7="",IF($AD$4="(nonblank)",'Final Calculation Sheet'!$AC$7&lt;&gt;"",ISNUMBER(SEARCH($AD$4,'Final Calculation Sheet'!$AC$7))))),IF($AE$4="",TRUE,IF($AE$4="(blank)",'Final Calculation Sheet'!$AD$7="",IF($AE$4="(nonblank)",'Final Calculation Sheet'!$AD$7&lt;&gt;"",ISNUMBER(SEARCH($AE$4,'Final Calculation Sheet'!$AD$7))))),IF($AF$4="",TRUE,IF($AF$4="(blank)",'Final Calculation Sheet'!$AE$7="",IF($AF$4="(nonblank)",'Final Calculation Sheet'!$AE$7&lt;&gt;"",ISNUMBER(SEARCH($AF$4,'Final Calculation Sheet'!$AE$7))))),IF($AG$4="",TRUE,IF($AG$4="(blank)",'Final Calculation Sheet'!$AF$7="",IF($AG$4="(nonblank)",'Final Calculation Sheet'!$AF$7&lt;&gt;"",ISNUMBER(SEARCH($AG$4,'Final Calculation Sheet'!$AF$7))))),IF($AH$4="",TRUE,IF($AH$4="(blank)",'Final Calculation Sheet'!$AG$7="",IF($AH$4="(nonblank)",'Final Calculation Sheet'!$AG$7&lt;&gt;"",ISNUMBER(SEARCH($AH$4,'Final Calculation Sheet'!$AG$7))))),IF($AI$4="",TRUE,IF($AI$4="(blank)",IF('Final Calculation Sheet'!$AD$7&lt;=5,"SETTLED","OUTSTANDING")="",IF($AI$4="(nonblank)",IF('Final Calculation Sheet'!$AD$7&lt;=5,"SETTLED","OUTSTANDING")&lt;&gt;"",ISNUMBER(SEARCH($AI$4,IF('Final Calculation Sheet'!$AD$7&lt;=5,"SETTLED","OUTSTANDING")))))))</f>
        <v/>
      </c>
      <c r="AK9">
        <f>IF(AJ9=1,COUNTIF(AJ$6:AJ9,1),"")</f>
        <v/>
      </c>
      <c r="AM9">
        <f>AM8+IF(AND('Lists'!$O$9&lt;&gt;"",ISNUMBER(SEARCH($B$4,'Lists'!$O$9))),1,0)</f>
        <v/>
      </c>
      <c r="AN9">
        <f>IF(ROW()-3&gt;MAX($AM$4:$AM$42),"",INDEX('Lists'!$O$4:$O$42,MATCH(ROW()-3,$AM$4:$AM$42,0)))</f>
        <v/>
      </c>
      <c r="AO9">
        <f>AO8+IF(AND('Lists'!$T$9&lt;&gt;"",ISNUMBER(SEARCH($C$4,'Lists'!$T$9))),1,0)</f>
        <v/>
      </c>
      <c r="AP9">
        <f>IF(ROW()-3&gt;MAX($AO$4:$AO$42),"",INDEX('Lists'!$T$4:$T$42,MATCH(ROW()-3,$AO$4:$AO$42,0)))</f>
        <v/>
      </c>
      <c r="AQ9">
        <f>AQ8+IF(AND('Lists'!$Y$9&lt;&gt;"",ISNUMBER(SEARCH($D$4,'Lists'!$Y$9))),1,0)</f>
        <v/>
      </c>
      <c r="AR9">
        <f>IF(ROW()-3&gt;MAX($AQ$4:$AQ$42),"",INDEX('Lists'!$Y$4:$Y$42,MATCH(ROW()-3,$AQ$4:$AQ$42,0)))</f>
        <v/>
      </c>
      <c r="AS9">
        <f>AS8+IF(AND('Lists'!$AD$9&lt;&gt;"",ISNUMBER(SEARCH($E$4,'Lists'!$AD$9))),1,0)</f>
        <v/>
      </c>
      <c r="AT9">
        <f>IF(ROW()-3&gt;MAX($AS$4:$AS$42),"",INDEX('Lists'!$AD$4:$AD$42,MATCH(ROW()-3,$AS$4:$AS$42,0)))</f>
        <v/>
      </c>
      <c r="AU9">
        <f>AU8+IF(AND('Lists'!$AI$9&lt;&gt;"",ISNUMBER(SEARCH($F$4,'Lists'!$AI$9))),1,0)</f>
        <v/>
      </c>
      <c r="AV9">
        <f>IF(ROW()-3&gt;MAX($AU$4:$AU$42),"",INDEX('Lists'!$AI$4:$AI$42,MATCH(ROW()-3,$AU$4:$AU$42,0)))</f>
        <v/>
      </c>
      <c r="AW9">
        <f>AW8+IF(AND('Lists'!$AN$9&lt;&gt;"",ISNUMBER(SEARCH($G$4,'Lists'!$AN$9))),1,0)</f>
        <v/>
      </c>
      <c r="AX9">
        <f>IF(ROW()-3&gt;MAX($AW$4:$AW$42),"",INDEX('Lists'!$AN$4:$AN$42,MATCH(ROW()-3,$AW$4:$AW$42,0)))</f>
        <v/>
      </c>
      <c r="AY9">
        <f>AY8+IF(AND('Lists'!$AS$9&lt;&gt;"",ISNUMBER(SEARCH($H$4,'Lists'!$AS$9))),1,0)</f>
        <v/>
      </c>
      <c r="AZ9">
        <f>IF(ROW()-3&gt;MAX($AY$4:$AY$42),"",INDEX('Lists'!$AS$4:$AS$42,MATCH(ROW()-3,$AY$4:$AY$42,0)))</f>
        <v/>
      </c>
      <c r="BA9">
        <f>BA8+IF(AND('Lists'!$AX$9&lt;&gt;"",ISNUMBER(SEARCH($I$4,'Lists'!$AX$9))),1,0)</f>
        <v/>
      </c>
      <c r="BB9">
        <f>IF(ROW()-3&gt;MAX($BA$4:$BA$42),"",INDEX('Lists'!$AX$4:$AX$42,MATCH(ROW()-3,$BA$4:$BA$42,0)))</f>
        <v/>
      </c>
      <c r="BC9">
        <f>BC8+IF(AND('Lists'!$BC$9&lt;&gt;"",ISNUMBER(SEARCH($J$4,'Lists'!$BC$9))),1,0)</f>
        <v/>
      </c>
      <c r="BD9">
        <f>IF(ROW()-3&gt;MAX($BC$4:$BC$42),"",INDEX('Lists'!$BC$4:$BC$42,MATCH(ROW()-3,$BC$4:$BC$42,0)))</f>
        <v/>
      </c>
      <c r="BE9">
        <f>BE8+IF(AND('Lists'!$BH$9&lt;&gt;"",ISNUMBER(SEARCH($K$4,'Lists'!$BH$9))),1,0)</f>
        <v/>
      </c>
      <c r="BF9">
        <f>IF(ROW()-3&gt;MAX($BE$4:$BE$42),"",INDEX('Lists'!$BH$4:$BH$42,MATCH(ROW()-3,$BE$4:$BE$42,0)))</f>
        <v/>
      </c>
      <c r="BG9">
        <f>BG8+IF(AND('Lists'!$BM$9&lt;&gt;"",ISNUMBER(SEARCH($L$4,'Lists'!$BM$9))),1,0)</f>
        <v/>
      </c>
      <c r="BH9">
        <f>IF(ROW()-3&gt;MAX($BG$4:$BG$42),"",INDEX('Lists'!$BM$4:$BM$42,MATCH(ROW()-3,$BG$4:$BG$42,0)))</f>
        <v/>
      </c>
      <c r="BI9">
        <f>BI8+IF(AND('Lists'!$BR$9&lt;&gt;"",ISNUMBER(SEARCH($M$4,'Lists'!$BR$9))),1,0)</f>
        <v/>
      </c>
      <c r="BJ9">
        <f>IF(ROW()-3&gt;MAX($BI$4:$BI$42),"",INDEX('Lists'!$BR$4:$BR$42,MATCH(ROW()-3,$BI$4:$BI$42,0)))</f>
        <v/>
      </c>
      <c r="BK9">
        <f>BK8+IF(AND('Lists'!$BW$9&lt;&gt;"",ISNUMBER(SEARCH($N$4,'Lists'!$BW$9))),1,0)</f>
        <v/>
      </c>
      <c r="BL9">
        <f>IF(ROW()-3&gt;MAX($BK$4:$BK$42),"",INDEX('Lists'!$BW$4:$BW$42,MATCH(ROW()-3,$BK$4:$BK$42,0)))</f>
        <v/>
      </c>
      <c r="BM9">
        <f>BM8+IF(AND('Lists'!$CB$9&lt;&gt;"",ISNUMBER(SEARCH($O$4,'Lists'!$CB$9))),1,0)</f>
        <v/>
      </c>
      <c r="BN9">
        <f>IF(ROW()-3&gt;MAX($BM$4:$BM$42),"",INDEX('Lists'!$CB$4:$CB$42,MATCH(ROW()-3,$BM$4:$BM$42,0)))</f>
        <v/>
      </c>
      <c r="BO9">
        <f>BO8+IF(AND('Lists'!$CG$9&lt;&gt;"",ISNUMBER(SEARCH($P$4,'Lists'!$CG$9))),1,0)</f>
        <v/>
      </c>
      <c r="BP9">
        <f>IF(ROW()-3&gt;MAX($BO$4:$BO$42),"",INDEX('Lists'!$CG$4:$CG$42,MATCH(ROW()-3,$BO$4:$BO$42,0)))</f>
        <v/>
      </c>
      <c r="BQ9">
        <f>BQ8+IF(AND('Lists'!$CL$9&lt;&gt;"",ISNUMBER(SEARCH($Q$4,'Lists'!$CL$9))),1,0)</f>
        <v/>
      </c>
      <c r="BR9">
        <f>IF(ROW()-3&gt;MAX($BQ$4:$BQ$42),"",INDEX('Lists'!$CL$4:$CL$42,MATCH(ROW()-3,$BQ$4:$BQ$42,0)))</f>
        <v/>
      </c>
      <c r="BS9">
        <f>BS8+IF(AND('Lists'!$CQ$9&lt;&gt;"",ISNUMBER(SEARCH($R$4,'Lists'!$CQ$9))),1,0)</f>
        <v/>
      </c>
      <c r="BT9">
        <f>IF(ROW()-3&gt;MAX($BS$4:$BS$42),"",INDEX('Lists'!$CQ$4:$CQ$42,MATCH(ROW()-3,$BS$4:$BS$42,0)))</f>
        <v/>
      </c>
      <c r="BU9">
        <f>BU8+IF(AND('Lists'!$CV$9&lt;&gt;"",ISNUMBER(SEARCH($S$4,'Lists'!$CV$9))),1,0)</f>
        <v/>
      </c>
      <c r="BV9">
        <f>IF(ROW()-3&gt;MAX($BU$4:$BU$42),"",INDEX('Lists'!$CV$4:$CV$42,MATCH(ROW()-3,$BU$4:$BU$42,0)))</f>
        <v/>
      </c>
      <c r="BW9">
        <f>BW8+IF(AND('Lists'!$DA$9&lt;&gt;"",ISNUMBER(SEARCH($T$4,'Lists'!$DA$9))),1,0)</f>
        <v/>
      </c>
      <c r="BX9">
        <f>IF(ROW()-3&gt;MAX($BW$4:$BW$42),"",INDEX('Lists'!$DA$4:$DA$42,MATCH(ROW()-3,$BW$4:$BW$42,0)))</f>
        <v/>
      </c>
      <c r="BY9">
        <f>BY8+IF(AND('Lists'!$DF$9&lt;&gt;"",ISNUMBER(SEARCH($U$4,'Lists'!$DF$9))),1,0)</f>
        <v/>
      </c>
      <c r="BZ9">
        <f>IF(ROW()-3&gt;MAX($BY$4:$BY$42),"",INDEX('Lists'!$DF$4:$DF$42,MATCH(ROW()-3,$BY$4:$BY$42,0)))</f>
        <v/>
      </c>
      <c r="CA9">
        <f>CA8+IF(AND('Lists'!$DK$9&lt;&gt;"",ISNUMBER(SEARCH($V$4,'Lists'!$DK$9))),1,0)</f>
        <v/>
      </c>
      <c r="CB9">
        <f>IF(ROW()-3&gt;MAX($CA$4:$CA$42),"",INDEX('Lists'!$DK$4:$DK$42,MATCH(ROW()-3,$CA$4:$CA$42,0)))</f>
        <v/>
      </c>
      <c r="CC9">
        <f>CC8+IF(AND('Lists'!$DP$9&lt;&gt;"",ISNUMBER(SEARCH($W$4,'Lists'!$DP$9))),1,0)</f>
        <v/>
      </c>
      <c r="CD9">
        <f>IF(ROW()-3&gt;MAX($CC$4:$CC$42),"",INDEX('Lists'!$DP$4:$DP$42,MATCH(ROW()-3,$CC$4:$CC$42,0)))</f>
        <v/>
      </c>
      <c r="CE9">
        <f>CE8+IF(AND('Lists'!$DU$9&lt;&gt;"",ISNUMBER(SEARCH($X$4,'Lists'!$DU$9))),1,0)</f>
        <v/>
      </c>
      <c r="CF9">
        <f>IF(ROW()-3&gt;MAX($CE$4:$CE$42),"",INDEX('Lists'!$DU$4:$DU$42,MATCH(ROW()-3,$CE$4:$CE$42,0)))</f>
        <v/>
      </c>
      <c r="CG9">
        <f>CG8+IF(AND('Lists'!$DZ$9&lt;&gt;"",ISNUMBER(SEARCH($Y$4,'Lists'!$DZ$9))),1,0)</f>
        <v/>
      </c>
      <c r="CH9">
        <f>IF(ROW()-3&gt;MAX($CG$4:$CG$42),"",INDEX('Lists'!$DZ$4:$DZ$42,MATCH(ROW()-3,$CG$4:$CG$42,0)))</f>
        <v/>
      </c>
      <c r="CI9">
        <f>CI8+IF(AND('Lists'!$EE$9&lt;&gt;"",ISNUMBER(SEARCH($Z$4,'Lists'!$EE$9))),1,0)</f>
        <v/>
      </c>
      <c r="CJ9">
        <f>IF(ROW()-3&gt;MAX($CI$4:$CI$42),"",INDEX('Lists'!$EE$4:$EE$42,MATCH(ROW()-3,$CI$4:$CI$42,0)))</f>
        <v/>
      </c>
      <c r="CK9">
        <f>CK8+IF(AND('Lists'!$EJ$9&lt;&gt;"",ISNUMBER(SEARCH($AA$4,'Lists'!$EJ$9))),1,0)</f>
        <v/>
      </c>
      <c r="CL9">
        <f>IF(ROW()-3&gt;MAX($CK$4:$CK$42),"",INDEX('Lists'!$EJ$4:$EJ$42,MATCH(ROW()-3,$CK$4:$CK$42,0)))</f>
        <v/>
      </c>
      <c r="CM9">
        <f>CM8+IF(AND('Lists'!$EO$9&lt;&gt;"",ISNUMBER(SEARCH($AB$4,'Lists'!$EO$9))),1,0)</f>
        <v/>
      </c>
      <c r="CN9">
        <f>IF(ROW()-3&gt;MAX($CM$4:$CM$42),"",INDEX('Lists'!$EO$4:$EO$42,MATCH(ROW()-3,$CM$4:$CM$42,0)))</f>
        <v/>
      </c>
      <c r="CO9">
        <f>CO8+IF(AND('Lists'!$ET$9&lt;&gt;"",ISNUMBER(SEARCH($AC$4,'Lists'!$ET$9))),1,0)</f>
        <v/>
      </c>
      <c r="CP9">
        <f>IF(ROW()-3&gt;MAX($CO$4:$CO$42),"",INDEX('Lists'!$ET$4:$ET$42,MATCH(ROW()-3,$CO$4:$CO$42,0)))</f>
        <v/>
      </c>
      <c r="CQ9">
        <f>CQ8+IF(AND('Lists'!$EY$9&lt;&gt;"",ISNUMBER(SEARCH($AD$4,'Lists'!$EY$9))),1,0)</f>
        <v/>
      </c>
      <c r="CR9">
        <f>IF(ROW()-3&gt;MAX($CQ$4:$CQ$42),"",INDEX('Lists'!$EY$4:$EY$42,MATCH(ROW()-3,$CQ$4:$CQ$42,0)))</f>
        <v/>
      </c>
      <c r="CS9">
        <f>CS8+IF(AND('Lists'!$FD$9&lt;&gt;"",ISNUMBER(SEARCH($AE$4,'Lists'!$FD$9))),1,0)</f>
        <v/>
      </c>
      <c r="CT9">
        <f>IF(ROW()-3&gt;MAX($CS$4:$CS$42),"",INDEX('Lists'!$FD$4:$FD$42,MATCH(ROW()-3,$CS$4:$CS$42,0)))</f>
        <v/>
      </c>
      <c r="CU9">
        <f>CU8+IF(AND('Lists'!$FI$9&lt;&gt;"",ISNUMBER(SEARCH($AF$4,'Lists'!$FI$9))),1,0)</f>
        <v/>
      </c>
      <c r="CV9">
        <f>IF(ROW()-3&gt;MAX($CU$4:$CU$42),"",INDEX('Lists'!$FI$4:$FI$42,MATCH(ROW()-3,$CU$4:$CU$42,0)))</f>
        <v/>
      </c>
      <c r="CW9">
        <f>CW8+IF(AND('Lists'!$FN$9&lt;&gt;"",ISNUMBER(SEARCH($AG$4,'Lists'!$FN$9))),1,0)</f>
        <v/>
      </c>
      <c r="CX9">
        <f>IF(ROW()-3&gt;MAX($CW$4:$CW$42),"",INDEX('Lists'!$FN$4:$FN$42,MATCH(ROW()-3,$CW$4:$CW$42,0)))</f>
        <v/>
      </c>
      <c r="CY9">
        <f>CY8+IF(AND('Lists'!$FS$9&lt;&gt;"",ISNUMBER(SEARCH($AH$4,'Lists'!$FS$9))),1,0)</f>
        <v/>
      </c>
      <c r="CZ9">
        <f>IF(ROW()-3&gt;MAX($CY$4:$CY$42),"",INDEX('Lists'!$FS$4:$FS$42,MATCH(ROW()-3,$CY$4:$CY$42,0)))</f>
        <v/>
      </c>
      <c r="DA9">
        <f>DA8+IF(AND('Lists'!$FX$9&lt;&gt;"",ISNUMBER(SEARCH($AI$4,'Lists'!$FX$9))),1,0)</f>
        <v/>
      </c>
      <c r="DB9">
        <f>IF(ROW()-3&gt;MAX($DA$4:$DA$42),"",INDEX('Lists'!$FX$4:$FX$42,MATCH(ROW()-3,$DA$4:$DA$42,0)))</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c r="AJ10">
        <f>AND(IF($B$4="",TRUE,IF($B$4="(blank)",'Final Calculation Sheet'!$F$8="",IF($B$4="(nonblank)",'Final Calculation Sheet'!$F$8&lt;&gt;"",ISNUMBER(SEARCH($B$4,'Final Calculation Sheet'!$F$8))))),IF($C$4="",TRUE,IF($C$4="(blank)",'Final Calculation Sheet'!$G$8="",IF($C$4="(nonblank)",'Final Calculation Sheet'!$G$8&lt;&gt;"",ISNUMBER(SEARCH($C$4,'Final Calculation Sheet'!$G$8))))),IF($D$4="",TRUE,IF($D$4="(blank)",'Final Calculation Sheet'!$B$8="",IF($D$4="(nonblank)",'Final Calculation Sheet'!$B$8&lt;&gt;"",ISNUMBER(SEARCH($D$4,'Final Calculation Sheet'!$B$8))))),IF($E$4="",TRUE,IF($E$4="(blank)",'Final Calculation Sheet'!$D$8="",IF($E$4="(nonblank)",'Final Calculation Sheet'!$D$8&lt;&gt;"",ISNUMBER(SEARCH($E$4,'Final Calculation Sheet'!$D$8))))),IF($F$4="",TRUE,IF($F$4="(blank)",'Final Calculation Sheet'!$A$8="",IF($F$4="(nonblank)",'Final Calculation Sheet'!$A$8&lt;&gt;"",ISNUMBER(SEARCH($F$4,'Final Calculation Sheet'!$A$8))))),IF($G$4="",TRUE,IF($G$4="(blank)",'Final Calculation Sheet'!$E$8="",IF($G$4="(nonblank)",'Final Calculation Sheet'!$E$8&lt;&gt;"",ISNUMBER(SEARCH($G$4,'Final Calculation Sheet'!$E$8))))),IF($H$4="",TRUE,IF($H$4="(blank)",'Final Calculation Sheet'!$C$8="",IF($H$4="(nonblank)",'Final Calculation Sheet'!$C$8&lt;&gt;"",ISNUMBER(SEARCH($H$4,'Final Calculation Sheet'!$C$8))))),IF($I$4="",TRUE,IF($I$4="(blank)",'Final Calculation Sheet'!$H$8="",IF($I$4="(nonblank)",'Final Calculation Sheet'!$H$8&lt;&gt;"",ISNUMBER(SEARCH($I$4,'Final Calculation Sheet'!$H$8))))),IF($J$4="",TRUE,IF($J$4="(blank)",'Final Calculation Sheet'!$I$8="",IF($J$4="(nonblank)",'Final Calculation Sheet'!$I$8&lt;&gt;"",ISNUMBER(SEARCH($J$4,'Final Calculation Sheet'!$I$8))))),IF($K$4="",TRUE,IF($K$4="(blank)",'Final Calculation Sheet'!$J$8="",IF($K$4="(nonblank)",'Final Calculation Sheet'!$J$8&lt;&gt;"",ISNUMBER(SEARCH($K$4,'Final Calculation Sheet'!$J$8))))),IF($L$4="",TRUE,IF($L$4="(blank)",'Final Calculation Sheet'!$K$8="",IF($L$4="(nonblank)",'Final Calculation Sheet'!$K$8&lt;&gt;"",ISNUMBER(SEARCH($L$4,'Final Calculation Sheet'!$K$8))))),IF($M$4="",TRUE,IF($M$4="(blank)",'Final Calculation Sheet'!$L$8="",IF($M$4="(nonblank)",'Final Calculation Sheet'!$L$8&lt;&gt;"",ISNUMBER(SEARCH($M$4,'Final Calculation Sheet'!$L$8))))),IF($N$4="",TRUE,IF($N$4="(blank)",'Final Calculation Sheet'!$M$8="",IF($N$4="(nonblank)",'Final Calculation Sheet'!$M$8&lt;&gt;"",ISNUMBER(SEARCH($N$4,'Final Calculation Sheet'!$M$8))))),IF($O$4="",TRUE,IF($O$4="(blank)",'Final Calculation Sheet'!$N$8="",IF($O$4="(nonblank)",'Final Calculation Sheet'!$N$8&lt;&gt;"",ISNUMBER(SEARCH($O$4,'Final Calculation Sheet'!$N$8))))),IF($P$4="",TRUE,IF($P$4="(blank)",'Final Calculation Sheet'!$O$8="",IF($P$4="(nonblank)",'Final Calculation Sheet'!$O$8&lt;&gt;"",ISNUMBER(SEARCH($P$4,'Final Calculation Sheet'!$O$8))))),IF($Q$4="",TRUE,IF($Q$4="(blank)",'Final Calculation Sheet'!$P$8="",IF($Q$4="(nonblank)",'Final Calculation Sheet'!$P$8&lt;&gt;"",ISNUMBER(SEARCH($Q$4,'Final Calculation Sheet'!$P$8))))),IF($R$4="",TRUE,IF($R$4="(blank)",'Final Calculation Sheet'!$Q$8="",IF($R$4="(nonblank)",'Final Calculation Sheet'!$Q$8&lt;&gt;"",ISNUMBER(SEARCH($R$4,'Final Calculation Sheet'!$Q$8))))),IF($S$4="",TRUE,IF($S$4="(blank)",'Final Calculation Sheet'!$R$8="",IF($S$4="(nonblank)",'Final Calculation Sheet'!$R$8&lt;&gt;"",ISNUMBER(SEARCH($S$4,'Final Calculation Sheet'!$R$8))))),IF($T$4="",TRUE,IF($T$4="(blank)",'Final Calculation Sheet'!$S$8="",IF($T$4="(nonblank)",'Final Calculation Sheet'!$S$8&lt;&gt;"",ISNUMBER(SEARCH($T$4,'Final Calculation Sheet'!$S$8))))),IF($U$4="",TRUE,IF($U$4="(blank)",'Final Calculation Sheet'!$T$8="",IF($U$4="(nonblank)",'Final Calculation Sheet'!$T$8&lt;&gt;"",ISNUMBER(SEARCH($U$4,'Final Calculation Sheet'!$T$8))))),IF($V$4="",TRUE,IF($V$4="(blank)",'Final Calculation Sheet'!$U$8="",IF($V$4="(nonblank)",'Final Calculation Sheet'!$U$8&lt;&gt;"",ISNUMBER(SEARCH($V$4,'Final Calculation Sheet'!$U$8))))),IF($W$4="",TRUE,IF($W$4="(blank)",'Final Calculation Sheet'!$V$8="",IF($W$4="(nonblank)",'Final Calculation Sheet'!$V$8&lt;&gt;"",ISNUMBER(SEARCH($W$4,'Final Calculation Sheet'!$V$8))))),IF($X$4="",TRUE,IF($X$4="(blank)",'Final Calculation Sheet'!$W$8="",IF($X$4="(nonblank)",'Final Calculation Sheet'!$W$8&lt;&gt;"",ISNUMBER(SEARCH($X$4,'Final Calculation Sheet'!$W$8))))),IF($Y$4="",TRUE,IF($Y$4="(blank)",'Final Calculation Sheet'!$X$8="",IF($Y$4="(nonblank)",'Final Calculation Sheet'!$X$8&lt;&gt;"",ISNUMBER(SEARCH($Y$4,'Final Calculation Sheet'!$X$8))))),IF($Z$4="",TRUE,IF($Z$4="(blank)",'Final Calculation Sheet'!$Y$8="",IF($Z$4="(nonblank)",'Final Calculation Sheet'!$Y$8&lt;&gt;"",ISNUMBER(SEARCH($Z$4,'Final Calculation Sheet'!$Y$8))))),IF($AA$4="",TRUE,IF($AA$4="(blank)",'Final Calculation Sheet'!$Z$8="",IF($AA$4="(nonblank)",'Final Calculation Sheet'!$Z$8&lt;&gt;"",ISNUMBER(SEARCH($AA$4,'Final Calculation Sheet'!$Z$8))))),IF($AB$4="",TRUE,IF($AB$4="(blank)",'Final Calculation Sheet'!$AA$8="",IF($AB$4="(nonblank)",'Final Calculation Sheet'!$AA$8&lt;&gt;"",ISNUMBER(SEARCH($AB$4,'Final Calculation Sheet'!$AA$8))))),IF($AC$4="",TRUE,IF($AC$4="(blank)",'Final Calculation Sheet'!$AB$8="",IF($AC$4="(nonblank)",'Final Calculation Sheet'!$AB$8&lt;&gt;"",ISNUMBER(SEARCH($AC$4,'Final Calculation Sheet'!$AB$8))))),IF($AD$4="",TRUE,IF($AD$4="(blank)",'Final Calculation Sheet'!$AC$8="",IF($AD$4="(nonblank)",'Final Calculation Sheet'!$AC$8&lt;&gt;"",ISNUMBER(SEARCH($AD$4,'Final Calculation Sheet'!$AC$8))))),IF($AE$4="",TRUE,IF($AE$4="(blank)",'Final Calculation Sheet'!$AD$8="",IF($AE$4="(nonblank)",'Final Calculation Sheet'!$AD$8&lt;&gt;"",ISNUMBER(SEARCH($AE$4,'Final Calculation Sheet'!$AD$8))))),IF($AF$4="",TRUE,IF($AF$4="(blank)",'Final Calculation Sheet'!$AE$8="",IF($AF$4="(nonblank)",'Final Calculation Sheet'!$AE$8&lt;&gt;"",ISNUMBER(SEARCH($AF$4,'Final Calculation Sheet'!$AE$8))))),IF($AG$4="",TRUE,IF($AG$4="(blank)",'Final Calculation Sheet'!$AF$8="",IF($AG$4="(nonblank)",'Final Calculation Sheet'!$AF$8&lt;&gt;"",ISNUMBER(SEARCH($AG$4,'Final Calculation Sheet'!$AF$8))))),IF($AH$4="",TRUE,IF($AH$4="(blank)",'Final Calculation Sheet'!$AG$8="",IF($AH$4="(nonblank)",'Final Calculation Sheet'!$AG$8&lt;&gt;"",ISNUMBER(SEARCH($AH$4,'Final Calculation Sheet'!$AG$8))))),IF($AI$4="",TRUE,IF($AI$4="(blank)",IF('Final Calculation Sheet'!$AD$8&lt;=5,"SETTLED","OUTSTANDING")="",IF($AI$4="(nonblank)",IF('Final Calculation Sheet'!$AD$8&lt;=5,"SETTLED","OUTSTANDING")&lt;&gt;"",ISNUMBER(SEARCH($AI$4,IF('Final Calculation Sheet'!$AD$8&lt;=5,"SETTLED","OUTSTANDING")))))))</f>
        <v/>
      </c>
      <c r="AK10">
        <f>IF(AJ10=1,COUNTIF(AJ$6:AJ10,1),"")</f>
        <v/>
      </c>
      <c r="AM10">
        <f>AM9+IF(AND('Lists'!$O$10&lt;&gt;"",ISNUMBER(SEARCH($B$4,'Lists'!$O$10))),1,0)</f>
        <v/>
      </c>
      <c r="AN10">
        <f>IF(ROW()-3&gt;MAX($AM$4:$AM$42),"",INDEX('Lists'!$O$4:$O$42,MATCH(ROW()-3,$AM$4:$AM$42,0)))</f>
        <v/>
      </c>
      <c r="AO10">
        <f>AO9+IF(AND('Lists'!$T$10&lt;&gt;"",ISNUMBER(SEARCH($C$4,'Lists'!$T$10))),1,0)</f>
        <v/>
      </c>
      <c r="AP10">
        <f>IF(ROW()-3&gt;MAX($AO$4:$AO$42),"",INDEX('Lists'!$T$4:$T$42,MATCH(ROW()-3,$AO$4:$AO$42,0)))</f>
        <v/>
      </c>
      <c r="AQ10">
        <f>AQ9+IF(AND('Lists'!$Y$10&lt;&gt;"",ISNUMBER(SEARCH($D$4,'Lists'!$Y$10))),1,0)</f>
        <v/>
      </c>
      <c r="AR10">
        <f>IF(ROW()-3&gt;MAX($AQ$4:$AQ$42),"",INDEX('Lists'!$Y$4:$Y$42,MATCH(ROW()-3,$AQ$4:$AQ$42,0)))</f>
        <v/>
      </c>
      <c r="AS10">
        <f>AS9+IF(AND('Lists'!$AD$10&lt;&gt;"",ISNUMBER(SEARCH($E$4,'Lists'!$AD$10))),1,0)</f>
        <v/>
      </c>
      <c r="AT10">
        <f>IF(ROW()-3&gt;MAX($AS$4:$AS$42),"",INDEX('Lists'!$AD$4:$AD$42,MATCH(ROW()-3,$AS$4:$AS$42,0)))</f>
        <v/>
      </c>
      <c r="AU10">
        <f>AU9+IF(AND('Lists'!$AI$10&lt;&gt;"",ISNUMBER(SEARCH($F$4,'Lists'!$AI$10))),1,0)</f>
        <v/>
      </c>
      <c r="AV10">
        <f>IF(ROW()-3&gt;MAX($AU$4:$AU$42),"",INDEX('Lists'!$AI$4:$AI$42,MATCH(ROW()-3,$AU$4:$AU$42,0)))</f>
        <v/>
      </c>
      <c r="AW10">
        <f>AW9+IF(AND('Lists'!$AN$10&lt;&gt;"",ISNUMBER(SEARCH($G$4,'Lists'!$AN$10))),1,0)</f>
        <v/>
      </c>
      <c r="AX10">
        <f>IF(ROW()-3&gt;MAX($AW$4:$AW$42),"",INDEX('Lists'!$AN$4:$AN$42,MATCH(ROW()-3,$AW$4:$AW$42,0)))</f>
        <v/>
      </c>
      <c r="AY10">
        <f>AY9+IF(AND('Lists'!$AS$10&lt;&gt;"",ISNUMBER(SEARCH($H$4,'Lists'!$AS$10))),1,0)</f>
        <v/>
      </c>
      <c r="AZ10">
        <f>IF(ROW()-3&gt;MAX($AY$4:$AY$42),"",INDEX('Lists'!$AS$4:$AS$42,MATCH(ROW()-3,$AY$4:$AY$42,0)))</f>
        <v/>
      </c>
      <c r="BA10">
        <f>BA9+IF(AND('Lists'!$AX$10&lt;&gt;"",ISNUMBER(SEARCH($I$4,'Lists'!$AX$10))),1,0)</f>
        <v/>
      </c>
      <c r="BB10">
        <f>IF(ROW()-3&gt;MAX($BA$4:$BA$42),"",INDEX('Lists'!$AX$4:$AX$42,MATCH(ROW()-3,$BA$4:$BA$42,0)))</f>
        <v/>
      </c>
      <c r="BC10">
        <f>BC9+IF(AND('Lists'!$BC$10&lt;&gt;"",ISNUMBER(SEARCH($J$4,'Lists'!$BC$10))),1,0)</f>
        <v/>
      </c>
      <c r="BD10">
        <f>IF(ROW()-3&gt;MAX($BC$4:$BC$42),"",INDEX('Lists'!$BC$4:$BC$42,MATCH(ROW()-3,$BC$4:$BC$42,0)))</f>
        <v/>
      </c>
      <c r="BE10">
        <f>BE9+IF(AND('Lists'!$BH$10&lt;&gt;"",ISNUMBER(SEARCH($K$4,'Lists'!$BH$10))),1,0)</f>
        <v/>
      </c>
      <c r="BF10">
        <f>IF(ROW()-3&gt;MAX($BE$4:$BE$42),"",INDEX('Lists'!$BH$4:$BH$42,MATCH(ROW()-3,$BE$4:$BE$42,0)))</f>
        <v/>
      </c>
      <c r="BG10">
        <f>BG9+IF(AND('Lists'!$BM$10&lt;&gt;"",ISNUMBER(SEARCH($L$4,'Lists'!$BM$10))),1,0)</f>
        <v/>
      </c>
      <c r="BH10">
        <f>IF(ROW()-3&gt;MAX($BG$4:$BG$42),"",INDEX('Lists'!$BM$4:$BM$42,MATCH(ROW()-3,$BG$4:$BG$42,0)))</f>
        <v/>
      </c>
      <c r="BI10">
        <f>BI9+IF(AND('Lists'!$BR$10&lt;&gt;"",ISNUMBER(SEARCH($M$4,'Lists'!$BR$10))),1,0)</f>
        <v/>
      </c>
      <c r="BJ10">
        <f>IF(ROW()-3&gt;MAX($BI$4:$BI$42),"",INDEX('Lists'!$BR$4:$BR$42,MATCH(ROW()-3,$BI$4:$BI$42,0)))</f>
        <v/>
      </c>
      <c r="BK10">
        <f>BK9+IF(AND('Lists'!$BW$10&lt;&gt;"",ISNUMBER(SEARCH($N$4,'Lists'!$BW$10))),1,0)</f>
        <v/>
      </c>
      <c r="BL10">
        <f>IF(ROW()-3&gt;MAX($BK$4:$BK$42),"",INDEX('Lists'!$BW$4:$BW$42,MATCH(ROW()-3,$BK$4:$BK$42,0)))</f>
        <v/>
      </c>
      <c r="BM10">
        <f>BM9+IF(AND('Lists'!$CB$10&lt;&gt;"",ISNUMBER(SEARCH($O$4,'Lists'!$CB$10))),1,0)</f>
        <v/>
      </c>
      <c r="BN10">
        <f>IF(ROW()-3&gt;MAX($BM$4:$BM$42),"",INDEX('Lists'!$CB$4:$CB$42,MATCH(ROW()-3,$BM$4:$BM$42,0)))</f>
        <v/>
      </c>
      <c r="BO10">
        <f>BO9+IF(AND('Lists'!$CG$10&lt;&gt;"",ISNUMBER(SEARCH($P$4,'Lists'!$CG$10))),1,0)</f>
        <v/>
      </c>
      <c r="BP10">
        <f>IF(ROW()-3&gt;MAX($BO$4:$BO$42),"",INDEX('Lists'!$CG$4:$CG$42,MATCH(ROW()-3,$BO$4:$BO$42,0)))</f>
        <v/>
      </c>
      <c r="BQ10">
        <f>BQ9+IF(AND('Lists'!$CL$10&lt;&gt;"",ISNUMBER(SEARCH($Q$4,'Lists'!$CL$10))),1,0)</f>
        <v/>
      </c>
      <c r="BR10">
        <f>IF(ROW()-3&gt;MAX($BQ$4:$BQ$42),"",INDEX('Lists'!$CL$4:$CL$42,MATCH(ROW()-3,$BQ$4:$BQ$42,0)))</f>
        <v/>
      </c>
      <c r="BS10">
        <f>BS9+IF(AND('Lists'!$CQ$10&lt;&gt;"",ISNUMBER(SEARCH($R$4,'Lists'!$CQ$10))),1,0)</f>
        <v/>
      </c>
      <c r="BT10">
        <f>IF(ROW()-3&gt;MAX($BS$4:$BS$42),"",INDEX('Lists'!$CQ$4:$CQ$42,MATCH(ROW()-3,$BS$4:$BS$42,0)))</f>
        <v/>
      </c>
      <c r="BU10">
        <f>BU9+IF(AND('Lists'!$CV$10&lt;&gt;"",ISNUMBER(SEARCH($S$4,'Lists'!$CV$10))),1,0)</f>
        <v/>
      </c>
      <c r="BV10">
        <f>IF(ROW()-3&gt;MAX($BU$4:$BU$42),"",INDEX('Lists'!$CV$4:$CV$42,MATCH(ROW()-3,$BU$4:$BU$42,0)))</f>
        <v/>
      </c>
      <c r="BW10">
        <f>BW9+IF(AND('Lists'!$DA$10&lt;&gt;"",ISNUMBER(SEARCH($T$4,'Lists'!$DA$10))),1,0)</f>
        <v/>
      </c>
      <c r="BX10">
        <f>IF(ROW()-3&gt;MAX($BW$4:$BW$42),"",INDEX('Lists'!$DA$4:$DA$42,MATCH(ROW()-3,$BW$4:$BW$42,0)))</f>
        <v/>
      </c>
      <c r="BY10">
        <f>BY9+IF(AND('Lists'!$DF$10&lt;&gt;"",ISNUMBER(SEARCH($U$4,'Lists'!$DF$10))),1,0)</f>
        <v/>
      </c>
      <c r="BZ10">
        <f>IF(ROW()-3&gt;MAX($BY$4:$BY$42),"",INDEX('Lists'!$DF$4:$DF$42,MATCH(ROW()-3,$BY$4:$BY$42,0)))</f>
        <v/>
      </c>
      <c r="CA10">
        <f>CA9+IF(AND('Lists'!$DK$10&lt;&gt;"",ISNUMBER(SEARCH($V$4,'Lists'!$DK$10))),1,0)</f>
        <v/>
      </c>
      <c r="CB10">
        <f>IF(ROW()-3&gt;MAX($CA$4:$CA$42),"",INDEX('Lists'!$DK$4:$DK$42,MATCH(ROW()-3,$CA$4:$CA$42,0)))</f>
        <v/>
      </c>
      <c r="CC10">
        <f>CC9+IF(AND('Lists'!$DP$10&lt;&gt;"",ISNUMBER(SEARCH($W$4,'Lists'!$DP$10))),1,0)</f>
        <v/>
      </c>
      <c r="CD10">
        <f>IF(ROW()-3&gt;MAX($CC$4:$CC$42),"",INDEX('Lists'!$DP$4:$DP$42,MATCH(ROW()-3,$CC$4:$CC$42,0)))</f>
        <v/>
      </c>
      <c r="CE10">
        <f>CE9+IF(AND('Lists'!$DU$10&lt;&gt;"",ISNUMBER(SEARCH($X$4,'Lists'!$DU$10))),1,0)</f>
        <v/>
      </c>
      <c r="CF10">
        <f>IF(ROW()-3&gt;MAX($CE$4:$CE$42),"",INDEX('Lists'!$DU$4:$DU$42,MATCH(ROW()-3,$CE$4:$CE$42,0)))</f>
        <v/>
      </c>
      <c r="CG10">
        <f>CG9+IF(AND('Lists'!$DZ$10&lt;&gt;"",ISNUMBER(SEARCH($Y$4,'Lists'!$DZ$10))),1,0)</f>
        <v/>
      </c>
      <c r="CH10">
        <f>IF(ROW()-3&gt;MAX($CG$4:$CG$42),"",INDEX('Lists'!$DZ$4:$DZ$42,MATCH(ROW()-3,$CG$4:$CG$42,0)))</f>
        <v/>
      </c>
      <c r="CI10">
        <f>CI9+IF(AND('Lists'!$EE$10&lt;&gt;"",ISNUMBER(SEARCH($Z$4,'Lists'!$EE$10))),1,0)</f>
        <v/>
      </c>
      <c r="CJ10">
        <f>IF(ROW()-3&gt;MAX($CI$4:$CI$42),"",INDEX('Lists'!$EE$4:$EE$42,MATCH(ROW()-3,$CI$4:$CI$42,0)))</f>
        <v/>
      </c>
      <c r="CK10">
        <f>CK9+IF(AND('Lists'!$EJ$10&lt;&gt;"",ISNUMBER(SEARCH($AA$4,'Lists'!$EJ$10))),1,0)</f>
        <v/>
      </c>
      <c r="CL10">
        <f>IF(ROW()-3&gt;MAX($CK$4:$CK$42),"",INDEX('Lists'!$EJ$4:$EJ$42,MATCH(ROW()-3,$CK$4:$CK$42,0)))</f>
        <v/>
      </c>
      <c r="CM10">
        <f>CM9+IF(AND('Lists'!$EO$10&lt;&gt;"",ISNUMBER(SEARCH($AB$4,'Lists'!$EO$10))),1,0)</f>
        <v/>
      </c>
      <c r="CN10">
        <f>IF(ROW()-3&gt;MAX($CM$4:$CM$42),"",INDEX('Lists'!$EO$4:$EO$42,MATCH(ROW()-3,$CM$4:$CM$42,0)))</f>
        <v/>
      </c>
      <c r="CO10">
        <f>CO9+IF(AND('Lists'!$ET$10&lt;&gt;"",ISNUMBER(SEARCH($AC$4,'Lists'!$ET$10))),1,0)</f>
        <v/>
      </c>
      <c r="CP10">
        <f>IF(ROW()-3&gt;MAX($CO$4:$CO$42),"",INDEX('Lists'!$ET$4:$ET$42,MATCH(ROW()-3,$CO$4:$CO$42,0)))</f>
        <v/>
      </c>
      <c r="CQ10">
        <f>CQ9+IF(AND('Lists'!$EY$10&lt;&gt;"",ISNUMBER(SEARCH($AD$4,'Lists'!$EY$10))),1,0)</f>
        <v/>
      </c>
      <c r="CR10">
        <f>IF(ROW()-3&gt;MAX($CQ$4:$CQ$42),"",INDEX('Lists'!$EY$4:$EY$42,MATCH(ROW()-3,$CQ$4:$CQ$42,0)))</f>
        <v/>
      </c>
      <c r="CS10">
        <f>CS9+IF(AND('Lists'!$FD$10&lt;&gt;"",ISNUMBER(SEARCH($AE$4,'Lists'!$FD$10))),1,0)</f>
        <v/>
      </c>
      <c r="CT10">
        <f>IF(ROW()-3&gt;MAX($CS$4:$CS$42),"",INDEX('Lists'!$FD$4:$FD$42,MATCH(ROW()-3,$CS$4:$CS$42,0)))</f>
        <v/>
      </c>
      <c r="CU10">
        <f>CU9+IF(AND('Lists'!$FI$10&lt;&gt;"",ISNUMBER(SEARCH($AF$4,'Lists'!$FI$10))),1,0)</f>
        <v/>
      </c>
      <c r="CV10">
        <f>IF(ROW()-3&gt;MAX($CU$4:$CU$42),"",INDEX('Lists'!$FI$4:$FI$42,MATCH(ROW()-3,$CU$4:$CU$42,0)))</f>
        <v/>
      </c>
      <c r="CW10">
        <f>CW9+IF(AND('Lists'!$FN$10&lt;&gt;"",ISNUMBER(SEARCH($AG$4,'Lists'!$FN$10))),1,0)</f>
        <v/>
      </c>
      <c r="CX10">
        <f>IF(ROW()-3&gt;MAX($CW$4:$CW$42),"",INDEX('Lists'!$FN$4:$FN$42,MATCH(ROW()-3,$CW$4:$CW$42,0)))</f>
        <v/>
      </c>
      <c r="CY10">
        <f>CY9+IF(AND('Lists'!$FS$10&lt;&gt;"",ISNUMBER(SEARCH($AH$4,'Lists'!$FS$10))),1,0)</f>
        <v/>
      </c>
      <c r="CZ10">
        <f>IF(ROW()-3&gt;MAX($CY$4:$CY$42),"",INDEX('Lists'!$FS$4:$FS$42,MATCH(ROW()-3,$CY$4:$CY$42,0)))</f>
        <v/>
      </c>
      <c r="DA10">
        <f>DA9+IF(AND('Lists'!$FX$10&lt;&gt;"",ISNUMBER(SEARCH($AI$4,'Lists'!$FX$10))),1,0)</f>
        <v/>
      </c>
      <c r="DB10">
        <f>IF(ROW()-3&gt;MAX($DA$4:$DA$42),"",INDEX('Lists'!$FX$4:$FX$42,MATCH(ROW()-3,$DA$4:$DA$42,0)))</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c r="AJ11">
        <f>AND(IF($B$4="",TRUE,IF($B$4="(blank)",'Final Calculation Sheet'!$F$9="",IF($B$4="(nonblank)",'Final Calculation Sheet'!$F$9&lt;&gt;"",ISNUMBER(SEARCH($B$4,'Final Calculation Sheet'!$F$9))))),IF($C$4="",TRUE,IF($C$4="(blank)",'Final Calculation Sheet'!$G$9="",IF($C$4="(nonblank)",'Final Calculation Sheet'!$G$9&lt;&gt;"",ISNUMBER(SEARCH($C$4,'Final Calculation Sheet'!$G$9))))),IF($D$4="",TRUE,IF($D$4="(blank)",'Final Calculation Sheet'!$B$9="",IF($D$4="(nonblank)",'Final Calculation Sheet'!$B$9&lt;&gt;"",ISNUMBER(SEARCH($D$4,'Final Calculation Sheet'!$B$9))))),IF($E$4="",TRUE,IF($E$4="(blank)",'Final Calculation Sheet'!$D$9="",IF($E$4="(nonblank)",'Final Calculation Sheet'!$D$9&lt;&gt;"",ISNUMBER(SEARCH($E$4,'Final Calculation Sheet'!$D$9))))),IF($F$4="",TRUE,IF($F$4="(blank)",'Final Calculation Sheet'!$A$9="",IF($F$4="(nonblank)",'Final Calculation Sheet'!$A$9&lt;&gt;"",ISNUMBER(SEARCH($F$4,'Final Calculation Sheet'!$A$9))))),IF($G$4="",TRUE,IF($G$4="(blank)",'Final Calculation Sheet'!$E$9="",IF($G$4="(nonblank)",'Final Calculation Sheet'!$E$9&lt;&gt;"",ISNUMBER(SEARCH($G$4,'Final Calculation Sheet'!$E$9))))),IF($H$4="",TRUE,IF($H$4="(blank)",'Final Calculation Sheet'!$C$9="",IF($H$4="(nonblank)",'Final Calculation Sheet'!$C$9&lt;&gt;"",ISNUMBER(SEARCH($H$4,'Final Calculation Sheet'!$C$9))))),IF($I$4="",TRUE,IF($I$4="(blank)",'Final Calculation Sheet'!$H$9="",IF($I$4="(nonblank)",'Final Calculation Sheet'!$H$9&lt;&gt;"",ISNUMBER(SEARCH($I$4,'Final Calculation Sheet'!$H$9))))),IF($J$4="",TRUE,IF($J$4="(blank)",'Final Calculation Sheet'!$I$9="",IF($J$4="(nonblank)",'Final Calculation Sheet'!$I$9&lt;&gt;"",ISNUMBER(SEARCH($J$4,'Final Calculation Sheet'!$I$9))))),IF($K$4="",TRUE,IF($K$4="(blank)",'Final Calculation Sheet'!$J$9="",IF($K$4="(nonblank)",'Final Calculation Sheet'!$J$9&lt;&gt;"",ISNUMBER(SEARCH($K$4,'Final Calculation Sheet'!$J$9))))),IF($L$4="",TRUE,IF($L$4="(blank)",'Final Calculation Sheet'!$K$9="",IF($L$4="(nonblank)",'Final Calculation Sheet'!$K$9&lt;&gt;"",ISNUMBER(SEARCH($L$4,'Final Calculation Sheet'!$K$9))))),IF($M$4="",TRUE,IF($M$4="(blank)",'Final Calculation Sheet'!$L$9="",IF($M$4="(nonblank)",'Final Calculation Sheet'!$L$9&lt;&gt;"",ISNUMBER(SEARCH($M$4,'Final Calculation Sheet'!$L$9))))),IF($N$4="",TRUE,IF($N$4="(blank)",'Final Calculation Sheet'!$M$9="",IF($N$4="(nonblank)",'Final Calculation Sheet'!$M$9&lt;&gt;"",ISNUMBER(SEARCH($N$4,'Final Calculation Sheet'!$M$9))))),IF($O$4="",TRUE,IF($O$4="(blank)",'Final Calculation Sheet'!$N$9="",IF($O$4="(nonblank)",'Final Calculation Sheet'!$N$9&lt;&gt;"",ISNUMBER(SEARCH($O$4,'Final Calculation Sheet'!$N$9))))),IF($P$4="",TRUE,IF($P$4="(blank)",'Final Calculation Sheet'!$O$9="",IF($P$4="(nonblank)",'Final Calculation Sheet'!$O$9&lt;&gt;"",ISNUMBER(SEARCH($P$4,'Final Calculation Sheet'!$O$9))))),IF($Q$4="",TRUE,IF($Q$4="(blank)",'Final Calculation Sheet'!$P$9="",IF($Q$4="(nonblank)",'Final Calculation Sheet'!$P$9&lt;&gt;"",ISNUMBER(SEARCH($Q$4,'Final Calculation Sheet'!$P$9))))),IF($R$4="",TRUE,IF($R$4="(blank)",'Final Calculation Sheet'!$Q$9="",IF($R$4="(nonblank)",'Final Calculation Sheet'!$Q$9&lt;&gt;"",ISNUMBER(SEARCH($R$4,'Final Calculation Sheet'!$Q$9))))),IF($S$4="",TRUE,IF($S$4="(blank)",'Final Calculation Sheet'!$R$9="",IF($S$4="(nonblank)",'Final Calculation Sheet'!$R$9&lt;&gt;"",ISNUMBER(SEARCH($S$4,'Final Calculation Sheet'!$R$9))))),IF($T$4="",TRUE,IF($T$4="(blank)",'Final Calculation Sheet'!$S$9="",IF($T$4="(nonblank)",'Final Calculation Sheet'!$S$9&lt;&gt;"",ISNUMBER(SEARCH($T$4,'Final Calculation Sheet'!$S$9))))),IF($U$4="",TRUE,IF($U$4="(blank)",'Final Calculation Sheet'!$T$9="",IF($U$4="(nonblank)",'Final Calculation Sheet'!$T$9&lt;&gt;"",ISNUMBER(SEARCH($U$4,'Final Calculation Sheet'!$T$9))))),IF($V$4="",TRUE,IF($V$4="(blank)",'Final Calculation Sheet'!$U$9="",IF($V$4="(nonblank)",'Final Calculation Sheet'!$U$9&lt;&gt;"",ISNUMBER(SEARCH($V$4,'Final Calculation Sheet'!$U$9))))),IF($W$4="",TRUE,IF($W$4="(blank)",'Final Calculation Sheet'!$V$9="",IF($W$4="(nonblank)",'Final Calculation Sheet'!$V$9&lt;&gt;"",ISNUMBER(SEARCH($W$4,'Final Calculation Sheet'!$V$9))))),IF($X$4="",TRUE,IF($X$4="(blank)",'Final Calculation Sheet'!$W$9="",IF($X$4="(nonblank)",'Final Calculation Sheet'!$W$9&lt;&gt;"",ISNUMBER(SEARCH($X$4,'Final Calculation Sheet'!$W$9))))),IF($Y$4="",TRUE,IF($Y$4="(blank)",'Final Calculation Sheet'!$X$9="",IF($Y$4="(nonblank)",'Final Calculation Sheet'!$X$9&lt;&gt;"",ISNUMBER(SEARCH($Y$4,'Final Calculation Sheet'!$X$9))))),IF($Z$4="",TRUE,IF($Z$4="(blank)",'Final Calculation Sheet'!$Y$9="",IF($Z$4="(nonblank)",'Final Calculation Sheet'!$Y$9&lt;&gt;"",ISNUMBER(SEARCH($Z$4,'Final Calculation Sheet'!$Y$9))))),IF($AA$4="",TRUE,IF($AA$4="(blank)",'Final Calculation Sheet'!$Z$9="",IF($AA$4="(nonblank)",'Final Calculation Sheet'!$Z$9&lt;&gt;"",ISNUMBER(SEARCH($AA$4,'Final Calculation Sheet'!$Z$9))))),IF($AB$4="",TRUE,IF($AB$4="(blank)",'Final Calculation Sheet'!$AA$9="",IF($AB$4="(nonblank)",'Final Calculation Sheet'!$AA$9&lt;&gt;"",ISNUMBER(SEARCH($AB$4,'Final Calculation Sheet'!$AA$9))))),IF($AC$4="",TRUE,IF($AC$4="(blank)",'Final Calculation Sheet'!$AB$9="",IF($AC$4="(nonblank)",'Final Calculation Sheet'!$AB$9&lt;&gt;"",ISNUMBER(SEARCH($AC$4,'Final Calculation Sheet'!$AB$9))))),IF($AD$4="",TRUE,IF($AD$4="(blank)",'Final Calculation Sheet'!$AC$9="",IF($AD$4="(nonblank)",'Final Calculation Sheet'!$AC$9&lt;&gt;"",ISNUMBER(SEARCH($AD$4,'Final Calculation Sheet'!$AC$9))))),IF($AE$4="",TRUE,IF($AE$4="(blank)",'Final Calculation Sheet'!$AD$9="",IF($AE$4="(nonblank)",'Final Calculation Sheet'!$AD$9&lt;&gt;"",ISNUMBER(SEARCH($AE$4,'Final Calculation Sheet'!$AD$9))))),IF($AF$4="",TRUE,IF($AF$4="(blank)",'Final Calculation Sheet'!$AE$9="",IF($AF$4="(nonblank)",'Final Calculation Sheet'!$AE$9&lt;&gt;"",ISNUMBER(SEARCH($AF$4,'Final Calculation Sheet'!$AE$9))))),IF($AG$4="",TRUE,IF($AG$4="(blank)",'Final Calculation Sheet'!$AF$9="",IF($AG$4="(nonblank)",'Final Calculation Sheet'!$AF$9&lt;&gt;"",ISNUMBER(SEARCH($AG$4,'Final Calculation Sheet'!$AF$9))))),IF($AH$4="",TRUE,IF($AH$4="(blank)",'Final Calculation Sheet'!$AG$9="",IF($AH$4="(nonblank)",'Final Calculation Sheet'!$AG$9&lt;&gt;"",ISNUMBER(SEARCH($AH$4,'Final Calculation Sheet'!$AG$9))))),IF($AI$4="",TRUE,IF($AI$4="(blank)",IF('Final Calculation Sheet'!$AD$9&lt;=5,"SETTLED","OUTSTANDING")="",IF($AI$4="(nonblank)",IF('Final Calculation Sheet'!$AD$9&lt;=5,"SETTLED","OUTSTANDING")&lt;&gt;"",ISNUMBER(SEARCH($AI$4,IF('Final Calculation Sheet'!$AD$9&lt;=5,"SETTLED","OUTSTANDING")))))))</f>
        <v/>
      </c>
      <c r="AK11">
        <f>IF(AJ11=1,COUNTIF(AJ$6:AJ11,1),"")</f>
        <v/>
      </c>
      <c r="AM11">
        <f>AM10+IF(AND('Lists'!$O$11&lt;&gt;"",ISNUMBER(SEARCH($B$4,'Lists'!$O$11))),1,0)</f>
        <v/>
      </c>
      <c r="AN11">
        <f>IF(ROW()-3&gt;MAX($AM$4:$AM$42),"",INDEX('Lists'!$O$4:$O$42,MATCH(ROW()-3,$AM$4:$AM$42,0)))</f>
        <v/>
      </c>
      <c r="AO11">
        <f>AO10+IF(AND('Lists'!$T$11&lt;&gt;"",ISNUMBER(SEARCH($C$4,'Lists'!$T$11))),1,0)</f>
        <v/>
      </c>
      <c r="AP11">
        <f>IF(ROW()-3&gt;MAX($AO$4:$AO$42),"",INDEX('Lists'!$T$4:$T$42,MATCH(ROW()-3,$AO$4:$AO$42,0)))</f>
        <v/>
      </c>
      <c r="AQ11">
        <f>AQ10+IF(AND('Lists'!$Y$11&lt;&gt;"",ISNUMBER(SEARCH($D$4,'Lists'!$Y$11))),1,0)</f>
        <v/>
      </c>
      <c r="AR11">
        <f>IF(ROW()-3&gt;MAX($AQ$4:$AQ$42),"",INDEX('Lists'!$Y$4:$Y$42,MATCH(ROW()-3,$AQ$4:$AQ$42,0)))</f>
        <v/>
      </c>
      <c r="AS11">
        <f>AS10+IF(AND('Lists'!$AD$11&lt;&gt;"",ISNUMBER(SEARCH($E$4,'Lists'!$AD$11))),1,0)</f>
        <v/>
      </c>
      <c r="AT11">
        <f>IF(ROW()-3&gt;MAX($AS$4:$AS$42),"",INDEX('Lists'!$AD$4:$AD$42,MATCH(ROW()-3,$AS$4:$AS$42,0)))</f>
        <v/>
      </c>
      <c r="AU11">
        <f>AU10+IF(AND('Lists'!$AI$11&lt;&gt;"",ISNUMBER(SEARCH($F$4,'Lists'!$AI$11))),1,0)</f>
        <v/>
      </c>
      <c r="AV11">
        <f>IF(ROW()-3&gt;MAX($AU$4:$AU$42),"",INDEX('Lists'!$AI$4:$AI$42,MATCH(ROW()-3,$AU$4:$AU$42,0)))</f>
        <v/>
      </c>
      <c r="AW11">
        <f>AW10+IF(AND('Lists'!$AN$11&lt;&gt;"",ISNUMBER(SEARCH($G$4,'Lists'!$AN$11))),1,0)</f>
        <v/>
      </c>
      <c r="AX11">
        <f>IF(ROW()-3&gt;MAX($AW$4:$AW$42),"",INDEX('Lists'!$AN$4:$AN$42,MATCH(ROW()-3,$AW$4:$AW$42,0)))</f>
        <v/>
      </c>
      <c r="AY11">
        <f>AY10+IF(AND('Lists'!$AS$11&lt;&gt;"",ISNUMBER(SEARCH($H$4,'Lists'!$AS$11))),1,0)</f>
        <v/>
      </c>
      <c r="AZ11">
        <f>IF(ROW()-3&gt;MAX($AY$4:$AY$42),"",INDEX('Lists'!$AS$4:$AS$42,MATCH(ROW()-3,$AY$4:$AY$42,0)))</f>
        <v/>
      </c>
      <c r="BA11">
        <f>BA10+IF(AND('Lists'!$AX$11&lt;&gt;"",ISNUMBER(SEARCH($I$4,'Lists'!$AX$11))),1,0)</f>
        <v/>
      </c>
      <c r="BB11">
        <f>IF(ROW()-3&gt;MAX($BA$4:$BA$42),"",INDEX('Lists'!$AX$4:$AX$42,MATCH(ROW()-3,$BA$4:$BA$42,0)))</f>
        <v/>
      </c>
      <c r="BC11">
        <f>BC10+IF(AND('Lists'!$BC$11&lt;&gt;"",ISNUMBER(SEARCH($J$4,'Lists'!$BC$11))),1,0)</f>
        <v/>
      </c>
      <c r="BD11">
        <f>IF(ROW()-3&gt;MAX($BC$4:$BC$42),"",INDEX('Lists'!$BC$4:$BC$42,MATCH(ROW()-3,$BC$4:$BC$42,0)))</f>
        <v/>
      </c>
      <c r="BE11">
        <f>BE10+IF(AND('Lists'!$BH$11&lt;&gt;"",ISNUMBER(SEARCH($K$4,'Lists'!$BH$11))),1,0)</f>
        <v/>
      </c>
      <c r="BF11">
        <f>IF(ROW()-3&gt;MAX($BE$4:$BE$42),"",INDEX('Lists'!$BH$4:$BH$42,MATCH(ROW()-3,$BE$4:$BE$42,0)))</f>
        <v/>
      </c>
      <c r="BG11">
        <f>BG10+IF(AND('Lists'!$BM$11&lt;&gt;"",ISNUMBER(SEARCH($L$4,'Lists'!$BM$11))),1,0)</f>
        <v/>
      </c>
      <c r="BH11">
        <f>IF(ROW()-3&gt;MAX($BG$4:$BG$42),"",INDEX('Lists'!$BM$4:$BM$42,MATCH(ROW()-3,$BG$4:$BG$42,0)))</f>
        <v/>
      </c>
      <c r="BI11">
        <f>BI10+IF(AND('Lists'!$BR$11&lt;&gt;"",ISNUMBER(SEARCH($M$4,'Lists'!$BR$11))),1,0)</f>
        <v/>
      </c>
      <c r="BJ11">
        <f>IF(ROW()-3&gt;MAX($BI$4:$BI$42),"",INDEX('Lists'!$BR$4:$BR$42,MATCH(ROW()-3,$BI$4:$BI$42,0)))</f>
        <v/>
      </c>
      <c r="BK11">
        <f>BK10+IF(AND('Lists'!$BW$11&lt;&gt;"",ISNUMBER(SEARCH($N$4,'Lists'!$BW$11))),1,0)</f>
        <v/>
      </c>
      <c r="BL11">
        <f>IF(ROW()-3&gt;MAX($BK$4:$BK$42),"",INDEX('Lists'!$BW$4:$BW$42,MATCH(ROW()-3,$BK$4:$BK$42,0)))</f>
        <v/>
      </c>
      <c r="BM11">
        <f>BM10+IF(AND('Lists'!$CB$11&lt;&gt;"",ISNUMBER(SEARCH($O$4,'Lists'!$CB$11))),1,0)</f>
        <v/>
      </c>
      <c r="BN11">
        <f>IF(ROW()-3&gt;MAX($BM$4:$BM$42),"",INDEX('Lists'!$CB$4:$CB$42,MATCH(ROW()-3,$BM$4:$BM$42,0)))</f>
        <v/>
      </c>
      <c r="BO11">
        <f>BO10+IF(AND('Lists'!$CG$11&lt;&gt;"",ISNUMBER(SEARCH($P$4,'Lists'!$CG$11))),1,0)</f>
        <v/>
      </c>
      <c r="BP11">
        <f>IF(ROW()-3&gt;MAX($BO$4:$BO$42),"",INDEX('Lists'!$CG$4:$CG$42,MATCH(ROW()-3,$BO$4:$BO$42,0)))</f>
        <v/>
      </c>
      <c r="BQ11">
        <f>BQ10+IF(AND('Lists'!$CL$11&lt;&gt;"",ISNUMBER(SEARCH($Q$4,'Lists'!$CL$11))),1,0)</f>
        <v/>
      </c>
      <c r="BR11">
        <f>IF(ROW()-3&gt;MAX($BQ$4:$BQ$42),"",INDEX('Lists'!$CL$4:$CL$42,MATCH(ROW()-3,$BQ$4:$BQ$42,0)))</f>
        <v/>
      </c>
      <c r="BS11">
        <f>BS10+IF(AND('Lists'!$CQ$11&lt;&gt;"",ISNUMBER(SEARCH($R$4,'Lists'!$CQ$11))),1,0)</f>
        <v/>
      </c>
      <c r="BT11">
        <f>IF(ROW()-3&gt;MAX($BS$4:$BS$42),"",INDEX('Lists'!$CQ$4:$CQ$42,MATCH(ROW()-3,$BS$4:$BS$42,0)))</f>
        <v/>
      </c>
      <c r="BU11">
        <f>BU10+IF(AND('Lists'!$CV$11&lt;&gt;"",ISNUMBER(SEARCH($S$4,'Lists'!$CV$11))),1,0)</f>
        <v/>
      </c>
      <c r="BV11">
        <f>IF(ROW()-3&gt;MAX($BU$4:$BU$42),"",INDEX('Lists'!$CV$4:$CV$42,MATCH(ROW()-3,$BU$4:$BU$42,0)))</f>
        <v/>
      </c>
      <c r="BW11">
        <f>BW10+IF(AND('Lists'!$DA$11&lt;&gt;"",ISNUMBER(SEARCH($T$4,'Lists'!$DA$11))),1,0)</f>
        <v/>
      </c>
      <c r="BX11">
        <f>IF(ROW()-3&gt;MAX($BW$4:$BW$42),"",INDEX('Lists'!$DA$4:$DA$42,MATCH(ROW()-3,$BW$4:$BW$42,0)))</f>
        <v/>
      </c>
      <c r="BY11">
        <f>BY10+IF(AND('Lists'!$DF$11&lt;&gt;"",ISNUMBER(SEARCH($U$4,'Lists'!$DF$11))),1,0)</f>
        <v/>
      </c>
      <c r="BZ11">
        <f>IF(ROW()-3&gt;MAX($BY$4:$BY$42),"",INDEX('Lists'!$DF$4:$DF$42,MATCH(ROW()-3,$BY$4:$BY$42,0)))</f>
        <v/>
      </c>
      <c r="CA11">
        <f>CA10+IF(AND('Lists'!$DK$11&lt;&gt;"",ISNUMBER(SEARCH($V$4,'Lists'!$DK$11))),1,0)</f>
        <v/>
      </c>
      <c r="CB11">
        <f>IF(ROW()-3&gt;MAX($CA$4:$CA$42),"",INDEX('Lists'!$DK$4:$DK$42,MATCH(ROW()-3,$CA$4:$CA$42,0)))</f>
        <v/>
      </c>
      <c r="CC11">
        <f>CC10+IF(AND('Lists'!$DP$11&lt;&gt;"",ISNUMBER(SEARCH($W$4,'Lists'!$DP$11))),1,0)</f>
        <v/>
      </c>
      <c r="CD11">
        <f>IF(ROW()-3&gt;MAX($CC$4:$CC$42),"",INDEX('Lists'!$DP$4:$DP$42,MATCH(ROW()-3,$CC$4:$CC$42,0)))</f>
        <v/>
      </c>
      <c r="CE11">
        <f>CE10+IF(AND('Lists'!$DU$11&lt;&gt;"",ISNUMBER(SEARCH($X$4,'Lists'!$DU$11))),1,0)</f>
        <v/>
      </c>
      <c r="CF11">
        <f>IF(ROW()-3&gt;MAX($CE$4:$CE$42),"",INDEX('Lists'!$DU$4:$DU$42,MATCH(ROW()-3,$CE$4:$CE$42,0)))</f>
        <v/>
      </c>
      <c r="CG11">
        <f>CG10+IF(AND('Lists'!$DZ$11&lt;&gt;"",ISNUMBER(SEARCH($Y$4,'Lists'!$DZ$11))),1,0)</f>
        <v/>
      </c>
      <c r="CH11">
        <f>IF(ROW()-3&gt;MAX($CG$4:$CG$42),"",INDEX('Lists'!$DZ$4:$DZ$42,MATCH(ROW()-3,$CG$4:$CG$42,0)))</f>
        <v/>
      </c>
      <c r="CI11">
        <f>CI10+IF(AND('Lists'!$EE$11&lt;&gt;"",ISNUMBER(SEARCH($Z$4,'Lists'!$EE$11))),1,0)</f>
        <v/>
      </c>
      <c r="CJ11">
        <f>IF(ROW()-3&gt;MAX($CI$4:$CI$42),"",INDEX('Lists'!$EE$4:$EE$42,MATCH(ROW()-3,$CI$4:$CI$42,0)))</f>
        <v/>
      </c>
      <c r="CK11">
        <f>CK10+IF(AND('Lists'!$EJ$11&lt;&gt;"",ISNUMBER(SEARCH($AA$4,'Lists'!$EJ$11))),1,0)</f>
        <v/>
      </c>
      <c r="CL11">
        <f>IF(ROW()-3&gt;MAX($CK$4:$CK$42),"",INDEX('Lists'!$EJ$4:$EJ$42,MATCH(ROW()-3,$CK$4:$CK$42,0)))</f>
        <v/>
      </c>
      <c r="CM11">
        <f>CM10+IF(AND('Lists'!$EO$11&lt;&gt;"",ISNUMBER(SEARCH($AB$4,'Lists'!$EO$11))),1,0)</f>
        <v/>
      </c>
      <c r="CN11">
        <f>IF(ROW()-3&gt;MAX($CM$4:$CM$42),"",INDEX('Lists'!$EO$4:$EO$42,MATCH(ROW()-3,$CM$4:$CM$42,0)))</f>
        <v/>
      </c>
      <c r="CO11">
        <f>CO10+IF(AND('Lists'!$ET$11&lt;&gt;"",ISNUMBER(SEARCH($AC$4,'Lists'!$ET$11))),1,0)</f>
        <v/>
      </c>
      <c r="CP11">
        <f>IF(ROW()-3&gt;MAX($CO$4:$CO$42),"",INDEX('Lists'!$ET$4:$ET$42,MATCH(ROW()-3,$CO$4:$CO$42,0)))</f>
        <v/>
      </c>
      <c r="CQ11">
        <f>CQ10+IF(AND('Lists'!$EY$11&lt;&gt;"",ISNUMBER(SEARCH($AD$4,'Lists'!$EY$11))),1,0)</f>
        <v/>
      </c>
      <c r="CR11">
        <f>IF(ROW()-3&gt;MAX($CQ$4:$CQ$42),"",INDEX('Lists'!$EY$4:$EY$42,MATCH(ROW()-3,$CQ$4:$CQ$42,0)))</f>
        <v/>
      </c>
      <c r="CS11">
        <f>CS10+IF(AND('Lists'!$FD$11&lt;&gt;"",ISNUMBER(SEARCH($AE$4,'Lists'!$FD$11))),1,0)</f>
        <v/>
      </c>
      <c r="CT11">
        <f>IF(ROW()-3&gt;MAX($CS$4:$CS$42),"",INDEX('Lists'!$FD$4:$FD$42,MATCH(ROW()-3,$CS$4:$CS$42,0)))</f>
        <v/>
      </c>
      <c r="CU11">
        <f>CU10+IF(AND('Lists'!$FI$11&lt;&gt;"",ISNUMBER(SEARCH($AF$4,'Lists'!$FI$11))),1,0)</f>
        <v/>
      </c>
      <c r="CV11">
        <f>IF(ROW()-3&gt;MAX($CU$4:$CU$42),"",INDEX('Lists'!$FI$4:$FI$42,MATCH(ROW()-3,$CU$4:$CU$42,0)))</f>
        <v/>
      </c>
      <c r="CW11">
        <f>CW10+IF(AND('Lists'!$FN$11&lt;&gt;"",ISNUMBER(SEARCH($AG$4,'Lists'!$FN$11))),1,0)</f>
        <v/>
      </c>
      <c r="CX11">
        <f>IF(ROW()-3&gt;MAX($CW$4:$CW$42),"",INDEX('Lists'!$FN$4:$FN$42,MATCH(ROW()-3,$CW$4:$CW$42,0)))</f>
        <v/>
      </c>
      <c r="CY11">
        <f>CY10+IF(AND('Lists'!$FS$11&lt;&gt;"",ISNUMBER(SEARCH($AH$4,'Lists'!$FS$11))),1,0)</f>
        <v/>
      </c>
      <c r="CZ11">
        <f>IF(ROW()-3&gt;MAX($CY$4:$CY$42),"",INDEX('Lists'!$FS$4:$FS$42,MATCH(ROW()-3,$CY$4:$CY$42,0)))</f>
        <v/>
      </c>
      <c r="DA11">
        <f>DA10+IF(AND('Lists'!$FX$11&lt;&gt;"",ISNUMBER(SEARCH($AI$4,'Lists'!$FX$11))),1,0)</f>
        <v/>
      </c>
      <c r="DB11">
        <f>IF(ROW()-3&gt;MAX($DA$4:$DA$42),"",INDEX('Lists'!$FX$4:$FX$42,MATCH(ROW()-3,$DA$4:$DA$42,0)))</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c r="AJ12">
        <f>AND(IF($B$4="",TRUE,IF($B$4="(blank)",'Final Calculation Sheet'!$F$10="",IF($B$4="(nonblank)",'Final Calculation Sheet'!$F$10&lt;&gt;"",ISNUMBER(SEARCH($B$4,'Final Calculation Sheet'!$F$10))))),IF($C$4="",TRUE,IF($C$4="(blank)",'Final Calculation Sheet'!$G$10="",IF($C$4="(nonblank)",'Final Calculation Sheet'!$G$10&lt;&gt;"",ISNUMBER(SEARCH($C$4,'Final Calculation Sheet'!$G$10))))),IF($D$4="",TRUE,IF($D$4="(blank)",'Final Calculation Sheet'!$B$10="",IF($D$4="(nonblank)",'Final Calculation Sheet'!$B$10&lt;&gt;"",ISNUMBER(SEARCH($D$4,'Final Calculation Sheet'!$B$10))))),IF($E$4="",TRUE,IF($E$4="(blank)",'Final Calculation Sheet'!$D$10="",IF($E$4="(nonblank)",'Final Calculation Sheet'!$D$10&lt;&gt;"",ISNUMBER(SEARCH($E$4,'Final Calculation Sheet'!$D$10))))),IF($F$4="",TRUE,IF($F$4="(blank)",'Final Calculation Sheet'!$A$10="",IF($F$4="(nonblank)",'Final Calculation Sheet'!$A$10&lt;&gt;"",ISNUMBER(SEARCH($F$4,'Final Calculation Sheet'!$A$10))))),IF($G$4="",TRUE,IF($G$4="(blank)",'Final Calculation Sheet'!$E$10="",IF($G$4="(nonblank)",'Final Calculation Sheet'!$E$10&lt;&gt;"",ISNUMBER(SEARCH($G$4,'Final Calculation Sheet'!$E$10))))),IF($H$4="",TRUE,IF($H$4="(blank)",'Final Calculation Sheet'!$C$10="",IF($H$4="(nonblank)",'Final Calculation Sheet'!$C$10&lt;&gt;"",ISNUMBER(SEARCH($H$4,'Final Calculation Sheet'!$C$10))))),IF($I$4="",TRUE,IF($I$4="(blank)",'Final Calculation Sheet'!$H$10="",IF($I$4="(nonblank)",'Final Calculation Sheet'!$H$10&lt;&gt;"",ISNUMBER(SEARCH($I$4,'Final Calculation Sheet'!$H$10))))),IF($J$4="",TRUE,IF($J$4="(blank)",'Final Calculation Sheet'!$I$10="",IF($J$4="(nonblank)",'Final Calculation Sheet'!$I$10&lt;&gt;"",ISNUMBER(SEARCH($J$4,'Final Calculation Sheet'!$I$10))))),IF($K$4="",TRUE,IF($K$4="(blank)",'Final Calculation Sheet'!$J$10="",IF($K$4="(nonblank)",'Final Calculation Sheet'!$J$10&lt;&gt;"",ISNUMBER(SEARCH($K$4,'Final Calculation Sheet'!$J$10))))),IF($L$4="",TRUE,IF($L$4="(blank)",'Final Calculation Sheet'!$K$10="",IF($L$4="(nonblank)",'Final Calculation Sheet'!$K$10&lt;&gt;"",ISNUMBER(SEARCH($L$4,'Final Calculation Sheet'!$K$10))))),IF($M$4="",TRUE,IF($M$4="(blank)",'Final Calculation Sheet'!$L$10="",IF($M$4="(nonblank)",'Final Calculation Sheet'!$L$10&lt;&gt;"",ISNUMBER(SEARCH($M$4,'Final Calculation Sheet'!$L$10))))),IF($N$4="",TRUE,IF($N$4="(blank)",'Final Calculation Sheet'!$M$10="",IF($N$4="(nonblank)",'Final Calculation Sheet'!$M$10&lt;&gt;"",ISNUMBER(SEARCH($N$4,'Final Calculation Sheet'!$M$10))))),IF($O$4="",TRUE,IF($O$4="(blank)",'Final Calculation Sheet'!$N$10="",IF($O$4="(nonblank)",'Final Calculation Sheet'!$N$10&lt;&gt;"",ISNUMBER(SEARCH($O$4,'Final Calculation Sheet'!$N$10))))),IF($P$4="",TRUE,IF($P$4="(blank)",'Final Calculation Sheet'!$O$10="",IF($P$4="(nonblank)",'Final Calculation Sheet'!$O$10&lt;&gt;"",ISNUMBER(SEARCH($P$4,'Final Calculation Sheet'!$O$10))))),IF($Q$4="",TRUE,IF($Q$4="(blank)",'Final Calculation Sheet'!$P$10="",IF($Q$4="(nonblank)",'Final Calculation Sheet'!$P$10&lt;&gt;"",ISNUMBER(SEARCH($Q$4,'Final Calculation Sheet'!$P$10))))),IF($R$4="",TRUE,IF($R$4="(blank)",'Final Calculation Sheet'!$Q$10="",IF($R$4="(nonblank)",'Final Calculation Sheet'!$Q$10&lt;&gt;"",ISNUMBER(SEARCH($R$4,'Final Calculation Sheet'!$Q$10))))),IF($S$4="",TRUE,IF($S$4="(blank)",'Final Calculation Sheet'!$R$10="",IF($S$4="(nonblank)",'Final Calculation Sheet'!$R$10&lt;&gt;"",ISNUMBER(SEARCH($S$4,'Final Calculation Sheet'!$R$10))))),IF($T$4="",TRUE,IF($T$4="(blank)",'Final Calculation Sheet'!$S$10="",IF($T$4="(nonblank)",'Final Calculation Sheet'!$S$10&lt;&gt;"",ISNUMBER(SEARCH($T$4,'Final Calculation Sheet'!$S$10))))),IF($U$4="",TRUE,IF($U$4="(blank)",'Final Calculation Sheet'!$T$10="",IF($U$4="(nonblank)",'Final Calculation Sheet'!$T$10&lt;&gt;"",ISNUMBER(SEARCH($U$4,'Final Calculation Sheet'!$T$10))))),IF($V$4="",TRUE,IF($V$4="(blank)",'Final Calculation Sheet'!$U$10="",IF($V$4="(nonblank)",'Final Calculation Sheet'!$U$10&lt;&gt;"",ISNUMBER(SEARCH($V$4,'Final Calculation Sheet'!$U$10))))),IF($W$4="",TRUE,IF($W$4="(blank)",'Final Calculation Sheet'!$V$10="",IF($W$4="(nonblank)",'Final Calculation Sheet'!$V$10&lt;&gt;"",ISNUMBER(SEARCH($W$4,'Final Calculation Sheet'!$V$10))))),IF($X$4="",TRUE,IF($X$4="(blank)",'Final Calculation Sheet'!$W$10="",IF($X$4="(nonblank)",'Final Calculation Sheet'!$W$10&lt;&gt;"",ISNUMBER(SEARCH($X$4,'Final Calculation Sheet'!$W$10))))),IF($Y$4="",TRUE,IF($Y$4="(blank)",'Final Calculation Sheet'!$X$10="",IF($Y$4="(nonblank)",'Final Calculation Sheet'!$X$10&lt;&gt;"",ISNUMBER(SEARCH($Y$4,'Final Calculation Sheet'!$X$10))))),IF($Z$4="",TRUE,IF($Z$4="(blank)",'Final Calculation Sheet'!$Y$10="",IF($Z$4="(nonblank)",'Final Calculation Sheet'!$Y$10&lt;&gt;"",ISNUMBER(SEARCH($Z$4,'Final Calculation Sheet'!$Y$10))))),IF($AA$4="",TRUE,IF($AA$4="(blank)",'Final Calculation Sheet'!$Z$10="",IF($AA$4="(nonblank)",'Final Calculation Sheet'!$Z$10&lt;&gt;"",ISNUMBER(SEARCH($AA$4,'Final Calculation Sheet'!$Z$10))))),IF($AB$4="",TRUE,IF($AB$4="(blank)",'Final Calculation Sheet'!$AA$10="",IF($AB$4="(nonblank)",'Final Calculation Sheet'!$AA$10&lt;&gt;"",ISNUMBER(SEARCH($AB$4,'Final Calculation Sheet'!$AA$10))))),IF($AC$4="",TRUE,IF($AC$4="(blank)",'Final Calculation Sheet'!$AB$10="",IF($AC$4="(nonblank)",'Final Calculation Sheet'!$AB$10&lt;&gt;"",ISNUMBER(SEARCH($AC$4,'Final Calculation Sheet'!$AB$10))))),IF($AD$4="",TRUE,IF($AD$4="(blank)",'Final Calculation Sheet'!$AC$10="",IF($AD$4="(nonblank)",'Final Calculation Sheet'!$AC$10&lt;&gt;"",ISNUMBER(SEARCH($AD$4,'Final Calculation Sheet'!$AC$10))))),IF($AE$4="",TRUE,IF($AE$4="(blank)",'Final Calculation Sheet'!$AD$10="",IF($AE$4="(nonblank)",'Final Calculation Sheet'!$AD$10&lt;&gt;"",ISNUMBER(SEARCH($AE$4,'Final Calculation Sheet'!$AD$10))))),IF($AF$4="",TRUE,IF($AF$4="(blank)",'Final Calculation Sheet'!$AE$10="",IF($AF$4="(nonblank)",'Final Calculation Sheet'!$AE$10&lt;&gt;"",ISNUMBER(SEARCH($AF$4,'Final Calculation Sheet'!$AE$10))))),IF($AG$4="",TRUE,IF($AG$4="(blank)",'Final Calculation Sheet'!$AF$10="",IF($AG$4="(nonblank)",'Final Calculation Sheet'!$AF$10&lt;&gt;"",ISNUMBER(SEARCH($AG$4,'Final Calculation Sheet'!$AF$10))))),IF($AH$4="",TRUE,IF($AH$4="(blank)",'Final Calculation Sheet'!$AG$10="",IF($AH$4="(nonblank)",'Final Calculation Sheet'!$AG$10&lt;&gt;"",ISNUMBER(SEARCH($AH$4,'Final Calculation Sheet'!$AG$10))))),IF($AI$4="",TRUE,IF($AI$4="(blank)",IF('Final Calculation Sheet'!$AD$10&lt;=5,"SETTLED","OUTSTANDING")="",IF($AI$4="(nonblank)",IF('Final Calculation Sheet'!$AD$10&lt;=5,"SETTLED","OUTSTANDING")&lt;&gt;"",ISNUMBER(SEARCH($AI$4,IF('Final Calculation Sheet'!$AD$10&lt;=5,"SETTLED","OUTSTANDING")))))))</f>
        <v/>
      </c>
      <c r="AK12">
        <f>IF(AJ12=1,COUNTIF(AJ$6:AJ12,1),"")</f>
        <v/>
      </c>
      <c r="AM12">
        <f>AM11+IF(AND('Lists'!$O$12&lt;&gt;"",ISNUMBER(SEARCH($B$4,'Lists'!$O$12))),1,0)</f>
        <v/>
      </c>
      <c r="AN12">
        <f>IF(ROW()-3&gt;MAX($AM$4:$AM$42),"",INDEX('Lists'!$O$4:$O$42,MATCH(ROW()-3,$AM$4:$AM$42,0)))</f>
        <v/>
      </c>
      <c r="AO12">
        <f>AO11+IF(AND('Lists'!$T$12&lt;&gt;"",ISNUMBER(SEARCH($C$4,'Lists'!$T$12))),1,0)</f>
        <v/>
      </c>
      <c r="AP12">
        <f>IF(ROW()-3&gt;MAX($AO$4:$AO$42),"",INDEX('Lists'!$T$4:$T$42,MATCH(ROW()-3,$AO$4:$AO$42,0)))</f>
        <v/>
      </c>
      <c r="AQ12">
        <f>AQ11+IF(AND('Lists'!$Y$12&lt;&gt;"",ISNUMBER(SEARCH($D$4,'Lists'!$Y$12))),1,0)</f>
        <v/>
      </c>
      <c r="AR12">
        <f>IF(ROW()-3&gt;MAX($AQ$4:$AQ$42),"",INDEX('Lists'!$Y$4:$Y$42,MATCH(ROW()-3,$AQ$4:$AQ$42,0)))</f>
        <v/>
      </c>
      <c r="AS12">
        <f>AS11+IF(AND('Lists'!$AD$12&lt;&gt;"",ISNUMBER(SEARCH($E$4,'Lists'!$AD$12))),1,0)</f>
        <v/>
      </c>
      <c r="AT12">
        <f>IF(ROW()-3&gt;MAX($AS$4:$AS$42),"",INDEX('Lists'!$AD$4:$AD$42,MATCH(ROW()-3,$AS$4:$AS$42,0)))</f>
        <v/>
      </c>
      <c r="AU12">
        <f>AU11+IF(AND('Lists'!$AI$12&lt;&gt;"",ISNUMBER(SEARCH($F$4,'Lists'!$AI$12))),1,0)</f>
        <v/>
      </c>
      <c r="AV12">
        <f>IF(ROW()-3&gt;MAX($AU$4:$AU$42),"",INDEX('Lists'!$AI$4:$AI$42,MATCH(ROW()-3,$AU$4:$AU$42,0)))</f>
        <v/>
      </c>
      <c r="AW12">
        <f>AW11+IF(AND('Lists'!$AN$12&lt;&gt;"",ISNUMBER(SEARCH($G$4,'Lists'!$AN$12))),1,0)</f>
        <v/>
      </c>
      <c r="AX12">
        <f>IF(ROW()-3&gt;MAX($AW$4:$AW$42),"",INDEX('Lists'!$AN$4:$AN$42,MATCH(ROW()-3,$AW$4:$AW$42,0)))</f>
        <v/>
      </c>
      <c r="AY12">
        <f>AY11+IF(AND('Lists'!$AS$12&lt;&gt;"",ISNUMBER(SEARCH($H$4,'Lists'!$AS$12))),1,0)</f>
        <v/>
      </c>
      <c r="AZ12">
        <f>IF(ROW()-3&gt;MAX($AY$4:$AY$42),"",INDEX('Lists'!$AS$4:$AS$42,MATCH(ROW()-3,$AY$4:$AY$42,0)))</f>
        <v/>
      </c>
      <c r="BA12">
        <f>BA11+IF(AND('Lists'!$AX$12&lt;&gt;"",ISNUMBER(SEARCH($I$4,'Lists'!$AX$12))),1,0)</f>
        <v/>
      </c>
      <c r="BB12">
        <f>IF(ROW()-3&gt;MAX($BA$4:$BA$42),"",INDEX('Lists'!$AX$4:$AX$42,MATCH(ROW()-3,$BA$4:$BA$42,0)))</f>
        <v/>
      </c>
      <c r="BC12">
        <f>BC11+IF(AND('Lists'!$BC$12&lt;&gt;"",ISNUMBER(SEARCH($J$4,'Lists'!$BC$12))),1,0)</f>
        <v/>
      </c>
      <c r="BD12">
        <f>IF(ROW()-3&gt;MAX($BC$4:$BC$42),"",INDEX('Lists'!$BC$4:$BC$42,MATCH(ROW()-3,$BC$4:$BC$42,0)))</f>
        <v/>
      </c>
      <c r="BE12">
        <f>BE11+IF(AND('Lists'!$BH$12&lt;&gt;"",ISNUMBER(SEARCH($K$4,'Lists'!$BH$12))),1,0)</f>
        <v/>
      </c>
      <c r="BF12">
        <f>IF(ROW()-3&gt;MAX($BE$4:$BE$42),"",INDEX('Lists'!$BH$4:$BH$42,MATCH(ROW()-3,$BE$4:$BE$42,0)))</f>
        <v/>
      </c>
      <c r="BG12">
        <f>BG11+IF(AND('Lists'!$BM$12&lt;&gt;"",ISNUMBER(SEARCH($L$4,'Lists'!$BM$12))),1,0)</f>
        <v/>
      </c>
      <c r="BH12">
        <f>IF(ROW()-3&gt;MAX($BG$4:$BG$42),"",INDEX('Lists'!$BM$4:$BM$42,MATCH(ROW()-3,$BG$4:$BG$42,0)))</f>
        <v/>
      </c>
      <c r="BI12">
        <f>BI11+IF(AND('Lists'!$BR$12&lt;&gt;"",ISNUMBER(SEARCH($M$4,'Lists'!$BR$12))),1,0)</f>
        <v/>
      </c>
      <c r="BJ12">
        <f>IF(ROW()-3&gt;MAX($BI$4:$BI$42),"",INDEX('Lists'!$BR$4:$BR$42,MATCH(ROW()-3,$BI$4:$BI$42,0)))</f>
        <v/>
      </c>
      <c r="BK12">
        <f>BK11+IF(AND('Lists'!$BW$12&lt;&gt;"",ISNUMBER(SEARCH($N$4,'Lists'!$BW$12))),1,0)</f>
        <v/>
      </c>
      <c r="BL12">
        <f>IF(ROW()-3&gt;MAX($BK$4:$BK$42),"",INDEX('Lists'!$BW$4:$BW$42,MATCH(ROW()-3,$BK$4:$BK$42,0)))</f>
        <v/>
      </c>
      <c r="BM12">
        <f>BM11+IF(AND('Lists'!$CB$12&lt;&gt;"",ISNUMBER(SEARCH($O$4,'Lists'!$CB$12))),1,0)</f>
        <v/>
      </c>
      <c r="BN12">
        <f>IF(ROW()-3&gt;MAX($BM$4:$BM$42),"",INDEX('Lists'!$CB$4:$CB$42,MATCH(ROW()-3,$BM$4:$BM$42,0)))</f>
        <v/>
      </c>
      <c r="BO12">
        <f>BO11+IF(AND('Lists'!$CG$12&lt;&gt;"",ISNUMBER(SEARCH($P$4,'Lists'!$CG$12))),1,0)</f>
        <v/>
      </c>
      <c r="BP12">
        <f>IF(ROW()-3&gt;MAX($BO$4:$BO$42),"",INDEX('Lists'!$CG$4:$CG$42,MATCH(ROW()-3,$BO$4:$BO$42,0)))</f>
        <v/>
      </c>
      <c r="BQ12">
        <f>BQ11+IF(AND('Lists'!$CL$12&lt;&gt;"",ISNUMBER(SEARCH($Q$4,'Lists'!$CL$12))),1,0)</f>
        <v/>
      </c>
      <c r="BR12">
        <f>IF(ROW()-3&gt;MAX($BQ$4:$BQ$42),"",INDEX('Lists'!$CL$4:$CL$42,MATCH(ROW()-3,$BQ$4:$BQ$42,0)))</f>
        <v/>
      </c>
      <c r="BS12">
        <f>BS11+IF(AND('Lists'!$CQ$12&lt;&gt;"",ISNUMBER(SEARCH($R$4,'Lists'!$CQ$12))),1,0)</f>
        <v/>
      </c>
      <c r="BT12">
        <f>IF(ROW()-3&gt;MAX($BS$4:$BS$42),"",INDEX('Lists'!$CQ$4:$CQ$42,MATCH(ROW()-3,$BS$4:$BS$42,0)))</f>
        <v/>
      </c>
      <c r="BU12">
        <f>BU11+IF(AND('Lists'!$CV$12&lt;&gt;"",ISNUMBER(SEARCH($S$4,'Lists'!$CV$12))),1,0)</f>
        <v/>
      </c>
      <c r="BV12">
        <f>IF(ROW()-3&gt;MAX($BU$4:$BU$42),"",INDEX('Lists'!$CV$4:$CV$42,MATCH(ROW()-3,$BU$4:$BU$42,0)))</f>
        <v/>
      </c>
      <c r="BW12">
        <f>BW11+IF(AND('Lists'!$DA$12&lt;&gt;"",ISNUMBER(SEARCH($T$4,'Lists'!$DA$12))),1,0)</f>
        <v/>
      </c>
      <c r="BX12">
        <f>IF(ROW()-3&gt;MAX($BW$4:$BW$42),"",INDEX('Lists'!$DA$4:$DA$42,MATCH(ROW()-3,$BW$4:$BW$42,0)))</f>
        <v/>
      </c>
      <c r="BY12">
        <f>BY11+IF(AND('Lists'!$DF$12&lt;&gt;"",ISNUMBER(SEARCH($U$4,'Lists'!$DF$12))),1,0)</f>
        <v/>
      </c>
      <c r="BZ12">
        <f>IF(ROW()-3&gt;MAX($BY$4:$BY$42),"",INDEX('Lists'!$DF$4:$DF$42,MATCH(ROW()-3,$BY$4:$BY$42,0)))</f>
        <v/>
      </c>
      <c r="CA12">
        <f>CA11+IF(AND('Lists'!$DK$12&lt;&gt;"",ISNUMBER(SEARCH($V$4,'Lists'!$DK$12))),1,0)</f>
        <v/>
      </c>
      <c r="CB12">
        <f>IF(ROW()-3&gt;MAX($CA$4:$CA$42),"",INDEX('Lists'!$DK$4:$DK$42,MATCH(ROW()-3,$CA$4:$CA$42,0)))</f>
        <v/>
      </c>
      <c r="CC12">
        <f>CC11+IF(AND('Lists'!$DP$12&lt;&gt;"",ISNUMBER(SEARCH($W$4,'Lists'!$DP$12))),1,0)</f>
        <v/>
      </c>
      <c r="CD12">
        <f>IF(ROW()-3&gt;MAX($CC$4:$CC$42),"",INDEX('Lists'!$DP$4:$DP$42,MATCH(ROW()-3,$CC$4:$CC$42,0)))</f>
        <v/>
      </c>
      <c r="CE12">
        <f>CE11+IF(AND('Lists'!$DU$12&lt;&gt;"",ISNUMBER(SEARCH($X$4,'Lists'!$DU$12))),1,0)</f>
        <v/>
      </c>
      <c r="CF12">
        <f>IF(ROW()-3&gt;MAX($CE$4:$CE$42),"",INDEX('Lists'!$DU$4:$DU$42,MATCH(ROW()-3,$CE$4:$CE$42,0)))</f>
        <v/>
      </c>
      <c r="CG12">
        <f>CG11+IF(AND('Lists'!$DZ$12&lt;&gt;"",ISNUMBER(SEARCH($Y$4,'Lists'!$DZ$12))),1,0)</f>
        <v/>
      </c>
      <c r="CH12">
        <f>IF(ROW()-3&gt;MAX($CG$4:$CG$42),"",INDEX('Lists'!$DZ$4:$DZ$42,MATCH(ROW()-3,$CG$4:$CG$42,0)))</f>
        <v/>
      </c>
      <c r="CI12">
        <f>CI11+IF(AND('Lists'!$EE$12&lt;&gt;"",ISNUMBER(SEARCH($Z$4,'Lists'!$EE$12))),1,0)</f>
        <v/>
      </c>
      <c r="CJ12">
        <f>IF(ROW()-3&gt;MAX($CI$4:$CI$42),"",INDEX('Lists'!$EE$4:$EE$42,MATCH(ROW()-3,$CI$4:$CI$42,0)))</f>
        <v/>
      </c>
      <c r="CK12">
        <f>CK11+IF(AND('Lists'!$EJ$12&lt;&gt;"",ISNUMBER(SEARCH($AA$4,'Lists'!$EJ$12))),1,0)</f>
        <v/>
      </c>
      <c r="CL12">
        <f>IF(ROW()-3&gt;MAX($CK$4:$CK$42),"",INDEX('Lists'!$EJ$4:$EJ$42,MATCH(ROW()-3,$CK$4:$CK$42,0)))</f>
        <v/>
      </c>
      <c r="CM12">
        <f>CM11+IF(AND('Lists'!$EO$12&lt;&gt;"",ISNUMBER(SEARCH($AB$4,'Lists'!$EO$12))),1,0)</f>
        <v/>
      </c>
      <c r="CN12">
        <f>IF(ROW()-3&gt;MAX($CM$4:$CM$42),"",INDEX('Lists'!$EO$4:$EO$42,MATCH(ROW()-3,$CM$4:$CM$42,0)))</f>
        <v/>
      </c>
      <c r="CO12">
        <f>CO11+IF(AND('Lists'!$ET$12&lt;&gt;"",ISNUMBER(SEARCH($AC$4,'Lists'!$ET$12))),1,0)</f>
        <v/>
      </c>
      <c r="CP12">
        <f>IF(ROW()-3&gt;MAX($CO$4:$CO$42),"",INDEX('Lists'!$ET$4:$ET$42,MATCH(ROW()-3,$CO$4:$CO$42,0)))</f>
        <v/>
      </c>
      <c r="CQ12">
        <f>CQ11+IF(AND('Lists'!$EY$12&lt;&gt;"",ISNUMBER(SEARCH($AD$4,'Lists'!$EY$12))),1,0)</f>
        <v/>
      </c>
      <c r="CR12">
        <f>IF(ROW()-3&gt;MAX($CQ$4:$CQ$42),"",INDEX('Lists'!$EY$4:$EY$42,MATCH(ROW()-3,$CQ$4:$CQ$42,0)))</f>
        <v/>
      </c>
      <c r="CS12">
        <f>CS11+IF(AND('Lists'!$FD$12&lt;&gt;"",ISNUMBER(SEARCH($AE$4,'Lists'!$FD$12))),1,0)</f>
        <v/>
      </c>
      <c r="CT12">
        <f>IF(ROW()-3&gt;MAX($CS$4:$CS$42),"",INDEX('Lists'!$FD$4:$FD$42,MATCH(ROW()-3,$CS$4:$CS$42,0)))</f>
        <v/>
      </c>
      <c r="CU12">
        <f>CU11+IF(AND('Lists'!$FI$12&lt;&gt;"",ISNUMBER(SEARCH($AF$4,'Lists'!$FI$12))),1,0)</f>
        <v/>
      </c>
      <c r="CV12">
        <f>IF(ROW()-3&gt;MAX($CU$4:$CU$42),"",INDEX('Lists'!$FI$4:$FI$42,MATCH(ROW()-3,$CU$4:$CU$42,0)))</f>
        <v/>
      </c>
      <c r="CW12">
        <f>CW11+IF(AND('Lists'!$FN$12&lt;&gt;"",ISNUMBER(SEARCH($AG$4,'Lists'!$FN$12))),1,0)</f>
        <v/>
      </c>
      <c r="CX12">
        <f>IF(ROW()-3&gt;MAX($CW$4:$CW$42),"",INDEX('Lists'!$FN$4:$FN$42,MATCH(ROW()-3,$CW$4:$CW$42,0)))</f>
        <v/>
      </c>
      <c r="CY12">
        <f>CY11+IF(AND('Lists'!$FS$12&lt;&gt;"",ISNUMBER(SEARCH($AH$4,'Lists'!$FS$12))),1,0)</f>
        <v/>
      </c>
      <c r="CZ12">
        <f>IF(ROW()-3&gt;MAX($CY$4:$CY$42),"",INDEX('Lists'!$FS$4:$FS$42,MATCH(ROW()-3,$CY$4:$CY$42,0)))</f>
        <v/>
      </c>
      <c r="DA12">
        <f>DA11+IF(AND('Lists'!$FX$12&lt;&gt;"",ISNUMBER(SEARCH($AI$4,'Lists'!$FX$12))),1,0)</f>
        <v/>
      </c>
      <c r="DB12">
        <f>IF(ROW()-3&gt;MAX($DA$4:$DA$42),"",INDEX('Lists'!$FX$4:$FX$42,MATCH(ROW()-3,$DA$4:$DA$42,0)))</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c r="AJ13">
        <f>AND(IF($B$4="",TRUE,IF($B$4="(blank)",'Final Calculation Sheet'!$F$11="",IF($B$4="(nonblank)",'Final Calculation Sheet'!$F$11&lt;&gt;"",ISNUMBER(SEARCH($B$4,'Final Calculation Sheet'!$F$11))))),IF($C$4="",TRUE,IF($C$4="(blank)",'Final Calculation Sheet'!$G$11="",IF($C$4="(nonblank)",'Final Calculation Sheet'!$G$11&lt;&gt;"",ISNUMBER(SEARCH($C$4,'Final Calculation Sheet'!$G$11))))),IF($D$4="",TRUE,IF($D$4="(blank)",'Final Calculation Sheet'!$B$11="",IF($D$4="(nonblank)",'Final Calculation Sheet'!$B$11&lt;&gt;"",ISNUMBER(SEARCH($D$4,'Final Calculation Sheet'!$B$11))))),IF($E$4="",TRUE,IF($E$4="(blank)",'Final Calculation Sheet'!$D$11="",IF($E$4="(nonblank)",'Final Calculation Sheet'!$D$11&lt;&gt;"",ISNUMBER(SEARCH($E$4,'Final Calculation Sheet'!$D$11))))),IF($F$4="",TRUE,IF($F$4="(blank)",'Final Calculation Sheet'!$A$11="",IF($F$4="(nonblank)",'Final Calculation Sheet'!$A$11&lt;&gt;"",ISNUMBER(SEARCH($F$4,'Final Calculation Sheet'!$A$11))))),IF($G$4="",TRUE,IF($G$4="(blank)",'Final Calculation Sheet'!$E$11="",IF($G$4="(nonblank)",'Final Calculation Sheet'!$E$11&lt;&gt;"",ISNUMBER(SEARCH($G$4,'Final Calculation Sheet'!$E$11))))),IF($H$4="",TRUE,IF($H$4="(blank)",'Final Calculation Sheet'!$C$11="",IF($H$4="(nonblank)",'Final Calculation Sheet'!$C$11&lt;&gt;"",ISNUMBER(SEARCH($H$4,'Final Calculation Sheet'!$C$11))))),IF($I$4="",TRUE,IF($I$4="(blank)",'Final Calculation Sheet'!$H$11="",IF($I$4="(nonblank)",'Final Calculation Sheet'!$H$11&lt;&gt;"",ISNUMBER(SEARCH($I$4,'Final Calculation Sheet'!$H$11))))),IF($J$4="",TRUE,IF($J$4="(blank)",'Final Calculation Sheet'!$I$11="",IF($J$4="(nonblank)",'Final Calculation Sheet'!$I$11&lt;&gt;"",ISNUMBER(SEARCH($J$4,'Final Calculation Sheet'!$I$11))))),IF($K$4="",TRUE,IF($K$4="(blank)",'Final Calculation Sheet'!$J$11="",IF($K$4="(nonblank)",'Final Calculation Sheet'!$J$11&lt;&gt;"",ISNUMBER(SEARCH($K$4,'Final Calculation Sheet'!$J$11))))),IF($L$4="",TRUE,IF($L$4="(blank)",'Final Calculation Sheet'!$K$11="",IF($L$4="(nonblank)",'Final Calculation Sheet'!$K$11&lt;&gt;"",ISNUMBER(SEARCH($L$4,'Final Calculation Sheet'!$K$11))))),IF($M$4="",TRUE,IF($M$4="(blank)",'Final Calculation Sheet'!$L$11="",IF($M$4="(nonblank)",'Final Calculation Sheet'!$L$11&lt;&gt;"",ISNUMBER(SEARCH($M$4,'Final Calculation Sheet'!$L$11))))),IF($N$4="",TRUE,IF($N$4="(blank)",'Final Calculation Sheet'!$M$11="",IF($N$4="(nonblank)",'Final Calculation Sheet'!$M$11&lt;&gt;"",ISNUMBER(SEARCH($N$4,'Final Calculation Sheet'!$M$11))))),IF($O$4="",TRUE,IF($O$4="(blank)",'Final Calculation Sheet'!$N$11="",IF($O$4="(nonblank)",'Final Calculation Sheet'!$N$11&lt;&gt;"",ISNUMBER(SEARCH($O$4,'Final Calculation Sheet'!$N$11))))),IF($P$4="",TRUE,IF($P$4="(blank)",'Final Calculation Sheet'!$O$11="",IF($P$4="(nonblank)",'Final Calculation Sheet'!$O$11&lt;&gt;"",ISNUMBER(SEARCH($P$4,'Final Calculation Sheet'!$O$11))))),IF($Q$4="",TRUE,IF($Q$4="(blank)",'Final Calculation Sheet'!$P$11="",IF($Q$4="(nonblank)",'Final Calculation Sheet'!$P$11&lt;&gt;"",ISNUMBER(SEARCH($Q$4,'Final Calculation Sheet'!$P$11))))),IF($R$4="",TRUE,IF($R$4="(blank)",'Final Calculation Sheet'!$Q$11="",IF($R$4="(nonblank)",'Final Calculation Sheet'!$Q$11&lt;&gt;"",ISNUMBER(SEARCH($R$4,'Final Calculation Sheet'!$Q$11))))),IF($S$4="",TRUE,IF($S$4="(blank)",'Final Calculation Sheet'!$R$11="",IF($S$4="(nonblank)",'Final Calculation Sheet'!$R$11&lt;&gt;"",ISNUMBER(SEARCH($S$4,'Final Calculation Sheet'!$R$11))))),IF($T$4="",TRUE,IF($T$4="(blank)",'Final Calculation Sheet'!$S$11="",IF($T$4="(nonblank)",'Final Calculation Sheet'!$S$11&lt;&gt;"",ISNUMBER(SEARCH($T$4,'Final Calculation Sheet'!$S$11))))),IF($U$4="",TRUE,IF($U$4="(blank)",'Final Calculation Sheet'!$T$11="",IF($U$4="(nonblank)",'Final Calculation Sheet'!$T$11&lt;&gt;"",ISNUMBER(SEARCH($U$4,'Final Calculation Sheet'!$T$11))))),IF($V$4="",TRUE,IF($V$4="(blank)",'Final Calculation Sheet'!$U$11="",IF($V$4="(nonblank)",'Final Calculation Sheet'!$U$11&lt;&gt;"",ISNUMBER(SEARCH($V$4,'Final Calculation Sheet'!$U$11))))),IF($W$4="",TRUE,IF($W$4="(blank)",'Final Calculation Sheet'!$V$11="",IF($W$4="(nonblank)",'Final Calculation Sheet'!$V$11&lt;&gt;"",ISNUMBER(SEARCH($W$4,'Final Calculation Sheet'!$V$11))))),IF($X$4="",TRUE,IF($X$4="(blank)",'Final Calculation Sheet'!$W$11="",IF($X$4="(nonblank)",'Final Calculation Sheet'!$W$11&lt;&gt;"",ISNUMBER(SEARCH($X$4,'Final Calculation Sheet'!$W$11))))),IF($Y$4="",TRUE,IF($Y$4="(blank)",'Final Calculation Sheet'!$X$11="",IF($Y$4="(nonblank)",'Final Calculation Sheet'!$X$11&lt;&gt;"",ISNUMBER(SEARCH($Y$4,'Final Calculation Sheet'!$X$11))))),IF($Z$4="",TRUE,IF($Z$4="(blank)",'Final Calculation Sheet'!$Y$11="",IF($Z$4="(nonblank)",'Final Calculation Sheet'!$Y$11&lt;&gt;"",ISNUMBER(SEARCH($Z$4,'Final Calculation Sheet'!$Y$11))))),IF($AA$4="",TRUE,IF($AA$4="(blank)",'Final Calculation Sheet'!$Z$11="",IF($AA$4="(nonblank)",'Final Calculation Sheet'!$Z$11&lt;&gt;"",ISNUMBER(SEARCH($AA$4,'Final Calculation Sheet'!$Z$11))))),IF($AB$4="",TRUE,IF($AB$4="(blank)",'Final Calculation Sheet'!$AA$11="",IF($AB$4="(nonblank)",'Final Calculation Sheet'!$AA$11&lt;&gt;"",ISNUMBER(SEARCH($AB$4,'Final Calculation Sheet'!$AA$11))))),IF($AC$4="",TRUE,IF($AC$4="(blank)",'Final Calculation Sheet'!$AB$11="",IF($AC$4="(nonblank)",'Final Calculation Sheet'!$AB$11&lt;&gt;"",ISNUMBER(SEARCH($AC$4,'Final Calculation Sheet'!$AB$11))))),IF($AD$4="",TRUE,IF($AD$4="(blank)",'Final Calculation Sheet'!$AC$11="",IF($AD$4="(nonblank)",'Final Calculation Sheet'!$AC$11&lt;&gt;"",ISNUMBER(SEARCH($AD$4,'Final Calculation Sheet'!$AC$11))))),IF($AE$4="",TRUE,IF($AE$4="(blank)",'Final Calculation Sheet'!$AD$11="",IF($AE$4="(nonblank)",'Final Calculation Sheet'!$AD$11&lt;&gt;"",ISNUMBER(SEARCH($AE$4,'Final Calculation Sheet'!$AD$11))))),IF($AF$4="",TRUE,IF($AF$4="(blank)",'Final Calculation Sheet'!$AE$11="",IF($AF$4="(nonblank)",'Final Calculation Sheet'!$AE$11&lt;&gt;"",ISNUMBER(SEARCH($AF$4,'Final Calculation Sheet'!$AE$11))))),IF($AG$4="",TRUE,IF($AG$4="(blank)",'Final Calculation Sheet'!$AF$11="",IF($AG$4="(nonblank)",'Final Calculation Sheet'!$AF$11&lt;&gt;"",ISNUMBER(SEARCH($AG$4,'Final Calculation Sheet'!$AF$11))))),IF($AH$4="",TRUE,IF($AH$4="(blank)",'Final Calculation Sheet'!$AG$11="",IF($AH$4="(nonblank)",'Final Calculation Sheet'!$AG$11&lt;&gt;"",ISNUMBER(SEARCH($AH$4,'Final Calculation Sheet'!$AG$11))))),IF($AI$4="",TRUE,IF($AI$4="(blank)",IF('Final Calculation Sheet'!$AD$11&lt;=5,"SETTLED","OUTSTANDING")="",IF($AI$4="(nonblank)",IF('Final Calculation Sheet'!$AD$11&lt;=5,"SETTLED","OUTSTANDING")&lt;&gt;"",ISNUMBER(SEARCH($AI$4,IF('Final Calculation Sheet'!$AD$11&lt;=5,"SETTLED","OUTSTANDING")))))))</f>
        <v/>
      </c>
      <c r="AK13">
        <f>IF(AJ13=1,COUNTIF(AJ$6:AJ13,1),"")</f>
        <v/>
      </c>
      <c r="AM13">
        <f>AM12+IF(AND('Lists'!$O$13&lt;&gt;"",ISNUMBER(SEARCH($B$4,'Lists'!$O$13))),1,0)</f>
        <v/>
      </c>
      <c r="AN13">
        <f>IF(ROW()-3&gt;MAX($AM$4:$AM$42),"",INDEX('Lists'!$O$4:$O$42,MATCH(ROW()-3,$AM$4:$AM$42,0)))</f>
        <v/>
      </c>
      <c r="AO13">
        <f>AO12+IF(AND('Lists'!$T$13&lt;&gt;"",ISNUMBER(SEARCH($C$4,'Lists'!$T$13))),1,0)</f>
        <v/>
      </c>
      <c r="AP13">
        <f>IF(ROW()-3&gt;MAX($AO$4:$AO$42),"",INDEX('Lists'!$T$4:$T$42,MATCH(ROW()-3,$AO$4:$AO$42,0)))</f>
        <v/>
      </c>
      <c r="AQ13">
        <f>AQ12+IF(AND('Lists'!$Y$13&lt;&gt;"",ISNUMBER(SEARCH($D$4,'Lists'!$Y$13))),1,0)</f>
        <v/>
      </c>
      <c r="AR13">
        <f>IF(ROW()-3&gt;MAX($AQ$4:$AQ$42),"",INDEX('Lists'!$Y$4:$Y$42,MATCH(ROW()-3,$AQ$4:$AQ$42,0)))</f>
        <v/>
      </c>
      <c r="AS13">
        <f>AS12+IF(AND('Lists'!$AD$13&lt;&gt;"",ISNUMBER(SEARCH($E$4,'Lists'!$AD$13))),1,0)</f>
        <v/>
      </c>
      <c r="AT13">
        <f>IF(ROW()-3&gt;MAX($AS$4:$AS$42),"",INDEX('Lists'!$AD$4:$AD$42,MATCH(ROW()-3,$AS$4:$AS$42,0)))</f>
        <v/>
      </c>
      <c r="AU13">
        <f>AU12+IF(AND('Lists'!$AI$13&lt;&gt;"",ISNUMBER(SEARCH($F$4,'Lists'!$AI$13))),1,0)</f>
        <v/>
      </c>
      <c r="AV13">
        <f>IF(ROW()-3&gt;MAX($AU$4:$AU$42),"",INDEX('Lists'!$AI$4:$AI$42,MATCH(ROW()-3,$AU$4:$AU$42,0)))</f>
        <v/>
      </c>
      <c r="AW13">
        <f>AW12+IF(AND('Lists'!$AN$13&lt;&gt;"",ISNUMBER(SEARCH($G$4,'Lists'!$AN$13))),1,0)</f>
        <v/>
      </c>
      <c r="AX13">
        <f>IF(ROW()-3&gt;MAX($AW$4:$AW$42),"",INDEX('Lists'!$AN$4:$AN$42,MATCH(ROW()-3,$AW$4:$AW$42,0)))</f>
        <v/>
      </c>
      <c r="AY13">
        <f>AY12+IF(AND('Lists'!$AS$13&lt;&gt;"",ISNUMBER(SEARCH($H$4,'Lists'!$AS$13))),1,0)</f>
        <v/>
      </c>
      <c r="AZ13">
        <f>IF(ROW()-3&gt;MAX($AY$4:$AY$42),"",INDEX('Lists'!$AS$4:$AS$42,MATCH(ROW()-3,$AY$4:$AY$42,0)))</f>
        <v/>
      </c>
      <c r="BA13">
        <f>BA12+IF(AND('Lists'!$AX$13&lt;&gt;"",ISNUMBER(SEARCH($I$4,'Lists'!$AX$13))),1,0)</f>
        <v/>
      </c>
      <c r="BB13">
        <f>IF(ROW()-3&gt;MAX($BA$4:$BA$42),"",INDEX('Lists'!$AX$4:$AX$42,MATCH(ROW()-3,$BA$4:$BA$42,0)))</f>
        <v/>
      </c>
      <c r="BC13">
        <f>BC12+IF(AND('Lists'!$BC$13&lt;&gt;"",ISNUMBER(SEARCH($J$4,'Lists'!$BC$13))),1,0)</f>
        <v/>
      </c>
      <c r="BD13">
        <f>IF(ROW()-3&gt;MAX($BC$4:$BC$42),"",INDEX('Lists'!$BC$4:$BC$42,MATCH(ROW()-3,$BC$4:$BC$42,0)))</f>
        <v/>
      </c>
      <c r="BE13">
        <f>BE12+IF(AND('Lists'!$BH$13&lt;&gt;"",ISNUMBER(SEARCH($K$4,'Lists'!$BH$13))),1,0)</f>
        <v/>
      </c>
      <c r="BF13">
        <f>IF(ROW()-3&gt;MAX($BE$4:$BE$42),"",INDEX('Lists'!$BH$4:$BH$42,MATCH(ROW()-3,$BE$4:$BE$42,0)))</f>
        <v/>
      </c>
      <c r="BG13">
        <f>BG12+IF(AND('Lists'!$BM$13&lt;&gt;"",ISNUMBER(SEARCH($L$4,'Lists'!$BM$13))),1,0)</f>
        <v/>
      </c>
      <c r="BH13">
        <f>IF(ROW()-3&gt;MAX($BG$4:$BG$42),"",INDEX('Lists'!$BM$4:$BM$42,MATCH(ROW()-3,$BG$4:$BG$42,0)))</f>
        <v/>
      </c>
      <c r="BI13">
        <f>BI12+IF(AND('Lists'!$BR$13&lt;&gt;"",ISNUMBER(SEARCH($M$4,'Lists'!$BR$13))),1,0)</f>
        <v/>
      </c>
      <c r="BJ13">
        <f>IF(ROW()-3&gt;MAX($BI$4:$BI$42),"",INDEX('Lists'!$BR$4:$BR$42,MATCH(ROW()-3,$BI$4:$BI$42,0)))</f>
        <v/>
      </c>
      <c r="BK13">
        <f>BK12+IF(AND('Lists'!$BW$13&lt;&gt;"",ISNUMBER(SEARCH($N$4,'Lists'!$BW$13))),1,0)</f>
        <v/>
      </c>
      <c r="BL13">
        <f>IF(ROW()-3&gt;MAX($BK$4:$BK$42),"",INDEX('Lists'!$BW$4:$BW$42,MATCH(ROW()-3,$BK$4:$BK$42,0)))</f>
        <v/>
      </c>
      <c r="BM13">
        <f>BM12+IF(AND('Lists'!$CB$13&lt;&gt;"",ISNUMBER(SEARCH($O$4,'Lists'!$CB$13))),1,0)</f>
        <v/>
      </c>
      <c r="BN13">
        <f>IF(ROW()-3&gt;MAX($BM$4:$BM$42),"",INDEX('Lists'!$CB$4:$CB$42,MATCH(ROW()-3,$BM$4:$BM$42,0)))</f>
        <v/>
      </c>
      <c r="BO13">
        <f>BO12+IF(AND('Lists'!$CG$13&lt;&gt;"",ISNUMBER(SEARCH($P$4,'Lists'!$CG$13))),1,0)</f>
        <v/>
      </c>
      <c r="BP13">
        <f>IF(ROW()-3&gt;MAX($BO$4:$BO$42),"",INDEX('Lists'!$CG$4:$CG$42,MATCH(ROW()-3,$BO$4:$BO$42,0)))</f>
        <v/>
      </c>
      <c r="BQ13">
        <f>BQ12+IF(AND('Lists'!$CL$13&lt;&gt;"",ISNUMBER(SEARCH($Q$4,'Lists'!$CL$13))),1,0)</f>
        <v/>
      </c>
      <c r="BR13">
        <f>IF(ROW()-3&gt;MAX($BQ$4:$BQ$42),"",INDEX('Lists'!$CL$4:$CL$42,MATCH(ROW()-3,$BQ$4:$BQ$42,0)))</f>
        <v/>
      </c>
      <c r="BS13">
        <f>BS12+IF(AND('Lists'!$CQ$13&lt;&gt;"",ISNUMBER(SEARCH($R$4,'Lists'!$CQ$13))),1,0)</f>
        <v/>
      </c>
      <c r="BT13">
        <f>IF(ROW()-3&gt;MAX($BS$4:$BS$42),"",INDEX('Lists'!$CQ$4:$CQ$42,MATCH(ROW()-3,$BS$4:$BS$42,0)))</f>
        <v/>
      </c>
      <c r="BU13">
        <f>BU12+IF(AND('Lists'!$CV$13&lt;&gt;"",ISNUMBER(SEARCH($S$4,'Lists'!$CV$13))),1,0)</f>
        <v/>
      </c>
      <c r="BV13">
        <f>IF(ROW()-3&gt;MAX($BU$4:$BU$42),"",INDEX('Lists'!$CV$4:$CV$42,MATCH(ROW()-3,$BU$4:$BU$42,0)))</f>
        <v/>
      </c>
      <c r="BW13">
        <f>BW12+IF(AND('Lists'!$DA$13&lt;&gt;"",ISNUMBER(SEARCH($T$4,'Lists'!$DA$13))),1,0)</f>
        <v/>
      </c>
      <c r="BX13">
        <f>IF(ROW()-3&gt;MAX($BW$4:$BW$42),"",INDEX('Lists'!$DA$4:$DA$42,MATCH(ROW()-3,$BW$4:$BW$42,0)))</f>
        <v/>
      </c>
      <c r="BY13">
        <f>BY12+IF(AND('Lists'!$DF$13&lt;&gt;"",ISNUMBER(SEARCH($U$4,'Lists'!$DF$13))),1,0)</f>
        <v/>
      </c>
      <c r="BZ13">
        <f>IF(ROW()-3&gt;MAX($BY$4:$BY$42),"",INDEX('Lists'!$DF$4:$DF$42,MATCH(ROW()-3,$BY$4:$BY$42,0)))</f>
        <v/>
      </c>
      <c r="CA13">
        <f>CA12+IF(AND('Lists'!$DK$13&lt;&gt;"",ISNUMBER(SEARCH($V$4,'Lists'!$DK$13))),1,0)</f>
        <v/>
      </c>
      <c r="CB13">
        <f>IF(ROW()-3&gt;MAX($CA$4:$CA$42),"",INDEX('Lists'!$DK$4:$DK$42,MATCH(ROW()-3,$CA$4:$CA$42,0)))</f>
        <v/>
      </c>
      <c r="CC13">
        <f>CC12+IF(AND('Lists'!$DP$13&lt;&gt;"",ISNUMBER(SEARCH($W$4,'Lists'!$DP$13))),1,0)</f>
        <v/>
      </c>
      <c r="CD13">
        <f>IF(ROW()-3&gt;MAX($CC$4:$CC$42),"",INDEX('Lists'!$DP$4:$DP$42,MATCH(ROW()-3,$CC$4:$CC$42,0)))</f>
        <v/>
      </c>
      <c r="CE13">
        <f>CE12+IF(AND('Lists'!$DU$13&lt;&gt;"",ISNUMBER(SEARCH($X$4,'Lists'!$DU$13))),1,0)</f>
        <v/>
      </c>
      <c r="CF13">
        <f>IF(ROW()-3&gt;MAX($CE$4:$CE$42),"",INDEX('Lists'!$DU$4:$DU$42,MATCH(ROW()-3,$CE$4:$CE$42,0)))</f>
        <v/>
      </c>
      <c r="CG13">
        <f>CG12+IF(AND('Lists'!$DZ$13&lt;&gt;"",ISNUMBER(SEARCH($Y$4,'Lists'!$DZ$13))),1,0)</f>
        <v/>
      </c>
      <c r="CH13">
        <f>IF(ROW()-3&gt;MAX($CG$4:$CG$42),"",INDEX('Lists'!$DZ$4:$DZ$42,MATCH(ROW()-3,$CG$4:$CG$42,0)))</f>
        <v/>
      </c>
      <c r="CI13">
        <f>CI12+IF(AND('Lists'!$EE$13&lt;&gt;"",ISNUMBER(SEARCH($Z$4,'Lists'!$EE$13))),1,0)</f>
        <v/>
      </c>
      <c r="CJ13">
        <f>IF(ROW()-3&gt;MAX($CI$4:$CI$42),"",INDEX('Lists'!$EE$4:$EE$42,MATCH(ROW()-3,$CI$4:$CI$42,0)))</f>
        <v/>
      </c>
      <c r="CK13">
        <f>CK12+IF(AND('Lists'!$EJ$13&lt;&gt;"",ISNUMBER(SEARCH($AA$4,'Lists'!$EJ$13))),1,0)</f>
        <v/>
      </c>
      <c r="CL13">
        <f>IF(ROW()-3&gt;MAX($CK$4:$CK$42),"",INDEX('Lists'!$EJ$4:$EJ$42,MATCH(ROW()-3,$CK$4:$CK$42,0)))</f>
        <v/>
      </c>
      <c r="CM13">
        <f>CM12+IF(AND('Lists'!$EO$13&lt;&gt;"",ISNUMBER(SEARCH($AB$4,'Lists'!$EO$13))),1,0)</f>
        <v/>
      </c>
      <c r="CN13">
        <f>IF(ROW()-3&gt;MAX($CM$4:$CM$42),"",INDEX('Lists'!$EO$4:$EO$42,MATCH(ROW()-3,$CM$4:$CM$42,0)))</f>
        <v/>
      </c>
      <c r="CO13">
        <f>CO12+IF(AND('Lists'!$ET$13&lt;&gt;"",ISNUMBER(SEARCH($AC$4,'Lists'!$ET$13))),1,0)</f>
        <v/>
      </c>
      <c r="CP13">
        <f>IF(ROW()-3&gt;MAX($CO$4:$CO$42),"",INDEX('Lists'!$ET$4:$ET$42,MATCH(ROW()-3,$CO$4:$CO$42,0)))</f>
        <v/>
      </c>
      <c r="CQ13">
        <f>CQ12+IF(AND('Lists'!$EY$13&lt;&gt;"",ISNUMBER(SEARCH($AD$4,'Lists'!$EY$13))),1,0)</f>
        <v/>
      </c>
      <c r="CR13">
        <f>IF(ROW()-3&gt;MAX($CQ$4:$CQ$42),"",INDEX('Lists'!$EY$4:$EY$42,MATCH(ROW()-3,$CQ$4:$CQ$42,0)))</f>
        <v/>
      </c>
      <c r="CS13">
        <f>CS12+IF(AND('Lists'!$FD$13&lt;&gt;"",ISNUMBER(SEARCH($AE$4,'Lists'!$FD$13))),1,0)</f>
        <v/>
      </c>
      <c r="CT13">
        <f>IF(ROW()-3&gt;MAX($CS$4:$CS$42),"",INDEX('Lists'!$FD$4:$FD$42,MATCH(ROW()-3,$CS$4:$CS$42,0)))</f>
        <v/>
      </c>
      <c r="CU13">
        <f>CU12+IF(AND('Lists'!$FI$13&lt;&gt;"",ISNUMBER(SEARCH($AF$4,'Lists'!$FI$13))),1,0)</f>
        <v/>
      </c>
      <c r="CV13">
        <f>IF(ROW()-3&gt;MAX($CU$4:$CU$42),"",INDEX('Lists'!$FI$4:$FI$42,MATCH(ROW()-3,$CU$4:$CU$42,0)))</f>
        <v/>
      </c>
      <c r="CW13">
        <f>CW12+IF(AND('Lists'!$FN$13&lt;&gt;"",ISNUMBER(SEARCH($AG$4,'Lists'!$FN$13))),1,0)</f>
        <v/>
      </c>
      <c r="CX13">
        <f>IF(ROW()-3&gt;MAX($CW$4:$CW$42),"",INDEX('Lists'!$FN$4:$FN$42,MATCH(ROW()-3,$CW$4:$CW$42,0)))</f>
        <v/>
      </c>
      <c r="CY13">
        <f>CY12+IF(AND('Lists'!$FS$13&lt;&gt;"",ISNUMBER(SEARCH($AH$4,'Lists'!$FS$13))),1,0)</f>
        <v/>
      </c>
      <c r="CZ13">
        <f>IF(ROW()-3&gt;MAX($CY$4:$CY$42),"",INDEX('Lists'!$FS$4:$FS$42,MATCH(ROW()-3,$CY$4:$CY$42,0)))</f>
        <v/>
      </c>
      <c r="DA13">
        <f>DA12+IF(AND('Lists'!$FX$13&lt;&gt;"",ISNUMBER(SEARCH($AI$4,'Lists'!$FX$13))),1,0)</f>
        <v/>
      </c>
      <c r="DB13">
        <f>IF(ROW()-3&gt;MAX($DA$4:$DA$42),"",INDEX('Lists'!$FX$4:$FX$42,MATCH(ROW()-3,$DA$4:$DA$42,0)))</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c r="AJ14">
        <f>AND(IF($B$4="",TRUE,IF($B$4="(blank)",'Final Calculation Sheet'!$F$12="",IF($B$4="(nonblank)",'Final Calculation Sheet'!$F$12&lt;&gt;"",ISNUMBER(SEARCH($B$4,'Final Calculation Sheet'!$F$12))))),IF($C$4="",TRUE,IF($C$4="(blank)",'Final Calculation Sheet'!$G$12="",IF($C$4="(nonblank)",'Final Calculation Sheet'!$G$12&lt;&gt;"",ISNUMBER(SEARCH($C$4,'Final Calculation Sheet'!$G$12))))),IF($D$4="",TRUE,IF($D$4="(blank)",'Final Calculation Sheet'!$B$12="",IF($D$4="(nonblank)",'Final Calculation Sheet'!$B$12&lt;&gt;"",ISNUMBER(SEARCH($D$4,'Final Calculation Sheet'!$B$12))))),IF($E$4="",TRUE,IF($E$4="(blank)",'Final Calculation Sheet'!$D$12="",IF($E$4="(nonblank)",'Final Calculation Sheet'!$D$12&lt;&gt;"",ISNUMBER(SEARCH($E$4,'Final Calculation Sheet'!$D$12))))),IF($F$4="",TRUE,IF($F$4="(blank)",'Final Calculation Sheet'!$A$12="",IF($F$4="(nonblank)",'Final Calculation Sheet'!$A$12&lt;&gt;"",ISNUMBER(SEARCH($F$4,'Final Calculation Sheet'!$A$12))))),IF($G$4="",TRUE,IF($G$4="(blank)",'Final Calculation Sheet'!$E$12="",IF($G$4="(nonblank)",'Final Calculation Sheet'!$E$12&lt;&gt;"",ISNUMBER(SEARCH($G$4,'Final Calculation Sheet'!$E$12))))),IF($H$4="",TRUE,IF($H$4="(blank)",'Final Calculation Sheet'!$C$12="",IF($H$4="(nonblank)",'Final Calculation Sheet'!$C$12&lt;&gt;"",ISNUMBER(SEARCH($H$4,'Final Calculation Sheet'!$C$12))))),IF($I$4="",TRUE,IF($I$4="(blank)",'Final Calculation Sheet'!$H$12="",IF($I$4="(nonblank)",'Final Calculation Sheet'!$H$12&lt;&gt;"",ISNUMBER(SEARCH($I$4,'Final Calculation Sheet'!$H$12))))),IF($J$4="",TRUE,IF($J$4="(blank)",'Final Calculation Sheet'!$I$12="",IF($J$4="(nonblank)",'Final Calculation Sheet'!$I$12&lt;&gt;"",ISNUMBER(SEARCH($J$4,'Final Calculation Sheet'!$I$12))))),IF($K$4="",TRUE,IF($K$4="(blank)",'Final Calculation Sheet'!$J$12="",IF($K$4="(nonblank)",'Final Calculation Sheet'!$J$12&lt;&gt;"",ISNUMBER(SEARCH($K$4,'Final Calculation Sheet'!$J$12))))),IF($L$4="",TRUE,IF($L$4="(blank)",'Final Calculation Sheet'!$K$12="",IF($L$4="(nonblank)",'Final Calculation Sheet'!$K$12&lt;&gt;"",ISNUMBER(SEARCH($L$4,'Final Calculation Sheet'!$K$12))))),IF($M$4="",TRUE,IF($M$4="(blank)",'Final Calculation Sheet'!$L$12="",IF($M$4="(nonblank)",'Final Calculation Sheet'!$L$12&lt;&gt;"",ISNUMBER(SEARCH($M$4,'Final Calculation Sheet'!$L$12))))),IF($N$4="",TRUE,IF($N$4="(blank)",'Final Calculation Sheet'!$M$12="",IF($N$4="(nonblank)",'Final Calculation Sheet'!$M$12&lt;&gt;"",ISNUMBER(SEARCH($N$4,'Final Calculation Sheet'!$M$12))))),IF($O$4="",TRUE,IF($O$4="(blank)",'Final Calculation Sheet'!$N$12="",IF($O$4="(nonblank)",'Final Calculation Sheet'!$N$12&lt;&gt;"",ISNUMBER(SEARCH($O$4,'Final Calculation Sheet'!$N$12))))),IF($P$4="",TRUE,IF($P$4="(blank)",'Final Calculation Sheet'!$O$12="",IF($P$4="(nonblank)",'Final Calculation Sheet'!$O$12&lt;&gt;"",ISNUMBER(SEARCH($P$4,'Final Calculation Sheet'!$O$12))))),IF($Q$4="",TRUE,IF($Q$4="(blank)",'Final Calculation Sheet'!$P$12="",IF($Q$4="(nonblank)",'Final Calculation Sheet'!$P$12&lt;&gt;"",ISNUMBER(SEARCH($Q$4,'Final Calculation Sheet'!$P$12))))),IF($R$4="",TRUE,IF($R$4="(blank)",'Final Calculation Sheet'!$Q$12="",IF($R$4="(nonblank)",'Final Calculation Sheet'!$Q$12&lt;&gt;"",ISNUMBER(SEARCH($R$4,'Final Calculation Sheet'!$Q$12))))),IF($S$4="",TRUE,IF($S$4="(blank)",'Final Calculation Sheet'!$R$12="",IF($S$4="(nonblank)",'Final Calculation Sheet'!$R$12&lt;&gt;"",ISNUMBER(SEARCH($S$4,'Final Calculation Sheet'!$R$12))))),IF($T$4="",TRUE,IF($T$4="(blank)",'Final Calculation Sheet'!$S$12="",IF($T$4="(nonblank)",'Final Calculation Sheet'!$S$12&lt;&gt;"",ISNUMBER(SEARCH($T$4,'Final Calculation Sheet'!$S$12))))),IF($U$4="",TRUE,IF($U$4="(blank)",'Final Calculation Sheet'!$T$12="",IF($U$4="(nonblank)",'Final Calculation Sheet'!$T$12&lt;&gt;"",ISNUMBER(SEARCH($U$4,'Final Calculation Sheet'!$T$12))))),IF($V$4="",TRUE,IF($V$4="(blank)",'Final Calculation Sheet'!$U$12="",IF($V$4="(nonblank)",'Final Calculation Sheet'!$U$12&lt;&gt;"",ISNUMBER(SEARCH($V$4,'Final Calculation Sheet'!$U$12))))),IF($W$4="",TRUE,IF($W$4="(blank)",'Final Calculation Sheet'!$V$12="",IF($W$4="(nonblank)",'Final Calculation Sheet'!$V$12&lt;&gt;"",ISNUMBER(SEARCH($W$4,'Final Calculation Sheet'!$V$12))))),IF($X$4="",TRUE,IF($X$4="(blank)",'Final Calculation Sheet'!$W$12="",IF($X$4="(nonblank)",'Final Calculation Sheet'!$W$12&lt;&gt;"",ISNUMBER(SEARCH($X$4,'Final Calculation Sheet'!$W$12))))),IF($Y$4="",TRUE,IF($Y$4="(blank)",'Final Calculation Sheet'!$X$12="",IF($Y$4="(nonblank)",'Final Calculation Sheet'!$X$12&lt;&gt;"",ISNUMBER(SEARCH($Y$4,'Final Calculation Sheet'!$X$12))))),IF($Z$4="",TRUE,IF($Z$4="(blank)",'Final Calculation Sheet'!$Y$12="",IF($Z$4="(nonblank)",'Final Calculation Sheet'!$Y$12&lt;&gt;"",ISNUMBER(SEARCH($Z$4,'Final Calculation Sheet'!$Y$12))))),IF($AA$4="",TRUE,IF($AA$4="(blank)",'Final Calculation Sheet'!$Z$12="",IF($AA$4="(nonblank)",'Final Calculation Sheet'!$Z$12&lt;&gt;"",ISNUMBER(SEARCH($AA$4,'Final Calculation Sheet'!$Z$12))))),IF($AB$4="",TRUE,IF($AB$4="(blank)",'Final Calculation Sheet'!$AA$12="",IF($AB$4="(nonblank)",'Final Calculation Sheet'!$AA$12&lt;&gt;"",ISNUMBER(SEARCH($AB$4,'Final Calculation Sheet'!$AA$12))))),IF($AC$4="",TRUE,IF($AC$4="(blank)",'Final Calculation Sheet'!$AB$12="",IF($AC$4="(nonblank)",'Final Calculation Sheet'!$AB$12&lt;&gt;"",ISNUMBER(SEARCH($AC$4,'Final Calculation Sheet'!$AB$12))))),IF($AD$4="",TRUE,IF($AD$4="(blank)",'Final Calculation Sheet'!$AC$12="",IF($AD$4="(nonblank)",'Final Calculation Sheet'!$AC$12&lt;&gt;"",ISNUMBER(SEARCH($AD$4,'Final Calculation Sheet'!$AC$12))))),IF($AE$4="",TRUE,IF($AE$4="(blank)",'Final Calculation Sheet'!$AD$12="",IF($AE$4="(nonblank)",'Final Calculation Sheet'!$AD$12&lt;&gt;"",ISNUMBER(SEARCH($AE$4,'Final Calculation Sheet'!$AD$12))))),IF($AF$4="",TRUE,IF($AF$4="(blank)",'Final Calculation Sheet'!$AE$12="",IF($AF$4="(nonblank)",'Final Calculation Sheet'!$AE$12&lt;&gt;"",ISNUMBER(SEARCH($AF$4,'Final Calculation Sheet'!$AE$12))))),IF($AG$4="",TRUE,IF($AG$4="(blank)",'Final Calculation Sheet'!$AF$12="",IF($AG$4="(nonblank)",'Final Calculation Sheet'!$AF$12&lt;&gt;"",ISNUMBER(SEARCH($AG$4,'Final Calculation Sheet'!$AF$12))))),IF($AH$4="",TRUE,IF($AH$4="(blank)",'Final Calculation Sheet'!$AG$12="",IF($AH$4="(nonblank)",'Final Calculation Sheet'!$AG$12&lt;&gt;"",ISNUMBER(SEARCH($AH$4,'Final Calculation Sheet'!$AG$12))))),IF($AI$4="",TRUE,IF($AI$4="(blank)",IF('Final Calculation Sheet'!$AD$12&lt;=5,"SETTLED","OUTSTANDING")="",IF($AI$4="(nonblank)",IF('Final Calculation Sheet'!$AD$12&lt;=5,"SETTLED","OUTSTANDING")&lt;&gt;"",ISNUMBER(SEARCH($AI$4,IF('Final Calculation Sheet'!$AD$12&lt;=5,"SETTLED","OUTSTANDING")))))))</f>
        <v/>
      </c>
      <c r="AK14">
        <f>IF(AJ14=1,COUNTIF(AJ$6:AJ14,1),"")</f>
        <v/>
      </c>
      <c r="AM14">
        <f>AM13+IF(AND('Lists'!$O$14&lt;&gt;"",ISNUMBER(SEARCH($B$4,'Lists'!$O$14))),1,0)</f>
        <v/>
      </c>
      <c r="AN14">
        <f>IF(ROW()-3&gt;MAX($AM$4:$AM$42),"",INDEX('Lists'!$O$4:$O$42,MATCH(ROW()-3,$AM$4:$AM$42,0)))</f>
        <v/>
      </c>
      <c r="AO14">
        <f>AO13+IF(AND('Lists'!$T$14&lt;&gt;"",ISNUMBER(SEARCH($C$4,'Lists'!$T$14))),1,0)</f>
        <v/>
      </c>
      <c r="AP14">
        <f>IF(ROW()-3&gt;MAX($AO$4:$AO$42),"",INDEX('Lists'!$T$4:$T$42,MATCH(ROW()-3,$AO$4:$AO$42,0)))</f>
        <v/>
      </c>
      <c r="AQ14">
        <f>AQ13+IF(AND('Lists'!$Y$14&lt;&gt;"",ISNUMBER(SEARCH($D$4,'Lists'!$Y$14))),1,0)</f>
        <v/>
      </c>
      <c r="AR14">
        <f>IF(ROW()-3&gt;MAX($AQ$4:$AQ$42),"",INDEX('Lists'!$Y$4:$Y$42,MATCH(ROW()-3,$AQ$4:$AQ$42,0)))</f>
        <v/>
      </c>
      <c r="AS14">
        <f>AS13+IF(AND('Lists'!$AD$14&lt;&gt;"",ISNUMBER(SEARCH($E$4,'Lists'!$AD$14))),1,0)</f>
        <v/>
      </c>
      <c r="AT14">
        <f>IF(ROW()-3&gt;MAX($AS$4:$AS$42),"",INDEX('Lists'!$AD$4:$AD$42,MATCH(ROW()-3,$AS$4:$AS$42,0)))</f>
        <v/>
      </c>
      <c r="AU14">
        <f>AU13+IF(AND('Lists'!$AI$14&lt;&gt;"",ISNUMBER(SEARCH($F$4,'Lists'!$AI$14))),1,0)</f>
        <v/>
      </c>
      <c r="AV14">
        <f>IF(ROW()-3&gt;MAX($AU$4:$AU$42),"",INDEX('Lists'!$AI$4:$AI$42,MATCH(ROW()-3,$AU$4:$AU$42,0)))</f>
        <v/>
      </c>
      <c r="AW14">
        <f>AW13+IF(AND('Lists'!$AN$14&lt;&gt;"",ISNUMBER(SEARCH($G$4,'Lists'!$AN$14))),1,0)</f>
        <v/>
      </c>
      <c r="AX14">
        <f>IF(ROW()-3&gt;MAX($AW$4:$AW$42),"",INDEX('Lists'!$AN$4:$AN$42,MATCH(ROW()-3,$AW$4:$AW$42,0)))</f>
        <v/>
      </c>
      <c r="AY14">
        <f>AY13+IF(AND('Lists'!$AS$14&lt;&gt;"",ISNUMBER(SEARCH($H$4,'Lists'!$AS$14))),1,0)</f>
        <v/>
      </c>
      <c r="AZ14">
        <f>IF(ROW()-3&gt;MAX($AY$4:$AY$42),"",INDEX('Lists'!$AS$4:$AS$42,MATCH(ROW()-3,$AY$4:$AY$42,0)))</f>
        <v/>
      </c>
      <c r="BA14">
        <f>BA13+IF(AND('Lists'!$AX$14&lt;&gt;"",ISNUMBER(SEARCH($I$4,'Lists'!$AX$14))),1,0)</f>
        <v/>
      </c>
      <c r="BB14">
        <f>IF(ROW()-3&gt;MAX($BA$4:$BA$42),"",INDEX('Lists'!$AX$4:$AX$42,MATCH(ROW()-3,$BA$4:$BA$42,0)))</f>
        <v/>
      </c>
      <c r="BC14">
        <f>BC13+IF(AND('Lists'!$BC$14&lt;&gt;"",ISNUMBER(SEARCH($J$4,'Lists'!$BC$14))),1,0)</f>
        <v/>
      </c>
      <c r="BD14">
        <f>IF(ROW()-3&gt;MAX($BC$4:$BC$42),"",INDEX('Lists'!$BC$4:$BC$42,MATCH(ROW()-3,$BC$4:$BC$42,0)))</f>
        <v/>
      </c>
      <c r="BE14">
        <f>BE13+IF(AND('Lists'!$BH$14&lt;&gt;"",ISNUMBER(SEARCH($K$4,'Lists'!$BH$14))),1,0)</f>
        <v/>
      </c>
      <c r="BF14">
        <f>IF(ROW()-3&gt;MAX($BE$4:$BE$42),"",INDEX('Lists'!$BH$4:$BH$42,MATCH(ROW()-3,$BE$4:$BE$42,0)))</f>
        <v/>
      </c>
      <c r="BG14">
        <f>BG13+IF(AND('Lists'!$BM$14&lt;&gt;"",ISNUMBER(SEARCH($L$4,'Lists'!$BM$14))),1,0)</f>
        <v/>
      </c>
      <c r="BH14">
        <f>IF(ROW()-3&gt;MAX($BG$4:$BG$42),"",INDEX('Lists'!$BM$4:$BM$42,MATCH(ROW()-3,$BG$4:$BG$42,0)))</f>
        <v/>
      </c>
      <c r="BI14">
        <f>BI13+IF(AND('Lists'!$BR$14&lt;&gt;"",ISNUMBER(SEARCH($M$4,'Lists'!$BR$14))),1,0)</f>
        <v/>
      </c>
      <c r="BJ14">
        <f>IF(ROW()-3&gt;MAX($BI$4:$BI$42),"",INDEX('Lists'!$BR$4:$BR$42,MATCH(ROW()-3,$BI$4:$BI$42,0)))</f>
        <v/>
      </c>
      <c r="BK14">
        <f>BK13+IF(AND('Lists'!$BW$14&lt;&gt;"",ISNUMBER(SEARCH($N$4,'Lists'!$BW$14))),1,0)</f>
        <v/>
      </c>
      <c r="BL14">
        <f>IF(ROW()-3&gt;MAX($BK$4:$BK$42),"",INDEX('Lists'!$BW$4:$BW$42,MATCH(ROW()-3,$BK$4:$BK$42,0)))</f>
        <v/>
      </c>
      <c r="BM14">
        <f>BM13+IF(AND('Lists'!$CB$14&lt;&gt;"",ISNUMBER(SEARCH($O$4,'Lists'!$CB$14))),1,0)</f>
        <v/>
      </c>
      <c r="BN14">
        <f>IF(ROW()-3&gt;MAX($BM$4:$BM$42),"",INDEX('Lists'!$CB$4:$CB$42,MATCH(ROW()-3,$BM$4:$BM$42,0)))</f>
        <v/>
      </c>
      <c r="BO14">
        <f>BO13+IF(AND('Lists'!$CG$14&lt;&gt;"",ISNUMBER(SEARCH($P$4,'Lists'!$CG$14))),1,0)</f>
        <v/>
      </c>
      <c r="BP14">
        <f>IF(ROW()-3&gt;MAX($BO$4:$BO$42),"",INDEX('Lists'!$CG$4:$CG$42,MATCH(ROW()-3,$BO$4:$BO$42,0)))</f>
        <v/>
      </c>
      <c r="BQ14">
        <f>BQ13+IF(AND('Lists'!$CL$14&lt;&gt;"",ISNUMBER(SEARCH($Q$4,'Lists'!$CL$14))),1,0)</f>
        <v/>
      </c>
      <c r="BR14">
        <f>IF(ROW()-3&gt;MAX($BQ$4:$BQ$42),"",INDEX('Lists'!$CL$4:$CL$42,MATCH(ROW()-3,$BQ$4:$BQ$42,0)))</f>
        <v/>
      </c>
      <c r="BS14">
        <f>BS13+IF(AND('Lists'!$CQ$14&lt;&gt;"",ISNUMBER(SEARCH($R$4,'Lists'!$CQ$14))),1,0)</f>
        <v/>
      </c>
      <c r="BT14">
        <f>IF(ROW()-3&gt;MAX($BS$4:$BS$42),"",INDEX('Lists'!$CQ$4:$CQ$42,MATCH(ROW()-3,$BS$4:$BS$42,0)))</f>
        <v/>
      </c>
      <c r="BU14">
        <f>BU13+IF(AND('Lists'!$CV$14&lt;&gt;"",ISNUMBER(SEARCH($S$4,'Lists'!$CV$14))),1,0)</f>
        <v/>
      </c>
      <c r="BV14">
        <f>IF(ROW()-3&gt;MAX($BU$4:$BU$42),"",INDEX('Lists'!$CV$4:$CV$42,MATCH(ROW()-3,$BU$4:$BU$42,0)))</f>
        <v/>
      </c>
      <c r="BW14">
        <f>BW13+IF(AND('Lists'!$DA$14&lt;&gt;"",ISNUMBER(SEARCH($T$4,'Lists'!$DA$14))),1,0)</f>
        <v/>
      </c>
      <c r="BX14">
        <f>IF(ROW()-3&gt;MAX($BW$4:$BW$42),"",INDEX('Lists'!$DA$4:$DA$42,MATCH(ROW()-3,$BW$4:$BW$42,0)))</f>
        <v/>
      </c>
      <c r="BY14">
        <f>BY13+IF(AND('Lists'!$DF$14&lt;&gt;"",ISNUMBER(SEARCH($U$4,'Lists'!$DF$14))),1,0)</f>
        <v/>
      </c>
      <c r="BZ14">
        <f>IF(ROW()-3&gt;MAX($BY$4:$BY$42),"",INDEX('Lists'!$DF$4:$DF$42,MATCH(ROW()-3,$BY$4:$BY$42,0)))</f>
        <v/>
      </c>
      <c r="CA14">
        <f>CA13+IF(AND('Lists'!$DK$14&lt;&gt;"",ISNUMBER(SEARCH($V$4,'Lists'!$DK$14))),1,0)</f>
        <v/>
      </c>
      <c r="CB14">
        <f>IF(ROW()-3&gt;MAX($CA$4:$CA$42),"",INDEX('Lists'!$DK$4:$DK$42,MATCH(ROW()-3,$CA$4:$CA$42,0)))</f>
        <v/>
      </c>
      <c r="CC14">
        <f>CC13+IF(AND('Lists'!$DP$14&lt;&gt;"",ISNUMBER(SEARCH($W$4,'Lists'!$DP$14))),1,0)</f>
        <v/>
      </c>
      <c r="CD14">
        <f>IF(ROW()-3&gt;MAX($CC$4:$CC$42),"",INDEX('Lists'!$DP$4:$DP$42,MATCH(ROW()-3,$CC$4:$CC$42,0)))</f>
        <v/>
      </c>
      <c r="CE14">
        <f>CE13+IF(AND('Lists'!$DU$14&lt;&gt;"",ISNUMBER(SEARCH($X$4,'Lists'!$DU$14))),1,0)</f>
        <v/>
      </c>
      <c r="CF14">
        <f>IF(ROW()-3&gt;MAX($CE$4:$CE$42),"",INDEX('Lists'!$DU$4:$DU$42,MATCH(ROW()-3,$CE$4:$CE$42,0)))</f>
        <v/>
      </c>
      <c r="CG14">
        <f>CG13+IF(AND('Lists'!$DZ$14&lt;&gt;"",ISNUMBER(SEARCH($Y$4,'Lists'!$DZ$14))),1,0)</f>
        <v/>
      </c>
      <c r="CH14">
        <f>IF(ROW()-3&gt;MAX($CG$4:$CG$42),"",INDEX('Lists'!$DZ$4:$DZ$42,MATCH(ROW()-3,$CG$4:$CG$42,0)))</f>
        <v/>
      </c>
      <c r="CI14">
        <f>CI13+IF(AND('Lists'!$EE$14&lt;&gt;"",ISNUMBER(SEARCH($Z$4,'Lists'!$EE$14))),1,0)</f>
        <v/>
      </c>
      <c r="CJ14">
        <f>IF(ROW()-3&gt;MAX($CI$4:$CI$42),"",INDEX('Lists'!$EE$4:$EE$42,MATCH(ROW()-3,$CI$4:$CI$42,0)))</f>
        <v/>
      </c>
      <c r="CK14">
        <f>CK13+IF(AND('Lists'!$EJ$14&lt;&gt;"",ISNUMBER(SEARCH($AA$4,'Lists'!$EJ$14))),1,0)</f>
        <v/>
      </c>
      <c r="CL14">
        <f>IF(ROW()-3&gt;MAX($CK$4:$CK$42),"",INDEX('Lists'!$EJ$4:$EJ$42,MATCH(ROW()-3,$CK$4:$CK$42,0)))</f>
        <v/>
      </c>
      <c r="CM14">
        <f>CM13+IF(AND('Lists'!$EO$14&lt;&gt;"",ISNUMBER(SEARCH($AB$4,'Lists'!$EO$14))),1,0)</f>
        <v/>
      </c>
      <c r="CN14">
        <f>IF(ROW()-3&gt;MAX($CM$4:$CM$42),"",INDEX('Lists'!$EO$4:$EO$42,MATCH(ROW()-3,$CM$4:$CM$42,0)))</f>
        <v/>
      </c>
      <c r="CO14">
        <f>CO13+IF(AND('Lists'!$ET$14&lt;&gt;"",ISNUMBER(SEARCH($AC$4,'Lists'!$ET$14))),1,0)</f>
        <v/>
      </c>
      <c r="CP14">
        <f>IF(ROW()-3&gt;MAX($CO$4:$CO$42),"",INDEX('Lists'!$ET$4:$ET$42,MATCH(ROW()-3,$CO$4:$CO$42,0)))</f>
        <v/>
      </c>
      <c r="CQ14">
        <f>CQ13+IF(AND('Lists'!$EY$14&lt;&gt;"",ISNUMBER(SEARCH($AD$4,'Lists'!$EY$14))),1,0)</f>
        <v/>
      </c>
      <c r="CR14">
        <f>IF(ROW()-3&gt;MAX($CQ$4:$CQ$42),"",INDEX('Lists'!$EY$4:$EY$42,MATCH(ROW()-3,$CQ$4:$CQ$42,0)))</f>
        <v/>
      </c>
      <c r="CS14">
        <f>CS13+IF(AND('Lists'!$FD$14&lt;&gt;"",ISNUMBER(SEARCH($AE$4,'Lists'!$FD$14))),1,0)</f>
        <v/>
      </c>
      <c r="CT14">
        <f>IF(ROW()-3&gt;MAX($CS$4:$CS$42),"",INDEX('Lists'!$FD$4:$FD$42,MATCH(ROW()-3,$CS$4:$CS$42,0)))</f>
        <v/>
      </c>
      <c r="CU14">
        <f>CU13+IF(AND('Lists'!$FI$14&lt;&gt;"",ISNUMBER(SEARCH($AF$4,'Lists'!$FI$14))),1,0)</f>
        <v/>
      </c>
      <c r="CV14">
        <f>IF(ROW()-3&gt;MAX($CU$4:$CU$42),"",INDEX('Lists'!$FI$4:$FI$42,MATCH(ROW()-3,$CU$4:$CU$42,0)))</f>
        <v/>
      </c>
      <c r="CW14">
        <f>CW13+IF(AND('Lists'!$FN$14&lt;&gt;"",ISNUMBER(SEARCH($AG$4,'Lists'!$FN$14))),1,0)</f>
        <v/>
      </c>
      <c r="CX14">
        <f>IF(ROW()-3&gt;MAX($CW$4:$CW$42),"",INDEX('Lists'!$FN$4:$FN$42,MATCH(ROW()-3,$CW$4:$CW$42,0)))</f>
        <v/>
      </c>
      <c r="CY14">
        <f>CY13+IF(AND('Lists'!$FS$14&lt;&gt;"",ISNUMBER(SEARCH($AH$4,'Lists'!$FS$14))),1,0)</f>
        <v/>
      </c>
      <c r="CZ14">
        <f>IF(ROW()-3&gt;MAX($CY$4:$CY$42),"",INDEX('Lists'!$FS$4:$FS$42,MATCH(ROW()-3,$CY$4:$CY$42,0)))</f>
        <v/>
      </c>
      <c r="DA14">
        <f>DA13+IF(AND('Lists'!$FX$14&lt;&gt;"",ISNUMBER(SEARCH($AI$4,'Lists'!$FX$14))),1,0)</f>
        <v/>
      </c>
      <c r="DB14">
        <f>IF(ROW()-3&gt;MAX($DA$4:$DA$42),"",INDEX('Lists'!$FX$4:$FX$42,MATCH(ROW()-3,$DA$4:$DA$42,0)))</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c r="AJ15">
        <f>AND(IF($B$4="",TRUE,IF($B$4="(blank)",'Final Calculation Sheet'!$F$13="",IF($B$4="(nonblank)",'Final Calculation Sheet'!$F$13&lt;&gt;"",ISNUMBER(SEARCH($B$4,'Final Calculation Sheet'!$F$13))))),IF($C$4="",TRUE,IF($C$4="(blank)",'Final Calculation Sheet'!$G$13="",IF($C$4="(nonblank)",'Final Calculation Sheet'!$G$13&lt;&gt;"",ISNUMBER(SEARCH($C$4,'Final Calculation Sheet'!$G$13))))),IF($D$4="",TRUE,IF($D$4="(blank)",'Final Calculation Sheet'!$B$13="",IF($D$4="(nonblank)",'Final Calculation Sheet'!$B$13&lt;&gt;"",ISNUMBER(SEARCH($D$4,'Final Calculation Sheet'!$B$13))))),IF($E$4="",TRUE,IF($E$4="(blank)",'Final Calculation Sheet'!$D$13="",IF($E$4="(nonblank)",'Final Calculation Sheet'!$D$13&lt;&gt;"",ISNUMBER(SEARCH($E$4,'Final Calculation Sheet'!$D$13))))),IF($F$4="",TRUE,IF($F$4="(blank)",'Final Calculation Sheet'!$A$13="",IF($F$4="(nonblank)",'Final Calculation Sheet'!$A$13&lt;&gt;"",ISNUMBER(SEARCH($F$4,'Final Calculation Sheet'!$A$13))))),IF($G$4="",TRUE,IF($G$4="(blank)",'Final Calculation Sheet'!$E$13="",IF($G$4="(nonblank)",'Final Calculation Sheet'!$E$13&lt;&gt;"",ISNUMBER(SEARCH($G$4,'Final Calculation Sheet'!$E$13))))),IF($H$4="",TRUE,IF($H$4="(blank)",'Final Calculation Sheet'!$C$13="",IF($H$4="(nonblank)",'Final Calculation Sheet'!$C$13&lt;&gt;"",ISNUMBER(SEARCH($H$4,'Final Calculation Sheet'!$C$13))))),IF($I$4="",TRUE,IF($I$4="(blank)",'Final Calculation Sheet'!$H$13="",IF($I$4="(nonblank)",'Final Calculation Sheet'!$H$13&lt;&gt;"",ISNUMBER(SEARCH($I$4,'Final Calculation Sheet'!$H$13))))),IF($J$4="",TRUE,IF($J$4="(blank)",'Final Calculation Sheet'!$I$13="",IF($J$4="(nonblank)",'Final Calculation Sheet'!$I$13&lt;&gt;"",ISNUMBER(SEARCH($J$4,'Final Calculation Sheet'!$I$13))))),IF($K$4="",TRUE,IF($K$4="(blank)",'Final Calculation Sheet'!$J$13="",IF($K$4="(nonblank)",'Final Calculation Sheet'!$J$13&lt;&gt;"",ISNUMBER(SEARCH($K$4,'Final Calculation Sheet'!$J$13))))),IF($L$4="",TRUE,IF($L$4="(blank)",'Final Calculation Sheet'!$K$13="",IF($L$4="(nonblank)",'Final Calculation Sheet'!$K$13&lt;&gt;"",ISNUMBER(SEARCH($L$4,'Final Calculation Sheet'!$K$13))))),IF($M$4="",TRUE,IF($M$4="(blank)",'Final Calculation Sheet'!$L$13="",IF($M$4="(nonblank)",'Final Calculation Sheet'!$L$13&lt;&gt;"",ISNUMBER(SEARCH($M$4,'Final Calculation Sheet'!$L$13))))),IF($N$4="",TRUE,IF($N$4="(blank)",'Final Calculation Sheet'!$M$13="",IF($N$4="(nonblank)",'Final Calculation Sheet'!$M$13&lt;&gt;"",ISNUMBER(SEARCH($N$4,'Final Calculation Sheet'!$M$13))))),IF($O$4="",TRUE,IF($O$4="(blank)",'Final Calculation Sheet'!$N$13="",IF($O$4="(nonblank)",'Final Calculation Sheet'!$N$13&lt;&gt;"",ISNUMBER(SEARCH($O$4,'Final Calculation Sheet'!$N$13))))),IF($P$4="",TRUE,IF($P$4="(blank)",'Final Calculation Sheet'!$O$13="",IF($P$4="(nonblank)",'Final Calculation Sheet'!$O$13&lt;&gt;"",ISNUMBER(SEARCH($P$4,'Final Calculation Sheet'!$O$13))))),IF($Q$4="",TRUE,IF($Q$4="(blank)",'Final Calculation Sheet'!$P$13="",IF($Q$4="(nonblank)",'Final Calculation Sheet'!$P$13&lt;&gt;"",ISNUMBER(SEARCH($Q$4,'Final Calculation Sheet'!$P$13))))),IF($R$4="",TRUE,IF($R$4="(blank)",'Final Calculation Sheet'!$Q$13="",IF($R$4="(nonblank)",'Final Calculation Sheet'!$Q$13&lt;&gt;"",ISNUMBER(SEARCH($R$4,'Final Calculation Sheet'!$Q$13))))),IF($S$4="",TRUE,IF($S$4="(blank)",'Final Calculation Sheet'!$R$13="",IF($S$4="(nonblank)",'Final Calculation Sheet'!$R$13&lt;&gt;"",ISNUMBER(SEARCH($S$4,'Final Calculation Sheet'!$R$13))))),IF($T$4="",TRUE,IF($T$4="(blank)",'Final Calculation Sheet'!$S$13="",IF($T$4="(nonblank)",'Final Calculation Sheet'!$S$13&lt;&gt;"",ISNUMBER(SEARCH($T$4,'Final Calculation Sheet'!$S$13))))),IF($U$4="",TRUE,IF($U$4="(blank)",'Final Calculation Sheet'!$T$13="",IF($U$4="(nonblank)",'Final Calculation Sheet'!$T$13&lt;&gt;"",ISNUMBER(SEARCH($U$4,'Final Calculation Sheet'!$T$13))))),IF($V$4="",TRUE,IF($V$4="(blank)",'Final Calculation Sheet'!$U$13="",IF($V$4="(nonblank)",'Final Calculation Sheet'!$U$13&lt;&gt;"",ISNUMBER(SEARCH($V$4,'Final Calculation Sheet'!$U$13))))),IF($W$4="",TRUE,IF($W$4="(blank)",'Final Calculation Sheet'!$V$13="",IF($W$4="(nonblank)",'Final Calculation Sheet'!$V$13&lt;&gt;"",ISNUMBER(SEARCH($W$4,'Final Calculation Sheet'!$V$13))))),IF($X$4="",TRUE,IF($X$4="(blank)",'Final Calculation Sheet'!$W$13="",IF($X$4="(nonblank)",'Final Calculation Sheet'!$W$13&lt;&gt;"",ISNUMBER(SEARCH($X$4,'Final Calculation Sheet'!$W$13))))),IF($Y$4="",TRUE,IF($Y$4="(blank)",'Final Calculation Sheet'!$X$13="",IF($Y$4="(nonblank)",'Final Calculation Sheet'!$X$13&lt;&gt;"",ISNUMBER(SEARCH($Y$4,'Final Calculation Sheet'!$X$13))))),IF($Z$4="",TRUE,IF($Z$4="(blank)",'Final Calculation Sheet'!$Y$13="",IF($Z$4="(nonblank)",'Final Calculation Sheet'!$Y$13&lt;&gt;"",ISNUMBER(SEARCH($Z$4,'Final Calculation Sheet'!$Y$13))))),IF($AA$4="",TRUE,IF($AA$4="(blank)",'Final Calculation Sheet'!$Z$13="",IF($AA$4="(nonblank)",'Final Calculation Sheet'!$Z$13&lt;&gt;"",ISNUMBER(SEARCH($AA$4,'Final Calculation Sheet'!$Z$13))))),IF($AB$4="",TRUE,IF($AB$4="(blank)",'Final Calculation Sheet'!$AA$13="",IF($AB$4="(nonblank)",'Final Calculation Sheet'!$AA$13&lt;&gt;"",ISNUMBER(SEARCH($AB$4,'Final Calculation Sheet'!$AA$13))))),IF($AC$4="",TRUE,IF($AC$4="(blank)",'Final Calculation Sheet'!$AB$13="",IF($AC$4="(nonblank)",'Final Calculation Sheet'!$AB$13&lt;&gt;"",ISNUMBER(SEARCH($AC$4,'Final Calculation Sheet'!$AB$13))))),IF($AD$4="",TRUE,IF($AD$4="(blank)",'Final Calculation Sheet'!$AC$13="",IF($AD$4="(nonblank)",'Final Calculation Sheet'!$AC$13&lt;&gt;"",ISNUMBER(SEARCH($AD$4,'Final Calculation Sheet'!$AC$13))))),IF($AE$4="",TRUE,IF($AE$4="(blank)",'Final Calculation Sheet'!$AD$13="",IF($AE$4="(nonblank)",'Final Calculation Sheet'!$AD$13&lt;&gt;"",ISNUMBER(SEARCH($AE$4,'Final Calculation Sheet'!$AD$13))))),IF($AF$4="",TRUE,IF($AF$4="(blank)",'Final Calculation Sheet'!$AE$13="",IF($AF$4="(nonblank)",'Final Calculation Sheet'!$AE$13&lt;&gt;"",ISNUMBER(SEARCH($AF$4,'Final Calculation Sheet'!$AE$13))))),IF($AG$4="",TRUE,IF($AG$4="(blank)",'Final Calculation Sheet'!$AF$13="",IF($AG$4="(nonblank)",'Final Calculation Sheet'!$AF$13&lt;&gt;"",ISNUMBER(SEARCH($AG$4,'Final Calculation Sheet'!$AF$13))))),IF($AH$4="",TRUE,IF($AH$4="(blank)",'Final Calculation Sheet'!$AG$13="",IF($AH$4="(nonblank)",'Final Calculation Sheet'!$AG$13&lt;&gt;"",ISNUMBER(SEARCH($AH$4,'Final Calculation Sheet'!$AG$13))))),IF($AI$4="",TRUE,IF($AI$4="(blank)",IF('Final Calculation Sheet'!$AD$13&lt;=5,"SETTLED","OUTSTANDING")="",IF($AI$4="(nonblank)",IF('Final Calculation Sheet'!$AD$13&lt;=5,"SETTLED","OUTSTANDING")&lt;&gt;"",ISNUMBER(SEARCH($AI$4,IF('Final Calculation Sheet'!$AD$13&lt;=5,"SETTLED","OUTSTANDING")))))))</f>
        <v/>
      </c>
      <c r="AK15">
        <f>IF(AJ15=1,COUNTIF(AJ$6:AJ15,1),"")</f>
        <v/>
      </c>
      <c r="AM15">
        <f>AM14+IF(AND('Lists'!$O$15&lt;&gt;"",ISNUMBER(SEARCH($B$4,'Lists'!$O$15))),1,0)</f>
        <v/>
      </c>
      <c r="AN15">
        <f>IF(ROW()-3&gt;MAX($AM$4:$AM$42),"",INDEX('Lists'!$O$4:$O$42,MATCH(ROW()-3,$AM$4:$AM$42,0)))</f>
        <v/>
      </c>
      <c r="AO15">
        <f>AO14+IF(AND('Lists'!$T$15&lt;&gt;"",ISNUMBER(SEARCH($C$4,'Lists'!$T$15))),1,0)</f>
        <v/>
      </c>
      <c r="AP15">
        <f>IF(ROW()-3&gt;MAX($AO$4:$AO$42),"",INDEX('Lists'!$T$4:$T$42,MATCH(ROW()-3,$AO$4:$AO$42,0)))</f>
        <v/>
      </c>
      <c r="AQ15">
        <f>AQ14+IF(AND('Lists'!$Y$15&lt;&gt;"",ISNUMBER(SEARCH($D$4,'Lists'!$Y$15))),1,0)</f>
        <v/>
      </c>
      <c r="AR15">
        <f>IF(ROW()-3&gt;MAX($AQ$4:$AQ$42),"",INDEX('Lists'!$Y$4:$Y$42,MATCH(ROW()-3,$AQ$4:$AQ$42,0)))</f>
        <v/>
      </c>
      <c r="AS15">
        <f>AS14+IF(AND('Lists'!$AD$15&lt;&gt;"",ISNUMBER(SEARCH($E$4,'Lists'!$AD$15))),1,0)</f>
        <v/>
      </c>
      <c r="AT15">
        <f>IF(ROW()-3&gt;MAX($AS$4:$AS$42),"",INDEX('Lists'!$AD$4:$AD$42,MATCH(ROW()-3,$AS$4:$AS$42,0)))</f>
        <v/>
      </c>
      <c r="AU15">
        <f>AU14+IF(AND('Lists'!$AI$15&lt;&gt;"",ISNUMBER(SEARCH($F$4,'Lists'!$AI$15))),1,0)</f>
        <v/>
      </c>
      <c r="AV15">
        <f>IF(ROW()-3&gt;MAX($AU$4:$AU$42),"",INDEX('Lists'!$AI$4:$AI$42,MATCH(ROW()-3,$AU$4:$AU$42,0)))</f>
        <v/>
      </c>
      <c r="AW15">
        <f>AW14+IF(AND('Lists'!$AN$15&lt;&gt;"",ISNUMBER(SEARCH($G$4,'Lists'!$AN$15))),1,0)</f>
        <v/>
      </c>
      <c r="AX15">
        <f>IF(ROW()-3&gt;MAX($AW$4:$AW$42),"",INDEX('Lists'!$AN$4:$AN$42,MATCH(ROW()-3,$AW$4:$AW$42,0)))</f>
        <v/>
      </c>
      <c r="AY15">
        <f>AY14+IF(AND('Lists'!$AS$15&lt;&gt;"",ISNUMBER(SEARCH($H$4,'Lists'!$AS$15))),1,0)</f>
        <v/>
      </c>
      <c r="AZ15">
        <f>IF(ROW()-3&gt;MAX($AY$4:$AY$42),"",INDEX('Lists'!$AS$4:$AS$42,MATCH(ROW()-3,$AY$4:$AY$42,0)))</f>
        <v/>
      </c>
      <c r="BA15">
        <f>BA14+IF(AND('Lists'!$AX$15&lt;&gt;"",ISNUMBER(SEARCH($I$4,'Lists'!$AX$15))),1,0)</f>
        <v/>
      </c>
      <c r="BB15">
        <f>IF(ROW()-3&gt;MAX($BA$4:$BA$42),"",INDEX('Lists'!$AX$4:$AX$42,MATCH(ROW()-3,$BA$4:$BA$42,0)))</f>
        <v/>
      </c>
      <c r="BC15">
        <f>BC14+IF(AND('Lists'!$BC$15&lt;&gt;"",ISNUMBER(SEARCH($J$4,'Lists'!$BC$15))),1,0)</f>
        <v/>
      </c>
      <c r="BD15">
        <f>IF(ROW()-3&gt;MAX($BC$4:$BC$42),"",INDEX('Lists'!$BC$4:$BC$42,MATCH(ROW()-3,$BC$4:$BC$42,0)))</f>
        <v/>
      </c>
      <c r="BE15">
        <f>BE14+IF(AND('Lists'!$BH$15&lt;&gt;"",ISNUMBER(SEARCH($K$4,'Lists'!$BH$15))),1,0)</f>
        <v/>
      </c>
      <c r="BF15">
        <f>IF(ROW()-3&gt;MAX($BE$4:$BE$42),"",INDEX('Lists'!$BH$4:$BH$42,MATCH(ROW()-3,$BE$4:$BE$42,0)))</f>
        <v/>
      </c>
      <c r="BG15">
        <f>BG14+IF(AND('Lists'!$BM$15&lt;&gt;"",ISNUMBER(SEARCH($L$4,'Lists'!$BM$15))),1,0)</f>
        <v/>
      </c>
      <c r="BH15">
        <f>IF(ROW()-3&gt;MAX($BG$4:$BG$42),"",INDEX('Lists'!$BM$4:$BM$42,MATCH(ROW()-3,$BG$4:$BG$42,0)))</f>
        <v/>
      </c>
      <c r="BI15">
        <f>BI14+IF(AND('Lists'!$BR$15&lt;&gt;"",ISNUMBER(SEARCH($M$4,'Lists'!$BR$15))),1,0)</f>
        <v/>
      </c>
      <c r="BJ15">
        <f>IF(ROW()-3&gt;MAX($BI$4:$BI$42),"",INDEX('Lists'!$BR$4:$BR$42,MATCH(ROW()-3,$BI$4:$BI$42,0)))</f>
        <v/>
      </c>
      <c r="BK15">
        <f>BK14+IF(AND('Lists'!$BW$15&lt;&gt;"",ISNUMBER(SEARCH($N$4,'Lists'!$BW$15))),1,0)</f>
        <v/>
      </c>
      <c r="BL15">
        <f>IF(ROW()-3&gt;MAX($BK$4:$BK$42),"",INDEX('Lists'!$BW$4:$BW$42,MATCH(ROW()-3,$BK$4:$BK$42,0)))</f>
        <v/>
      </c>
      <c r="BM15">
        <f>BM14+IF(AND('Lists'!$CB$15&lt;&gt;"",ISNUMBER(SEARCH($O$4,'Lists'!$CB$15))),1,0)</f>
        <v/>
      </c>
      <c r="BN15">
        <f>IF(ROW()-3&gt;MAX($BM$4:$BM$42),"",INDEX('Lists'!$CB$4:$CB$42,MATCH(ROW()-3,$BM$4:$BM$42,0)))</f>
        <v/>
      </c>
      <c r="BO15">
        <f>BO14+IF(AND('Lists'!$CG$15&lt;&gt;"",ISNUMBER(SEARCH($P$4,'Lists'!$CG$15))),1,0)</f>
        <v/>
      </c>
      <c r="BP15">
        <f>IF(ROW()-3&gt;MAX($BO$4:$BO$42),"",INDEX('Lists'!$CG$4:$CG$42,MATCH(ROW()-3,$BO$4:$BO$42,0)))</f>
        <v/>
      </c>
      <c r="BQ15">
        <f>BQ14+IF(AND('Lists'!$CL$15&lt;&gt;"",ISNUMBER(SEARCH($Q$4,'Lists'!$CL$15))),1,0)</f>
        <v/>
      </c>
      <c r="BR15">
        <f>IF(ROW()-3&gt;MAX($BQ$4:$BQ$42),"",INDEX('Lists'!$CL$4:$CL$42,MATCH(ROW()-3,$BQ$4:$BQ$42,0)))</f>
        <v/>
      </c>
      <c r="BS15">
        <f>BS14+IF(AND('Lists'!$CQ$15&lt;&gt;"",ISNUMBER(SEARCH($R$4,'Lists'!$CQ$15))),1,0)</f>
        <v/>
      </c>
      <c r="BT15">
        <f>IF(ROW()-3&gt;MAX($BS$4:$BS$42),"",INDEX('Lists'!$CQ$4:$CQ$42,MATCH(ROW()-3,$BS$4:$BS$42,0)))</f>
        <v/>
      </c>
      <c r="BU15">
        <f>BU14+IF(AND('Lists'!$CV$15&lt;&gt;"",ISNUMBER(SEARCH($S$4,'Lists'!$CV$15))),1,0)</f>
        <v/>
      </c>
      <c r="BV15">
        <f>IF(ROW()-3&gt;MAX($BU$4:$BU$42),"",INDEX('Lists'!$CV$4:$CV$42,MATCH(ROW()-3,$BU$4:$BU$42,0)))</f>
        <v/>
      </c>
      <c r="BW15">
        <f>BW14+IF(AND('Lists'!$DA$15&lt;&gt;"",ISNUMBER(SEARCH($T$4,'Lists'!$DA$15))),1,0)</f>
        <v/>
      </c>
      <c r="BX15">
        <f>IF(ROW()-3&gt;MAX($BW$4:$BW$42),"",INDEX('Lists'!$DA$4:$DA$42,MATCH(ROW()-3,$BW$4:$BW$42,0)))</f>
        <v/>
      </c>
      <c r="BY15">
        <f>BY14+IF(AND('Lists'!$DF$15&lt;&gt;"",ISNUMBER(SEARCH($U$4,'Lists'!$DF$15))),1,0)</f>
        <v/>
      </c>
      <c r="BZ15">
        <f>IF(ROW()-3&gt;MAX($BY$4:$BY$42),"",INDEX('Lists'!$DF$4:$DF$42,MATCH(ROW()-3,$BY$4:$BY$42,0)))</f>
        <v/>
      </c>
      <c r="CA15">
        <f>CA14+IF(AND('Lists'!$DK$15&lt;&gt;"",ISNUMBER(SEARCH($V$4,'Lists'!$DK$15))),1,0)</f>
        <v/>
      </c>
      <c r="CB15">
        <f>IF(ROW()-3&gt;MAX($CA$4:$CA$42),"",INDEX('Lists'!$DK$4:$DK$42,MATCH(ROW()-3,$CA$4:$CA$42,0)))</f>
        <v/>
      </c>
      <c r="CC15">
        <f>CC14+IF(AND('Lists'!$DP$15&lt;&gt;"",ISNUMBER(SEARCH($W$4,'Lists'!$DP$15))),1,0)</f>
        <v/>
      </c>
      <c r="CD15">
        <f>IF(ROW()-3&gt;MAX($CC$4:$CC$42),"",INDEX('Lists'!$DP$4:$DP$42,MATCH(ROW()-3,$CC$4:$CC$42,0)))</f>
        <v/>
      </c>
      <c r="CE15">
        <f>CE14+IF(AND('Lists'!$DU$15&lt;&gt;"",ISNUMBER(SEARCH($X$4,'Lists'!$DU$15))),1,0)</f>
        <v/>
      </c>
      <c r="CF15">
        <f>IF(ROW()-3&gt;MAX($CE$4:$CE$42),"",INDEX('Lists'!$DU$4:$DU$42,MATCH(ROW()-3,$CE$4:$CE$42,0)))</f>
        <v/>
      </c>
      <c r="CG15">
        <f>CG14+IF(AND('Lists'!$DZ$15&lt;&gt;"",ISNUMBER(SEARCH($Y$4,'Lists'!$DZ$15))),1,0)</f>
        <v/>
      </c>
      <c r="CH15">
        <f>IF(ROW()-3&gt;MAX($CG$4:$CG$42),"",INDEX('Lists'!$DZ$4:$DZ$42,MATCH(ROW()-3,$CG$4:$CG$42,0)))</f>
        <v/>
      </c>
      <c r="CI15">
        <f>CI14+IF(AND('Lists'!$EE$15&lt;&gt;"",ISNUMBER(SEARCH($Z$4,'Lists'!$EE$15))),1,0)</f>
        <v/>
      </c>
      <c r="CJ15">
        <f>IF(ROW()-3&gt;MAX($CI$4:$CI$42),"",INDEX('Lists'!$EE$4:$EE$42,MATCH(ROW()-3,$CI$4:$CI$42,0)))</f>
        <v/>
      </c>
      <c r="CK15">
        <f>CK14+IF(AND('Lists'!$EJ$15&lt;&gt;"",ISNUMBER(SEARCH($AA$4,'Lists'!$EJ$15))),1,0)</f>
        <v/>
      </c>
      <c r="CL15">
        <f>IF(ROW()-3&gt;MAX($CK$4:$CK$42),"",INDEX('Lists'!$EJ$4:$EJ$42,MATCH(ROW()-3,$CK$4:$CK$42,0)))</f>
        <v/>
      </c>
      <c r="CM15">
        <f>CM14+IF(AND('Lists'!$EO$15&lt;&gt;"",ISNUMBER(SEARCH($AB$4,'Lists'!$EO$15))),1,0)</f>
        <v/>
      </c>
      <c r="CN15">
        <f>IF(ROW()-3&gt;MAX($CM$4:$CM$42),"",INDEX('Lists'!$EO$4:$EO$42,MATCH(ROW()-3,$CM$4:$CM$42,0)))</f>
        <v/>
      </c>
      <c r="CO15">
        <f>CO14+IF(AND('Lists'!$ET$15&lt;&gt;"",ISNUMBER(SEARCH($AC$4,'Lists'!$ET$15))),1,0)</f>
        <v/>
      </c>
      <c r="CP15">
        <f>IF(ROW()-3&gt;MAX($CO$4:$CO$42),"",INDEX('Lists'!$ET$4:$ET$42,MATCH(ROW()-3,$CO$4:$CO$42,0)))</f>
        <v/>
      </c>
      <c r="CQ15">
        <f>CQ14+IF(AND('Lists'!$EY$15&lt;&gt;"",ISNUMBER(SEARCH($AD$4,'Lists'!$EY$15))),1,0)</f>
        <v/>
      </c>
      <c r="CR15">
        <f>IF(ROW()-3&gt;MAX($CQ$4:$CQ$42),"",INDEX('Lists'!$EY$4:$EY$42,MATCH(ROW()-3,$CQ$4:$CQ$42,0)))</f>
        <v/>
      </c>
      <c r="CS15">
        <f>CS14+IF(AND('Lists'!$FD$15&lt;&gt;"",ISNUMBER(SEARCH($AE$4,'Lists'!$FD$15))),1,0)</f>
        <v/>
      </c>
      <c r="CT15">
        <f>IF(ROW()-3&gt;MAX($CS$4:$CS$42),"",INDEX('Lists'!$FD$4:$FD$42,MATCH(ROW()-3,$CS$4:$CS$42,0)))</f>
        <v/>
      </c>
      <c r="CU15">
        <f>CU14+IF(AND('Lists'!$FI$15&lt;&gt;"",ISNUMBER(SEARCH($AF$4,'Lists'!$FI$15))),1,0)</f>
        <v/>
      </c>
      <c r="CV15">
        <f>IF(ROW()-3&gt;MAX($CU$4:$CU$42),"",INDEX('Lists'!$FI$4:$FI$42,MATCH(ROW()-3,$CU$4:$CU$42,0)))</f>
        <v/>
      </c>
      <c r="CW15">
        <f>CW14+IF(AND('Lists'!$FN$15&lt;&gt;"",ISNUMBER(SEARCH($AG$4,'Lists'!$FN$15))),1,0)</f>
        <v/>
      </c>
      <c r="CX15">
        <f>IF(ROW()-3&gt;MAX($CW$4:$CW$42),"",INDEX('Lists'!$FN$4:$FN$42,MATCH(ROW()-3,$CW$4:$CW$42,0)))</f>
        <v/>
      </c>
      <c r="CY15">
        <f>CY14+IF(AND('Lists'!$FS$15&lt;&gt;"",ISNUMBER(SEARCH($AH$4,'Lists'!$FS$15))),1,0)</f>
        <v/>
      </c>
      <c r="CZ15">
        <f>IF(ROW()-3&gt;MAX($CY$4:$CY$42),"",INDEX('Lists'!$FS$4:$FS$42,MATCH(ROW()-3,$CY$4:$CY$42,0)))</f>
        <v/>
      </c>
      <c r="DA15">
        <f>DA14+IF(AND('Lists'!$FX$15&lt;&gt;"",ISNUMBER(SEARCH($AI$4,'Lists'!$FX$15))),1,0)</f>
        <v/>
      </c>
      <c r="DB15">
        <f>IF(ROW()-3&gt;MAX($DA$4:$DA$42),"",INDEX('Lists'!$FX$4:$FX$42,MATCH(ROW()-3,$DA$4:$DA$42,0)))</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c r="AJ16">
        <f>AND(IF($B$4="",TRUE,IF($B$4="(blank)",'Final Calculation Sheet'!$F$14="",IF($B$4="(nonblank)",'Final Calculation Sheet'!$F$14&lt;&gt;"",ISNUMBER(SEARCH($B$4,'Final Calculation Sheet'!$F$14))))),IF($C$4="",TRUE,IF($C$4="(blank)",'Final Calculation Sheet'!$G$14="",IF($C$4="(nonblank)",'Final Calculation Sheet'!$G$14&lt;&gt;"",ISNUMBER(SEARCH($C$4,'Final Calculation Sheet'!$G$14))))),IF($D$4="",TRUE,IF($D$4="(blank)",'Final Calculation Sheet'!$B$14="",IF($D$4="(nonblank)",'Final Calculation Sheet'!$B$14&lt;&gt;"",ISNUMBER(SEARCH($D$4,'Final Calculation Sheet'!$B$14))))),IF($E$4="",TRUE,IF($E$4="(blank)",'Final Calculation Sheet'!$D$14="",IF($E$4="(nonblank)",'Final Calculation Sheet'!$D$14&lt;&gt;"",ISNUMBER(SEARCH($E$4,'Final Calculation Sheet'!$D$14))))),IF($F$4="",TRUE,IF($F$4="(blank)",'Final Calculation Sheet'!$A$14="",IF($F$4="(nonblank)",'Final Calculation Sheet'!$A$14&lt;&gt;"",ISNUMBER(SEARCH($F$4,'Final Calculation Sheet'!$A$14))))),IF($G$4="",TRUE,IF($G$4="(blank)",'Final Calculation Sheet'!$E$14="",IF($G$4="(nonblank)",'Final Calculation Sheet'!$E$14&lt;&gt;"",ISNUMBER(SEARCH($G$4,'Final Calculation Sheet'!$E$14))))),IF($H$4="",TRUE,IF($H$4="(blank)",'Final Calculation Sheet'!$C$14="",IF($H$4="(nonblank)",'Final Calculation Sheet'!$C$14&lt;&gt;"",ISNUMBER(SEARCH($H$4,'Final Calculation Sheet'!$C$14))))),IF($I$4="",TRUE,IF($I$4="(blank)",'Final Calculation Sheet'!$H$14="",IF($I$4="(nonblank)",'Final Calculation Sheet'!$H$14&lt;&gt;"",ISNUMBER(SEARCH($I$4,'Final Calculation Sheet'!$H$14))))),IF($J$4="",TRUE,IF($J$4="(blank)",'Final Calculation Sheet'!$I$14="",IF($J$4="(nonblank)",'Final Calculation Sheet'!$I$14&lt;&gt;"",ISNUMBER(SEARCH($J$4,'Final Calculation Sheet'!$I$14))))),IF($K$4="",TRUE,IF($K$4="(blank)",'Final Calculation Sheet'!$J$14="",IF($K$4="(nonblank)",'Final Calculation Sheet'!$J$14&lt;&gt;"",ISNUMBER(SEARCH($K$4,'Final Calculation Sheet'!$J$14))))),IF($L$4="",TRUE,IF($L$4="(blank)",'Final Calculation Sheet'!$K$14="",IF($L$4="(nonblank)",'Final Calculation Sheet'!$K$14&lt;&gt;"",ISNUMBER(SEARCH($L$4,'Final Calculation Sheet'!$K$14))))),IF($M$4="",TRUE,IF($M$4="(blank)",'Final Calculation Sheet'!$L$14="",IF($M$4="(nonblank)",'Final Calculation Sheet'!$L$14&lt;&gt;"",ISNUMBER(SEARCH($M$4,'Final Calculation Sheet'!$L$14))))),IF($N$4="",TRUE,IF($N$4="(blank)",'Final Calculation Sheet'!$M$14="",IF($N$4="(nonblank)",'Final Calculation Sheet'!$M$14&lt;&gt;"",ISNUMBER(SEARCH($N$4,'Final Calculation Sheet'!$M$14))))),IF($O$4="",TRUE,IF($O$4="(blank)",'Final Calculation Sheet'!$N$14="",IF($O$4="(nonblank)",'Final Calculation Sheet'!$N$14&lt;&gt;"",ISNUMBER(SEARCH($O$4,'Final Calculation Sheet'!$N$14))))),IF($P$4="",TRUE,IF($P$4="(blank)",'Final Calculation Sheet'!$O$14="",IF($P$4="(nonblank)",'Final Calculation Sheet'!$O$14&lt;&gt;"",ISNUMBER(SEARCH($P$4,'Final Calculation Sheet'!$O$14))))),IF($Q$4="",TRUE,IF($Q$4="(blank)",'Final Calculation Sheet'!$P$14="",IF($Q$4="(nonblank)",'Final Calculation Sheet'!$P$14&lt;&gt;"",ISNUMBER(SEARCH($Q$4,'Final Calculation Sheet'!$P$14))))),IF($R$4="",TRUE,IF($R$4="(blank)",'Final Calculation Sheet'!$Q$14="",IF($R$4="(nonblank)",'Final Calculation Sheet'!$Q$14&lt;&gt;"",ISNUMBER(SEARCH($R$4,'Final Calculation Sheet'!$Q$14))))),IF($S$4="",TRUE,IF($S$4="(blank)",'Final Calculation Sheet'!$R$14="",IF($S$4="(nonblank)",'Final Calculation Sheet'!$R$14&lt;&gt;"",ISNUMBER(SEARCH($S$4,'Final Calculation Sheet'!$R$14))))),IF($T$4="",TRUE,IF($T$4="(blank)",'Final Calculation Sheet'!$S$14="",IF($T$4="(nonblank)",'Final Calculation Sheet'!$S$14&lt;&gt;"",ISNUMBER(SEARCH($T$4,'Final Calculation Sheet'!$S$14))))),IF($U$4="",TRUE,IF($U$4="(blank)",'Final Calculation Sheet'!$T$14="",IF($U$4="(nonblank)",'Final Calculation Sheet'!$T$14&lt;&gt;"",ISNUMBER(SEARCH($U$4,'Final Calculation Sheet'!$T$14))))),IF($V$4="",TRUE,IF($V$4="(blank)",'Final Calculation Sheet'!$U$14="",IF($V$4="(nonblank)",'Final Calculation Sheet'!$U$14&lt;&gt;"",ISNUMBER(SEARCH($V$4,'Final Calculation Sheet'!$U$14))))),IF($W$4="",TRUE,IF($W$4="(blank)",'Final Calculation Sheet'!$V$14="",IF($W$4="(nonblank)",'Final Calculation Sheet'!$V$14&lt;&gt;"",ISNUMBER(SEARCH($W$4,'Final Calculation Sheet'!$V$14))))),IF($X$4="",TRUE,IF($X$4="(blank)",'Final Calculation Sheet'!$W$14="",IF($X$4="(nonblank)",'Final Calculation Sheet'!$W$14&lt;&gt;"",ISNUMBER(SEARCH($X$4,'Final Calculation Sheet'!$W$14))))),IF($Y$4="",TRUE,IF($Y$4="(blank)",'Final Calculation Sheet'!$X$14="",IF($Y$4="(nonblank)",'Final Calculation Sheet'!$X$14&lt;&gt;"",ISNUMBER(SEARCH($Y$4,'Final Calculation Sheet'!$X$14))))),IF($Z$4="",TRUE,IF($Z$4="(blank)",'Final Calculation Sheet'!$Y$14="",IF($Z$4="(nonblank)",'Final Calculation Sheet'!$Y$14&lt;&gt;"",ISNUMBER(SEARCH($Z$4,'Final Calculation Sheet'!$Y$14))))),IF($AA$4="",TRUE,IF($AA$4="(blank)",'Final Calculation Sheet'!$Z$14="",IF($AA$4="(nonblank)",'Final Calculation Sheet'!$Z$14&lt;&gt;"",ISNUMBER(SEARCH($AA$4,'Final Calculation Sheet'!$Z$14))))),IF($AB$4="",TRUE,IF($AB$4="(blank)",'Final Calculation Sheet'!$AA$14="",IF($AB$4="(nonblank)",'Final Calculation Sheet'!$AA$14&lt;&gt;"",ISNUMBER(SEARCH($AB$4,'Final Calculation Sheet'!$AA$14))))),IF($AC$4="",TRUE,IF($AC$4="(blank)",'Final Calculation Sheet'!$AB$14="",IF($AC$4="(nonblank)",'Final Calculation Sheet'!$AB$14&lt;&gt;"",ISNUMBER(SEARCH($AC$4,'Final Calculation Sheet'!$AB$14))))),IF($AD$4="",TRUE,IF($AD$4="(blank)",'Final Calculation Sheet'!$AC$14="",IF($AD$4="(nonblank)",'Final Calculation Sheet'!$AC$14&lt;&gt;"",ISNUMBER(SEARCH($AD$4,'Final Calculation Sheet'!$AC$14))))),IF($AE$4="",TRUE,IF($AE$4="(blank)",'Final Calculation Sheet'!$AD$14="",IF($AE$4="(nonblank)",'Final Calculation Sheet'!$AD$14&lt;&gt;"",ISNUMBER(SEARCH($AE$4,'Final Calculation Sheet'!$AD$14))))),IF($AF$4="",TRUE,IF($AF$4="(blank)",'Final Calculation Sheet'!$AE$14="",IF($AF$4="(nonblank)",'Final Calculation Sheet'!$AE$14&lt;&gt;"",ISNUMBER(SEARCH($AF$4,'Final Calculation Sheet'!$AE$14))))),IF($AG$4="",TRUE,IF($AG$4="(blank)",'Final Calculation Sheet'!$AF$14="",IF($AG$4="(nonblank)",'Final Calculation Sheet'!$AF$14&lt;&gt;"",ISNUMBER(SEARCH($AG$4,'Final Calculation Sheet'!$AF$14))))),IF($AH$4="",TRUE,IF($AH$4="(blank)",'Final Calculation Sheet'!$AG$14="",IF($AH$4="(nonblank)",'Final Calculation Sheet'!$AG$14&lt;&gt;"",ISNUMBER(SEARCH($AH$4,'Final Calculation Sheet'!$AG$14))))),IF($AI$4="",TRUE,IF($AI$4="(blank)",IF('Final Calculation Sheet'!$AD$14&lt;=5,"SETTLED","OUTSTANDING")="",IF($AI$4="(nonblank)",IF('Final Calculation Sheet'!$AD$14&lt;=5,"SETTLED","OUTSTANDING")&lt;&gt;"",ISNUMBER(SEARCH($AI$4,IF('Final Calculation Sheet'!$AD$14&lt;=5,"SETTLED","OUTSTANDING")))))))</f>
        <v/>
      </c>
      <c r="AK16">
        <f>IF(AJ16=1,COUNTIF(AJ$6:AJ16,1),"")</f>
        <v/>
      </c>
      <c r="AM16">
        <f>AM15+IF(AND('Lists'!$O$16&lt;&gt;"",ISNUMBER(SEARCH($B$4,'Lists'!$O$16))),1,0)</f>
        <v/>
      </c>
      <c r="AN16">
        <f>IF(ROW()-3&gt;MAX($AM$4:$AM$42),"",INDEX('Lists'!$O$4:$O$42,MATCH(ROW()-3,$AM$4:$AM$42,0)))</f>
        <v/>
      </c>
      <c r="AO16">
        <f>AO15+IF(AND('Lists'!$T$16&lt;&gt;"",ISNUMBER(SEARCH($C$4,'Lists'!$T$16))),1,0)</f>
        <v/>
      </c>
      <c r="AP16">
        <f>IF(ROW()-3&gt;MAX($AO$4:$AO$42),"",INDEX('Lists'!$T$4:$T$42,MATCH(ROW()-3,$AO$4:$AO$42,0)))</f>
        <v/>
      </c>
      <c r="AQ16">
        <f>AQ15+IF(AND('Lists'!$Y$16&lt;&gt;"",ISNUMBER(SEARCH($D$4,'Lists'!$Y$16))),1,0)</f>
        <v/>
      </c>
      <c r="AR16">
        <f>IF(ROW()-3&gt;MAX($AQ$4:$AQ$42),"",INDEX('Lists'!$Y$4:$Y$42,MATCH(ROW()-3,$AQ$4:$AQ$42,0)))</f>
        <v/>
      </c>
      <c r="AS16">
        <f>AS15+IF(AND('Lists'!$AD$16&lt;&gt;"",ISNUMBER(SEARCH($E$4,'Lists'!$AD$16))),1,0)</f>
        <v/>
      </c>
      <c r="AT16">
        <f>IF(ROW()-3&gt;MAX($AS$4:$AS$42),"",INDEX('Lists'!$AD$4:$AD$42,MATCH(ROW()-3,$AS$4:$AS$42,0)))</f>
        <v/>
      </c>
      <c r="AU16">
        <f>AU15+IF(AND('Lists'!$AI$16&lt;&gt;"",ISNUMBER(SEARCH($F$4,'Lists'!$AI$16))),1,0)</f>
        <v/>
      </c>
      <c r="AV16">
        <f>IF(ROW()-3&gt;MAX($AU$4:$AU$42),"",INDEX('Lists'!$AI$4:$AI$42,MATCH(ROW()-3,$AU$4:$AU$42,0)))</f>
        <v/>
      </c>
      <c r="AW16">
        <f>AW15+IF(AND('Lists'!$AN$16&lt;&gt;"",ISNUMBER(SEARCH($G$4,'Lists'!$AN$16))),1,0)</f>
        <v/>
      </c>
      <c r="AX16">
        <f>IF(ROW()-3&gt;MAX($AW$4:$AW$42),"",INDEX('Lists'!$AN$4:$AN$42,MATCH(ROW()-3,$AW$4:$AW$42,0)))</f>
        <v/>
      </c>
      <c r="AY16">
        <f>AY15+IF(AND('Lists'!$AS$16&lt;&gt;"",ISNUMBER(SEARCH($H$4,'Lists'!$AS$16))),1,0)</f>
        <v/>
      </c>
      <c r="AZ16">
        <f>IF(ROW()-3&gt;MAX($AY$4:$AY$42),"",INDEX('Lists'!$AS$4:$AS$42,MATCH(ROW()-3,$AY$4:$AY$42,0)))</f>
        <v/>
      </c>
      <c r="BA16">
        <f>BA15+IF(AND('Lists'!$AX$16&lt;&gt;"",ISNUMBER(SEARCH($I$4,'Lists'!$AX$16))),1,0)</f>
        <v/>
      </c>
      <c r="BB16">
        <f>IF(ROW()-3&gt;MAX($BA$4:$BA$42),"",INDEX('Lists'!$AX$4:$AX$42,MATCH(ROW()-3,$BA$4:$BA$42,0)))</f>
        <v/>
      </c>
      <c r="BC16">
        <f>BC15+IF(AND('Lists'!$BC$16&lt;&gt;"",ISNUMBER(SEARCH($J$4,'Lists'!$BC$16))),1,0)</f>
        <v/>
      </c>
      <c r="BD16">
        <f>IF(ROW()-3&gt;MAX($BC$4:$BC$42),"",INDEX('Lists'!$BC$4:$BC$42,MATCH(ROW()-3,$BC$4:$BC$42,0)))</f>
        <v/>
      </c>
      <c r="BE16">
        <f>BE15+IF(AND('Lists'!$BH$16&lt;&gt;"",ISNUMBER(SEARCH($K$4,'Lists'!$BH$16))),1,0)</f>
        <v/>
      </c>
      <c r="BF16">
        <f>IF(ROW()-3&gt;MAX($BE$4:$BE$42),"",INDEX('Lists'!$BH$4:$BH$42,MATCH(ROW()-3,$BE$4:$BE$42,0)))</f>
        <v/>
      </c>
      <c r="BG16">
        <f>BG15+IF(AND('Lists'!$BM$16&lt;&gt;"",ISNUMBER(SEARCH($L$4,'Lists'!$BM$16))),1,0)</f>
        <v/>
      </c>
      <c r="BH16">
        <f>IF(ROW()-3&gt;MAX($BG$4:$BG$42),"",INDEX('Lists'!$BM$4:$BM$42,MATCH(ROW()-3,$BG$4:$BG$42,0)))</f>
        <v/>
      </c>
      <c r="BI16">
        <f>BI15+IF(AND('Lists'!$BR$16&lt;&gt;"",ISNUMBER(SEARCH($M$4,'Lists'!$BR$16))),1,0)</f>
        <v/>
      </c>
      <c r="BJ16">
        <f>IF(ROW()-3&gt;MAX($BI$4:$BI$42),"",INDEX('Lists'!$BR$4:$BR$42,MATCH(ROW()-3,$BI$4:$BI$42,0)))</f>
        <v/>
      </c>
      <c r="BK16">
        <f>BK15+IF(AND('Lists'!$BW$16&lt;&gt;"",ISNUMBER(SEARCH($N$4,'Lists'!$BW$16))),1,0)</f>
        <v/>
      </c>
      <c r="BL16">
        <f>IF(ROW()-3&gt;MAX($BK$4:$BK$42),"",INDEX('Lists'!$BW$4:$BW$42,MATCH(ROW()-3,$BK$4:$BK$42,0)))</f>
        <v/>
      </c>
      <c r="BM16">
        <f>BM15+IF(AND('Lists'!$CB$16&lt;&gt;"",ISNUMBER(SEARCH($O$4,'Lists'!$CB$16))),1,0)</f>
        <v/>
      </c>
      <c r="BN16">
        <f>IF(ROW()-3&gt;MAX($BM$4:$BM$42),"",INDEX('Lists'!$CB$4:$CB$42,MATCH(ROW()-3,$BM$4:$BM$42,0)))</f>
        <v/>
      </c>
      <c r="BO16">
        <f>BO15+IF(AND('Lists'!$CG$16&lt;&gt;"",ISNUMBER(SEARCH($P$4,'Lists'!$CG$16))),1,0)</f>
        <v/>
      </c>
      <c r="BP16">
        <f>IF(ROW()-3&gt;MAX($BO$4:$BO$42),"",INDEX('Lists'!$CG$4:$CG$42,MATCH(ROW()-3,$BO$4:$BO$42,0)))</f>
        <v/>
      </c>
      <c r="BQ16">
        <f>BQ15+IF(AND('Lists'!$CL$16&lt;&gt;"",ISNUMBER(SEARCH($Q$4,'Lists'!$CL$16))),1,0)</f>
        <v/>
      </c>
      <c r="BR16">
        <f>IF(ROW()-3&gt;MAX($BQ$4:$BQ$42),"",INDEX('Lists'!$CL$4:$CL$42,MATCH(ROW()-3,$BQ$4:$BQ$42,0)))</f>
        <v/>
      </c>
      <c r="BS16">
        <f>BS15+IF(AND('Lists'!$CQ$16&lt;&gt;"",ISNUMBER(SEARCH($R$4,'Lists'!$CQ$16))),1,0)</f>
        <v/>
      </c>
      <c r="BT16">
        <f>IF(ROW()-3&gt;MAX($BS$4:$BS$42),"",INDEX('Lists'!$CQ$4:$CQ$42,MATCH(ROW()-3,$BS$4:$BS$42,0)))</f>
        <v/>
      </c>
      <c r="BU16">
        <f>BU15+IF(AND('Lists'!$CV$16&lt;&gt;"",ISNUMBER(SEARCH($S$4,'Lists'!$CV$16))),1,0)</f>
        <v/>
      </c>
      <c r="BV16">
        <f>IF(ROW()-3&gt;MAX($BU$4:$BU$42),"",INDEX('Lists'!$CV$4:$CV$42,MATCH(ROW()-3,$BU$4:$BU$42,0)))</f>
        <v/>
      </c>
      <c r="BW16">
        <f>BW15+IF(AND('Lists'!$DA$16&lt;&gt;"",ISNUMBER(SEARCH($T$4,'Lists'!$DA$16))),1,0)</f>
        <v/>
      </c>
      <c r="BX16">
        <f>IF(ROW()-3&gt;MAX($BW$4:$BW$42),"",INDEX('Lists'!$DA$4:$DA$42,MATCH(ROW()-3,$BW$4:$BW$42,0)))</f>
        <v/>
      </c>
      <c r="BY16">
        <f>BY15+IF(AND('Lists'!$DF$16&lt;&gt;"",ISNUMBER(SEARCH($U$4,'Lists'!$DF$16))),1,0)</f>
        <v/>
      </c>
      <c r="BZ16">
        <f>IF(ROW()-3&gt;MAX($BY$4:$BY$42),"",INDEX('Lists'!$DF$4:$DF$42,MATCH(ROW()-3,$BY$4:$BY$42,0)))</f>
        <v/>
      </c>
      <c r="CA16">
        <f>CA15+IF(AND('Lists'!$DK$16&lt;&gt;"",ISNUMBER(SEARCH($V$4,'Lists'!$DK$16))),1,0)</f>
        <v/>
      </c>
      <c r="CB16">
        <f>IF(ROW()-3&gt;MAX($CA$4:$CA$42),"",INDEX('Lists'!$DK$4:$DK$42,MATCH(ROW()-3,$CA$4:$CA$42,0)))</f>
        <v/>
      </c>
      <c r="CC16">
        <f>CC15+IF(AND('Lists'!$DP$16&lt;&gt;"",ISNUMBER(SEARCH($W$4,'Lists'!$DP$16))),1,0)</f>
        <v/>
      </c>
      <c r="CD16">
        <f>IF(ROW()-3&gt;MAX($CC$4:$CC$42),"",INDEX('Lists'!$DP$4:$DP$42,MATCH(ROW()-3,$CC$4:$CC$42,0)))</f>
        <v/>
      </c>
      <c r="CE16">
        <f>CE15+IF(AND('Lists'!$DU$16&lt;&gt;"",ISNUMBER(SEARCH($X$4,'Lists'!$DU$16))),1,0)</f>
        <v/>
      </c>
      <c r="CF16">
        <f>IF(ROW()-3&gt;MAX($CE$4:$CE$42),"",INDEX('Lists'!$DU$4:$DU$42,MATCH(ROW()-3,$CE$4:$CE$42,0)))</f>
        <v/>
      </c>
      <c r="CG16">
        <f>CG15+IF(AND('Lists'!$DZ$16&lt;&gt;"",ISNUMBER(SEARCH($Y$4,'Lists'!$DZ$16))),1,0)</f>
        <v/>
      </c>
      <c r="CH16">
        <f>IF(ROW()-3&gt;MAX($CG$4:$CG$42),"",INDEX('Lists'!$DZ$4:$DZ$42,MATCH(ROW()-3,$CG$4:$CG$42,0)))</f>
        <v/>
      </c>
      <c r="CI16">
        <f>CI15+IF(AND('Lists'!$EE$16&lt;&gt;"",ISNUMBER(SEARCH($Z$4,'Lists'!$EE$16))),1,0)</f>
        <v/>
      </c>
      <c r="CJ16">
        <f>IF(ROW()-3&gt;MAX($CI$4:$CI$42),"",INDEX('Lists'!$EE$4:$EE$42,MATCH(ROW()-3,$CI$4:$CI$42,0)))</f>
        <v/>
      </c>
      <c r="CK16">
        <f>CK15+IF(AND('Lists'!$EJ$16&lt;&gt;"",ISNUMBER(SEARCH($AA$4,'Lists'!$EJ$16))),1,0)</f>
        <v/>
      </c>
      <c r="CL16">
        <f>IF(ROW()-3&gt;MAX($CK$4:$CK$42),"",INDEX('Lists'!$EJ$4:$EJ$42,MATCH(ROW()-3,$CK$4:$CK$42,0)))</f>
        <v/>
      </c>
      <c r="CM16">
        <f>CM15+IF(AND('Lists'!$EO$16&lt;&gt;"",ISNUMBER(SEARCH($AB$4,'Lists'!$EO$16))),1,0)</f>
        <v/>
      </c>
      <c r="CN16">
        <f>IF(ROW()-3&gt;MAX($CM$4:$CM$42),"",INDEX('Lists'!$EO$4:$EO$42,MATCH(ROW()-3,$CM$4:$CM$42,0)))</f>
        <v/>
      </c>
      <c r="CO16">
        <f>CO15+IF(AND('Lists'!$ET$16&lt;&gt;"",ISNUMBER(SEARCH($AC$4,'Lists'!$ET$16))),1,0)</f>
        <v/>
      </c>
      <c r="CP16">
        <f>IF(ROW()-3&gt;MAX($CO$4:$CO$42),"",INDEX('Lists'!$ET$4:$ET$42,MATCH(ROW()-3,$CO$4:$CO$42,0)))</f>
        <v/>
      </c>
      <c r="CQ16">
        <f>CQ15+IF(AND('Lists'!$EY$16&lt;&gt;"",ISNUMBER(SEARCH($AD$4,'Lists'!$EY$16))),1,0)</f>
        <v/>
      </c>
      <c r="CR16">
        <f>IF(ROW()-3&gt;MAX($CQ$4:$CQ$42),"",INDEX('Lists'!$EY$4:$EY$42,MATCH(ROW()-3,$CQ$4:$CQ$42,0)))</f>
        <v/>
      </c>
      <c r="CS16">
        <f>CS15+IF(AND('Lists'!$FD$16&lt;&gt;"",ISNUMBER(SEARCH($AE$4,'Lists'!$FD$16))),1,0)</f>
        <v/>
      </c>
      <c r="CT16">
        <f>IF(ROW()-3&gt;MAX($CS$4:$CS$42),"",INDEX('Lists'!$FD$4:$FD$42,MATCH(ROW()-3,$CS$4:$CS$42,0)))</f>
        <v/>
      </c>
      <c r="CU16">
        <f>CU15+IF(AND('Lists'!$FI$16&lt;&gt;"",ISNUMBER(SEARCH($AF$4,'Lists'!$FI$16))),1,0)</f>
        <v/>
      </c>
      <c r="CV16">
        <f>IF(ROW()-3&gt;MAX($CU$4:$CU$42),"",INDEX('Lists'!$FI$4:$FI$42,MATCH(ROW()-3,$CU$4:$CU$42,0)))</f>
        <v/>
      </c>
      <c r="CW16">
        <f>CW15+IF(AND('Lists'!$FN$16&lt;&gt;"",ISNUMBER(SEARCH($AG$4,'Lists'!$FN$16))),1,0)</f>
        <v/>
      </c>
      <c r="CX16">
        <f>IF(ROW()-3&gt;MAX($CW$4:$CW$42),"",INDEX('Lists'!$FN$4:$FN$42,MATCH(ROW()-3,$CW$4:$CW$42,0)))</f>
        <v/>
      </c>
      <c r="CY16">
        <f>CY15+IF(AND('Lists'!$FS$16&lt;&gt;"",ISNUMBER(SEARCH($AH$4,'Lists'!$FS$16))),1,0)</f>
        <v/>
      </c>
      <c r="CZ16">
        <f>IF(ROW()-3&gt;MAX($CY$4:$CY$42),"",INDEX('Lists'!$FS$4:$FS$42,MATCH(ROW()-3,$CY$4:$CY$42,0)))</f>
        <v/>
      </c>
      <c r="DA16">
        <f>DA15+IF(AND('Lists'!$FX$16&lt;&gt;"",ISNUMBER(SEARCH($AI$4,'Lists'!$FX$16))),1,0)</f>
        <v/>
      </c>
      <c r="DB16">
        <f>IF(ROW()-3&gt;MAX($DA$4:$DA$42),"",INDEX('Lists'!$FX$4:$FX$42,MATCH(ROW()-3,$DA$4:$DA$42,0)))</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c r="AJ17">
        <f>AND(IF($B$4="",TRUE,IF($B$4="(blank)",'Final Calculation Sheet'!$F$15="",IF($B$4="(nonblank)",'Final Calculation Sheet'!$F$15&lt;&gt;"",ISNUMBER(SEARCH($B$4,'Final Calculation Sheet'!$F$15))))),IF($C$4="",TRUE,IF($C$4="(blank)",'Final Calculation Sheet'!$G$15="",IF($C$4="(nonblank)",'Final Calculation Sheet'!$G$15&lt;&gt;"",ISNUMBER(SEARCH($C$4,'Final Calculation Sheet'!$G$15))))),IF($D$4="",TRUE,IF($D$4="(blank)",'Final Calculation Sheet'!$B$15="",IF($D$4="(nonblank)",'Final Calculation Sheet'!$B$15&lt;&gt;"",ISNUMBER(SEARCH($D$4,'Final Calculation Sheet'!$B$15))))),IF($E$4="",TRUE,IF($E$4="(blank)",'Final Calculation Sheet'!$D$15="",IF($E$4="(nonblank)",'Final Calculation Sheet'!$D$15&lt;&gt;"",ISNUMBER(SEARCH($E$4,'Final Calculation Sheet'!$D$15))))),IF($F$4="",TRUE,IF($F$4="(blank)",'Final Calculation Sheet'!$A$15="",IF($F$4="(nonblank)",'Final Calculation Sheet'!$A$15&lt;&gt;"",ISNUMBER(SEARCH($F$4,'Final Calculation Sheet'!$A$15))))),IF($G$4="",TRUE,IF($G$4="(blank)",'Final Calculation Sheet'!$E$15="",IF($G$4="(nonblank)",'Final Calculation Sheet'!$E$15&lt;&gt;"",ISNUMBER(SEARCH($G$4,'Final Calculation Sheet'!$E$15))))),IF($H$4="",TRUE,IF($H$4="(blank)",'Final Calculation Sheet'!$C$15="",IF($H$4="(nonblank)",'Final Calculation Sheet'!$C$15&lt;&gt;"",ISNUMBER(SEARCH($H$4,'Final Calculation Sheet'!$C$15))))),IF($I$4="",TRUE,IF($I$4="(blank)",'Final Calculation Sheet'!$H$15="",IF($I$4="(nonblank)",'Final Calculation Sheet'!$H$15&lt;&gt;"",ISNUMBER(SEARCH($I$4,'Final Calculation Sheet'!$H$15))))),IF($J$4="",TRUE,IF($J$4="(blank)",'Final Calculation Sheet'!$I$15="",IF($J$4="(nonblank)",'Final Calculation Sheet'!$I$15&lt;&gt;"",ISNUMBER(SEARCH($J$4,'Final Calculation Sheet'!$I$15))))),IF($K$4="",TRUE,IF($K$4="(blank)",'Final Calculation Sheet'!$J$15="",IF($K$4="(nonblank)",'Final Calculation Sheet'!$J$15&lt;&gt;"",ISNUMBER(SEARCH($K$4,'Final Calculation Sheet'!$J$15))))),IF($L$4="",TRUE,IF($L$4="(blank)",'Final Calculation Sheet'!$K$15="",IF($L$4="(nonblank)",'Final Calculation Sheet'!$K$15&lt;&gt;"",ISNUMBER(SEARCH($L$4,'Final Calculation Sheet'!$K$15))))),IF($M$4="",TRUE,IF($M$4="(blank)",'Final Calculation Sheet'!$L$15="",IF($M$4="(nonblank)",'Final Calculation Sheet'!$L$15&lt;&gt;"",ISNUMBER(SEARCH($M$4,'Final Calculation Sheet'!$L$15))))),IF($N$4="",TRUE,IF($N$4="(blank)",'Final Calculation Sheet'!$M$15="",IF($N$4="(nonblank)",'Final Calculation Sheet'!$M$15&lt;&gt;"",ISNUMBER(SEARCH($N$4,'Final Calculation Sheet'!$M$15))))),IF($O$4="",TRUE,IF($O$4="(blank)",'Final Calculation Sheet'!$N$15="",IF($O$4="(nonblank)",'Final Calculation Sheet'!$N$15&lt;&gt;"",ISNUMBER(SEARCH($O$4,'Final Calculation Sheet'!$N$15))))),IF($P$4="",TRUE,IF($P$4="(blank)",'Final Calculation Sheet'!$O$15="",IF($P$4="(nonblank)",'Final Calculation Sheet'!$O$15&lt;&gt;"",ISNUMBER(SEARCH($P$4,'Final Calculation Sheet'!$O$15))))),IF($Q$4="",TRUE,IF($Q$4="(blank)",'Final Calculation Sheet'!$P$15="",IF($Q$4="(nonblank)",'Final Calculation Sheet'!$P$15&lt;&gt;"",ISNUMBER(SEARCH($Q$4,'Final Calculation Sheet'!$P$15))))),IF($R$4="",TRUE,IF($R$4="(blank)",'Final Calculation Sheet'!$Q$15="",IF($R$4="(nonblank)",'Final Calculation Sheet'!$Q$15&lt;&gt;"",ISNUMBER(SEARCH($R$4,'Final Calculation Sheet'!$Q$15))))),IF($S$4="",TRUE,IF($S$4="(blank)",'Final Calculation Sheet'!$R$15="",IF($S$4="(nonblank)",'Final Calculation Sheet'!$R$15&lt;&gt;"",ISNUMBER(SEARCH($S$4,'Final Calculation Sheet'!$R$15))))),IF($T$4="",TRUE,IF($T$4="(blank)",'Final Calculation Sheet'!$S$15="",IF($T$4="(nonblank)",'Final Calculation Sheet'!$S$15&lt;&gt;"",ISNUMBER(SEARCH($T$4,'Final Calculation Sheet'!$S$15))))),IF($U$4="",TRUE,IF($U$4="(blank)",'Final Calculation Sheet'!$T$15="",IF($U$4="(nonblank)",'Final Calculation Sheet'!$T$15&lt;&gt;"",ISNUMBER(SEARCH($U$4,'Final Calculation Sheet'!$T$15))))),IF($V$4="",TRUE,IF($V$4="(blank)",'Final Calculation Sheet'!$U$15="",IF($V$4="(nonblank)",'Final Calculation Sheet'!$U$15&lt;&gt;"",ISNUMBER(SEARCH($V$4,'Final Calculation Sheet'!$U$15))))),IF($W$4="",TRUE,IF($W$4="(blank)",'Final Calculation Sheet'!$V$15="",IF($W$4="(nonblank)",'Final Calculation Sheet'!$V$15&lt;&gt;"",ISNUMBER(SEARCH($W$4,'Final Calculation Sheet'!$V$15))))),IF($X$4="",TRUE,IF($X$4="(blank)",'Final Calculation Sheet'!$W$15="",IF($X$4="(nonblank)",'Final Calculation Sheet'!$W$15&lt;&gt;"",ISNUMBER(SEARCH($X$4,'Final Calculation Sheet'!$W$15))))),IF($Y$4="",TRUE,IF($Y$4="(blank)",'Final Calculation Sheet'!$X$15="",IF($Y$4="(nonblank)",'Final Calculation Sheet'!$X$15&lt;&gt;"",ISNUMBER(SEARCH($Y$4,'Final Calculation Sheet'!$X$15))))),IF($Z$4="",TRUE,IF($Z$4="(blank)",'Final Calculation Sheet'!$Y$15="",IF($Z$4="(nonblank)",'Final Calculation Sheet'!$Y$15&lt;&gt;"",ISNUMBER(SEARCH($Z$4,'Final Calculation Sheet'!$Y$15))))),IF($AA$4="",TRUE,IF($AA$4="(blank)",'Final Calculation Sheet'!$Z$15="",IF($AA$4="(nonblank)",'Final Calculation Sheet'!$Z$15&lt;&gt;"",ISNUMBER(SEARCH($AA$4,'Final Calculation Sheet'!$Z$15))))),IF($AB$4="",TRUE,IF($AB$4="(blank)",'Final Calculation Sheet'!$AA$15="",IF($AB$4="(nonblank)",'Final Calculation Sheet'!$AA$15&lt;&gt;"",ISNUMBER(SEARCH($AB$4,'Final Calculation Sheet'!$AA$15))))),IF($AC$4="",TRUE,IF($AC$4="(blank)",'Final Calculation Sheet'!$AB$15="",IF($AC$4="(nonblank)",'Final Calculation Sheet'!$AB$15&lt;&gt;"",ISNUMBER(SEARCH($AC$4,'Final Calculation Sheet'!$AB$15))))),IF($AD$4="",TRUE,IF($AD$4="(blank)",'Final Calculation Sheet'!$AC$15="",IF($AD$4="(nonblank)",'Final Calculation Sheet'!$AC$15&lt;&gt;"",ISNUMBER(SEARCH($AD$4,'Final Calculation Sheet'!$AC$15))))),IF($AE$4="",TRUE,IF($AE$4="(blank)",'Final Calculation Sheet'!$AD$15="",IF($AE$4="(nonblank)",'Final Calculation Sheet'!$AD$15&lt;&gt;"",ISNUMBER(SEARCH($AE$4,'Final Calculation Sheet'!$AD$15))))),IF($AF$4="",TRUE,IF($AF$4="(blank)",'Final Calculation Sheet'!$AE$15="",IF($AF$4="(nonblank)",'Final Calculation Sheet'!$AE$15&lt;&gt;"",ISNUMBER(SEARCH($AF$4,'Final Calculation Sheet'!$AE$15))))),IF($AG$4="",TRUE,IF($AG$4="(blank)",'Final Calculation Sheet'!$AF$15="",IF($AG$4="(nonblank)",'Final Calculation Sheet'!$AF$15&lt;&gt;"",ISNUMBER(SEARCH($AG$4,'Final Calculation Sheet'!$AF$15))))),IF($AH$4="",TRUE,IF($AH$4="(blank)",'Final Calculation Sheet'!$AG$15="",IF($AH$4="(nonblank)",'Final Calculation Sheet'!$AG$15&lt;&gt;"",ISNUMBER(SEARCH($AH$4,'Final Calculation Sheet'!$AG$15))))),IF($AI$4="",TRUE,IF($AI$4="(blank)",IF('Final Calculation Sheet'!$AD$15&lt;=5,"SETTLED","OUTSTANDING")="",IF($AI$4="(nonblank)",IF('Final Calculation Sheet'!$AD$15&lt;=5,"SETTLED","OUTSTANDING")&lt;&gt;"",ISNUMBER(SEARCH($AI$4,IF('Final Calculation Sheet'!$AD$15&lt;=5,"SETTLED","OUTSTANDING")))))))</f>
        <v/>
      </c>
      <c r="AK17">
        <f>IF(AJ17=1,COUNTIF(AJ$6:AJ17,1),"")</f>
        <v/>
      </c>
      <c r="AM17">
        <f>AM16+IF(AND('Lists'!$O$17&lt;&gt;"",ISNUMBER(SEARCH($B$4,'Lists'!$O$17))),1,0)</f>
        <v/>
      </c>
      <c r="AN17">
        <f>IF(ROW()-3&gt;MAX($AM$4:$AM$42),"",INDEX('Lists'!$O$4:$O$42,MATCH(ROW()-3,$AM$4:$AM$42,0)))</f>
        <v/>
      </c>
      <c r="AO17">
        <f>AO16+IF(AND('Lists'!$T$17&lt;&gt;"",ISNUMBER(SEARCH($C$4,'Lists'!$T$17))),1,0)</f>
        <v/>
      </c>
      <c r="AP17">
        <f>IF(ROW()-3&gt;MAX($AO$4:$AO$42),"",INDEX('Lists'!$T$4:$T$42,MATCH(ROW()-3,$AO$4:$AO$42,0)))</f>
        <v/>
      </c>
      <c r="AQ17">
        <f>AQ16+IF(AND('Lists'!$Y$17&lt;&gt;"",ISNUMBER(SEARCH($D$4,'Lists'!$Y$17))),1,0)</f>
        <v/>
      </c>
      <c r="AR17">
        <f>IF(ROW()-3&gt;MAX($AQ$4:$AQ$42),"",INDEX('Lists'!$Y$4:$Y$42,MATCH(ROW()-3,$AQ$4:$AQ$42,0)))</f>
        <v/>
      </c>
      <c r="AS17">
        <f>AS16+IF(AND('Lists'!$AD$17&lt;&gt;"",ISNUMBER(SEARCH($E$4,'Lists'!$AD$17))),1,0)</f>
        <v/>
      </c>
      <c r="AT17">
        <f>IF(ROW()-3&gt;MAX($AS$4:$AS$42),"",INDEX('Lists'!$AD$4:$AD$42,MATCH(ROW()-3,$AS$4:$AS$42,0)))</f>
        <v/>
      </c>
      <c r="AU17">
        <f>AU16+IF(AND('Lists'!$AI$17&lt;&gt;"",ISNUMBER(SEARCH($F$4,'Lists'!$AI$17))),1,0)</f>
        <v/>
      </c>
      <c r="AV17">
        <f>IF(ROW()-3&gt;MAX($AU$4:$AU$42),"",INDEX('Lists'!$AI$4:$AI$42,MATCH(ROW()-3,$AU$4:$AU$42,0)))</f>
        <v/>
      </c>
      <c r="AW17">
        <f>AW16+IF(AND('Lists'!$AN$17&lt;&gt;"",ISNUMBER(SEARCH($G$4,'Lists'!$AN$17))),1,0)</f>
        <v/>
      </c>
      <c r="AX17">
        <f>IF(ROW()-3&gt;MAX($AW$4:$AW$42),"",INDEX('Lists'!$AN$4:$AN$42,MATCH(ROW()-3,$AW$4:$AW$42,0)))</f>
        <v/>
      </c>
      <c r="AY17">
        <f>AY16+IF(AND('Lists'!$AS$17&lt;&gt;"",ISNUMBER(SEARCH($H$4,'Lists'!$AS$17))),1,0)</f>
        <v/>
      </c>
      <c r="AZ17">
        <f>IF(ROW()-3&gt;MAX($AY$4:$AY$42),"",INDEX('Lists'!$AS$4:$AS$42,MATCH(ROW()-3,$AY$4:$AY$42,0)))</f>
        <v/>
      </c>
      <c r="BA17">
        <f>BA16+IF(AND('Lists'!$AX$17&lt;&gt;"",ISNUMBER(SEARCH($I$4,'Lists'!$AX$17))),1,0)</f>
        <v/>
      </c>
      <c r="BB17">
        <f>IF(ROW()-3&gt;MAX($BA$4:$BA$42),"",INDEX('Lists'!$AX$4:$AX$42,MATCH(ROW()-3,$BA$4:$BA$42,0)))</f>
        <v/>
      </c>
      <c r="BC17">
        <f>BC16+IF(AND('Lists'!$BC$17&lt;&gt;"",ISNUMBER(SEARCH($J$4,'Lists'!$BC$17))),1,0)</f>
        <v/>
      </c>
      <c r="BD17">
        <f>IF(ROW()-3&gt;MAX($BC$4:$BC$42),"",INDEX('Lists'!$BC$4:$BC$42,MATCH(ROW()-3,$BC$4:$BC$42,0)))</f>
        <v/>
      </c>
      <c r="BE17">
        <f>BE16+IF(AND('Lists'!$BH$17&lt;&gt;"",ISNUMBER(SEARCH($K$4,'Lists'!$BH$17))),1,0)</f>
        <v/>
      </c>
      <c r="BF17">
        <f>IF(ROW()-3&gt;MAX($BE$4:$BE$42),"",INDEX('Lists'!$BH$4:$BH$42,MATCH(ROW()-3,$BE$4:$BE$42,0)))</f>
        <v/>
      </c>
      <c r="BG17">
        <f>BG16+IF(AND('Lists'!$BM$17&lt;&gt;"",ISNUMBER(SEARCH($L$4,'Lists'!$BM$17))),1,0)</f>
        <v/>
      </c>
      <c r="BH17">
        <f>IF(ROW()-3&gt;MAX($BG$4:$BG$42),"",INDEX('Lists'!$BM$4:$BM$42,MATCH(ROW()-3,$BG$4:$BG$42,0)))</f>
        <v/>
      </c>
      <c r="BI17">
        <f>BI16+IF(AND('Lists'!$BR$17&lt;&gt;"",ISNUMBER(SEARCH($M$4,'Lists'!$BR$17))),1,0)</f>
        <v/>
      </c>
      <c r="BJ17">
        <f>IF(ROW()-3&gt;MAX($BI$4:$BI$42),"",INDEX('Lists'!$BR$4:$BR$42,MATCH(ROW()-3,$BI$4:$BI$42,0)))</f>
        <v/>
      </c>
      <c r="BK17">
        <f>BK16+IF(AND('Lists'!$BW$17&lt;&gt;"",ISNUMBER(SEARCH($N$4,'Lists'!$BW$17))),1,0)</f>
        <v/>
      </c>
      <c r="BL17">
        <f>IF(ROW()-3&gt;MAX($BK$4:$BK$42),"",INDEX('Lists'!$BW$4:$BW$42,MATCH(ROW()-3,$BK$4:$BK$42,0)))</f>
        <v/>
      </c>
      <c r="BM17">
        <f>BM16+IF(AND('Lists'!$CB$17&lt;&gt;"",ISNUMBER(SEARCH($O$4,'Lists'!$CB$17))),1,0)</f>
        <v/>
      </c>
      <c r="BN17">
        <f>IF(ROW()-3&gt;MAX($BM$4:$BM$42),"",INDEX('Lists'!$CB$4:$CB$42,MATCH(ROW()-3,$BM$4:$BM$42,0)))</f>
        <v/>
      </c>
      <c r="BO17">
        <f>BO16+IF(AND('Lists'!$CG$17&lt;&gt;"",ISNUMBER(SEARCH($P$4,'Lists'!$CG$17))),1,0)</f>
        <v/>
      </c>
      <c r="BP17">
        <f>IF(ROW()-3&gt;MAX($BO$4:$BO$42),"",INDEX('Lists'!$CG$4:$CG$42,MATCH(ROW()-3,$BO$4:$BO$42,0)))</f>
        <v/>
      </c>
      <c r="BQ17">
        <f>BQ16+IF(AND('Lists'!$CL$17&lt;&gt;"",ISNUMBER(SEARCH($Q$4,'Lists'!$CL$17))),1,0)</f>
        <v/>
      </c>
      <c r="BR17">
        <f>IF(ROW()-3&gt;MAX($BQ$4:$BQ$42),"",INDEX('Lists'!$CL$4:$CL$42,MATCH(ROW()-3,$BQ$4:$BQ$42,0)))</f>
        <v/>
      </c>
      <c r="BS17">
        <f>BS16+IF(AND('Lists'!$CQ$17&lt;&gt;"",ISNUMBER(SEARCH($R$4,'Lists'!$CQ$17))),1,0)</f>
        <v/>
      </c>
      <c r="BT17">
        <f>IF(ROW()-3&gt;MAX($BS$4:$BS$42),"",INDEX('Lists'!$CQ$4:$CQ$42,MATCH(ROW()-3,$BS$4:$BS$42,0)))</f>
        <v/>
      </c>
      <c r="BU17">
        <f>BU16+IF(AND('Lists'!$CV$17&lt;&gt;"",ISNUMBER(SEARCH($S$4,'Lists'!$CV$17))),1,0)</f>
        <v/>
      </c>
      <c r="BV17">
        <f>IF(ROW()-3&gt;MAX($BU$4:$BU$42),"",INDEX('Lists'!$CV$4:$CV$42,MATCH(ROW()-3,$BU$4:$BU$42,0)))</f>
        <v/>
      </c>
      <c r="BW17">
        <f>BW16+IF(AND('Lists'!$DA$17&lt;&gt;"",ISNUMBER(SEARCH($T$4,'Lists'!$DA$17))),1,0)</f>
        <v/>
      </c>
      <c r="BX17">
        <f>IF(ROW()-3&gt;MAX($BW$4:$BW$42),"",INDEX('Lists'!$DA$4:$DA$42,MATCH(ROW()-3,$BW$4:$BW$42,0)))</f>
        <v/>
      </c>
      <c r="BY17">
        <f>BY16+IF(AND('Lists'!$DF$17&lt;&gt;"",ISNUMBER(SEARCH($U$4,'Lists'!$DF$17))),1,0)</f>
        <v/>
      </c>
      <c r="BZ17">
        <f>IF(ROW()-3&gt;MAX($BY$4:$BY$42),"",INDEX('Lists'!$DF$4:$DF$42,MATCH(ROW()-3,$BY$4:$BY$42,0)))</f>
        <v/>
      </c>
      <c r="CA17">
        <f>CA16+IF(AND('Lists'!$DK$17&lt;&gt;"",ISNUMBER(SEARCH($V$4,'Lists'!$DK$17))),1,0)</f>
        <v/>
      </c>
      <c r="CB17">
        <f>IF(ROW()-3&gt;MAX($CA$4:$CA$42),"",INDEX('Lists'!$DK$4:$DK$42,MATCH(ROW()-3,$CA$4:$CA$42,0)))</f>
        <v/>
      </c>
      <c r="CC17">
        <f>CC16+IF(AND('Lists'!$DP$17&lt;&gt;"",ISNUMBER(SEARCH($W$4,'Lists'!$DP$17))),1,0)</f>
        <v/>
      </c>
      <c r="CD17">
        <f>IF(ROW()-3&gt;MAX($CC$4:$CC$42),"",INDEX('Lists'!$DP$4:$DP$42,MATCH(ROW()-3,$CC$4:$CC$42,0)))</f>
        <v/>
      </c>
      <c r="CE17">
        <f>CE16+IF(AND('Lists'!$DU$17&lt;&gt;"",ISNUMBER(SEARCH($X$4,'Lists'!$DU$17))),1,0)</f>
        <v/>
      </c>
      <c r="CF17">
        <f>IF(ROW()-3&gt;MAX($CE$4:$CE$42),"",INDEX('Lists'!$DU$4:$DU$42,MATCH(ROW()-3,$CE$4:$CE$42,0)))</f>
        <v/>
      </c>
      <c r="CG17">
        <f>CG16+IF(AND('Lists'!$DZ$17&lt;&gt;"",ISNUMBER(SEARCH($Y$4,'Lists'!$DZ$17))),1,0)</f>
        <v/>
      </c>
      <c r="CH17">
        <f>IF(ROW()-3&gt;MAX($CG$4:$CG$42),"",INDEX('Lists'!$DZ$4:$DZ$42,MATCH(ROW()-3,$CG$4:$CG$42,0)))</f>
        <v/>
      </c>
      <c r="CI17">
        <f>CI16+IF(AND('Lists'!$EE$17&lt;&gt;"",ISNUMBER(SEARCH($Z$4,'Lists'!$EE$17))),1,0)</f>
        <v/>
      </c>
      <c r="CJ17">
        <f>IF(ROW()-3&gt;MAX($CI$4:$CI$42),"",INDEX('Lists'!$EE$4:$EE$42,MATCH(ROW()-3,$CI$4:$CI$42,0)))</f>
        <v/>
      </c>
      <c r="CK17">
        <f>CK16+IF(AND('Lists'!$EJ$17&lt;&gt;"",ISNUMBER(SEARCH($AA$4,'Lists'!$EJ$17))),1,0)</f>
        <v/>
      </c>
      <c r="CL17">
        <f>IF(ROW()-3&gt;MAX($CK$4:$CK$42),"",INDEX('Lists'!$EJ$4:$EJ$42,MATCH(ROW()-3,$CK$4:$CK$42,0)))</f>
        <v/>
      </c>
      <c r="CM17">
        <f>CM16+IF(AND('Lists'!$EO$17&lt;&gt;"",ISNUMBER(SEARCH($AB$4,'Lists'!$EO$17))),1,0)</f>
        <v/>
      </c>
      <c r="CN17">
        <f>IF(ROW()-3&gt;MAX($CM$4:$CM$42),"",INDEX('Lists'!$EO$4:$EO$42,MATCH(ROW()-3,$CM$4:$CM$42,0)))</f>
        <v/>
      </c>
      <c r="CO17">
        <f>CO16+IF(AND('Lists'!$ET$17&lt;&gt;"",ISNUMBER(SEARCH($AC$4,'Lists'!$ET$17))),1,0)</f>
        <v/>
      </c>
      <c r="CP17">
        <f>IF(ROW()-3&gt;MAX($CO$4:$CO$42),"",INDEX('Lists'!$ET$4:$ET$42,MATCH(ROW()-3,$CO$4:$CO$42,0)))</f>
        <v/>
      </c>
      <c r="CQ17">
        <f>CQ16+IF(AND('Lists'!$EY$17&lt;&gt;"",ISNUMBER(SEARCH($AD$4,'Lists'!$EY$17))),1,0)</f>
        <v/>
      </c>
      <c r="CR17">
        <f>IF(ROW()-3&gt;MAX($CQ$4:$CQ$42),"",INDEX('Lists'!$EY$4:$EY$42,MATCH(ROW()-3,$CQ$4:$CQ$42,0)))</f>
        <v/>
      </c>
      <c r="CS17">
        <f>CS16+IF(AND('Lists'!$FD$17&lt;&gt;"",ISNUMBER(SEARCH($AE$4,'Lists'!$FD$17))),1,0)</f>
        <v/>
      </c>
      <c r="CT17">
        <f>IF(ROW()-3&gt;MAX($CS$4:$CS$42),"",INDEX('Lists'!$FD$4:$FD$42,MATCH(ROW()-3,$CS$4:$CS$42,0)))</f>
        <v/>
      </c>
      <c r="CU17">
        <f>CU16+IF(AND('Lists'!$FI$17&lt;&gt;"",ISNUMBER(SEARCH($AF$4,'Lists'!$FI$17))),1,0)</f>
        <v/>
      </c>
      <c r="CV17">
        <f>IF(ROW()-3&gt;MAX($CU$4:$CU$42),"",INDEX('Lists'!$FI$4:$FI$42,MATCH(ROW()-3,$CU$4:$CU$42,0)))</f>
        <v/>
      </c>
      <c r="CW17">
        <f>CW16+IF(AND('Lists'!$FN$17&lt;&gt;"",ISNUMBER(SEARCH($AG$4,'Lists'!$FN$17))),1,0)</f>
        <v/>
      </c>
      <c r="CX17">
        <f>IF(ROW()-3&gt;MAX($CW$4:$CW$42),"",INDEX('Lists'!$FN$4:$FN$42,MATCH(ROW()-3,$CW$4:$CW$42,0)))</f>
        <v/>
      </c>
      <c r="CY17">
        <f>CY16+IF(AND('Lists'!$FS$17&lt;&gt;"",ISNUMBER(SEARCH($AH$4,'Lists'!$FS$17))),1,0)</f>
        <v/>
      </c>
      <c r="CZ17">
        <f>IF(ROW()-3&gt;MAX($CY$4:$CY$42),"",INDEX('Lists'!$FS$4:$FS$42,MATCH(ROW()-3,$CY$4:$CY$42,0)))</f>
        <v/>
      </c>
      <c r="DA17">
        <f>DA16+IF(AND('Lists'!$FX$17&lt;&gt;"",ISNUMBER(SEARCH($AI$4,'Lists'!$FX$17))),1,0)</f>
        <v/>
      </c>
      <c r="DB17">
        <f>IF(ROW()-3&gt;MAX($DA$4:$DA$42),"",INDEX('Lists'!$FX$4:$FX$42,MATCH(ROW()-3,$DA$4:$DA$42,0)))</f>
        <v/>
      </c>
    </row>
    <row r="18" outlineLevel="1" ht="15" customHeight="1" s="77">
      <c r="A18" s="118" t="n">
        <v>2</v>
      </c>
      <c r="B18" s="119">
        <f>IF('Final Calculation Sheet'!$F$10="","",'Final Calculation Sheet'!$F$10)</f>
        <v/>
      </c>
      <c r="C18" s="119">
        <f>IF('Final Calculation Sheet'!$G$10="","",'Final Calculation Sheet'!$G$10)</f>
        <v/>
      </c>
      <c r="D18" s="120">
        <f>IF('Final Calculation Sheet'!$B$10="","",'Final Calculation Sheet'!$B$10)</f>
        <v/>
      </c>
      <c r="E18" s="120">
        <f>IF('Final Calculation Sheet'!$D$10="","",'Final Calculation Sheet'!$D$10)</f>
        <v/>
      </c>
      <c r="F18" s="120">
        <f>IF('Final Calculation Sheet'!$A$10="","",'Final Calculation Sheet'!$A$10)</f>
        <v/>
      </c>
      <c r="G18" s="120">
        <f>IF('Final Calculation Sheet'!$E$10="","",'Final Calculation Sheet'!$E$10)</f>
        <v/>
      </c>
      <c r="H18" s="121">
        <f>IF('Final Calculation Sheet'!$C$10="","",'Final Calculation Sheet'!$C$10)</f>
        <v/>
      </c>
      <c r="I18" s="121">
        <f>IF('Final Calculation Sheet'!$H$10="","",'Final Calculation Sheet'!$H$10)</f>
        <v/>
      </c>
      <c r="J18" s="121">
        <f>IF('Final Calculation Sheet'!$I$10="","",'Final Calculation Sheet'!$I$10)</f>
        <v/>
      </c>
      <c r="K18" s="121">
        <f>IF('Final Calculation Sheet'!$J$10="","",'Final Calculation Sheet'!$J$10)</f>
        <v/>
      </c>
      <c r="L18" s="121">
        <f>IF('Final Calculation Sheet'!$K$10="","",'Final Calculation Sheet'!$K$10)</f>
        <v/>
      </c>
      <c r="M18" s="121">
        <f>IF('Final Calculation Sheet'!$L$10="","",'Final Calculation Sheet'!$L$10)</f>
        <v/>
      </c>
      <c r="N18" s="121">
        <f>IF('Final Calculation Sheet'!$M$10="","",'Final Calculation Sheet'!$M$10)</f>
        <v/>
      </c>
      <c r="O18" s="122">
        <f>IF('Final Calculation Sheet'!$N$10="","",'Final Calculation Sheet'!$N$10)</f>
        <v/>
      </c>
      <c r="P18" s="121">
        <f>IF('Final Calculation Sheet'!$O$10="","",'Final Calculation Sheet'!$O$10)</f>
        <v/>
      </c>
      <c r="Q18" s="121">
        <f>IF('Final Calculation Sheet'!$P$10="","",'Final Calculation Sheet'!$P$10)</f>
        <v/>
      </c>
      <c r="R18" s="123">
        <f>IF('Final Calculation Sheet'!$Q$10="","",'Final Calculation Sheet'!$Q$10)</f>
        <v/>
      </c>
      <c r="S18" s="121">
        <f>IF('Final Calculation Sheet'!$R$10="","",'Final Calculation Sheet'!$R$10)</f>
        <v/>
      </c>
      <c r="T18" s="121">
        <f>IF('Final Calculation Sheet'!$S$10="","",'Final Calculation Sheet'!$S$10)</f>
        <v/>
      </c>
      <c r="U18" s="121">
        <f>IF('Final Calculation Sheet'!$T$10="","",'Final Calculation Sheet'!$T$10)</f>
        <v/>
      </c>
      <c r="V18" s="124">
        <f>IF('Final Calculation Sheet'!$U$10="","",'Final Calculation Sheet'!$U$10)</f>
        <v/>
      </c>
      <c r="W18" s="121">
        <f>IF('Final Calculation Sheet'!$V$10="","",'Final Calculation Sheet'!$V$10)</f>
        <v/>
      </c>
      <c r="X18" s="121">
        <f>IF('Final Calculation Sheet'!$W$10="","",'Final Calculation Sheet'!$W$10)</f>
        <v/>
      </c>
      <c r="Y18" s="121">
        <f>IF('Final Calculation Sheet'!$X$10="","",'Final Calculation Sheet'!$X$10)</f>
        <v/>
      </c>
      <c r="Z18" s="121">
        <f>IF('Final Calculation Sheet'!$Y$10="","",'Final Calculation Sheet'!$Y$10)</f>
        <v/>
      </c>
      <c r="AA18" s="121">
        <f>IF('Final Calculation Sheet'!$Z$10="","",'Final Calculation Sheet'!$Z$10)</f>
        <v/>
      </c>
      <c r="AB18" s="121">
        <f>IF('Final Calculation Sheet'!$AA$10="","",'Final Calculation Sheet'!$AA$10)</f>
        <v/>
      </c>
      <c r="AC18" s="121">
        <f>IF('Final Calculation Sheet'!$AB$10="","",'Final Calculation Sheet'!$AB$10)</f>
        <v/>
      </c>
      <c r="AD18" s="121">
        <f>IF('Final Calculation Sheet'!$AC$10="","",'Final Calculation Sheet'!$AC$10)</f>
        <v/>
      </c>
      <c r="AE18" s="121">
        <f>IF('Final Calculation Sheet'!$AD$10="","",'Final Calculation Sheet'!$AD$10)</f>
        <v/>
      </c>
      <c r="AF18" s="121">
        <f>IF('Final Calculation Sheet'!$AE$10="","",'Final Calculation Sheet'!$AE$10)</f>
        <v/>
      </c>
      <c r="AG18" s="125">
        <f>IF('Final Calculation Sheet'!$AF$10="","",'Final Calculation Sheet'!$AF$10)</f>
        <v/>
      </c>
      <c r="AH18" s="121">
        <f>IF('Final Calculation Sheet'!$AG$10="","",'Final Calculation Sheet'!$AG$10)</f>
        <v/>
      </c>
      <c r="AI18" s="126">
        <f>IF('Final Calculation Sheet'!$AD$10="","",IF('Final Calculation Sheet'!$AD$10&lt;=5,"SETTLED","OUTSTANDING"))</f>
        <v/>
      </c>
      <c r="AJ18">
        <f>AND(IF($B$4="",TRUE,IF($B$4="(blank)",'Final Calculation Sheet'!$F$16="",IF($B$4="(nonblank)",'Final Calculation Sheet'!$F$16&lt;&gt;"",ISNUMBER(SEARCH($B$4,'Final Calculation Sheet'!$F$16))))),IF($C$4="",TRUE,IF($C$4="(blank)",'Final Calculation Sheet'!$G$16="",IF($C$4="(nonblank)",'Final Calculation Sheet'!$G$16&lt;&gt;"",ISNUMBER(SEARCH($C$4,'Final Calculation Sheet'!$G$16))))),IF($D$4="",TRUE,IF($D$4="(blank)",'Final Calculation Sheet'!$B$16="",IF($D$4="(nonblank)",'Final Calculation Sheet'!$B$16&lt;&gt;"",ISNUMBER(SEARCH($D$4,'Final Calculation Sheet'!$B$16))))),IF($E$4="",TRUE,IF($E$4="(blank)",'Final Calculation Sheet'!$D$16="",IF($E$4="(nonblank)",'Final Calculation Sheet'!$D$16&lt;&gt;"",ISNUMBER(SEARCH($E$4,'Final Calculation Sheet'!$D$16))))),IF($F$4="",TRUE,IF($F$4="(blank)",'Final Calculation Sheet'!$A$16="",IF($F$4="(nonblank)",'Final Calculation Sheet'!$A$16&lt;&gt;"",ISNUMBER(SEARCH($F$4,'Final Calculation Sheet'!$A$16))))),IF($G$4="",TRUE,IF($G$4="(blank)",'Final Calculation Sheet'!$E$16="",IF($G$4="(nonblank)",'Final Calculation Sheet'!$E$16&lt;&gt;"",ISNUMBER(SEARCH($G$4,'Final Calculation Sheet'!$E$16))))),IF($H$4="",TRUE,IF($H$4="(blank)",'Final Calculation Sheet'!$C$16="",IF($H$4="(nonblank)",'Final Calculation Sheet'!$C$16&lt;&gt;"",ISNUMBER(SEARCH($H$4,'Final Calculation Sheet'!$C$16))))),IF($I$4="",TRUE,IF($I$4="(blank)",'Final Calculation Sheet'!$H$16="",IF($I$4="(nonblank)",'Final Calculation Sheet'!$H$16&lt;&gt;"",ISNUMBER(SEARCH($I$4,'Final Calculation Sheet'!$H$16))))),IF($J$4="",TRUE,IF($J$4="(blank)",'Final Calculation Sheet'!$I$16="",IF($J$4="(nonblank)",'Final Calculation Sheet'!$I$16&lt;&gt;"",ISNUMBER(SEARCH($J$4,'Final Calculation Sheet'!$I$16))))),IF($K$4="",TRUE,IF($K$4="(blank)",'Final Calculation Sheet'!$J$16="",IF($K$4="(nonblank)",'Final Calculation Sheet'!$J$16&lt;&gt;"",ISNUMBER(SEARCH($K$4,'Final Calculation Sheet'!$J$16))))),IF($L$4="",TRUE,IF($L$4="(blank)",'Final Calculation Sheet'!$K$16="",IF($L$4="(nonblank)",'Final Calculation Sheet'!$K$16&lt;&gt;"",ISNUMBER(SEARCH($L$4,'Final Calculation Sheet'!$K$16))))),IF($M$4="",TRUE,IF($M$4="(blank)",'Final Calculation Sheet'!$L$16="",IF($M$4="(nonblank)",'Final Calculation Sheet'!$L$16&lt;&gt;"",ISNUMBER(SEARCH($M$4,'Final Calculation Sheet'!$L$16))))),IF($N$4="",TRUE,IF($N$4="(blank)",'Final Calculation Sheet'!$M$16="",IF($N$4="(nonblank)",'Final Calculation Sheet'!$M$16&lt;&gt;"",ISNUMBER(SEARCH($N$4,'Final Calculation Sheet'!$M$16))))),IF($O$4="",TRUE,IF($O$4="(blank)",'Final Calculation Sheet'!$N$16="",IF($O$4="(nonblank)",'Final Calculation Sheet'!$N$16&lt;&gt;"",ISNUMBER(SEARCH($O$4,'Final Calculation Sheet'!$N$16))))),IF($P$4="",TRUE,IF($P$4="(blank)",'Final Calculation Sheet'!$O$16="",IF($P$4="(nonblank)",'Final Calculation Sheet'!$O$16&lt;&gt;"",ISNUMBER(SEARCH($P$4,'Final Calculation Sheet'!$O$16))))),IF($Q$4="",TRUE,IF($Q$4="(blank)",'Final Calculation Sheet'!$P$16="",IF($Q$4="(nonblank)",'Final Calculation Sheet'!$P$16&lt;&gt;"",ISNUMBER(SEARCH($Q$4,'Final Calculation Sheet'!$P$16))))),IF($R$4="",TRUE,IF($R$4="(blank)",'Final Calculation Sheet'!$Q$16="",IF($R$4="(nonblank)",'Final Calculation Sheet'!$Q$16&lt;&gt;"",ISNUMBER(SEARCH($R$4,'Final Calculation Sheet'!$Q$16))))),IF($S$4="",TRUE,IF($S$4="(blank)",'Final Calculation Sheet'!$R$16="",IF($S$4="(nonblank)",'Final Calculation Sheet'!$R$16&lt;&gt;"",ISNUMBER(SEARCH($S$4,'Final Calculation Sheet'!$R$16))))),IF($T$4="",TRUE,IF($T$4="(blank)",'Final Calculation Sheet'!$S$16="",IF($T$4="(nonblank)",'Final Calculation Sheet'!$S$16&lt;&gt;"",ISNUMBER(SEARCH($T$4,'Final Calculation Sheet'!$S$16))))),IF($U$4="",TRUE,IF($U$4="(blank)",'Final Calculation Sheet'!$T$16="",IF($U$4="(nonblank)",'Final Calculation Sheet'!$T$16&lt;&gt;"",ISNUMBER(SEARCH($U$4,'Final Calculation Sheet'!$T$16))))),IF($V$4="",TRUE,IF($V$4="(blank)",'Final Calculation Sheet'!$U$16="",IF($V$4="(nonblank)",'Final Calculation Sheet'!$U$16&lt;&gt;"",ISNUMBER(SEARCH($V$4,'Final Calculation Sheet'!$U$16))))),IF($W$4="",TRUE,IF($W$4="(blank)",'Final Calculation Sheet'!$V$16="",IF($W$4="(nonblank)",'Final Calculation Sheet'!$V$16&lt;&gt;"",ISNUMBER(SEARCH($W$4,'Final Calculation Sheet'!$V$16))))),IF($X$4="",TRUE,IF($X$4="(blank)",'Final Calculation Sheet'!$W$16="",IF($X$4="(nonblank)",'Final Calculation Sheet'!$W$16&lt;&gt;"",ISNUMBER(SEARCH($X$4,'Final Calculation Sheet'!$W$16))))),IF($Y$4="",TRUE,IF($Y$4="(blank)",'Final Calculation Sheet'!$X$16="",IF($Y$4="(nonblank)",'Final Calculation Sheet'!$X$16&lt;&gt;"",ISNUMBER(SEARCH($Y$4,'Final Calculation Sheet'!$X$16))))),IF($Z$4="",TRUE,IF($Z$4="(blank)",'Final Calculation Sheet'!$Y$16="",IF($Z$4="(nonblank)",'Final Calculation Sheet'!$Y$16&lt;&gt;"",ISNUMBER(SEARCH($Z$4,'Final Calculation Sheet'!$Y$16))))),IF($AA$4="",TRUE,IF($AA$4="(blank)",'Final Calculation Sheet'!$Z$16="",IF($AA$4="(nonblank)",'Final Calculation Sheet'!$Z$16&lt;&gt;"",ISNUMBER(SEARCH($AA$4,'Final Calculation Sheet'!$Z$16))))),IF($AB$4="",TRUE,IF($AB$4="(blank)",'Final Calculation Sheet'!$AA$16="",IF($AB$4="(nonblank)",'Final Calculation Sheet'!$AA$16&lt;&gt;"",ISNUMBER(SEARCH($AB$4,'Final Calculation Sheet'!$AA$16))))),IF($AC$4="",TRUE,IF($AC$4="(blank)",'Final Calculation Sheet'!$AB$16="",IF($AC$4="(nonblank)",'Final Calculation Sheet'!$AB$16&lt;&gt;"",ISNUMBER(SEARCH($AC$4,'Final Calculation Sheet'!$AB$16))))),IF($AD$4="",TRUE,IF($AD$4="(blank)",'Final Calculation Sheet'!$AC$16="",IF($AD$4="(nonblank)",'Final Calculation Sheet'!$AC$16&lt;&gt;"",ISNUMBER(SEARCH($AD$4,'Final Calculation Sheet'!$AC$16))))),IF($AE$4="",TRUE,IF($AE$4="(blank)",'Final Calculation Sheet'!$AD$16="",IF($AE$4="(nonblank)",'Final Calculation Sheet'!$AD$16&lt;&gt;"",ISNUMBER(SEARCH($AE$4,'Final Calculation Sheet'!$AD$16))))),IF($AF$4="",TRUE,IF($AF$4="(blank)",'Final Calculation Sheet'!$AE$16="",IF($AF$4="(nonblank)",'Final Calculation Sheet'!$AE$16&lt;&gt;"",ISNUMBER(SEARCH($AF$4,'Final Calculation Sheet'!$AE$16))))),IF($AG$4="",TRUE,IF($AG$4="(blank)",'Final Calculation Sheet'!$AF$16="",IF($AG$4="(nonblank)",'Final Calculation Sheet'!$AF$16&lt;&gt;"",ISNUMBER(SEARCH($AG$4,'Final Calculation Sheet'!$AF$16))))),IF($AH$4="",TRUE,IF($AH$4="(blank)",'Final Calculation Sheet'!$AG$16="",IF($AH$4="(nonblank)",'Final Calculation Sheet'!$AG$16&lt;&gt;"",ISNUMBER(SEARCH($AH$4,'Final Calculation Sheet'!$AG$16))))),IF($AI$4="",TRUE,IF($AI$4="(blank)",IF('Final Calculation Sheet'!$AD$16&lt;=5,"SETTLED","OUTSTANDING")="",IF($AI$4="(nonblank)",IF('Final Calculation Sheet'!$AD$16&lt;=5,"SETTLED","OUTSTANDING")&lt;&gt;"",ISNUMBER(SEARCH($AI$4,IF('Final Calculation Sheet'!$AD$16&lt;=5,"SETTLED","OUTSTANDING")))))))</f>
        <v/>
      </c>
      <c r="AK18">
        <f>IF(AJ18=1,COUNTIF(AJ$6:AJ18,1),"")</f>
        <v/>
      </c>
      <c r="AM18">
        <f>AM17+IF(AND('Lists'!$O$18&lt;&gt;"",ISNUMBER(SEARCH($B$4,'Lists'!$O$18))),1,0)</f>
        <v/>
      </c>
      <c r="AN18">
        <f>IF(ROW()-3&gt;MAX($AM$4:$AM$42),"",INDEX('Lists'!$O$4:$O$42,MATCH(ROW()-3,$AM$4:$AM$42,0)))</f>
        <v/>
      </c>
      <c r="AO18">
        <f>AO17+IF(AND('Lists'!$T$18&lt;&gt;"",ISNUMBER(SEARCH($C$4,'Lists'!$T$18))),1,0)</f>
        <v/>
      </c>
      <c r="AP18">
        <f>IF(ROW()-3&gt;MAX($AO$4:$AO$42),"",INDEX('Lists'!$T$4:$T$42,MATCH(ROW()-3,$AO$4:$AO$42,0)))</f>
        <v/>
      </c>
      <c r="AQ18">
        <f>AQ17+IF(AND('Lists'!$Y$18&lt;&gt;"",ISNUMBER(SEARCH($D$4,'Lists'!$Y$18))),1,0)</f>
        <v/>
      </c>
      <c r="AR18">
        <f>IF(ROW()-3&gt;MAX($AQ$4:$AQ$42),"",INDEX('Lists'!$Y$4:$Y$42,MATCH(ROW()-3,$AQ$4:$AQ$42,0)))</f>
        <v/>
      </c>
      <c r="AS18">
        <f>AS17+IF(AND('Lists'!$AD$18&lt;&gt;"",ISNUMBER(SEARCH($E$4,'Lists'!$AD$18))),1,0)</f>
        <v/>
      </c>
      <c r="AT18">
        <f>IF(ROW()-3&gt;MAX($AS$4:$AS$42),"",INDEX('Lists'!$AD$4:$AD$42,MATCH(ROW()-3,$AS$4:$AS$42,0)))</f>
        <v/>
      </c>
      <c r="AU18">
        <f>AU17+IF(AND('Lists'!$AI$18&lt;&gt;"",ISNUMBER(SEARCH($F$4,'Lists'!$AI$18))),1,0)</f>
        <v/>
      </c>
      <c r="AV18">
        <f>IF(ROW()-3&gt;MAX($AU$4:$AU$42),"",INDEX('Lists'!$AI$4:$AI$42,MATCH(ROW()-3,$AU$4:$AU$42,0)))</f>
        <v/>
      </c>
      <c r="AW18">
        <f>AW17+IF(AND('Lists'!$AN$18&lt;&gt;"",ISNUMBER(SEARCH($G$4,'Lists'!$AN$18))),1,0)</f>
        <v/>
      </c>
      <c r="AX18">
        <f>IF(ROW()-3&gt;MAX($AW$4:$AW$42),"",INDEX('Lists'!$AN$4:$AN$42,MATCH(ROW()-3,$AW$4:$AW$42,0)))</f>
        <v/>
      </c>
      <c r="AY18">
        <f>AY17+IF(AND('Lists'!$AS$18&lt;&gt;"",ISNUMBER(SEARCH($H$4,'Lists'!$AS$18))),1,0)</f>
        <v/>
      </c>
      <c r="AZ18">
        <f>IF(ROW()-3&gt;MAX($AY$4:$AY$42),"",INDEX('Lists'!$AS$4:$AS$42,MATCH(ROW()-3,$AY$4:$AY$42,0)))</f>
        <v/>
      </c>
      <c r="BA18">
        <f>BA17+IF(AND('Lists'!$AX$18&lt;&gt;"",ISNUMBER(SEARCH($I$4,'Lists'!$AX$18))),1,0)</f>
        <v/>
      </c>
      <c r="BB18">
        <f>IF(ROW()-3&gt;MAX($BA$4:$BA$42),"",INDEX('Lists'!$AX$4:$AX$42,MATCH(ROW()-3,$BA$4:$BA$42,0)))</f>
        <v/>
      </c>
      <c r="BC18">
        <f>BC17+IF(AND('Lists'!$BC$18&lt;&gt;"",ISNUMBER(SEARCH($J$4,'Lists'!$BC$18))),1,0)</f>
        <v/>
      </c>
      <c r="BD18">
        <f>IF(ROW()-3&gt;MAX($BC$4:$BC$42),"",INDEX('Lists'!$BC$4:$BC$42,MATCH(ROW()-3,$BC$4:$BC$42,0)))</f>
        <v/>
      </c>
      <c r="BE18">
        <f>BE17+IF(AND('Lists'!$BH$18&lt;&gt;"",ISNUMBER(SEARCH($K$4,'Lists'!$BH$18))),1,0)</f>
        <v/>
      </c>
      <c r="BF18">
        <f>IF(ROW()-3&gt;MAX($BE$4:$BE$42),"",INDEX('Lists'!$BH$4:$BH$42,MATCH(ROW()-3,$BE$4:$BE$42,0)))</f>
        <v/>
      </c>
      <c r="BG18">
        <f>BG17+IF(AND('Lists'!$BM$18&lt;&gt;"",ISNUMBER(SEARCH($L$4,'Lists'!$BM$18))),1,0)</f>
        <v/>
      </c>
      <c r="BH18">
        <f>IF(ROW()-3&gt;MAX($BG$4:$BG$42),"",INDEX('Lists'!$BM$4:$BM$42,MATCH(ROW()-3,$BG$4:$BG$42,0)))</f>
        <v/>
      </c>
      <c r="BI18">
        <f>BI17+IF(AND('Lists'!$BR$18&lt;&gt;"",ISNUMBER(SEARCH($M$4,'Lists'!$BR$18))),1,0)</f>
        <v/>
      </c>
      <c r="BJ18">
        <f>IF(ROW()-3&gt;MAX($BI$4:$BI$42),"",INDEX('Lists'!$BR$4:$BR$42,MATCH(ROW()-3,$BI$4:$BI$42,0)))</f>
        <v/>
      </c>
      <c r="BK18">
        <f>BK17+IF(AND('Lists'!$BW$18&lt;&gt;"",ISNUMBER(SEARCH($N$4,'Lists'!$BW$18))),1,0)</f>
        <v/>
      </c>
      <c r="BL18">
        <f>IF(ROW()-3&gt;MAX($BK$4:$BK$42),"",INDEX('Lists'!$BW$4:$BW$42,MATCH(ROW()-3,$BK$4:$BK$42,0)))</f>
        <v/>
      </c>
      <c r="BM18">
        <f>BM17+IF(AND('Lists'!$CB$18&lt;&gt;"",ISNUMBER(SEARCH($O$4,'Lists'!$CB$18))),1,0)</f>
        <v/>
      </c>
      <c r="BN18">
        <f>IF(ROW()-3&gt;MAX($BM$4:$BM$42),"",INDEX('Lists'!$CB$4:$CB$42,MATCH(ROW()-3,$BM$4:$BM$42,0)))</f>
        <v/>
      </c>
      <c r="BO18">
        <f>BO17+IF(AND('Lists'!$CG$18&lt;&gt;"",ISNUMBER(SEARCH($P$4,'Lists'!$CG$18))),1,0)</f>
        <v/>
      </c>
      <c r="BP18">
        <f>IF(ROW()-3&gt;MAX($BO$4:$BO$42),"",INDEX('Lists'!$CG$4:$CG$42,MATCH(ROW()-3,$BO$4:$BO$42,0)))</f>
        <v/>
      </c>
      <c r="BQ18">
        <f>BQ17+IF(AND('Lists'!$CL$18&lt;&gt;"",ISNUMBER(SEARCH($Q$4,'Lists'!$CL$18))),1,0)</f>
        <v/>
      </c>
      <c r="BR18">
        <f>IF(ROW()-3&gt;MAX($BQ$4:$BQ$42),"",INDEX('Lists'!$CL$4:$CL$42,MATCH(ROW()-3,$BQ$4:$BQ$42,0)))</f>
        <v/>
      </c>
      <c r="BS18">
        <f>BS17+IF(AND('Lists'!$CQ$18&lt;&gt;"",ISNUMBER(SEARCH($R$4,'Lists'!$CQ$18))),1,0)</f>
        <v/>
      </c>
      <c r="BT18">
        <f>IF(ROW()-3&gt;MAX($BS$4:$BS$42),"",INDEX('Lists'!$CQ$4:$CQ$42,MATCH(ROW()-3,$BS$4:$BS$42,0)))</f>
        <v/>
      </c>
      <c r="BU18">
        <f>BU17+IF(AND('Lists'!$CV$18&lt;&gt;"",ISNUMBER(SEARCH($S$4,'Lists'!$CV$18))),1,0)</f>
        <v/>
      </c>
      <c r="BV18">
        <f>IF(ROW()-3&gt;MAX($BU$4:$BU$42),"",INDEX('Lists'!$CV$4:$CV$42,MATCH(ROW()-3,$BU$4:$BU$42,0)))</f>
        <v/>
      </c>
      <c r="BW18">
        <f>BW17+IF(AND('Lists'!$DA$18&lt;&gt;"",ISNUMBER(SEARCH($T$4,'Lists'!$DA$18))),1,0)</f>
        <v/>
      </c>
      <c r="BX18">
        <f>IF(ROW()-3&gt;MAX($BW$4:$BW$42),"",INDEX('Lists'!$DA$4:$DA$42,MATCH(ROW()-3,$BW$4:$BW$42,0)))</f>
        <v/>
      </c>
      <c r="BY18">
        <f>BY17+IF(AND('Lists'!$DF$18&lt;&gt;"",ISNUMBER(SEARCH($U$4,'Lists'!$DF$18))),1,0)</f>
        <v/>
      </c>
      <c r="BZ18">
        <f>IF(ROW()-3&gt;MAX($BY$4:$BY$42),"",INDEX('Lists'!$DF$4:$DF$42,MATCH(ROW()-3,$BY$4:$BY$42,0)))</f>
        <v/>
      </c>
      <c r="CA18">
        <f>CA17+IF(AND('Lists'!$DK$18&lt;&gt;"",ISNUMBER(SEARCH($V$4,'Lists'!$DK$18))),1,0)</f>
        <v/>
      </c>
      <c r="CB18">
        <f>IF(ROW()-3&gt;MAX($CA$4:$CA$42),"",INDEX('Lists'!$DK$4:$DK$42,MATCH(ROW()-3,$CA$4:$CA$42,0)))</f>
        <v/>
      </c>
      <c r="CC18">
        <f>CC17+IF(AND('Lists'!$DP$18&lt;&gt;"",ISNUMBER(SEARCH($W$4,'Lists'!$DP$18))),1,0)</f>
        <v/>
      </c>
      <c r="CD18">
        <f>IF(ROW()-3&gt;MAX($CC$4:$CC$42),"",INDEX('Lists'!$DP$4:$DP$42,MATCH(ROW()-3,$CC$4:$CC$42,0)))</f>
        <v/>
      </c>
      <c r="CE18">
        <f>CE17+IF(AND('Lists'!$DU$18&lt;&gt;"",ISNUMBER(SEARCH($X$4,'Lists'!$DU$18))),1,0)</f>
        <v/>
      </c>
      <c r="CF18">
        <f>IF(ROW()-3&gt;MAX($CE$4:$CE$42),"",INDEX('Lists'!$DU$4:$DU$42,MATCH(ROW()-3,$CE$4:$CE$42,0)))</f>
        <v/>
      </c>
      <c r="CG18">
        <f>CG17+IF(AND('Lists'!$DZ$18&lt;&gt;"",ISNUMBER(SEARCH($Y$4,'Lists'!$DZ$18))),1,0)</f>
        <v/>
      </c>
      <c r="CH18">
        <f>IF(ROW()-3&gt;MAX($CG$4:$CG$42),"",INDEX('Lists'!$DZ$4:$DZ$42,MATCH(ROW()-3,$CG$4:$CG$42,0)))</f>
        <v/>
      </c>
      <c r="CI18">
        <f>CI17+IF(AND('Lists'!$EE$18&lt;&gt;"",ISNUMBER(SEARCH($Z$4,'Lists'!$EE$18))),1,0)</f>
        <v/>
      </c>
      <c r="CJ18">
        <f>IF(ROW()-3&gt;MAX($CI$4:$CI$42),"",INDEX('Lists'!$EE$4:$EE$42,MATCH(ROW()-3,$CI$4:$CI$42,0)))</f>
        <v/>
      </c>
      <c r="CK18">
        <f>CK17+IF(AND('Lists'!$EJ$18&lt;&gt;"",ISNUMBER(SEARCH($AA$4,'Lists'!$EJ$18))),1,0)</f>
        <v/>
      </c>
      <c r="CL18">
        <f>IF(ROW()-3&gt;MAX($CK$4:$CK$42),"",INDEX('Lists'!$EJ$4:$EJ$42,MATCH(ROW()-3,$CK$4:$CK$42,0)))</f>
        <v/>
      </c>
      <c r="CM18">
        <f>CM17+IF(AND('Lists'!$EO$18&lt;&gt;"",ISNUMBER(SEARCH($AB$4,'Lists'!$EO$18))),1,0)</f>
        <v/>
      </c>
      <c r="CN18">
        <f>IF(ROW()-3&gt;MAX($CM$4:$CM$42),"",INDEX('Lists'!$EO$4:$EO$42,MATCH(ROW()-3,$CM$4:$CM$42,0)))</f>
        <v/>
      </c>
      <c r="CO18">
        <f>CO17+IF(AND('Lists'!$ET$18&lt;&gt;"",ISNUMBER(SEARCH($AC$4,'Lists'!$ET$18))),1,0)</f>
        <v/>
      </c>
      <c r="CP18">
        <f>IF(ROW()-3&gt;MAX($CO$4:$CO$42),"",INDEX('Lists'!$ET$4:$ET$42,MATCH(ROW()-3,$CO$4:$CO$42,0)))</f>
        <v/>
      </c>
      <c r="CQ18">
        <f>CQ17+IF(AND('Lists'!$EY$18&lt;&gt;"",ISNUMBER(SEARCH($AD$4,'Lists'!$EY$18))),1,0)</f>
        <v/>
      </c>
      <c r="CR18">
        <f>IF(ROW()-3&gt;MAX($CQ$4:$CQ$42),"",INDEX('Lists'!$EY$4:$EY$42,MATCH(ROW()-3,$CQ$4:$CQ$42,0)))</f>
        <v/>
      </c>
      <c r="CS18">
        <f>CS17+IF(AND('Lists'!$FD$18&lt;&gt;"",ISNUMBER(SEARCH($AE$4,'Lists'!$FD$18))),1,0)</f>
        <v/>
      </c>
      <c r="CT18">
        <f>IF(ROW()-3&gt;MAX($CS$4:$CS$42),"",INDEX('Lists'!$FD$4:$FD$42,MATCH(ROW()-3,$CS$4:$CS$42,0)))</f>
        <v/>
      </c>
      <c r="CU18">
        <f>CU17+IF(AND('Lists'!$FI$18&lt;&gt;"",ISNUMBER(SEARCH($AF$4,'Lists'!$FI$18))),1,0)</f>
        <v/>
      </c>
      <c r="CV18">
        <f>IF(ROW()-3&gt;MAX($CU$4:$CU$42),"",INDEX('Lists'!$FI$4:$FI$42,MATCH(ROW()-3,$CU$4:$CU$42,0)))</f>
        <v/>
      </c>
      <c r="CW18">
        <f>CW17+IF(AND('Lists'!$FN$18&lt;&gt;"",ISNUMBER(SEARCH($AG$4,'Lists'!$FN$18))),1,0)</f>
        <v/>
      </c>
      <c r="CX18">
        <f>IF(ROW()-3&gt;MAX($CW$4:$CW$42),"",INDEX('Lists'!$FN$4:$FN$42,MATCH(ROW()-3,$CW$4:$CW$42,0)))</f>
        <v/>
      </c>
      <c r="CY18">
        <f>CY17+IF(AND('Lists'!$FS$18&lt;&gt;"",ISNUMBER(SEARCH($AH$4,'Lists'!$FS$18))),1,0)</f>
        <v/>
      </c>
      <c r="CZ18">
        <f>IF(ROW()-3&gt;MAX($CY$4:$CY$42),"",INDEX('Lists'!$FS$4:$FS$42,MATCH(ROW()-3,$CY$4:$CY$42,0)))</f>
        <v/>
      </c>
      <c r="DA18">
        <f>DA17+IF(AND('Lists'!$FX$18&lt;&gt;"",ISNUMBER(SEARCH($AI$4,'Lists'!$FX$18))),1,0)</f>
        <v/>
      </c>
      <c r="DB18">
        <f>IF(ROW()-3&gt;MAX($DA$4:$DA$42),"",INDEX('Lists'!$FX$4:$FX$42,MATCH(ROW()-3,$DA$4:$DA$42,0)))</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c r="AJ19">
        <f>AND(IF($B$4="",TRUE,IF($B$4="(blank)",'Final Calculation Sheet'!$F$17="",IF($B$4="(nonblank)",'Final Calculation Sheet'!$F$17&lt;&gt;"",ISNUMBER(SEARCH($B$4,'Final Calculation Sheet'!$F$17))))),IF($C$4="",TRUE,IF($C$4="(blank)",'Final Calculation Sheet'!$G$17="",IF($C$4="(nonblank)",'Final Calculation Sheet'!$G$17&lt;&gt;"",ISNUMBER(SEARCH($C$4,'Final Calculation Sheet'!$G$17))))),IF($D$4="",TRUE,IF($D$4="(blank)",'Final Calculation Sheet'!$B$17="",IF($D$4="(nonblank)",'Final Calculation Sheet'!$B$17&lt;&gt;"",ISNUMBER(SEARCH($D$4,'Final Calculation Sheet'!$B$17))))),IF($E$4="",TRUE,IF($E$4="(blank)",'Final Calculation Sheet'!$D$17="",IF($E$4="(nonblank)",'Final Calculation Sheet'!$D$17&lt;&gt;"",ISNUMBER(SEARCH($E$4,'Final Calculation Sheet'!$D$17))))),IF($F$4="",TRUE,IF($F$4="(blank)",'Final Calculation Sheet'!$A$17="",IF($F$4="(nonblank)",'Final Calculation Sheet'!$A$17&lt;&gt;"",ISNUMBER(SEARCH($F$4,'Final Calculation Sheet'!$A$17))))),IF($G$4="",TRUE,IF($G$4="(blank)",'Final Calculation Sheet'!$E$17="",IF($G$4="(nonblank)",'Final Calculation Sheet'!$E$17&lt;&gt;"",ISNUMBER(SEARCH($G$4,'Final Calculation Sheet'!$E$17))))),IF($H$4="",TRUE,IF($H$4="(blank)",'Final Calculation Sheet'!$C$17="",IF($H$4="(nonblank)",'Final Calculation Sheet'!$C$17&lt;&gt;"",ISNUMBER(SEARCH($H$4,'Final Calculation Sheet'!$C$17))))),IF($I$4="",TRUE,IF($I$4="(blank)",'Final Calculation Sheet'!$H$17="",IF($I$4="(nonblank)",'Final Calculation Sheet'!$H$17&lt;&gt;"",ISNUMBER(SEARCH($I$4,'Final Calculation Sheet'!$H$17))))),IF($J$4="",TRUE,IF($J$4="(blank)",'Final Calculation Sheet'!$I$17="",IF($J$4="(nonblank)",'Final Calculation Sheet'!$I$17&lt;&gt;"",ISNUMBER(SEARCH($J$4,'Final Calculation Sheet'!$I$17))))),IF($K$4="",TRUE,IF($K$4="(blank)",'Final Calculation Sheet'!$J$17="",IF($K$4="(nonblank)",'Final Calculation Sheet'!$J$17&lt;&gt;"",ISNUMBER(SEARCH($K$4,'Final Calculation Sheet'!$J$17))))),IF($L$4="",TRUE,IF($L$4="(blank)",'Final Calculation Sheet'!$K$17="",IF($L$4="(nonblank)",'Final Calculation Sheet'!$K$17&lt;&gt;"",ISNUMBER(SEARCH($L$4,'Final Calculation Sheet'!$K$17))))),IF($M$4="",TRUE,IF($M$4="(blank)",'Final Calculation Sheet'!$L$17="",IF($M$4="(nonblank)",'Final Calculation Sheet'!$L$17&lt;&gt;"",ISNUMBER(SEARCH($M$4,'Final Calculation Sheet'!$L$17))))),IF($N$4="",TRUE,IF($N$4="(blank)",'Final Calculation Sheet'!$M$17="",IF($N$4="(nonblank)",'Final Calculation Sheet'!$M$17&lt;&gt;"",ISNUMBER(SEARCH($N$4,'Final Calculation Sheet'!$M$17))))),IF($O$4="",TRUE,IF($O$4="(blank)",'Final Calculation Sheet'!$N$17="",IF($O$4="(nonblank)",'Final Calculation Sheet'!$N$17&lt;&gt;"",ISNUMBER(SEARCH($O$4,'Final Calculation Sheet'!$N$17))))),IF($P$4="",TRUE,IF($P$4="(blank)",'Final Calculation Sheet'!$O$17="",IF($P$4="(nonblank)",'Final Calculation Sheet'!$O$17&lt;&gt;"",ISNUMBER(SEARCH($P$4,'Final Calculation Sheet'!$O$17))))),IF($Q$4="",TRUE,IF($Q$4="(blank)",'Final Calculation Sheet'!$P$17="",IF($Q$4="(nonblank)",'Final Calculation Sheet'!$P$17&lt;&gt;"",ISNUMBER(SEARCH($Q$4,'Final Calculation Sheet'!$P$17))))),IF($R$4="",TRUE,IF($R$4="(blank)",'Final Calculation Sheet'!$Q$17="",IF($R$4="(nonblank)",'Final Calculation Sheet'!$Q$17&lt;&gt;"",ISNUMBER(SEARCH($R$4,'Final Calculation Sheet'!$Q$17))))),IF($S$4="",TRUE,IF($S$4="(blank)",'Final Calculation Sheet'!$R$17="",IF($S$4="(nonblank)",'Final Calculation Sheet'!$R$17&lt;&gt;"",ISNUMBER(SEARCH($S$4,'Final Calculation Sheet'!$R$17))))),IF($T$4="",TRUE,IF($T$4="(blank)",'Final Calculation Sheet'!$S$17="",IF($T$4="(nonblank)",'Final Calculation Sheet'!$S$17&lt;&gt;"",ISNUMBER(SEARCH($T$4,'Final Calculation Sheet'!$S$17))))),IF($U$4="",TRUE,IF($U$4="(blank)",'Final Calculation Sheet'!$T$17="",IF($U$4="(nonblank)",'Final Calculation Sheet'!$T$17&lt;&gt;"",ISNUMBER(SEARCH($U$4,'Final Calculation Sheet'!$T$17))))),IF($V$4="",TRUE,IF($V$4="(blank)",'Final Calculation Sheet'!$U$17="",IF($V$4="(nonblank)",'Final Calculation Sheet'!$U$17&lt;&gt;"",ISNUMBER(SEARCH($V$4,'Final Calculation Sheet'!$U$17))))),IF($W$4="",TRUE,IF($W$4="(blank)",'Final Calculation Sheet'!$V$17="",IF($W$4="(nonblank)",'Final Calculation Sheet'!$V$17&lt;&gt;"",ISNUMBER(SEARCH($W$4,'Final Calculation Sheet'!$V$17))))),IF($X$4="",TRUE,IF($X$4="(blank)",'Final Calculation Sheet'!$W$17="",IF($X$4="(nonblank)",'Final Calculation Sheet'!$W$17&lt;&gt;"",ISNUMBER(SEARCH($X$4,'Final Calculation Sheet'!$W$17))))),IF($Y$4="",TRUE,IF($Y$4="(blank)",'Final Calculation Sheet'!$X$17="",IF($Y$4="(nonblank)",'Final Calculation Sheet'!$X$17&lt;&gt;"",ISNUMBER(SEARCH($Y$4,'Final Calculation Sheet'!$X$17))))),IF($Z$4="",TRUE,IF($Z$4="(blank)",'Final Calculation Sheet'!$Y$17="",IF($Z$4="(nonblank)",'Final Calculation Sheet'!$Y$17&lt;&gt;"",ISNUMBER(SEARCH($Z$4,'Final Calculation Sheet'!$Y$17))))),IF($AA$4="",TRUE,IF($AA$4="(blank)",'Final Calculation Sheet'!$Z$17="",IF($AA$4="(nonblank)",'Final Calculation Sheet'!$Z$17&lt;&gt;"",ISNUMBER(SEARCH($AA$4,'Final Calculation Sheet'!$Z$17))))),IF($AB$4="",TRUE,IF($AB$4="(blank)",'Final Calculation Sheet'!$AA$17="",IF($AB$4="(nonblank)",'Final Calculation Sheet'!$AA$17&lt;&gt;"",ISNUMBER(SEARCH($AB$4,'Final Calculation Sheet'!$AA$17))))),IF($AC$4="",TRUE,IF($AC$4="(blank)",'Final Calculation Sheet'!$AB$17="",IF($AC$4="(nonblank)",'Final Calculation Sheet'!$AB$17&lt;&gt;"",ISNUMBER(SEARCH($AC$4,'Final Calculation Sheet'!$AB$17))))),IF($AD$4="",TRUE,IF($AD$4="(blank)",'Final Calculation Sheet'!$AC$17="",IF($AD$4="(nonblank)",'Final Calculation Sheet'!$AC$17&lt;&gt;"",ISNUMBER(SEARCH($AD$4,'Final Calculation Sheet'!$AC$17))))),IF($AE$4="",TRUE,IF($AE$4="(blank)",'Final Calculation Sheet'!$AD$17="",IF($AE$4="(nonblank)",'Final Calculation Sheet'!$AD$17&lt;&gt;"",ISNUMBER(SEARCH($AE$4,'Final Calculation Sheet'!$AD$17))))),IF($AF$4="",TRUE,IF($AF$4="(blank)",'Final Calculation Sheet'!$AE$17="",IF($AF$4="(nonblank)",'Final Calculation Sheet'!$AE$17&lt;&gt;"",ISNUMBER(SEARCH($AF$4,'Final Calculation Sheet'!$AE$17))))),IF($AG$4="",TRUE,IF($AG$4="(blank)",'Final Calculation Sheet'!$AF$17="",IF($AG$4="(nonblank)",'Final Calculation Sheet'!$AF$17&lt;&gt;"",ISNUMBER(SEARCH($AG$4,'Final Calculation Sheet'!$AF$17))))),IF($AH$4="",TRUE,IF($AH$4="(blank)",'Final Calculation Sheet'!$AG$17="",IF($AH$4="(nonblank)",'Final Calculation Sheet'!$AG$17&lt;&gt;"",ISNUMBER(SEARCH($AH$4,'Final Calculation Sheet'!$AG$17))))),IF($AI$4="",TRUE,IF($AI$4="(blank)",IF('Final Calculation Sheet'!$AD$17&lt;=5,"SETTLED","OUTSTANDING")="",IF($AI$4="(nonblank)",IF('Final Calculation Sheet'!$AD$17&lt;=5,"SETTLED","OUTSTANDING")&lt;&gt;"",ISNUMBER(SEARCH($AI$4,IF('Final Calculation Sheet'!$AD$17&lt;=5,"SETTLED","OUTSTANDING")))))))</f>
        <v/>
      </c>
      <c r="AK19">
        <f>IF(AJ19=1,COUNTIF(AJ$6:AJ19,1),"")</f>
        <v/>
      </c>
      <c r="AM19">
        <f>AM18+IF(AND('Lists'!$O$19&lt;&gt;"",ISNUMBER(SEARCH($B$4,'Lists'!$O$19))),1,0)</f>
        <v/>
      </c>
      <c r="AN19">
        <f>IF(ROW()-3&gt;MAX($AM$4:$AM$42),"",INDEX('Lists'!$O$4:$O$42,MATCH(ROW()-3,$AM$4:$AM$42,0)))</f>
        <v/>
      </c>
      <c r="AO19">
        <f>AO18+IF(AND('Lists'!$T$19&lt;&gt;"",ISNUMBER(SEARCH($C$4,'Lists'!$T$19))),1,0)</f>
        <v/>
      </c>
      <c r="AP19">
        <f>IF(ROW()-3&gt;MAX($AO$4:$AO$42),"",INDEX('Lists'!$T$4:$T$42,MATCH(ROW()-3,$AO$4:$AO$42,0)))</f>
        <v/>
      </c>
      <c r="AQ19">
        <f>AQ18+IF(AND('Lists'!$Y$19&lt;&gt;"",ISNUMBER(SEARCH($D$4,'Lists'!$Y$19))),1,0)</f>
        <v/>
      </c>
      <c r="AR19">
        <f>IF(ROW()-3&gt;MAX($AQ$4:$AQ$42),"",INDEX('Lists'!$Y$4:$Y$42,MATCH(ROW()-3,$AQ$4:$AQ$42,0)))</f>
        <v/>
      </c>
      <c r="AS19">
        <f>AS18+IF(AND('Lists'!$AD$19&lt;&gt;"",ISNUMBER(SEARCH($E$4,'Lists'!$AD$19))),1,0)</f>
        <v/>
      </c>
      <c r="AT19">
        <f>IF(ROW()-3&gt;MAX($AS$4:$AS$42),"",INDEX('Lists'!$AD$4:$AD$42,MATCH(ROW()-3,$AS$4:$AS$42,0)))</f>
        <v/>
      </c>
      <c r="AU19">
        <f>AU18+IF(AND('Lists'!$AI$19&lt;&gt;"",ISNUMBER(SEARCH($F$4,'Lists'!$AI$19))),1,0)</f>
        <v/>
      </c>
      <c r="AV19">
        <f>IF(ROW()-3&gt;MAX($AU$4:$AU$42),"",INDEX('Lists'!$AI$4:$AI$42,MATCH(ROW()-3,$AU$4:$AU$42,0)))</f>
        <v/>
      </c>
      <c r="AW19">
        <f>AW18+IF(AND('Lists'!$AN$19&lt;&gt;"",ISNUMBER(SEARCH($G$4,'Lists'!$AN$19))),1,0)</f>
        <v/>
      </c>
      <c r="AX19">
        <f>IF(ROW()-3&gt;MAX($AW$4:$AW$42),"",INDEX('Lists'!$AN$4:$AN$42,MATCH(ROW()-3,$AW$4:$AW$42,0)))</f>
        <v/>
      </c>
      <c r="AY19">
        <f>AY18+IF(AND('Lists'!$AS$19&lt;&gt;"",ISNUMBER(SEARCH($H$4,'Lists'!$AS$19))),1,0)</f>
        <v/>
      </c>
      <c r="AZ19">
        <f>IF(ROW()-3&gt;MAX($AY$4:$AY$42),"",INDEX('Lists'!$AS$4:$AS$42,MATCH(ROW()-3,$AY$4:$AY$42,0)))</f>
        <v/>
      </c>
      <c r="BA19">
        <f>BA18+IF(AND('Lists'!$AX$19&lt;&gt;"",ISNUMBER(SEARCH($I$4,'Lists'!$AX$19))),1,0)</f>
        <v/>
      </c>
      <c r="BB19">
        <f>IF(ROW()-3&gt;MAX($BA$4:$BA$42),"",INDEX('Lists'!$AX$4:$AX$42,MATCH(ROW()-3,$BA$4:$BA$42,0)))</f>
        <v/>
      </c>
      <c r="BC19">
        <f>BC18+IF(AND('Lists'!$BC$19&lt;&gt;"",ISNUMBER(SEARCH($J$4,'Lists'!$BC$19))),1,0)</f>
        <v/>
      </c>
      <c r="BD19">
        <f>IF(ROW()-3&gt;MAX($BC$4:$BC$42),"",INDEX('Lists'!$BC$4:$BC$42,MATCH(ROW()-3,$BC$4:$BC$42,0)))</f>
        <v/>
      </c>
      <c r="BE19">
        <f>BE18+IF(AND('Lists'!$BH$19&lt;&gt;"",ISNUMBER(SEARCH($K$4,'Lists'!$BH$19))),1,0)</f>
        <v/>
      </c>
      <c r="BF19">
        <f>IF(ROW()-3&gt;MAX($BE$4:$BE$42),"",INDEX('Lists'!$BH$4:$BH$42,MATCH(ROW()-3,$BE$4:$BE$42,0)))</f>
        <v/>
      </c>
      <c r="BG19">
        <f>BG18+IF(AND('Lists'!$BM$19&lt;&gt;"",ISNUMBER(SEARCH($L$4,'Lists'!$BM$19))),1,0)</f>
        <v/>
      </c>
      <c r="BH19">
        <f>IF(ROW()-3&gt;MAX($BG$4:$BG$42),"",INDEX('Lists'!$BM$4:$BM$42,MATCH(ROW()-3,$BG$4:$BG$42,0)))</f>
        <v/>
      </c>
      <c r="BI19">
        <f>BI18+IF(AND('Lists'!$BR$19&lt;&gt;"",ISNUMBER(SEARCH($M$4,'Lists'!$BR$19))),1,0)</f>
        <v/>
      </c>
      <c r="BJ19">
        <f>IF(ROW()-3&gt;MAX($BI$4:$BI$42),"",INDEX('Lists'!$BR$4:$BR$42,MATCH(ROW()-3,$BI$4:$BI$42,0)))</f>
        <v/>
      </c>
      <c r="BK19">
        <f>BK18+IF(AND('Lists'!$BW$19&lt;&gt;"",ISNUMBER(SEARCH($N$4,'Lists'!$BW$19))),1,0)</f>
        <v/>
      </c>
      <c r="BL19">
        <f>IF(ROW()-3&gt;MAX($BK$4:$BK$42),"",INDEX('Lists'!$BW$4:$BW$42,MATCH(ROW()-3,$BK$4:$BK$42,0)))</f>
        <v/>
      </c>
      <c r="BM19">
        <f>BM18+IF(AND('Lists'!$CB$19&lt;&gt;"",ISNUMBER(SEARCH($O$4,'Lists'!$CB$19))),1,0)</f>
        <v/>
      </c>
      <c r="BN19">
        <f>IF(ROW()-3&gt;MAX($BM$4:$BM$42),"",INDEX('Lists'!$CB$4:$CB$42,MATCH(ROW()-3,$BM$4:$BM$42,0)))</f>
        <v/>
      </c>
      <c r="BO19">
        <f>BO18+IF(AND('Lists'!$CG$19&lt;&gt;"",ISNUMBER(SEARCH($P$4,'Lists'!$CG$19))),1,0)</f>
        <v/>
      </c>
      <c r="BP19">
        <f>IF(ROW()-3&gt;MAX($BO$4:$BO$42),"",INDEX('Lists'!$CG$4:$CG$42,MATCH(ROW()-3,$BO$4:$BO$42,0)))</f>
        <v/>
      </c>
      <c r="BQ19">
        <f>BQ18+IF(AND('Lists'!$CL$19&lt;&gt;"",ISNUMBER(SEARCH($Q$4,'Lists'!$CL$19))),1,0)</f>
        <v/>
      </c>
      <c r="BR19">
        <f>IF(ROW()-3&gt;MAX($BQ$4:$BQ$42),"",INDEX('Lists'!$CL$4:$CL$42,MATCH(ROW()-3,$BQ$4:$BQ$42,0)))</f>
        <v/>
      </c>
      <c r="BS19">
        <f>BS18+IF(AND('Lists'!$CQ$19&lt;&gt;"",ISNUMBER(SEARCH($R$4,'Lists'!$CQ$19))),1,0)</f>
        <v/>
      </c>
      <c r="BT19">
        <f>IF(ROW()-3&gt;MAX($BS$4:$BS$42),"",INDEX('Lists'!$CQ$4:$CQ$42,MATCH(ROW()-3,$BS$4:$BS$42,0)))</f>
        <v/>
      </c>
      <c r="BU19">
        <f>BU18+IF(AND('Lists'!$CV$19&lt;&gt;"",ISNUMBER(SEARCH($S$4,'Lists'!$CV$19))),1,0)</f>
        <v/>
      </c>
      <c r="BV19">
        <f>IF(ROW()-3&gt;MAX($BU$4:$BU$42),"",INDEX('Lists'!$CV$4:$CV$42,MATCH(ROW()-3,$BU$4:$BU$42,0)))</f>
        <v/>
      </c>
      <c r="BW19">
        <f>BW18+IF(AND('Lists'!$DA$19&lt;&gt;"",ISNUMBER(SEARCH($T$4,'Lists'!$DA$19))),1,0)</f>
        <v/>
      </c>
      <c r="BX19">
        <f>IF(ROW()-3&gt;MAX($BW$4:$BW$42),"",INDEX('Lists'!$DA$4:$DA$42,MATCH(ROW()-3,$BW$4:$BW$42,0)))</f>
        <v/>
      </c>
      <c r="BY19">
        <f>BY18+IF(AND('Lists'!$DF$19&lt;&gt;"",ISNUMBER(SEARCH($U$4,'Lists'!$DF$19))),1,0)</f>
        <v/>
      </c>
      <c r="BZ19">
        <f>IF(ROW()-3&gt;MAX($BY$4:$BY$42),"",INDEX('Lists'!$DF$4:$DF$42,MATCH(ROW()-3,$BY$4:$BY$42,0)))</f>
        <v/>
      </c>
      <c r="CA19">
        <f>CA18+IF(AND('Lists'!$DK$19&lt;&gt;"",ISNUMBER(SEARCH($V$4,'Lists'!$DK$19))),1,0)</f>
        <v/>
      </c>
      <c r="CB19">
        <f>IF(ROW()-3&gt;MAX($CA$4:$CA$42),"",INDEX('Lists'!$DK$4:$DK$42,MATCH(ROW()-3,$CA$4:$CA$42,0)))</f>
        <v/>
      </c>
      <c r="CC19">
        <f>CC18+IF(AND('Lists'!$DP$19&lt;&gt;"",ISNUMBER(SEARCH($W$4,'Lists'!$DP$19))),1,0)</f>
        <v/>
      </c>
      <c r="CD19">
        <f>IF(ROW()-3&gt;MAX($CC$4:$CC$42),"",INDEX('Lists'!$DP$4:$DP$42,MATCH(ROW()-3,$CC$4:$CC$42,0)))</f>
        <v/>
      </c>
      <c r="CE19">
        <f>CE18+IF(AND('Lists'!$DU$19&lt;&gt;"",ISNUMBER(SEARCH($X$4,'Lists'!$DU$19))),1,0)</f>
        <v/>
      </c>
      <c r="CF19">
        <f>IF(ROW()-3&gt;MAX($CE$4:$CE$42),"",INDEX('Lists'!$DU$4:$DU$42,MATCH(ROW()-3,$CE$4:$CE$42,0)))</f>
        <v/>
      </c>
      <c r="CG19">
        <f>CG18+IF(AND('Lists'!$DZ$19&lt;&gt;"",ISNUMBER(SEARCH($Y$4,'Lists'!$DZ$19))),1,0)</f>
        <v/>
      </c>
      <c r="CH19">
        <f>IF(ROW()-3&gt;MAX($CG$4:$CG$42),"",INDEX('Lists'!$DZ$4:$DZ$42,MATCH(ROW()-3,$CG$4:$CG$42,0)))</f>
        <v/>
      </c>
      <c r="CI19">
        <f>CI18+IF(AND('Lists'!$EE$19&lt;&gt;"",ISNUMBER(SEARCH($Z$4,'Lists'!$EE$19))),1,0)</f>
        <v/>
      </c>
      <c r="CJ19">
        <f>IF(ROW()-3&gt;MAX($CI$4:$CI$42),"",INDEX('Lists'!$EE$4:$EE$42,MATCH(ROW()-3,$CI$4:$CI$42,0)))</f>
        <v/>
      </c>
      <c r="CK19">
        <f>CK18+IF(AND('Lists'!$EJ$19&lt;&gt;"",ISNUMBER(SEARCH($AA$4,'Lists'!$EJ$19))),1,0)</f>
        <v/>
      </c>
      <c r="CL19">
        <f>IF(ROW()-3&gt;MAX($CK$4:$CK$42),"",INDEX('Lists'!$EJ$4:$EJ$42,MATCH(ROW()-3,$CK$4:$CK$42,0)))</f>
        <v/>
      </c>
      <c r="CM19">
        <f>CM18+IF(AND('Lists'!$EO$19&lt;&gt;"",ISNUMBER(SEARCH($AB$4,'Lists'!$EO$19))),1,0)</f>
        <v/>
      </c>
      <c r="CN19">
        <f>IF(ROW()-3&gt;MAX($CM$4:$CM$42),"",INDEX('Lists'!$EO$4:$EO$42,MATCH(ROW()-3,$CM$4:$CM$42,0)))</f>
        <v/>
      </c>
      <c r="CO19">
        <f>CO18+IF(AND('Lists'!$ET$19&lt;&gt;"",ISNUMBER(SEARCH($AC$4,'Lists'!$ET$19))),1,0)</f>
        <v/>
      </c>
      <c r="CP19">
        <f>IF(ROW()-3&gt;MAX($CO$4:$CO$42),"",INDEX('Lists'!$ET$4:$ET$42,MATCH(ROW()-3,$CO$4:$CO$42,0)))</f>
        <v/>
      </c>
      <c r="CQ19">
        <f>CQ18+IF(AND('Lists'!$EY$19&lt;&gt;"",ISNUMBER(SEARCH($AD$4,'Lists'!$EY$19))),1,0)</f>
        <v/>
      </c>
      <c r="CR19">
        <f>IF(ROW()-3&gt;MAX($CQ$4:$CQ$42),"",INDEX('Lists'!$EY$4:$EY$42,MATCH(ROW()-3,$CQ$4:$CQ$42,0)))</f>
        <v/>
      </c>
      <c r="CS19">
        <f>CS18+IF(AND('Lists'!$FD$19&lt;&gt;"",ISNUMBER(SEARCH($AE$4,'Lists'!$FD$19))),1,0)</f>
        <v/>
      </c>
      <c r="CT19">
        <f>IF(ROW()-3&gt;MAX($CS$4:$CS$42),"",INDEX('Lists'!$FD$4:$FD$42,MATCH(ROW()-3,$CS$4:$CS$42,0)))</f>
        <v/>
      </c>
      <c r="CU19">
        <f>CU18+IF(AND('Lists'!$FI$19&lt;&gt;"",ISNUMBER(SEARCH($AF$4,'Lists'!$FI$19))),1,0)</f>
        <v/>
      </c>
      <c r="CV19">
        <f>IF(ROW()-3&gt;MAX($CU$4:$CU$42),"",INDEX('Lists'!$FI$4:$FI$42,MATCH(ROW()-3,$CU$4:$CU$42,0)))</f>
        <v/>
      </c>
      <c r="CW19">
        <f>CW18+IF(AND('Lists'!$FN$19&lt;&gt;"",ISNUMBER(SEARCH($AG$4,'Lists'!$FN$19))),1,0)</f>
        <v/>
      </c>
      <c r="CX19">
        <f>IF(ROW()-3&gt;MAX($CW$4:$CW$42),"",INDEX('Lists'!$FN$4:$FN$42,MATCH(ROW()-3,$CW$4:$CW$42,0)))</f>
        <v/>
      </c>
      <c r="CY19">
        <f>CY18+IF(AND('Lists'!$FS$19&lt;&gt;"",ISNUMBER(SEARCH($AH$4,'Lists'!$FS$19))),1,0)</f>
        <v/>
      </c>
      <c r="CZ19">
        <f>IF(ROW()-3&gt;MAX($CY$4:$CY$42),"",INDEX('Lists'!$FS$4:$FS$42,MATCH(ROW()-3,$CY$4:$CY$42,0)))</f>
        <v/>
      </c>
      <c r="DA19">
        <f>DA18+IF(AND('Lists'!$FX$19&lt;&gt;"",ISNUMBER(SEARCH($AI$4,'Lists'!$FX$19))),1,0)</f>
        <v/>
      </c>
      <c r="DB19">
        <f>IF(ROW()-3&gt;MAX($DA$4:$DA$42),"",INDEX('Lists'!$FX$4:$FX$42,MATCH(ROW()-3,$DA$4:$DA$42,0)))</f>
        <v/>
      </c>
    </row>
    <row r="20" outlineLevel="1" ht="15" customHeight="1" s="77">
      <c r="A20" s="118" t="n">
        <v>4</v>
      </c>
      <c r="B20" s="119">
        <f>IF('Final Calculation Sheet'!$F$12="","",'Final Calculation Sheet'!$F$12)</f>
        <v/>
      </c>
      <c r="C20" s="119">
        <f>IF('Final Calculation Sheet'!$G$12="","",'Final Calculation Sheet'!$G$12)</f>
        <v/>
      </c>
      <c r="D20" s="120">
        <f>IF('Final Calculation Sheet'!$B$12="","",'Final Calculation Sheet'!$B$12)</f>
        <v/>
      </c>
      <c r="E20" s="120">
        <f>IF('Final Calculation Sheet'!$D$12="","",'Final Calculation Sheet'!$D$12)</f>
        <v/>
      </c>
      <c r="F20" s="120">
        <f>IF('Final Calculation Sheet'!$A$12="","",'Final Calculation Sheet'!$A$12)</f>
        <v/>
      </c>
      <c r="G20" s="120">
        <f>IF('Final Calculation Sheet'!$E$12="","",'Final Calculation Sheet'!$E$12)</f>
        <v/>
      </c>
      <c r="H20" s="121">
        <f>IF('Final Calculation Sheet'!$C$12="","",'Final Calculation Sheet'!$C$12)</f>
        <v/>
      </c>
      <c r="I20" s="121">
        <f>IF('Final Calculation Sheet'!$H$12="","",'Final Calculation Sheet'!$H$12)</f>
        <v/>
      </c>
      <c r="J20" s="121">
        <f>IF('Final Calculation Sheet'!$I$12="","",'Final Calculation Sheet'!$I$12)</f>
        <v/>
      </c>
      <c r="K20" s="121">
        <f>IF('Final Calculation Sheet'!$J$12="","",'Final Calculation Sheet'!$J$12)</f>
        <v/>
      </c>
      <c r="L20" s="121">
        <f>IF('Final Calculation Sheet'!$K$12="","",'Final Calculation Sheet'!$K$12)</f>
        <v/>
      </c>
      <c r="M20" s="121">
        <f>IF('Final Calculation Sheet'!$L$12="","",'Final Calculation Sheet'!$L$12)</f>
        <v/>
      </c>
      <c r="N20" s="121">
        <f>IF('Final Calculation Sheet'!$M$12="","",'Final Calculation Sheet'!$M$12)</f>
        <v/>
      </c>
      <c r="O20" s="122">
        <f>IF('Final Calculation Sheet'!$N$12="","",'Final Calculation Sheet'!$N$12)</f>
        <v/>
      </c>
      <c r="P20" s="121">
        <f>IF('Final Calculation Sheet'!$O$12="","",'Final Calculation Sheet'!$O$12)</f>
        <v/>
      </c>
      <c r="Q20" s="121">
        <f>IF('Final Calculation Sheet'!$P$12="","",'Final Calculation Sheet'!$P$12)</f>
        <v/>
      </c>
      <c r="R20" s="123">
        <f>IF('Final Calculation Sheet'!$Q$12="","",'Final Calculation Sheet'!$Q$12)</f>
        <v/>
      </c>
      <c r="S20" s="121">
        <f>IF('Final Calculation Sheet'!$R$12="","",'Final Calculation Sheet'!$R$12)</f>
        <v/>
      </c>
      <c r="T20" s="121">
        <f>IF('Final Calculation Sheet'!$S$12="","",'Final Calculation Sheet'!$S$12)</f>
        <v/>
      </c>
      <c r="U20" s="121">
        <f>IF('Final Calculation Sheet'!$T$12="","",'Final Calculation Sheet'!$T$12)</f>
        <v/>
      </c>
      <c r="V20" s="124">
        <f>IF('Final Calculation Sheet'!$U$12="","",'Final Calculation Sheet'!$U$12)</f>
        <v/>
      </c>
      <c r="W20" s="121">
        <f>IF('Final Calculation Sheet'!$V$12="","",'Final Calculation Sheet'!$V$12)</f>
        <v/>
      </c>
      <c r="X20" s="121">
        <f>IF('Final Calculation Sheet'!$W$12="","",'Final Calculation Sheet'!$W$12)</f>
        <v/>
      </c>
      <c r="Y20" s="121">
        <f>IF('Final Calculation Sheet'!$X$12="","",'Final Calculation Sheet'!$X$12)</f>
        <v/>
      </c>
      <c r="Z20" s="121">
        <f>IF('Final Calculation Sheet'!$Y$12="","",'Final Calculation Sheet'!$Y$12)</f>
        <v/>
      </c>
      <c r="AA20" s="121">
        <f>IF('Final Calculation Sheet'!$Z$12="","",'Final Calculation Sheet'!$Z$12)</f>
        <v/>
      </c>
      <c r="AB20" s="121">
        <f>IF('Final Calculation Sheet'!$AA$12="","",'Final Calculation Sheet'!$AA$12)</f>
        <v/>
      </c>
      <c r="AC20" s="121">
        <f>IF('Final Calculation Sheet'!$AB$12="","",'Final Calculation Sheet'!$AB$12)</f>
        <v/>
      </c>
      <c r="AD20" s="121">
        <f>IF('Final Calculation Sheet'!$AC$12="","",'Final Calculation Sheet'!$AC$12)</f>
        <v/>
      </c>
      <c r="AE20" s="121">
        <f>IF('Final Calculation Sheet'!$AD$12="","",'Final Calculation Sheet'!$AD$12)</f>
        <v/>
      </c>
      <c r="AF20" s="121">
        <f>IF('Final Calculation Sheet'!$AE$12="","",'Final Calculation Sheet'!$AE$12)</f>
        <v/>
      </c>
      <c r="AG20" s="125">
        <f>IF('Final Calculation Sheet'!$AF$12="","",'Final Calculation Sheet'!$AF$12)</f>
        <v/>
      </c>
      <c r="AH20" s="121">
        <f>IF('Final Calculation Sheet'!$AG$12="","",'Final Calculation Sheet'!$AG$12)</f>
        <v/>
      </c>
      <c r="AI20" s="126">
        <f>IF('Final Calculation Sheet'!$AD$12="","",IF('Final Calculation Sheet'!$AD$12&lt;=5,"SETTLED","OUTSTANDING"))</f>
        <v/>
      </c>
      <c r="AJ20">
        <f>AND(IF($B$4="",TRUE,IF($B$4="(blank)",'Final Calculation Sheet'!$F$18="",IF($B$4="(nonblank)",'Final Calculation Sheet'!$F$18&lt;&gt;"",ISNUMBER(SEARCH($B$4,'Final Calculation Sheet'!$F$18))))),IF($C$4="",TRUE,IF($C$4="(blank)",'Final Calculation Sheet'!$G$18="",IF($C$4="(nonblank)",'Final Calculation Sheet'!$G$18&lt;&gt;"",ISNUMBER(SEARCH($C$4,'Final Calculation Sheet'!$G$18))))),IF($D$4="",TRUE,IF($D$4="(blank)",'Final Calculation Sheet'!$B$18="",IF($D$4="(nonblank)",'Final Calculation Sheet'!$B$18&lt;&gt;"",ISNUMBER(SEARCH($D$4,'Final Calculation Sheet'!$B$18))))),IF($E$4="",TRUE,IF($E$4="(blank)",'Final Calculation Sheet'!$D$18="",IF($E$4="(nonblank)",'Final Calculation Sheet'!$D$18&lt;&gt;"",ISNUMBER(SEARCH($E$4,'Final Calculation Sheet'!$D$18))))),IF($F$4="",TRUE,IF($F$4="(blank)",'Final Calculation Sheet'!$A$18="",IF($F$4="(nonblank)",'Final Calculation Sheet'!$A$18&lt;&gt;"",ISNUMBER(SEARCH($F$4,'Final Calculation Sheet'!$A$18))))),IF($G$4="",TRUE,IF($G$4="(blank)",'Final Calculation Sheet'!$E$18="",IF($G$4="(nonblank)",'Final Calculation Sheet'!$E$18&lt;&gt;"",ISNUMBER(SEARCH($G$4,'Final Calculation Sheet'!$E$18))))),IF($H$4="",TRUE,IF($H$4="(blank)",'Final Calculation Sheet'!$C$18="",IF($H$4="(nonblank)",'Final Calculation Sheet'!$C$18&lt;&gt;"",ISNUMBER(SEARCH($H$4,'Final Calculation Sheet'!$C$18))))),IF($I$4="",TRUE,IF($I$4="(blank)",'Final Calculation Sheet'!$H$18="",IF($I$4="(nonblank)",'Final Calculation Sheet'!$H$18&lt;&gt;"",ISNUMBER(SEARCH($I$4,'Final Calculation Sheet'!$H$18))))),IF($J$4="",TRUE,IF($J$4="(blank)",'Final Calculation Sheet'!$I$18="",IF($J$4="(nonblank)",'Final Calculation Sheet'!$I$18&lt;&gt;"",ISNUMBER(SEARCH($J$4,'Final Calculation Sheet'!$I$18))))),IF($K$4="",TRUE,IF($K$4="(blank)",'Final Calculation Sheet'!$J$18="",IF($K$4="(nonblank)",'Final Calculation Sheet'!$J$18&lt;&gt;"",ISNUMBER(SEARCH($K$4,'Final Calculation Sheet'!$J$18))))),IF($L$4="",TRUE,IF($L$4="(blank)",'Final Calculation Sheet'!$K$18="",IF($L$4="(nonblank)",'Final Calculation Sheet'!$K$18&lt;&gt;"",ISNUMBER(SEARCH($L$4,'Final Calculation Sheet'!$K$18))))),IF($M$4="",TRUE,IF($M$4="(blank)",'Final Calculation Sheet'!$L$18="",IF($M$4="(nonblank)",'Final Calculation Sheet'!$L$18&lt;&gt;"",ISNUMBER(SEARCH($M$4,'Final Calculation Sheet'!$L$18))))),IF($N$4="",TRUE,IF($N$4="(blank)",'Final Calculation Sheet'!$M$18="",IF($N$4="(nonblank)",'Final Calculation Sheet'!$M$18&lt;&gt;"",ISNUMBER(SEARCH($N$4,'Final Calculation Sheet'!$M$18))))),IF($O$4="",TRUE,IF($O$4="(blank)",'Final Calculation Sheet'!$N$18="",IF($O$4="(nonblank)",'Final Calculation Sheet'!$N$18&lt;&gt;"",ISNUMBER(SEARCH($O$4,'Final Calculation Sheet'!$N$18))))),IF($P$4="",TRUE,IF($P$4="(blank)",'Final Calculation Sheet'!$O$18="",IF($P$4="(nonblank)",'Final Calculation Sheet'!$O$18&lt;&gt;"",ISNUMBER(SEARCH($P$4,'Final Calculation Sheet'!$O$18))))),IF($Q$4="",TRUE,IF($Q$4="(blank)",'Final Calculation Sheet'!$P$18="",IF($Q$4="(nonblank)",'Final Calculation Sheet'!$P$18&lt;&gt;"",ISNUMBER(SEARCH($Q$4,'Final Calculation Sheet'!$P$18))))),IF($R$4="",TRUE,IF($R$4="(blank)",'Final Calculation Sheet'!$Q$18="",IF($R$4="(nonblank)",'Final Calculation Sheet'!$Q$18&lt;&gt;"",ISNUMBER(SEARCH($R$4,'Final Calculation Sheet'!$Q$18))))),IF($S$4="",TRUE,IF($S$4="(blank)",'Final Calculation Sheet'!$R$18="",IF($S$4="(nonblank)",'Final Calculation Sheet'!$R$18&lt;&gt;"",ISNUMBER(SEARCH($S$4,'Final Calculation Sheet'!$R$18))))),IF($T$4="",TRUE,IF($T$4="(blank)",'Final Calculation Sheet'!$S$18="",IF($T$4="(nonblank)",'Final Calculation Sheet'!$S$18&lt;&gt;"",ISNUMBER(SEARCH($T$4,'Final Calculation Sheet'!$S$18))))),IF($U$4="",TRUE,IF($U$4="(blank)",'Final Calculation Sheet'!$T$18="",IF($U$4="(nonblank)",'Final Calculation Sheet'!$T$18&lt;&gt;"",ISNUMBER(SEARCH($U$4,'Final Calculation Sheet'!$T$18))))),IF($V$4="",TRUE,IF($V$4="(blank)",'Final Calculation Sheet'!$U$18="",IF($V$4="(nonblank)",'Final Calculation Sheet'!$U$18&lt;&gt;"",ISNUMBER(SEARCH($V$4,'Final Calculation Sheet'!$U$18))))),IF($W$4="",TRUE,IF($W$4="(blank)",'Final Calculation Sheet'!$V$18="",IF($W$4="(nonblank)",'Final Calculation Sheet'!$V$18&lt;&gt;"",ISNUMBER(SEARCH($W$4,'Final Calculation Sheet'!$V$18))))),IF($X$4="",TRUE,IF($X$4="(blank)",'Final Calculation Sheet'!$W$18="",IF($X$4="(nonblank)",'Final Calculation Sheet'!$W$18&lt;&gt;"",ISNUMBER(SEARCH($X$4,'Final Calculation Sheet'!$W$18))))),IF($Y$4="",TRUE,IF($Y$4="(blank)",'Final Calculation Sheet'!$X$18="",IF($Y$4="(nonblank)",'Final Calculation Sheet'!$X$18&lt;&gt;"",ISNUMBER(SEARCH($Y$4,'Final Calculation Sheet'!$X$18))))),IF($Z$4="",TRUE,IF($Z$4="(blank)",'Final Calculation Sheet'!$Y$18="",IF($Z$4="(nonblank)",'Final Calculation Sheet'!$Y$18&lt;&gt;"",ISNUMBER(SEARCH($Z$4,'Final Calculation Sheet'!$Y$18))))),IF($AA$4="",TRUE,IF($AA$4="(blank)",'Final Calculation Sheet'!$Z$18="",IF($AA$4="(nonblank)",'Final Calculation Sheet'!$Z$18&lt;&gt;"",ISNUMBER(SEARCH($AA$4,'Final Calculation Sheet'!$Z$18))))),IF($AB$4="",TRUE,IF($AB$4="(blank)",'Final Calculation Sheet'!$AA$18="",IF($AB$4="(nonblank)",'Final Calculation Sheet'!$AA$18&lt;&gt;"",ISNUMBER(SEARCH($AB$4,'Final Calculation Sheet'!$AA$18))))),IF($AC$4="",TRUE,IF($AC$4="(blank)",'Final Calculation Sheet'!$AB$18="",IF($AC$4="(nonblank)",'Final Calculation Sheet'!$AB$18&lt;&gt;"",ISNUMBER(SEARCH($AC$4,'Final Calculation Sheet'!$AB$18))))),IF($AD$4="",TRUE,IF($AD$4="(blank)",'Final Calculation Sheet'!$AC$18="",IF($AD$4="(nonblank)",'Final Calculation Sheet'!$AC$18&lt;&gt;"",ISNUMBER(SEARCH($AD$4,'Final Calculation Sheet'!$AC$18))))),IF($AE$4="",TRUE,IF($AE$4="(blank)",'Final Calculation Sheet'!$AD$18="",IF($AE$4="(nonblank)",'Final Calculation Sheet'!$AD$18&lt;&gt;"",ISNUMBER(SEARCH($AE$4,'Final Calculation Sheet'!$AD$18))))),IF($AF$4="",TRUE,IF($AF$4="(blank)",'Final Calculation Sheet'!$AE$18="",IF($AF$4="(nonblank)",'Final Calculation Sheet'!$AE$18&lt;&gt;"",ISNUMBER(SEARCH($AF$4,'Final Calculation Sheet'!$AE$18))))),IF($AG$4="",TRUE,IF($AG$4="(blank)",'Final Calculation Sheet'!$AF$18="",IF($AG$4="(nonblank)",'Final Calculation Sheet'!$AF$18&lt;&gt;"",ISNUMBER(SEARCH($AG$4,'Final Calculation Sheet'!$AF$18))))),IF($AH$4="",TRUE,IF($AH$4="(blank)",'Final Calculation Sheet'!$AG$18="",IF($AH$4="(nonblank)",'Final Calculation Sheet'!$AG$18&lt;&gt;"",ISNUMBER(SEARCH($AH$4,'Final Calculation Sheet'!$AG$18))))),IF($AI$4="",TRUE,IF($AI$4="(blank)",IF('Final Calculation Sheet'!$AD$18&lt;=5,"SETTLED","OUTSTANDING")="",IF($AI$4="(nonblank)",IF('Final Calculation Sheet'!$AD$18&lt;=5,"SETTLED","OUTSTANDING")&lt;&gt;"",ISNUMBER(SEARCH($AI$4,IF('Final Calculation Sheet'!$AD$18&lt;=5,"SETTLED","OUTSTANDING")))))))</f>
        <v/>
      </c>
      <c r="AK20">
        <f>IF(AJ20=1,COUNTIF(AJ$6:AJ20,1),"")</f>
        <v/>
      </c>
      <c r="AM20">
        <f>AM19+IF(AND('Lists'!$O$20&lt;&gt;"",ISNUMBER(SEARCH($B$4,'Lists'!$O$20))),1,0)</f>
        <v/>
      </c>
      <c r="AN20">
        <f>IF(ROW()-3&gt;MAX($AM$4:$AM$42),"",INDEX('Lists'!$O$4:$O$42,MATCH(ROW()-3,$AM$4:$AM$42,0)))</f>
        <v/>
      </c>
      <c r="AO20">
        <f>AO19+IF(AND('Lists'!$T$20&lt;&gt;"",ISNUMBER(SEARCH($C$4,'Lists'!$T$20))),1,0)</f>
        <v/>
      </c>
      <c r="AP20">
        <f>IF(ROW()-3&gt;MAX($AO$4:$AO$42),"",INDEX('Lists'!$T$4:$T$42,MATCH(ROW()-3,$AO$4:$AO$42,0)))</f>
        <v/>
      </c>
      <c r="AQ20">
        <f>AQ19+IF(AND('Lists'!$Y$20&lt;&gt;"",ISNUMBER(SEARCH($D$4,'Lists'!$Y$20))),1,0)</f>
        <v/>
      </c>
      <c r="AR20">
        <f>IF(ROW()-3&gt;MAX($AQ$4:$AQ$42),"",INDEX('Lists'!$Y$4:$Y$42,MATCH(ROW()-3,$AQ$4:$AQ$42,0)))</f>
        <v/>
      </c>
      <c r="AS20">
        <f>AS19+IF(AND('Lists'!$AD$20&lt;&gt;"",ISNUMBER(SEARCH($E$4,'Lists'!$AD$20))),1,0)</f>
        <v/>
      </c>
      <c r="AT20">
        <f>IF(ROW()-3&gt;MAX($AS$4:$AS$42),"",INDEX('Lists'!$AD$4:$AD$42,MATCH(ROW()-3,$AS$4:$AS$42,0)))</f>
        <v/>
      </c>
      <c r="AU20">
        <f>AU19+IF(AND('Lists'!$AI$20&lt;&gt;"",ISNUMBER(SEARCH($F$4,'Lists'!$AI$20))),1,0)</f>
        <v/>
      </c>
      <c r="AV20">
        <f>IF(ROW()-3&gt;MAX($AU$4:$AU$42),"",INDEX('Lists'!$AI$4:$AI$42,MATCH(ROW()-3,$AU$4:$AU$42,0)))</f>
        <v/>
      </c>
      <c r="AW20">
        <f>AW19+IF(AND('Lists'!$AN$20&lt;&gt;"",ISNUMBER(SEARCH($G$4,'Lists'!$AN$20))),1,0)</f>
        <v/>
      </c>
      <c r="AX20">
        <f>IF(ROW()-3&gt;MAX($AW$4:$AW$42),"",INDEX('Lists'!$AN$4:$AN$42,MATCH(ROW()-3,$AW$4:$AW$42,0)))</f>
        <v/>
      </c>
      <c r="AY20">
        <f>AY19+IF(AND('Lists'!$AS$20&lt;&gt;"",ISNUMBER(SEARCH($H$4,'Lists'!$AS$20))),1,0)</f>
        <v/>
      </c>
      <c r="AZ20">
        <f>IF(ROW()-3&gt;MAX($AY$4:$AY$42),"",INDEX('Lists'!$AS$4:$AS$42,MATCH(ROW()-3,$AY$4:$AY$42,0)))</f>
        <v/>
      </c>
      <c r="BA20">
        <f>BA19+IF(AND('Lists'!$AX$20&lt;&gt;"",ISNUMBER(SEARCH($I$4,'Lists'!$AX$20))),1,0)</f>
        <v/>
      </c>
      <c r="BB20">
        <f>IF(ROW()-3&gt;MAX($BA$4:$BA$42),"",INDEX('Lists'!$AX$4:$AX$42,MATCH(ROW()-3,$BA$4:$BA$42,0)))</f>
        <v/>
      </c>
      <c r="BC20">
        <f>BC19+IF(AND('Lists'!$BC$20&lt;&gt;"",ISNUMBER(SEARCH($J$4,'Lists'!$BC$20))),1,0)</f>
        <v/>
      </c>
      <c r="BD20">
        <f>IF(ROW()-3&gt;MAX($BC$4:$BC$42),"",INDEX('Lists'!$BC$4:$BC$42,MATCH(ROW()-3,$BC$4:$BC$42,0)))</f>
        <v/>
      </c>
      <c r="BE20">
        <f>BE19+IF(AND('Lists'!$BH$20&lt;&gt;"",ISNUMBER(SEARCH($K$4,'Lists'!$BH$20))),1,0)</f>
        <v/>
      </c>
      <c r="BF20">
        <f>IF(ROW()-3&gt;MAX($BE$4:$BE$42),"",INDEX('Lists'!$BH$4:$BH$42,MATCH(ROW()-3,$BE$4:$BE$42,0)))</f>
        <v/>
      </c>
      <c r="BG20">
        <f>BG19+IF(AND('Lists'!$BM$20&lt;&gt;"",ISNUMBER(SEARCH($L$4,'Lists'!$BM$20))),1,0)</f>
        <v/>
      </c>
      <c r="BH20">
        <f>IF(ROW()-3&gt;MAX($BG$4:$BG$42),"",INDEX('Lists'!$BM$4:$BM$42,MATCH(ROW()-3,$BG$4:$BG$42,0)))</f>
        <v/>
      </c>
      <c r="BI20">
        <f>BI19+IF(AND('Lists'!$BR$20&lt;&gt;"",ISNUMBER(SEARCH($M$4,'Lists'!$BR$20))),1,0)</f>
        <v/>
      </c>
      <c r="BJ20">
        <f>IF(ROW()-3&gt;MAX($BI$4:$BI$42),"",INDEX('Lists'!$BR$4:$BR$42,MATCH(ROW()-3,$BI$4:$BI$42,0)))</f>
        <v/>
      </c>
      <c r="BK20">
        <f>BK19+IF(AND('Lists'!$BW$20&lt;&gt;"",ISNUMBER(SEARCH($N$4,'Lists'!$BW$20))),1,0)</f>
        <v/>
      </c>
      <c r="BL20">
        <f>IF(ROW()-3&gt;MAX($BK$4:$BK$42),"",INDEX('Lists'!$BW$4:$BW$42,MATCH(ROW()-3,$BK$4:$BK$42,0)))</f>
        <v/>
      </c>
      <c r="BM20">
        <f>BM19+IF(AND('Lists'!$CB$20&lt;&gt;"",ISNUMBER(SEARCH($O$4,'Lists'!$CB$20))),1,0)</f>
        <v/>
      </c>
      <c r="BN20">
        <f>IF(ROW()-3&gt;MAX($BM$4:$BM$42),"",INDEX('Lists'!$CB$4:$CB$42,MATCH(ROW()-3,$BM$4:$BM$42,0)))</f>
        <v/>
      </c>
      <c r="BO20">
        <f>BO19+IF(AND('Lists'!$CG$20&lt;&gt;"",ISNUMBER(SEARCH($P$4,'Lists'!$CG$20))),1,0)</f>
        <v/>
      </c>
      <c r="BP20">
        <f>IF(ROW()-3&gt;MAX($BO$4:$BO$42),"",INDEX('Lists'!$CG$4:$CG$42,MATCH(ROW()-3,$BO$4:$BO$42,0)))</f>
        <v/>
      </c>
      <c r="BQ20">
        <f>BQ19+IF(AND('Lists'!$CL$20&lt;&gt;"",ISNUMBER(SEARCH($Q$4,'Lists'!$CL$20))),1,0)</f>
        <v/>
      </c>
      <c r="BR20">
        <f>IF(ROW()-3&gt;MAX($BQ$4:$BQ$42),"",INDEX('Lists'!$CL$4:$CL$42,MATCH(ROW()-3,$BQ$4:$BQ$42,0)))</f>
        <v/>
      </c>
      <c r="BS20">
        <f>BS19+IF(AND('Lists'!$CQ$20&lt;&gt;"",ISNUMBER(SEARCH($R$4,'Lists'!$CQ$20))),1,0)</f>
        <v/>
      </c>
      <c r="BT20">
        <f>IF(ROW()-3&gt;MAX($BS$4:$BS$42),"",INDEX('Lists'!$CQ$4:$CQ$42,MATCH(ROW()-3,$BS$4:$BS$42,0)))</f>
        <v/>
      </c>
      <c r="BU20">
        <f>BU19+IF(AND('Lists'!$CV$20&lt;&gt;"",ISNUMBER(SEARCH($S$4,'Lists'!$CV$20))),1,0)</f>
        <v/>
      </c>
      <c r="BV20">
        <f>IF(ROW()-3&gt;MAX($BU$4:$BU$42),"",INDEX('Lists'!$CV$4:$CV$42,MATCH(ROW()-3,$BU$4:$BU$42,0)))</f>
        <v/>
      </c>
      <c r="BW20">
        <f>BW19+IF(AND('Lists'!$DA$20&lt;&gt;"",ISNUMBER(SEARCH($T$4,'Lists'!$DA$20))),1,0)</f>
        <v/>
      </c>
      <c r="BX20">
        <f>IF(ROW()-3&gt;MAX($BW$4:$BW$42),"",INDEX('Lists'!$DA$4:$DA$42,MATCH(ROW()-3,$BW$4:$BW$42,0)))</f>
        <v/>
      </c>
      <c r="BY20">
        <f>BY19+IF(AND('Lists'!$DF$20&lt;&gt;"",ISNUMBER(SEARCH($U$4,'Lists'!$DF$20))),1,0)</f>
        <v/>
      </c>
      <c r="BZ20">
        <f>IF(ROW()-3&gt;MAX($BY$4:$BY$42),"",INDEX('Lists'!$DF$4:$DF$42,MATCH(ROW()-3,$BY$4:$BY$42,0)))</f>
        <v/>
      </c>
      <c r="CA20">
        <f>CA19+IF(AND('Lists'!$DK$20&lt;&gt;"",ISNUMBER(SEARCH($V$4,'Lists'!$DK$20))),1,0)</f>
        <v/>
      </c>
      <c r="CB20">
        <f>IF(ROW()-3&gt;MAX($CA$4:$CA$42),"",INDEX('Lists'!$DK$4:$DK$42,MATCH(ROW()-3,$CA$4:$CA$42,0)))</f>
        <v/>
      </c>
      <c r="CC20">
        <f>CC19+IF(AND('Lists'!$DP$20&lt;&gt;"",ISNUMBER(SEARCH($W$4,'Lists'!$DP$20))),1,0)</f>
        <v/>
      </c>
      <c r="CD20">
        <f>IF(ROW()-3&gt;MAX($CC$4:$CC$42),"",INDEX('Lists'!$DP$4:$DP$42,MATCH(ROW()-3,$CC$4:$CC$42,0)))</f>
        <v/>
      </c>
      <c r="CE20">
        <f>CE19+IF(AND('Lists'!$DU$20&lt;&gt;"",ISNUMBER(SEARCH($X$4,'Lists'!$DU$20))),1,0)</f>
        <v/>
      </c>
      <c r="CF20">
        <f>IF(ROW()-3&gt;MAX($CE$4:$CE$42),"",INDEX('Lists'!$DU$4:$DU$42,MATCH(ROW()-3,$CE$4:$CE$42,0)))</f>
        <v/>
      </c>
      <c r="CG20">
        <f>CG19+IF(AND('Lists'!$DZ$20&lt;&gt;"",ISNUMBER(SEARCH($Y$4,'Lists'!$DZ$20))),1,0)</f>
        <v/>
      </c>
      <c r="CH20">
        <f>IF(ROW()-3&gt;MAX($CG$4:$CG$42),"",INDEX('Lists'!$DZ$4:$DZ$42,MATCH(ROW()-3,$CG$4:$CG$42,0)))</f>
        <v/>
      </c>
      <c r="CI20">
        <f>CI19+IF(AND('Lists'!$EE$20&lt;&gt;"",ISNUMBER(SEARCH($Z$4,'Lists'!$EE$20))),1,0)</f>
        <v/>
      </c>
      <c r="CJ20">
        <f>IF(ROW()-3&gt;MAX($CI$4:$CI$42),"",INDEX('Lists'!$EE$4:$EE$42,MATCH(ROW()-3,$CI$4:$CI$42,0)))</f>
        <v/>
      </c>
      <c r="CK20">
        <f>CK19+IF(AND('Lists'!$EJ$20&lt;&gt;"",ISNUMBER(SEARCH($AA$4,'Lists'!$EJ$20))),1,0)</f>
        <v/>
      </c>
      <c r="CL20">
        <f>IF(ROW()-3&gt;MAX($CK$4:$CK$42),"",INDEX('Lists'!$EJ$4:$EJ$42,MATCH(ROW()-3,$CK$4:$CK$42,0)))</f>
        <v/>
      </c>
      <c r="CM20">
        <f>CM19+IF(AND('Lists'!$EO$20&lt;&gt;"",ISNUMBER(SEARCH($AB$4,'Lists'!$EO$20))),1,0)</f>
        <v/>
      </c>
      <c r="CN20">
        <f>IF(ROW()-3&gt;MAX($CM$4:$CM$42),"",INDEX('Lists'!$EO$4:$EO$42,MATCH(ROW()-3,$CM$4:$CM$42,0)))</f>
        <v/>
      </c>
      <c r="CO20">
        <f>CO19+IF(AND('Lists'!$ET$20&lt;&gt;"",ISNUMBER(SEARCH($AC$4,'Lists'!$ET$20))),1,0)</f>
        <v/>
      </c>
      <c r="CP20">
        <f>IF(ROW()-3&gt;MAX($CO$4:$CO$42),"",INDEX('Lists'!$ET$4:$ET$42,MATCH(ROW()-3,$CO$4:$CO$42,0)))</f>
        <v/>
      </c>
      <c r="CQ20">
        <f>CQ19+IF(AND('Lists'!$EY$20&lt;&gt;"",ISNUMBER(SEARCH($AD$4,'Lists'!$EY$20))),1,0)</f>
        <v/>
      </c>
      <c r="CR20">
        <f>IF(ROW()-3&gt;MAX($CQ$4:$CQ$42),"",INDEX('Lists'!$EY$4:$EY$42,MATCH(ROW()-3,$CQ$4:$CQ$42,0)))</f>
        <v/>
      </c>
      <c r="CS20">
        <f>CS19+IF(AND('Lists'!$FD$20&lt;&gt;"",ISNUMBER(SEARCH($AE$4,'Lists'!$FD$20))),1,0)</f>
        <v/>
      </c>
      <c r="CT20">
        <f>IF(ROW()-3&gt;MAX($CS$4:$CS$42),"",INDEX('Lists'!$FD$4:$FD$42,MATCH(ROW()-3,$CS$4:$CS$42,0)))</f>
        <v/>
      </c>
      <c r="CU20">
        <f>CU19+IF(AND('Lists'!$FI$20&lt;&gt;"",ISNUMBER(SEARCH($AF$4,'Lists'!$FI$20))),1,0)</f>
        <v/>
      </c>
      <c r="CV20">
        <f>IF(ROW()-3&gt;MAX($CU$4:$CU$42),"",INDEX('Lists'!$FI$4:$FI$42,MATCH(ROW()-3,$CU$4:$CU$42,0)))</f>
        <v/>
      </c>
      <c r="CW20">
        <f>CW19+IF(AND('Lists'!$FN$20&lt;&gt;"",ISNUMBER(SEARCH($AG$4,'Lists'!$FN$20))),1,0)</f>
        <v/>
      </c>
      <c r="CX20">
        <f>IF(ROW()-3&gt;MAX($CW$4:$CW$42),"",INDEX('Lists'!$FN$4:$FN$42,MATCH(ROW()-3,$CW$4:$CW$42,0)))</f>
        <v/>
      </c>
      <c r="CY20">
        <f>CY19+IF(AND('Lists'!$FS$20&lt;&gt;"",ISNUMBER(SEARCH($AH$4,'Lists'!$FS$20))),1,0)</f>
        <v/>
      </c>
      <c r="CZ20">
        <f>IF(ROW()-3&gt;MAX($CY$4:$CY$42),"",INDEX('Lists'!$FS$4:$FS$42,MATCH(ROW()-3,$CY$4:$CY$42,0)))</f>
        <v/>
      </c>
      <c r="DA20">
        <f>DA19+IF(AND('Lists'!$FX$20&lt;&gt;"",ISNUMBER(SEARCH($AI$4,'Lists'!$FX$20))),1,0)</f>
        <v/>
      </c>
      <c r="DB20">
        <f>IF(ROW()-3&gt;MAX($DA$4:$DA$42),"",INDEX('Lists'!$FX$4:$FX$42,MATCH(ROW()-3,$DA$4:$DA$42,0)))</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c r="AJ21">
        <f>AND(IF($B$4="",TRUE,IF($B$4="(blank)",'Final Calculation Sheet'!$F$19="",IF($B$4="(nonblank)",'Final Calculation Sheet'!$F$19&lt;&gt;"",ISNUMBER(SEARCH($B$4,'Final Calculation Sheet'!$F$19))))),IF($C$4="",TRUE,IF($C$4="(blank)",'Final Calculation Sheet'!$G$19="",IF($C$4="(nonblank)",'Final Calculation Sheet'!$G$19&lt;&gt;"",ISNUMBER(SEARCH($C$4,'Final Calculation Sheet'!$G$19))))),IF($D$4="",TRUE,IF($D$4="(blank)",'Final Calculation Sheet'!$B$19="",IF($D$4="(nonblank)",'Final Calculation Sheet'!$B$19&lt;&gt;"",ISNUMBER(SEARCH($D$4,'Final Calculation Sheet'!$B$19))))),IF($E$4="",TRUE,IF($E$4="(blank)",'Final Calculation Sheet'!$D$19="",IF($E$4="(nonblank)",'Final Calculation Sheet'!$D$19&lt;&gt;"",ISNUMBER(SEARCH($E$4,'Final Calculation Sheet'!$D$19))))),IF($F$4="",TRUE,IF($F$4="(blank)",'Final Calculation Sheet'!$A$19="",IF($F$4="(nonblank)",'Final Calculation Sheet'!$A$19&lt;&gt;"",ISNUMBER(SEARCH($F$4,'Final Calculation Sheet'!$A$19))))),IF($G$4="",TRUE,IF($G$4="(blank)",'Final Calculation Sheet'!$E$19="",IF($G$4="(nonblank)",'Final Calculation Sheet'!$E$19&lt;&gt;"",ISNUMBER(SEARCH($G$4,'Final Calculation Sheet'!$E$19))))),IF($H$4="",TRUE,IF($H$4="(blank)",'Final Calculation Sheet'!$C$19="",IF($H$4="(nonblank)",'Final Calculation Sheet'!$C$19&lt;&gt;"",ISNUMBER(SEARCH($H$4,'Final Calculation Sheet'!$C$19))))),IF($I$4="",TRUE,IF($I$4="(blank)",'Final Calculation Sheet'!$H$19="",IF($I$4="(nonblank)",'Final Calculation Sheet'!$H$19&lt;&gt;"",ISNUMBER(SEARCH($I$4,'Final Calculation Sheet'!$H$19))))),IF($J$4="",TRUE,IF($J$4="(blank)",'Final Calculation Sheet'!$I$19="",IF($J$4="(nonblank)",'Final Calculation Sheet'!$I$19&lt;&gt;"",ISNUMBER(SEARCH($J$4,'Final Calculation Sheet'!$I$19))))),IF($K$4="",TRUE,IF($K$4="(blank)",'Final Calculation Sheet'!$J$19="",IF($K$4="(nonblank)",'Final Calculation Sheet'!$J$19&lt;&gt;"",ISNUMBER(SEARCH($K$4,'Final Calculation Sheet'!$J$19))))),IF($L$4="",TRUE,IF($L$4="(blank)",'Final Calculation Sheet'!$K$19="",IF($L$4="(nonblank)",'Final Calculation Sheet'!$K$19&lt;&gt;"",ISNUMBER(SEARCH($L$4,'Final Calculation Sheet'!$K$19))))),IF($M$4="",TRUE,IF($M$4="(blank)",'Final Calculation Sheet'!$L$19="",IF($M$4="(nonblank)",'Final Calculation Sheet'!$L$19&lt;&gt;"",ISNUMBER(SEARCH($M$4,'Final Calculation Sheet'!$L$19))))),IF($N$4="",TRUE,IF($N$4="(blank)",'Final Calculation Sheet'!$M$19="",IF($N$4="(nonblank)",'Final Calculation Sheet'!$M$19&lt;&gt;"",ISNUMBER(SEARCH($N$4,'Final Calculation Sheet'!$M$19))))),IF($O$4="",TRUE,IF($O$4="(blank)",'Final Calculation Sheet'!$N$19="",IF($O$4="(nonblank)",'Final Calculation Sheet'!$N$19&lt;&gt;"",ISNUMBER(SEARCH($O$4,'Final Calculation Sheet'!$N$19))))),IF($P$4="",TRUE,IF($P$4="(blank)",'Final Calculation Sheet'!$O$19="",IF($P$4="(nonblank)",'Final Calculation Sheet'!$O$19&lt;&gt;"",ISNUMBER(SEARCH($P$4,'Final Calculation Sheet'!$O$19))))),IF($Q$4="",TRUE,IF($Q$4="(blank)",'Final Calculation Sheet'!$P$19="",IF($Q$4="(nonblank)",'Final Calculation Sheet'!$P$19&lt;&gt;"",ISNUMBER(SEARCH($Q$4,'Final Calculation Sheet'!$P$19))))),IF($R$4="",TRUE,IF($R$4="(blank)",'Final Calculation Sheet'!$Q$19="",IF($R$4="(nonblank)",'Final Calculation Sheet'!$Q$19&lt;&gt;"",ISNUMBER(SEARCH($R$4,'Final Calculation Sheet'!$Q$19))))),IF($S$4="",TRUE,IF($S$4="(blank)",'Final Calculation Sheet'!$R$19="",IF($S$4="(nonblank)",'Final Calculation Sheet'!$R$19&lt;&gt;"",ISNUMBER(SEARCH($S$4,'Final Calculation Sheet'!$R$19))))),IF($T$4="",TRUE,IF($T$4="(blank)",'Final Calculation Sheet'!$S$19="",IF($T$4="(nonblank)",'Final Calculation Sheet'!$S$19&lt;&gt;"",ISNUMBER(SEARCH($T$4,'Final Calculation Sheet'!$S$19))))),IF($U$4="",TRUE,IF($U$4="(blank)",'Final Calculation Sheet'!$T$19="",IF($U$4="(nonblank)",'Final Calculation Sheet'!$T$19&lt;&gt;"",ISNUMBER(SEARCH($U$4,'Final Calculation Sheet'!$T$19))))),IF($V$4="",TRUE,IF($V$4="(blank)",'Final Calculation Sheet'!$U$19="",IF($V$4="(nonblank)",'Final Calculation Sheet'!$U$19&lt;&gt;"",ISNUMBER(SEARCH($V$4,'Final Calculation Sheet'!$U$19))))),IF($W$4="",TRUE,IF($W$4="(blank)",'Final Calculation Sheet'!$V$19="",IF($W$4="(nonblank)",'Final Calculation Sheet'!$V$19&lt;&gt;"",ISNUMBER(SEARCH($W$4,'Final Calculation Sheet'!$V$19))))),IF($X$4="",TRUE,IF($X$4="(blank)",'Final Calculation Sheet'!$W$19="",IF($X$4="(nonblank)",'Final Calculation Sheet'!$W$19&lt;&gt;"",ISNUMBER(SEARCH($X$4,'Final Calculation Sheet'!$W$19))))),IF($Y$4="",TRUE,IF($Y$4="(blank)",'Final Calculation Sheet'!$X$19="",IF($Y$4="(nonblank)",'Final Calculation Sheet'!$X$19&lt;&gt;"",ISNUMBER(SEARCH($Y$4,'Final Calculation Sheet'!$X$19))))),IF($Z$4="",TRUE,IF($Z$4="(blank)",'Final Calculation Sheet'!$Y$19="",IF($Z$4="(nonblank)",'Final Calculation Sheet'!$Y$19&lt;&gt;"",ISNUMBER(SEARCH($Z$4,'Final Calculation Sheet'!$Y$19))))),IF($AA$4="",TRUE,IF($AA$4="(blank)",'Final Calculation Sheet'!$Z$19="",IF($AA$4="(nonblank)",'Final Calculation Sheet'!$Z$19&lt;&gt;"",ISNUMBER(SEARCH($AA$4,'Final Calculation Sheet'!$Z$19))))),IF($AB$4="",TRUE,IF($AB$4="(blank)",'Final Calculation Sheet'!$AA$19="",IF($AB$4="(nonblank)",'Final Calculation Sheet'!$AA$19&lt;&gt;"",ISNUMBER(SEARCH($AB$4,'Final Calculation Sheet'!$AA$19))))),IF($AC$4="",TRUE,IF($AC$4="(blank)",'Final Calculation Sheet'!$AB$19="",IF($AC$4="(nonblank)",'Final Calculation Sheet'!$AB$19&lt;&gt;"",ISNUMBER(SEARCH($AC$4,'Final Calculation Sheet'!$AB$19))))),IF($AD$4="",TRUE,IF($AD$4="(blank)",'Final Calculation Sheet'!$AC$19="",IF($AD$4="(nonblank)",'Final Calculation Sheet'!$AC$19&lt;&gt;"",ISNUMBER(SEARCH($AD$4,'Final Calculation Sheet'!$AC$19))))),IF($AE$4="",TRUE,IF($AE$4="(blank)",'Final Calculation Sheet'!$AD$19="",IF($AE$4="(nonblank)",'Final Calculation Sheet'!$AD$19&lt;&gt;"",ISNUMBER(SEARCH($AE$4,'Final Calculation Sheet'!$AD$19))))),IF($AF$4="",TRUE,IF($AF$4="(blank)",'Final Calculation Sheet'!$AE$19="",IF($AF$4="(nonblank)",'Final Calculation Sheet'!$AE$19&lt;&gt;"",ISNUMBER(SEARCH($AF$4,'Final Calculation Sheet'!$AE$19))))),IF($AG$4="",TRUE,IF($AG$4="(blank)",'Final Calculation Sheet'!$AF$19="",IF($AG$4="(nonblank)",'Final Calculation Sheet'!$AF$19&lt;&gt;"",ISNUMBER(SEARCH($AG$4,'Final Calculation Sheet'!$AF$19))))),IF($AH$4="",TRUE,IF($AH$4="(blank)",'Final Calculation Sheet'!$AG$19="",IF($AH$4="(nonblank)",'Final Calculation Sheet'!$AG$19&lt;&gt;"",ISNUMBER(SEARCH($AH$4,'Final Calculation Sheet'!$AG$19))))),IF($AI$4="",TRUE,IF($AI$4="(blank)",IF('Final Calculation Sheet'!$AD$19&lt;=5,"SETTLED","OUTSTANDING")="",IF($AI$4="(nonblank)",IF('Final Calculation Sheet'!$AD$19&lt;=5,"SETTLED","OUTSTANDING")&lt;&gt;"",ISNUMBER(SEARCH($AI$4,IF('Final Calculation Sheet'!$AD$19&lt;=5,"SETTLED","OUTSTANDING")))))))</f>
        <v/>
      </c>
      <c r="AK21">
        <f>IF(AJ21=1,COUNTIF(AJ$6:AJ21,1),"")</f>
        <v/>
      </c>
      <c r="AM21">
        <f>AM20+IF(AND('Lists'!$O$21&lt;&gt;"",ISNUMBER(SEARCH($B$4,'Lists'!$O$21))),1,0)</f>
        <v/>
      </c>
      <c r="AN21">
        <f>IF(ROW()-3&gt;MAX($AM$4:$AM$42),"",INDEX('Lists'!$O$4:$O$42,MATCH(ROW()-3,$AM$4:$AM$42,0)))</f>
        <v/>
      </c>
      <c r="AO21">
        <f>AO20+IF(AND('Lists'!$T$21&lt;&gt;"",ISNUMBER(SEARCH($C$4,'Lists'!$T$21))),1,0)</f>
        <v/>
      </c>
      <c r="AP21">
        <f>IF(ROW()-3&gt;MAX($AO$4:$AO$42),"",INDEX('Lists'!$T$4:$T$42,MATCH(ROW()-3,$AO$4:$AO$42,0)))</f>
        <v/>
      </c>
      <c r="AQ21">
        <f>AQ20+IF(AND('Lists'!$Y$21&lt;&gt;"",ISNUMBER(SEARCH($D$4,'Lists'!$Y$21))),1,0)</f>
        <v/>
      </c>
      <c r="AR21">
        <f>IF(ROW()-3&gt;MAX($AQ$4:$AQ$42),"",INDEX('Lists'!$Y$4:$Y$42,MATCH(ROW()-3,$AQ$4:$AQ$42,0)))</f>
        <v/>
      </c>
      <c r="AS21">
        <f>AS20+IF(AND('Lists'!$AD$21&lt;&gt;"",ISNUMBER(SEARCH($E$4,'Lists'!$AD$21))),1,0)</f>
        <v/>
      </c>
      <c r="AT21">
        <f>IF(ROW()-3&gt;MAX($AS$4:$AS$42),"",INDEX('Lists'!$AD$4:$AD$42,MATCH(ROW()-3,$AS$4:$AS$42,0)))</f>
        <v/>
      </c>
      <c r="AU21">
        <f>AU20+IF(AND('Lists'!$AI$21&lt;&gt;"",ISNUMBER(SEARCH($F$4,'Lists'!$AI$21))),1,0)</f>
        <v/>
      </c>
      <c r="AV21">
        <f>IF(ROW()-3&gt;MAX($AU$4:$AU$42),"",INDEX('Lists'!$AI$4:$AI$42,MATCH(ROW()-3,$AU$4:$AU$42,0)))</f>
        <v/>
      </c>
      <c r="AW21">
        <f>AW20+IF(AND('Lists'!$AN$21&lt;&gt;"",ISNUMBER(SEARCH($G$4,'Lists'!$AN$21))),1,0)</f>
        <v/>
      </c>
      <c r="AX21">
        <f>IF(ROW()-3&gt;MAX($AW$4:$AW$42),"",INDEX('Lists'!$AN$4:$AN$42,MATCH(ROW()-3,$AW$4:$AW$42,0)))</f>
        <v/>
      </c>
      <c r="AY21">
        <f>AY20+IF(AND('Lists'!$AS$21&lt;&gt;"",ISNUMBER(SEARCH($H$4,'Lists'!$AS$21))),1,0)</f>
        <v/>
      </c>
      <c r="AZ21">
        <f>IF(ROW()-3&gt;MAX($AY$4:$AY$42),"",INDEX('Lists'!$AS$4:$AS$42,MATCH(ROW()-3,$AY$4:$AY$42,0)))</f>
        <v/>
      </c>
      <c r="BA21">
        <f>BA20+IF(AND('Lists'!$AX$21&lt;&gt;"",ISNUMBER(SEARCH($I$4,'Lists'!$AX$21))),1,0)</f>
        <v/>
      </c>
      <c r="BB21">
        <f>IF(ROW()-3&gt;MAX($BA$4:$BA$42),"",INDEX('Lists'!$AX$4:$AX$42,MATCH(ROW()-3,$BA$4:$BA$42,0)))</f>
        <v/>
      </c>
      <c r="BC21">
        <f>BC20+IF(AND('Lists'!$BC$21&lt;&gt;"",ISNUMBER(SEARCH($J$4,'Lists'!$BC$21))),1,0)</f>
        <v/>
      </c>
      <c r="BD21">
        <f>IF(ROW()-3&gt;MAX($BC$4:$BC$42),"",INDEX('Lists'!$BC$4:$BC$42,MATCH(ROW()-3,$BC$4:$BC$42,0)))</f>
        <v/>
      </c>
      <c r="BE21">
        <f>BE20+IF(AND('Lists'!$BH$21&lt;&gt;"",ISNUMBER(SEARCH($K$4,'Lists'!$BH$21))),1,0)</f>
        <v/>
      </c>
      <c r="BF21">
        <f>IF(ROW()-3&gt;MAX($BE$4:$BE$42),"",INDEX('Lists'!$BH$4:$BH$42,MATCH(ROW()-3,$BE$4:$BE$42,0)))</f>
        <v/>
      </c>
      <c r="BG21">
        <f>BG20+IF(AND('Lists'!$BM$21&lt;&gt;"",ISNUMBER(SEARCH($L$4,'Lists'!$BM$21))),1,0)</f>
        <v/>
      </c>
      <c r="BH21">
        <f>IF(ROW()-3&gt;MAX($BG$4:$BG$42),"",INDEX('Lists'!$BM$4:$BM$42,MATCH(ROW()-3,$BG$4:$BG$42,0)))</f>
        <v/>
      </c>
      <c r="BI21">
        <f>BI20+IF(AND('Lists'!$BR$21&lt;&gt;"",ISNUMBER(SEARCH($M$4,'Lists'!$BR$21))),1,0)</f>
        <v/>
      </c>
      <c r="BJ21">
        <f>IF(ROW()-3&gt;MAX($BI$4:$BI$42),"",INDEX('Lists'!$BR$4:$BR$42,MATCH(ROW()-3,$BI$4:$BI$42,0)))</f>
        <v/>
      </c>
      <c r="BK21">
        <f>BK20+IF(AND('Lists'!$BW$21&lt;&gt;"",ISNUMBER(SEARCH($N$4,'Lists'!$BW$21))),1,0)</f>
        <v/>
      </c>
      <c r="BL21">
        <f>IF(ROW()-3&gt;MAX($BK$4:$BK$42),"",INDEX('Lists'!$BW$4:$BW$42,MATCH(ROW()-3,$BK$4:$BK$42,0)))</f>
        <v/>
      </c>
      <c r="BM21">
        <f>BM20+IF(AND('Lists'!$CB$21&lt;&gt;"",ISNUMBER(SEARCH($O$4,'Lists'!$CB$21))),1,0)</f>
        <v/>
      </c>
      <c r="BN21">
        <f>IF(ROW()-3&gt;MAX($BM$4:$BM$42),"",INDEX('Lists'!$CB$4:$CB$42,MATCH(ROW()-3,$BM$4:$BM$42,0)))</f>
        <v/>
      </c>
      <c r="BO21">
        <f>BO20+IF(AND('Lists'!$CG$21&lt;&gt;"",ISNUMBER(SEARCH($P$4,'Lists'!$CG$21))),1,0)</f>
        <v/>
      </c>
      <c r="BP21">
        <f>IF(ROW()-3&gt;MAX($BO$4:$BO$42),"",INDEX('Lists'!$CG$4:$CG$42,MATCH(ROW()-3,$BO$4:$BO$42,0)))</f>
        <v/>
      </c>
      <c r="BQ21">
        <f>BQ20+IF(AND('Lists'!$CL$21&lt;&gt;"",ISNUMBER(SEARCH($Q$4,'Lists'!$CL$21))),1,0)</f>
        <v/>
      </c>
      <c r="BR21">
        <f>IF(ROW()-3&gt;MAX($BQ$4:$BQ$42),"",INDEX('Lists'!$CL$4:$CL$42,MATCH(ROW()-3,$BQ$4:$BQ$42,0)))</f>
        <v/>
      </c>
      <c r="BS21">
        <f>BS20+IF(AND('Lists'!$CQ$21&lt;&gt;"",ISNUMBER(SEARCH($R$4,'Lists'!$CQ$21))),1,0)</f>
        <v/>
      </c>
      <c r="BT21">
        <f>IF(ROW()-3&gt;MAX($BS$4:$BS$42),"",INDEX('Lists'!$CQ$4:$CQ$42,MATCH(ROW()-3,$BS$4:$BS$42,0)))</f>
        <v/>
      </c>
      <c r="BU21">
        <f>BU20+IF(AND('Lists'!$CV$21&lt;&gt;"",ISNUMBER(SEARCH($S$4,'Lists'!$CV$21))),1,0)</f>
        <v/>
      </c>
      <c r="BV21">
        <f>IF(ROW()-3&gt;MAX($BU$4:$BU$42),"",INDEX('Lists'!$CV$4:$CV$42,MATCH(ROW()-3,$BU$4:$BU$42,0)))</f>
        <v/>
      </c>
      <c r="BW21">
        <f>BW20+IF(AND('Lists'!$DA$21&lt;&gt;"",ISNUMBER(SEARCH($T$4,'Lists'!$DA$21))),1,0)</f>
        <v/>
      </c>
      <c r="BX21">
        <f>IF(ROW()-3&gt;MAX($BW$4:$BW$42),"",INDEX('Lists'!$DA$4:$DA$42,MATCH(ROW()-3,$BW$4:$BW$42,0)))</f>
        <v/>
      </c>
      <c r="BY21">
        <f>BY20+IF(AND('Lists'!$DF$21&lt;&gt;"",ISNUMBER(SEARCH($U$4,'Lists'!$DF$21))),1,0)</f>
        <v/>
      </c>
      <c r="BZ21">
        <f>IF(ROW()-3&gt;MAX($BY$4:$BY$42),"",INDEX('Lists'!$DF$4:$DF$42,MATCH(ROW()-3,$BY$4:$BY$42,0)))</f>
        <v/>
      </c>
      <c r="CA21">
        <f>CA20+IF(AND('Lists'!$DK$21&lt;&gt;"",ISNUMBER(SEARCH($V$4,'Lists'!$DK$21))),1,0)</f>
        <v/>
      </c>
      <c r="CB21">
        <f>IF(ROW()-3&gt;MAX($CA$4:$CA$42),"",INDEX('Lists'!$DK$4:$DK$42,MATCH(ROW()-3,$CA$4:$CA$42,0)))</f>
        <v/>
      </c>
      <c r="CC21">
        <f>CC20+IF(AND('Lists'!$DP$21&lt;&gt;"",ISNUMBER(SEARCH($W$4,'Lists'!$DP$21))),1,0)</f>
        <v/>
      </c>
      <c r="CD21">
        <f>IF(ROW()-3&gt;MAX($CC$4:$CC$42),"",INDEX('Lists'!$DP$4:$DP$42,MATCH(ROW()-3,$CC$4:$CC$42,0)))</f>
        <v/>
      </c>
      <c r="CE21">
        <f>CE20+IF(AND('Lists'!$DU$21&lt;&gt;"",ISNUMBER(SEARCH($X$4,'Lists'!$DU$21))),1,0)</f>
        <v/>
      </c>
      <c r="CF21">
        <f>IF(ROW()-3&gt;MAX($CE$4:$CE$42),"",INDEX('Lists'!$DU$4:$DU$42,MATCH(ROW()-3,$CE$4:$CE$42,0)))</f>
        <v/>
      </c>
      <c r="CG21">
        <f>CG20+IF(AND('Lists'!$DZ$21&lt;&gt;"",ISNUMBER(SEARCH($Y$4,'Lists'!$DZ$21))),1,0)</f>
        <v/>
      </c>
      <c r="CH21">
        <f>IF(ROW()-3&gt;MAX($CG$4:$CG$42),"",INDEX('Lists'!$DZ$4:$DZ$42,MATCH(ROW()-3,$CG$4:$CG$42,0)))</f>
        <v/>
      </c>
      <c r="CI21">
        <f>CI20+IF(AND('Lists'!$EE$21&lt;&gt;"",ISNUMBER(SEARCH($Z$4,'Lists'!$EE$21))),1,0)</f>
        <v/>
      </c>
      <c r="CJ21">
        <f>IF(ROW()-3&gt;MAX($CI$4:$CI$42),"",INDEX('Lists'!$EE$4:$EE$42,MATCH(ROW()-3,$CI$4:$CI$42,0)))</f>
        <v/>
      </c>
      <c r="CK21">
        <f>CK20+IF(AND('Lists'!$EJ$21&lt;&gt;"",ISNUMBER(SEARCH($AA$4,'Lists'!$EJ$21))),1,0)</f>
        <v/>
      </c>
      <c r="CL21">
        <f>IF(ROW()-3&gt;MAX($CK$4:$CK$42),"",INDEX('Lists'!$EJ$4:$EJ$42,MATCH(ROW()-3,$CK$4:$CK$42,0)))</f>
        <v/>
      </c>
      <c r="CM21">
        <f>CM20+IF(AND('Lists'!$EO$21&lt;&gt;"",ISNUMBER(SEARCH($AB$4,'Lists'!$EO$21))),1,0)</f>
        <v/>
      </c>
      <c r="CN21">
        <f>IF(ROW()-3&gt;MAX($CM$4:$CM$42),"",INDEX('Lists'!$EO$4:$EO$42,MATCH(ROW()-3,$CM$4:$CM$42,0)))</f>
        <v/>
      </c>
      <c r="CO21">
        <f>CO20+IF(AND('Lists'!$ET$21&lt;&gt;"",ISNUMBER(SEARCH($AC$4,'Lists'!$ET$21))),1,0)</f>
        <v/>
      </c>
      <c r="CP21">
        <f>IF(ROW()-3&gt;MAX($CO$4:$CO$42),"",INDEX('Lists'!$ET$4:$ET$42,MATCH(ROW()-3,$CO$4:$CO$42,0)))</f>
        <v/>
      </c>
      <c r="CQ21">
        <f>CQ20+IF(AND('Lists'!$EY$21&lt;&gt;"",ISNUMBER(SEARCH($AD$4,'Lists'!$EY$21))),1,0)</f>
        <v/>
      </c>
      <c r="CR21">
        <f>IF(ROW()-3&gt;MAX($CQ$4:$CQ$42),"",INDEX('Lists'!$EY$4:$EY$42,MATCH(ROW()-3,$CQ$4:$CQ$42,0)))</f>
        <v/>
      </c>
      <c r="CS21">
        <f>CS20+IF(AND('Lists'!$FD$21&lt;&gt;"",ISNUMBER(SEARCH($AE$4,'Lists'!$FD$21))),1,0)</f>
        <v/>
      </c>
      <c r="CT21">
        <f>IF(ROW()-3&gt;MAX($CS$4:$CS$42),"",INDEX('Lists'!$FD$4:$FD$42,MATCH(ROW()-3,$CS$4:$CS$42,0)))</f>
        <v/>
      </c>
      <c r="CU21">
        <f>CU20+IF(AND('Lists'!$FI$21&lt;&gt;"",ISNUMBER(SEARCH($AF$4,'Lists'!$FI$21))),1,0)</f>
        <v/>
      </c>
      <c r="CV21">
        <f>IF(ROW()-3&gt;MAX($CU$4:$CU$42),"",INDEX('Lists'!$FI$4:$FI$42,MATCH(ROW()-3,$CU$4:$CU$42,0)))</f>
        <v/>
      </c>
      <c r="CW21">
        <f>CW20+IF(AND('Lists'!$FN$21&lt;&gt;"",ISNUMBER(SEARCH($AG$4,'Lists'!$FN$21))),1,0)</f>
        <v/>
      </c>
      <c r="CX21">
        <f>IF(ROW()-3&gt;MAX($CW$4:$CW$42),"",INDEX('Lists'!$FN$4:$FN$42,MATCH(ROW()-3,$CW$4:$CW$42,0)))</f>
        <v/>
      </c>
      <c r="CY21">
        <f>CY20+IF(AND('Lists'!$FS$21&lt;&gt;"",ISNUMBER(SEARCH($AH$4,'Lists'!$FS$21))),1,0)</f>
        <v/>
      </c>
      <c r="CZ21">
        <f>IF(ROW()-3&gt;MAX($CY$4:$CY$42),"",INDEX('Lists'!$FS$4:$FS$42,MATCH(ROW()-3,$CY$4:$CY$42,0)))</f>
        <v/>
      </c>
      <c r="DA21">
        <f>DA20+IF(AND('Lists'!$FX$21&lt;&gt;"",ISNUMBER(SEARCH($AI$4,'Lists'!$FX$21))),1,0)</f>
        <v/>
      </c>
      <c r="DB21">
        <f>IF(ROW()-3&gt;MAX($DA$4:$DA$42),"",INDEX('Lists'!$FX$4:$FX$42,MATCH(ROW()-3,$DA$4:$DA$42,0)))</f>
        <v/>
      </c>
    </row>
    <row r="22" outlineLevel="1" ht="15" customHeight="1" s="77">
      <c r="A22" s="118" t="n">
        <v>6</v>
      </c>
      <c r="B22" s="119">
        <f>IF('Final Calculation Sheet'!$F$19="","",'Final Calculation Sheet'!$F$19)</f>
        <v/>
      </c>
      <c r="C22" s="119">
        <f>IF('Final Calculation Sheet'!$G$19="","",'Final Calculation Sheet'!$G$19)</f>
        <v/>
      </c>
      <c r="D22" s="120">
        <f>IF('Final Calculation Sheet'!$B$19="","",'Final Calculation Sheet'!$B$19)</f>
        <v/>
      </c>
      <c r="E22" s="120">
        <f>IF('Final Calculation Sheet'!$D$19="","",'Final Calculation Sheet'!$D$19)</f>
        <v/>
      </c>
      <c r="F22" s="120">
        <f>IF('Final Calculation Sheet'!$A$19="","",'Final Calculation Sheet'!$A$19)</f>
        <v/>
      </c>
      <c r="G22" s="120">
        <f>IF('Final Calculation Sheet'!$E$19="","",'Final Calculation Sheet'!$E$19)</f>
        <v/>
      </c>
      <c r="H22" s="121">
        <f>IF('Final Calculation Sheet'!$C$19="","",'Final Calculation Sheet'!$C$19)</f>
        <v/>
      </c>
      <c r="I22" s="121">
        <f>IF('Final Calculation Sheet'!$H$19="","",'Final Calculation Sheet'!$H$19)</f>
        <v/>
      </c>
      <c r="J22" s="121">
        <f>IF('Final Calculation Sheet'!$I$19="","",'Final Calculation Sheet'!$I$19)</f>
        <v/>
      </c>
      <c r="K22" s="121">
        <f>IF('Final Calculation Sheet'!$J$19="","",'Final Calculation Sheet'!$J$19)</f>
        <v/>
      </c>
      <c r="L22" s="121">
        <f>IF('Final Calculation Sheet'!$K$19="","",'Final Calculation Sheet'!$K$19)</f>
        <v/>
      </c>
      <c r="M22" s="121">
        <f>IF('Final Calculation Sheet'!$L$19="","",'Final Calculation Sheet'!$L$19)</f>
        <v/>
      </c>
      <c r="N22" s="121">
        <f>IF('Final Calculation Sheet'!$M$19="","",'Final Calculation Sheet'!$M$19)</f>
        <v/>
      </c>
      <c r="O22" s="122">
        <f>IF('Final Calculation Sheet'!$N$19="","",'Final Calculation Sheet'!$N$19)</f>
        <v/>
      </c>
      <c r="P22" s="121">
        <f>IF('Final Calculation Sheet'!$O$19="","",'Final Calculation Sheet'!$O$19)</f>
        <v/>
      </c>
      <c r="Q22" s="121">
        <f>IF('Final Calculation Sheet'!$P$19="","",'Final Calculation Sheet'!$P$19)</f>
        <v/>
      </c>
      <c r="R22" s="123">
        <f>IF('Final Calculation Sheet'!$Q$19="","",'Final Calculation Sheet'!$Q$19)</f>
        <v/>
      </c>
      <c r="S22" s="121">
        <f>IF('Final Calculation Sheet'!$R$19="","",'Final Calculation Sheet'!$R$19)</f>
        <v/>
      </c>
      <c r="T22" s="121">
        <f>IF('Final Calculation Sheet'!$S$19="","",'Final Calculation Sheet'!$S$19)</f>
        <v/>
      </c>
      <c r="U22" s="121">
        <f>IF('Final Calculation Sheet'!$T$19="","",'Final Calculation Sheet'!$T$19)</f>
        <v/>
      </c>
      <c r="V22" s="124">
        <f>IF('Final Calculation Sheet'!$U$19="","",'Final Calculation Sheet'!$U$19)</f>
        <v/>
      </c>
      <c r="W22" s="121">
        <f>IF('Final Calculation Sheet'!$V$19="","",'Final Calculation Sheet'!$V$19)</f>
        <v/>
      </c>
      <c r="X22" s="121">
        <f>IF('Final Calculation Sheet'!$W$19="","",'Final Calculation Sheet'!$W$19)</f>
        <v/>
      </c>
      <c r="Y22" s="121">
        <f>IF('Final Calculation Sheet'!$X$19="","",'Final Calculation Sheet'!$X$19)</f>
        <v/>
      </c>
      <c r="Z22" s="121">
        <f>IF('Final Calculation Sheet'!$Y$19="","",'Final Calculation Sheet'!$Y$19)</f>
        <v/>
      </c>
      <c r="AA22" s="121">
        <f>IF('Final Calculation Sheet'!$Z$19="","",'Final Calculation Sheet'!$Z$19)</f>
        <v/>
      </c>
      <c r="AB22" s="121">
        <f>IF('Final Calculation Sheet'!$AA$19="","",'Final Calculation Sheet'!$AA$19)</f>
        <v/>
      </c>
      <c r="AC22" s="121">
        <f>IF('Final Calculation Sheet'!$AB$19="","",'Final Calculation Sheet'!$AB$19)</f>
        <v/>
      </c>
      <c r="AD22" s="121">
        <f>IF('Final Calculation Sheet'!$AC$19="","",'Final Calculation Sheet'!$AC$19)</f>
        <v/>
      </c>
      <c r="AE22" s="121">
        <f>IF('Final Calculation Sheet'!$AD$19="","",'Final Calculation Sheet'!$AD$19)</f>
        <v/>
      </c>
      <c r="AF22" s="121">
        <f>IF('Final Calculation Sheet'!$AE$19="","",'Final Calculation Sheet'!$AE$19)</f>
        <v/>
      </c>
      <c r="AG22" s="125">
        <f>IF('Final Calculation Sheet'!$AF$19="","",'Final Calculation Sheet'!$AF$19)</f>
        <v/>
      </c>
      <c r="AH22" s="121">
        <f>IF('Final Calculation Sheet'!$AG$19="","",'Final Calculation Sheet'!$AG$19)</f>
        <v/>
      </c>
      <c r="AI22" s="126">
        <f>IF('Final Calculation Sheet'!$AD$19="","",IF('Final Calculation Sheet'!$AD$19&lt;=5,"SETTLED","OUTSTANDING"))</f>
        <v/>
      </c>
      <c r="AJ22">
        <f>AND(IF($B$4="",TRUE,IF($B$4="(blank)",'Final Calculation Sheet'!$F$20="",IF($B$4="(nonblank)",'Final Calculation Sheet'!$F$20&lt;&gt;"",ISNUMBER(SEARCH($B$4,'Final Calculation Sheet'!$F$20))))),IF($C$4="",TRUE,IF($C$4="(blank)",'Final Calculation Sheet'!$G$20="",IF($C$4="(nonblank)",'Final Calculation Sheet'!$G$20&lt;&gt;"",ISNUMBER(SEARCH($C$4,'Final Calculation Sheet'!$G$20))))),IF($D$4="",TRUE,IF($D$4="(blank)",'Final Calculation Sheet'!$B$20="",IF($D$4="(nonblank)",'Final Calculation Sheet'!$B$20&lt;&gt;"",ISNUMBER(SEARCH($D$4,'Final Calculation Sheet'!$B$20))))),IF($E$4="",TRUE,IF($E$4="(blank)",'Final Calculation Sheet'!$D$20="",IF($E$4="(nonblank)",'Final Calculation Sheet'!$D$20&lt;&gt;"",ISNUMBER(SEARCH($E$4,'Final Calculation Sheet'!$D$20))))),IF($F$4="",TRUE,IF($F$4="(blank)",'Final Calculation Sheet'!$A$20="",IF($F$4="(nonblank)",'Final Calculation Sheet'!$A$20&lt;&gt;"",ISNUMBER(SEARCH($F$4,'Final Calculation Sheet'!$A$20))))),IF($G$4="",TRUE,IF($G$4="(blank)",'Final Calculation Sheet'!$E$20="",IF($G$4="(nonblank)",'Final Calculation Sheet'!$E$20&lt;&gt;"",ISNUMBER(SEARCH($G$4,'Final Calculation Sheet'!$E$20))))),IF($H$4="",TRUE,IF($H$4="(blank)",'Final Calculation Sheet'!$C$20="",IF($H$4="(nonblank)",'Final Calculation Sheet'!$C$20&lt;&gt;"",ISNUMBER(SEARCH($H$4,'Final Calculation Sheet'!$C$20))))),IF($I$4="",TRUE,IF($I$4="(blank)",'Final Calculation Sheet'!$H$20="",IF($I$4="(nonblank)",'Final Calculation Sheet'!$H$20&lt;&gt;"",ISNUMBER(SEARCH($I$4,'Final Calculation Sheet'!$H$20))))),IF($J$4="",TRUE,IF($J$4="(blank)",'Final Calculation Sheet'!$I$20="",IF($J$4="(nonblank)",'Final Calculation Sheet'!$I$20&lt;&gt;"",ISNUMBER(SEARCH($J$4,'Final Calculation Sheet'!$I$20))))),IF($K$4="",TRUE,IF($K$4="(blank)",'Final Calculation Sheet'!$J$20="",IF($K$4="(nonblank)",'Final Calculation Sheet'!$J$20&lt;&gt;"",ISNUMBER(SEARCH($K$4,'Final Calculation Sheet'!$J$20))))),IF($L$4="",TRUE,IF($L$4="(blank)",'Final Calculation Sheet'!$K$20="",IF($L$4="(nonblank)",'Final Calculation Sheet'!$K$20&lt;&gt;"",ISNUMBER(SEARCH($L$4,'Final Calculation Sheet'!$K$20))))),IF($M$4="",TRUE,IF($M$4="(blank)",'Final Calculation Sheet'!$L$20="",IF($M$4="(nonblank)",'Final Calculation Sheet'!$L$20&lt;&gt;"",ISNUMBER(SEARCH($M$4,'Final Calculation Sheet'!$L$20))))),IF($N$4="",TRUE,IF($N$4="(blank)",'Final Calculation Sheet'!$M$20="",IF($N$4="(nonblank)",'Final Calculation Sheet'!$M$20&lt;&gt;"",ISNUMBER(SEARCH($N$4,'Final Calculation Sheet'!$M$20))))),IF($O$4="",TRUE,IF($O$4="(blank)",'Final Calculation Sheet'!$N$20="",IF($O$4="(nonblank)",'Final Calculation Sheet'!$N$20&lt;&gt;"",ISNUMBER(SEARCH($O$4,'Final Calculation Sheet'!$N$20))))),IF($P$4="",TRUE,IF($P$4="(blank)",'Final Calculation Sheet'!$O$20="",IF($P$4="(nonblank)",'Final Calculation Sheet'!$O$20&lt;&gt;"",ISNUMBER(SEARCH($P$4,'Final Calculation Sheet'!$O$20))))),IF($Q$4="",TRUE,IF($Q$4="(blank)",'Final Calculation Sheet'!$P$20="",IF($Q$4="(nonblank)",'Final Calculation Sheet'!$P$20&lt;&gt;"",ISNUMBER(SEARCH($Q$4,'Final Calculation Sheet'!$P$20))))),IF($R$4="",TRUE,IF($R$4="(blank)",'Final Calculation Sheet'!$Q$20="",IF($R$4="(nonblank)",'Final Calculation Sheet'!$Q$20&lt;&gt;"",ISNUMBER(SEARCH($R$4,'Final Calculation Sheet'!$Q$20))))),IF($S$4="",TRUE,IF($S$4="(blank)",'Final Calculation Sheet'!$R$20="",IF($S$4="(nonblank)",'Final Calculation Sheet'!$R$20&lt;&gt;"",ISNUMBER(SEARCH($S$4,'Final Calculation Sheet'!$R$20))))),IF($T$4="",TRUE,IF($T$4="(blank)",'Final Calculation Sheet'!$S$20="",IF($T$4="(nonblank)",'Final Calculation Sheet'!$S$20&lt;&gt;"",ISNUMBER(SEARCH($T$4,'Final Calculation Sheet'!$S$20))))),IF($U$4="",TRUE,IF($U$4="(blank)",'Final Calculation Sheet'!$T$20="",IF($U$4="(nonblank)",'Final Calculation Sheet'!$T$20&lt;&gt;"",ISNUMBER(SEARCH($U$4,'Final Calculation Sheet'!$T$20))))),IF($V$4="",TRUE,IF($V$4="(blank)",'Final Calculation Sheet'!$U$20="",IF($V$4="(nonblank)",'Final Calculation Sheet'!$U$20&lt;&gt;"",ISNUMBER(SEARCH($V$4,'Final Calculation Sheet'!$U$20))))),IF($W$4="",TRUE,IF($W$4="(blank)",'Final Calculation Sheet'!$V$20="",IF($W$4="(nonblank)",'Final Calculation Sheet'!$V$20&lt;&gt;"",ISNUMBER(SEARCH($W$4,'Final Calculation Sheet'!$V$20))))),IF($X$4="",TRUE,IF($X$4="(blank)",'Final Calculation Sheet'!$W$20="",IF($X$4="(nonblank)",'Final Calculation Sheet'!$W$20&lt;&gt;"",ISNUMBER(SEARCH($X$4,'Final Calculation Sheet'!$W$20))))),IF($Y$4="",TRUE,IF($Y$4="(blank)",'Final Calculation Sheet'!$X$20="",IF($Y$4="(nonblank)",'Final Calculation Sheet'!$X$20&lt;&gt;"",ISNUMBER(SEARCH($Y$4,'Final Calculation Sheet'!$X$20))))),IF($Z$4="",TRUE,IF($Z$4="(blank)",'Final Calculation Sheet'!$Y$20="",IF($Z$4="(nonblank)",'Final Calculation Sheet'!$Y$20&lt;&gt;"",ISNUMBER(SEARCH($Z$4,'Final Calculation Sheet'!$Y$20))))),IF($AA$4="",TRUE,IF($AA$4="(blank)",'Final Calculation Sheet'!$Z$20="",IF($AA$4="(nonblank)",'Final Calculation Sheet'!$Z$20&lt;&gt;"",ISNUMBER(SEARCH($AA$4,'Final Calculation Sheet'!$Z$20))))),IF($AB$4="",TRUE,IF($AB$4="(blank)",'Final Calculation Sheet'!$AA$20="",IF($AB$4="(nonblank)",'Final Calculation Sheet'!$AA$20&lt;&gt;"",ISNUMBER(SEARCH($AB$4,'Final Calculation Sheet'!$AA$20))))),IF($AC$4="",TRUE,IF($AC$4="(blank)",'Final Calculation Sheet'!$AB$20="",IF($AC$4="(nonblank)",'Final Calculation Sheet'!$AB$20&lt;&gt;"",ISNUMBER(SEARCH($AC$4,'Final Calculation Sheet'!$AB$20))))),IF($AD$4="",TRUE,IF($AD$4="(blank)",'Final Calculation Sheet'!$AC$20="",IF($AD$4="(nonblank)",'Final Calculation Sheet'!$AC$20&lt;&gt;"",ISNUMBER(SEARCH($AD$4,'Final Calculation Sheet'!$AC$20))))),IF($AE$4="",TRUE,IF($AE$4="(blank)",'Final Calculation Sheet'!$AD$20="",IF($AE$4="(nonblank)",'Final Calculation Sheet'!$AD$20&lt;&gt;"",ISNUMBER(SEARCH($AE$4,'Final Calculation Sheet'!$AD$20))))),IF($AF$4="",TRUE,IF($AF$4="(blank)",'Final Calculation Sheet'!$AE$20="",IF($AF$4="(nonblank)",'Final Calculation Sheet'!$AE$20&lt;&gt;"",ISNUMBER(SEARCH($AF$4,'Final Calculation Sheet'!$AE$20))))),IF($AG$4="",TRUE,IF($AG$4="(blank)",'Final Calculation Sheet'!$AF$20="",IF($AG$4="(nonblank)",'Final Calculation Sheet'!$AF$20&lt;&gt;"",ISNUMBER(SEARCH($AG$4,'Final Calculation Sheet'!$AF$20))))),IF($AH$4="",TRUE,IF($AH$4="(blank)",'Final Calculation Sheet'!$AG$20="",IF($AH$4="(nonblank)",'Final Calculation Sheet'!$AG$20&lt;&gt;"",ISNUMBER(SEARCH($AH$4,'Final Calculation Sheet'!$AG$20))))),IF($AI$4="",TRUE,IF($AI$4="(blank)",IF('Final Calculation Sheet'!$AD$20&lt;=5,"SETTLED","OUTSTANDING")="",IF($AI$4="(nonblank)",IF('Final Calculation Sheet'!$AD$20&lt;=5,"SETTLED","OUTSTANDING")&lt;&gt;"",ISNUMBER(SEARCH($AI$4,IF('Final Calculation Sheet'!$AD$20&lt;=5,"SETTLED","OUTSTANDING")))))))</f>
        <v/>
      </c>
      <c r="AK22">
        <f>IF(AJ22=1,COUNTIF(AJ$6:AJ22,1),"")</f>
        <v/>
      </c>
      <c r="AM22">
        <f>AM21+IF(AND('Lists'!$O$22&lt;&gt;"",ISNUMBER(SEARCH($B$4,'Lists'!$O$22))),1,0)</f>
        <v/>
      </c>
      <c r="AN22">
        <f>IF(ROW()-3&gt;MAX($AM$4:$AM$42),"",INDEX('Lists'!$O$4:$O$42,MATCH(ROW()-3,$AM$4:$AM$42,0)))</f>
        <v/>
      </c>
      <c r="AO22">
        <f>AO21+IF(AND('Lists'!$T$22&lt;&gt;"",ISNUMBER(SEARCH($C$4,'Lists'!$T$22))),1,0)</f>
        <v/>
      </c>
      <c r="AP22">
        <f>IF(ROW()-3&gt;MAX($AO$4:$AO$42),"",INDEX('Lists'!$T$4:$T$42,MATCH(ROW()-3,$AO$4:$AO$42,0)))</f>
        <v/>
      </c>
      <c r="AQ22">
        <f>AQ21+IF(AND('Lists'!$Y$22&lt;&gt;"",ISNUMBER(SEARCH($D$4,'Lists'!$Y$22))),1,0)</f>
        <v/>
      </c>
      <c r="AR22">
        <f>IF(ROW()-3&gt;MAX($AQ$4:$AQ$42),"",INDEX('Lists'!$Y$4:$Y$42,MATCH(ROW()-3,$AQ$4:$AQ$42,0)))</f>
        <v/>
      </c>
      <c r="AS22">
        <f>AS21+IF(AND('Lists'!$AD$22&lt;&gt;"",ISNUMBER(SEARCH($E$4,'Lists'!$AD$22))),1,0)</f>
        <v/>
      </c>
      <c r="AT22">
        <f>IF(ROW()-3&gt;MAX($AS$4:$AS$42),"",INDEX('Lists'!$AD$4:$AD$42,MATCH(ROW()-3,$AS$4:$AS$42,0)))</f>
        <v/>
      </c>
      <c r="AU22">
        <f>AU21+IF(AND('Lists'!$AI$22&lt;&gt;"",ISNUMBER(SEARCH($F$4,'Lists'!$AI$22))),1,0)</f>
        <v/>
      </c>
      <c r="AV22">
        <f>IF(ROW()-3&gt;MAX($AU$4:$AU$42),"",INDEX('Lists'!$AI$4:$AI$42,MATCH(ROW()-3,$AU$4:$AU$42,0)))</f>
        <v/>
      </c>
      <c r="AW22">
        <f>AW21+IF(AND('Lists'!$AN$22&lt;&gt;"",ISNUMBER(SEARCH($G$4,'Lists'!$AN$22))),1,0)</f>
        <v/>
      </c>
      <c r="AX22">
        <f>IF(ROW()-3&gt;MAX($AW$4:$AW$42),"",INDEX('Lists'!$AN$4:$AN$42,MATCH(ROW()-3,$AW$4:$AW$42,0)))</f>
        <v/>
      </c>
      <c r="AY22">
        <f>AY21+IF(AND('Lists'!$AS$22&lt;&gt;"",ISNUMBER(SEARCH($H$4,'Lists'!$AS$22))),1,0)</f>
        <v/>
      </c>
      <c r="AZ22">
        <f>IF(ROW()-3&gt;MAX($AY$4:$AY$42),"",INDEX('Lists'!$AS$4:$AS$42,MATCH(ROW()-3,$AY$4:$AY$42,0)))</f>
        <v/>
      </c>
      <c r="BA22">
        <f>BA21+IF(AND('Lists'!$AX$22&lt;&gt;"",ISNUMBER(SEARCH($I$4,'Lists'!$AX$22))),1,0)</f>
        <v/>
      </c>
      <c r="BB22">
        <f>IF(ROW()-3&gt;MAX($BA$4:$BA$42),"",INDEX('Lists'!$AX$4:$AX$42,MATCH(ROW()-3,$BA$4:$BA$42,0)))</f>
        <v/>
      </c>
      <c r="BC22">
        <f>BC21+IF(AND('Lists'!$BC$22&lt;&gt;"",ISNUMBER(SEARCH($J$4,'Lists'!$BC$22))),1,0)</f>
        <v/>
      </c>
      <c r="BD22">
        <f>IF(ROW()-3&gt;MAX($BC$4:$BC$42),"",INDEX('Lists'!$BC$4:$BC$42,MATCH(ROW()-3,$BC$4:$BC$42,0)))</f>
        <v/>
      </c>
      <c r="BE22">
        <f>BE21+IF(AND('Lists'!$BH$22&lt;&gt;"",ISNUMBER(SEARCH($K$4,'Lists'!$BH$22))),1,0)</f>
        <v/>
      </c>
      <c r="BF22">
        <f>IF(ROW()-3&gt;MAX($BE$4:$BE$42),"",INDEX('Lists'!$BH$4:$BH$42,MATCH(ROW()-3,$BE$4:$BE$42,0)))</f>
        <v/>
      </c>
      <c r="BG22">
        <f>BG21+IF(AND('Lists'!$BM$22&lt;&gt;"",ISNUMBER(SEARCH($L$4,'Lists'!$BM$22))),1,0)</f>
        <v/>
      </c>
      <c r="BH22">
        <f>IF(ROW()-3&gt;MAX($BG$4:$BG$42),"",INDEX('Lists'!$BM$4:$BM$42,MATCH(ROW()-3,$BG$4:$BG$42,0)))</f>
        <v/>
      </c>
      <c r="BI22">
        <f>BI21+IF(AND('Lists'!$BR$22&lt;&gt;"",ISNUMBER(SEARCH($M$4,'Lists'!$BR$22))),1,0)</f>
        <v/>
      </c>
      <c r="BJ22">
        <f>IF(ROW()-3&gt;MAX($BI$4:$BI$42),"",INDEX('Lists'!$BR$4:$BR$42,MATCH(ROW()-3,$BI$4:$BI$42,0)))</f>
        <v/>
      </c>
      <c r="BK22">
        <f>BK21+IF(AND('Lists'!$BW$22&lt;&gt;"",ISNUMBER(SEARCH($N$4,'Lists'!$BW$22))),1,0)</f>
        <v/>
      </c>
      <c r="BL22">
        <f>IF(ROW()-3&gt;MAX($BK$4:$BK$42),"",INDEX('Lists'!$BW$4:$BW$42,MATCH(ROW()-3,$BK$4:$BK$42,0)))</f>
        <v/>
      </c>
      <c r="BM22">
        <f>BM21+IF(AND('Lists'!$CB$22&lt;&gt;"",ISNUMBER(SEARCH($O$4,'Lists'!$CB$22))),1,0)</f>
        <v/>
      </c>
      <c r="BN22">
        <f>IF(ROW()-3&gt;MAX($BM$4:$BM$42),"",INDEX('Lists'!$CB$4:$CB$42,MATCH(ROW()-3,$BM$4:$BM$42,0)))</f>
        <v/>
      </c>
      <c r="BO22">
        <f>BO21+IF(AND('Lists'!$CG$22&lt;&gt;"",ISNUMBER(SEARCH($P$4,'Lists'!$CG$22))),1,0)</f>
        <v/>
      </c>
      <c r="BP22">
        <f>IF(ROW()-3&gt;MAX($BO$4:$BO$42),"",INDEX('Lists'!$CG$4:$CG$42,MATCH(ROW()-3,$BO$4:$BO$42,0)))</f>
        <v/>
      </c>
      <c r="BQ22">
        <f>BQ21+IF(AND('Lists'!$CL$22&lt;&gt;"",ISNUMBER(SEARCH($Q$4,'Lists'!$CL$22))),1,0)</f>
        <v/>
      </c>
      <c r="BR22">
        <f>IF(ROW()-3&gt;MAX($BQ$4:$BQ$42),"",INDEX('Lists'!$CL$4:$CL$42,MATCH(ROW()-3,$BQ$4:$BQ$42,0)))</f>
        <v/>
      </c>
      <c r="BS22">
        <f>BS21+IF(AND('Lists'!$CQ$22&lt;&gt;"",ISNUMBER(SEARCH($R$4,'Lists'!$CQ$22))),1,0)</f>
        <v/>
      </c>
      <c r="BT22">
        <f>IF(ROW()-3&gt;MAX($BS$4:$BS$42),"",INDEX('Lists'!$CQ$4:$CQ$42,MATCH(ROW()-3,$BS$4:$BS$42,0)))</f>
        <v/>
      </c>
      <c r="BU22">
        <f>BU21+IF(AND('Lists'!$CV$22&lt;&gt;"",ISNUMBER(SEARCH($S$4,'Lists'!$CV$22))),1,0)</f>
        <v/>
      </c>
      <c r="BV22">
        <f>IF(ROW()-3&gt;MAX($BU$4:$BU$42),"",INDEX('Lists'!$CV$4:$CV$42,MATCH(ROW()-3,$BU$4:$BU$42,0)))</f>
        <v/>
      </c>
      <c r="BW22">
        <f>BW21+IF(AND('Lists'!$DA$22&lt;&gt;"",ISNUMBER(SEARCH($T$4,'Lists'!$DA$22))),1,0)</f>
        <v/>
      </c>
      <c r="BX22">
        <f>IF(ROW()-3&gt;MAX($BW$4:$BW$42),"",INDEX('Lists'!$DA$4:$DA$42,MATCH(ROW()-3,$BW$4:$BW$42,0)))</f>
        <v/>
      </c>
      <c r="BY22">
        <f>BY21+IF(AND('Lists'!$DF$22&lt;&gt;"",ISNUMBER(SEARCH($U$4,'Lists'!$DF$22))),1,0)</f>
        <v/>
      </c>
      <c r="BZ22">
        <f>IF(ROW()-3&gt;MAX($BY$4:$BY$42),"",INDEX('Lists'!$DF$4:$DF$42,MATCH(ROW()-3,$BY$4:$BY$42,0)))</f>
        <v/>
      </c>
      <c r="CA22">
        <f>CA21+IF(AND('Lists'!$DK$22&lt;&gt;"",ISNUMBER(SEARCH($V$4,'Lists'!$DK$22))),1,0)</f>
        <v/>
      </c>
      <c r="CB22">
        <f>IF(ROW()-3&gt;MAX($CA$4:$CA$42),"",INDEX('Lists'!$DK$4:$DK$42,MATCH(ROW()-3,$CA$4:$CA$42,0)))</f>
        <v/>
      </c>
      <c r="CC22">
        <f>CC21+IF(AND('Lists'!$DP$22&lt;&gt;"",ISNUMBER(SEARCH($W$4,'Lists'!$DP$22))),1,0)</f>
        <v/>
      </c>
      <c r="CD22">
        <f>IF(ROW()-3&gt;MAX($CC$4:$CC$42),"",INDEX('Lists'!$DP$4:$DP$42,MATCH(ROW()-3,$CC$4:$CC$42,0)))</f>
        <v/>
      </c>
      <c r="CE22">
        <f>CE21+IF(AND('Lists'!$DU$22&lt;&gt;"",ISNUMBER(SEARCH($X$4,'Lists'!$DU$22))),1,0)</f>
        <v/>
      </c>
      <c r="CF22">
        <f>IF(ROW()-3&gt;MAX($CE$4:$CE$42),"",INDEX('Lists'!$DU$4:$DU$42,MATCH(ROW()-3,$CE$4:$CE$42,0)))</f>
        <v/>
      </c>
      <c r="CG22">
        <f>CG21+IF(AND('Lists'!$DZ$22&lt;&gt;"",ISNUMBER(SEARCH($Y$4,'Lists'!$DZ$22))),1,0)</f>
        <v/>
      </c>
      <c r="CH22">
        <f>IF(ROW()-3&gt;MAX($CG$4:$CG$42),"",INDEX('Lists'!$DZ$4:$DZ$42,MATCH(ROW()-3,$CG$4:$CG$42,0)))</f>
        <v/>
      </c>
      <c r="CI22">
        <f>CI21+IF(AND('Lists'!$EE$22&lt;&gt;"",ISNUMBER(SEARCH($Z$4,'Lists'!$EE$22))),1,0)</f>
        <v/>
      </c>
      <c r="CJ22">
        <f>IF(ROW()-3&gt;MAX($CI$4:$CI$42),"",INDEX('Lists'!$EE$4:$EE$42,MATCH(ROW()-3,$CI$4:$CI$42,0)))</f>
        <v/>
      </c>
      <c r="CK22">
        <f>CK21+IF(AND('Lists'!$EJ$22&lt;&gt;"",ISNUMBER(SEARCH($AA$4,'Lists'!$EJ$22))),1,0)</f>
        <v/>
      </c>
      <c r="CL22">
        <f>IF(ROW()-3&gt;MAX($CK$4:$CK$42),"",INDEX('Lists'!$EJ$4:$EJ$42,MATCH(ROW()-3,$CK$4:$CK$42,0)))</f>
        <v/>
      </c>
      <c r="CM22">
        <f>CM21+IF(AND('Lists'!$EO$22&lt;&gt;"",ISNUMBER(SEARCH($AB$4,'Lists'!$EO$22))),1,0)</f>
        <v/>
      </c>
      <c r="CN22">
        <f>IF(ROW()-3&gt;MAX($CM$4:$CM$42),"",INDEX('Lists'!$EO$4:$EO$42,MATCH(ROW()-3,$CM$4:$CM$42,0)))</f>
        <v/>
      </c>
      <c r="CO22">
        <f>CO21+IF(AND('Lists'!$ET$22&lt;&gt;"",ISNUMBER(SEARCH($AC$4,'Lists'!$ET$22))),1,0)</f>
        <v/>
      </c>
      <c r="CP22">
        <f>IF(ROW()-3&gt;MAX($CO$4:$CO$42),"",INDEX('Lists'!$ET$4:$ET$42,MATCH(ROW()-3,$CO$4:$CO$42,0)))</f>
        <v/>
      </c>
      <c r="CQ22">
        <f>CQ21+IF(AND('Lists'!$EY$22&lt;&gt;"",ISNUMBER(SEARCH($AD$4,'Lists'!$EY$22))),1,0)</f>
        <v/>
      </c>
      <c r="CR22">
        <f>IF(ROW()-3&gt;MAX($CQ$4:$CQ$42),"",INDEX('Lists'!$EY$4:$EY$42,MATCH(ROW()-3,$CQ$4:$CQ$42,0)))</f>
        <v/>
      </c>
      <c r="CS22">
        <f>CS21+IF(AND('Lists'!$FD$22&lt;&gt;"",ISNUMBER(SEARCH($AE$4,'Lists'!$FD$22))),1,0)</f>
        <v/>
      </c>
      <c r="CT22">
        <f>IF(ROW()-3&gt;MAX($CS$4:$CS$42),"",INDEX('Lists'!$FD$4:$FD$42,MATCH(ROW()-3,$CS$4:$CS$42,0)))</f>
        <v/>
      </c>
      <c r="CU22">
        <f>CU21+IF(AND('Lists'!$FI$22&lt;&gt;"",ISNUMBER(SEARCH($AF$4,'Lists'!$FI$22))),1,0)</f>
        <v/>
      </c>
      <c r="CV22">
        <f>IF(ROW()-3&gt;MAX($CU$4:$CU$42),"",INDEX('Lists'!$FI$4:$FI$42,MATCH(ROW()-3,$CU$4:$CU$42,0)))</f>
        <v/>
      </c>
      <c r="CW22">
        <f>CW21+IF(AND('Lists'!$FN$22&lt;&gt;"",ISNUMBER(SEARCH($AG$4,'Lists'!$FN$22))),1,0)</f>
        <v/>
      </c>
      <c r="CX22">
        <f>IF(ROW()-3&gt;MAX($CW$4:$CW$42),"",INDEX('Lists'!$FN$4:$FN$42,MATCH(ROW()-3,$CW$4:$CW$42,0)))</f>
        <v/>
      </c>
      <c r="CY22">
        <f>CY21+IF(AND('Lists'!$FS$22&lt;&gt;"",ISNUMBER(SEARCH($AH$4,'Lists'!$FS$22))),1,0)</f>
        <v/>
      </c>
      <c r="CZ22">
        <f>IF(ROW()-3&gt;MAX($CY$4:$CY$42),"",INDEX('Lists'!$FS$4:$FS$42,MATCH(ROW()-3,$CY$4:$CY$42,0)))</f>
        <v/>
      </c>
      <c r="DA22">
        <f>DA21+IF(AND('Lists'!$FX$22&lt;&gt;"",ISNUMBER(SEARCH($AI$4,'Lists'!$FX$22))),1,0)</f>
        <v/>
      </c>
      <c r="DB22">
        <f>IF(ROW()-3&gt;MAX($DA$4:$DA$42),"",INDEX('Lists'!$FX$4:$FX$42,MATCH(ROW()-3,$DA$4:$DA$42,0)))</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c r="AJ23">
        <f>AND(IF($B$4="",TRUE,IF($B$4="(blank)",'Final Calculation Sheet'!$F$21="",IF($B$4="(nonblank)",'Final Calculation Sheet'!$F$21&lt;&gt;"",ISNUMBER(SEARCH($B$4,'Final Calculation Sheet'!$F$21))))),IF($C$4="",TRUE,IF($C$4="(blank)",'Final Calculation Sheet'!$G$21="",IF($C$4="(nonblank)",'Final Calculation Sheet'!$G$21&lt;&gt;"",ISNUMBER(SEARCH($C$4,'Final Calculation Sheet'!$G$21))))),IF($D$4="",TRUE,IF($D$4="(blank)",'Final Calculation Sheet'!$B$21="",IF($D$4="(nonblank)",'Final Calculation Sheet'!$B$21&lt;&gt;"",ISNUMBER(SEARCH($D$4,'Final Calculation Sheet'!$B$21))))),IF($E$4="",TRUE,IF($E$4="(blank)",'Final Calculation Sheet'!$D$21="",IF($E$4="(nonblank)",'Final Calculation Sheet'!$D$21&lt;&gt;"",ISNUMBER(SEARCH($E$4,'Final Calculation Sheet'!$D$21))))),IF($F$4="",TRUE,IF($F$4="(blank)",'Final Calculation Sheet'!$A$21="",IF($F$4="(nonblank)",'Final Calculation Sheet'!$A$21&lt;&gt;"",ISNUMBER(SEARCH($F$4,'Final Calculation Sheet'!$A$21))))),IF($G$4="",TRUE,IF($G$4="(blank)",'Final Calculation Sheet'!$E$21="",IF($G$4="(nonblank)",'Final Calculation Sheet'!$E$21&lt;&gt;"",ISNUMBER(SEARCH($G$4,'Final Calculation Sheet'!$E$21))))),IF($H$4="",TRUE,IF($H$4="(blank)",'Final Calculation Sheet'!$C$21="",IF($H$4="(nonblank)",'Final Calculation Sheet'!$C$21&lt;&gt;"",ISNUMBER(SEARCH($H$4,'Final Calculation Sheet'!$C$21))))),IF($I$4="",TRUE,IF($I$4="(blank)",'Final Calculation Sheet'!$H$21="",IF($I$4="(nonblank)",'Final Calculation Sheet'!$H$21&lt;&gt;"",ISNUMBER(SEARCH($I$4,'Final Calculation Sheet'!$H$21))))),IF($J$4="",TRUE,IF($J$4="(blank)",'Final Calculation Sheet'!$I$21="",IF($J$4="(nonblank)",'Final Calculation Sheet'!$I$21&lt;&gt;"",ISNUMBER(SEARCH($J$4,'Final Calculation Sheet'!$I$21))))),IF($K$4="",TRUE,IF($K$4="(blank)",'Final Calculation Sheet'!$J$21="",IF($K$4="(nonblank)",'Final Calculation Sheet'!$J$21&lt;&gt;"",ISNUMBER(SEARCH($K$4,'Final Calculation Sheet'!$J$21))))),IF($L$4="",TRUE,IF($L$4="(blank)",'Final Calculation Sheet'!$K$21="",IF($L$4="(nonblank)",'Final Calculation Sheet'!$K$21&lt;&gt;"",ISNUMBER(SEARCH($L$4,'Final Calculation Sheet'!$K$21))))),IF($M$4="",TRUE,IF($M$4="(blank)",'Final Calculation Sheet'!$L$21="",IF($M$4="(nonblank)",'Final Calculation Sheet'!$L$21&lt;&gt;"",ISNUMBER(SEARCH($M$4,'Final Calculation Sheet'!$L$21))))),IF($N$4="",TRUE,IF($N$4="(blank)",'Final Calculation Sheet'!$M$21="",IF($N$4="(nonblank)",'Final Calculation Sheet'!$M$21&lt;&gt;"",ISNUMBER(SEARCH($N$4,'Final Calculation Sheet'!$M$21))))),IF($O$4="",TRUE,IF($O$4="(blank)",'Final Calculation Sheet'!$N$21="",IF($O$4="(nonblank)",'Final Calculation Sheet'!$N$21&lt;&gt;"",ISNUMBER(SEARCH($O$4,'Final Calculation Sheet'!$N$21))))),IF($P$4="",TRUE,IF($P$4="(blank)",'Final Calculation Sheet'!$O$21="",IF($P$4="(nonblank)",'Final Calculation Sheet'!$O$21&lt;&gt;"",ISNUMBER(SEARCH($P$4,'Final Calculation Sheet'!$O$21))))),IF($Q$4="",TRUE,IF($Q$4="(blank)",'Final Calculation Sheet'!$P$21="",IF($Q$4="(nonblank)",'Final Calculation Sheet'!$P$21&lt;&gt;"",ISNUMBER(SEARCH($Q$4,'Final Calculation Sheet'!$P$21))))),IF($R$4="",TRUE,IF($R$4="(blank)",'Final Calculation Sheet'!$Q$21="",IF($R$4="(nonblank)",'Final Calculation Sheet'!$Q$21&lt;&gt;"",ISNUMBER(SEARCH($R$4,'Final Calculation Sheet'!$Q$21))))),IF($S$4="",TRUE,IF($S$4="(blank)",'Final Calculation Sheet'!$R$21="",IF($S$4="(nonblank)",'Final Calculation Sheet'!$R$21&lt;&gt;"",ISNUMBER(SEARCH($S$4,'Final Calculation Sheet'!$R$21))))),IF($T$4="",TRUE,IF($T$4="(blank)",'Final Calculation Sheet'!$S$21="",IF($T$4="(nonblank)",'Final Calculation Sheet'!$S$21&lt;&gt;"",ISNUMBER(SEARCH($T$4,'Final Calculation Sheet'!$S$21))))),IF($U$4="",TRUE,IF($U$4="(blank)",'Final Calculation Sheet'!$T$21="",IF($U$4="(nonblank)",'Final Calculation Sheet'!$T$21&lt;&gt;"",ISNUMBER(SEARCH($U$4,'Final Calculation Sheet'!$T$21))))),IF($V$4="",TRUE,IF($V$4="(blank)",'Final Calculation Sheet'!$U$21="",IF($V$4="(nonblank)",'Final Calculation Sheet'!$U$21&lt;&gt;"",ISNUMBER(SEARCH($V$4,'Final Calculation Sheet'!$U$21))))),IF($W$4="",TRUE,IF($W$4="(blank)",'Final Calculation Sheet'!$V$21="",IF($W$4="(nonblank)",'Final Calculation Sheet'!$V$21&lt;&gt;"",ISNUMBER(SEARCH($W$4,'Final Calculation Sheet'!$V$21))))),IF($X$4="",TRUE,IF($X$4="(blank)",'Final Calculation Sheet'!$W$21="",IF($X$4="(nonblank)",'Final Calculation Sheet'!$W$21&lt;&gt;"",ISNUMBER(SEARCH($X$4,'Final Calculation Sheet'!$W$21))))),IF($Y$4="",TRUE,IF($Y$4="(blank)",'Final Calculation Sheet'!$X$21="",IF($Y$4="(nonblank)",'Final Calculation Sheet'!$X$21&lt;&gt;"",ISNUMBER(SEARCH($Y$4,'Final Calculation Sheet'!$X$21))))),IF($Z$4="",TRUE,IF($Z$4="(blank)",'Final Calculation Sheet'!$Y$21="",IF($Z$4="(nonblank)",'Final Calculation Sheet'!$Y$21&lt;&gt;"",ISNUMBER(SEARCH($Z$4,'Final Calculation Sheet'!$Y$21))))),IF($AA$4="",TRUE,IF($AA$4="(blank)",'Final Calculation Sheet'!$Z$21="",IF($AA$4="(nonblank)",'Final Calculation Sheet'!$Z$21&lt;&gt;"",ISNUMBER(SEARCH($AA$4,'Final Calculation Sheet'!$Z$21))))),IF($AB$4="",TRUE,IF($AB$4="(blank)",'Final Calculation Sheet'!$AA$21="",IF($AB$4="(nonblank)",'Final Calculation Sheet'!$AA$21&lt;&gt;"",ISNUMBER(SEARCH($AB$4,'Final Calculation Sheet'!$AA$21))))),IF($AC$4="",TRUE,IF($AC$4="(blank)",'Final Calculation Sheet'!$AB$21="",IF($AC$4="(nonblank)",'Final Calculation Sheet'!$AB$21&lt;&gt;"",ISNUMBER(SEARCH($AC$4,'Final Calculation Sheet'!$AB$21))))),IF($AD$4="",TRUE,IF($AD$4="(blank)",'Final Calculation Sheet'!$AC$21="",IF($AD$4="(nonblank)",'Final Calculation Sheet'!$AC$21&lt;&gt;"",ISNUMBER(SEARCH($AD$4,'Final Calculation Sheet'!$AC$21))))),IF($AE$4="",TRUE,IF($AE$4="(blank)",'Final Calculation Sheet'!$AD$21="",IF($AE$4="(nonblank)",'Final Calculation Sheet'!$AD$21&lt;&gt;"",ISNUMBER(SEARCH($AE$4,'Final Calculation Sheet'!$AD$21))))),IF($AF$4="",TRUE,IF($AF$4="(blank)",'Final Calculation Sheet'!$AE$21="",IF($AF$4="(nonblank)",'Final Calculation Sheet'!$AE$21&lt;&gt;"",ISNUMBER(SEARCH($AF$4,'Final Calculation Sheet'!$AE$21))))),IF($AG$4="",TRUE,IF($AG$4="(blank)",'Final Calculation Sheet'!$AF$21="",IF($AG$4="(nonblank)",'Final Calculation Sheet'!$AF$21&lt;&gt;"",ISNUMBER(SEARCH($AG$4,'Final Calculation Sheet'!$AF$21))))),IF($AH$4="",TRUE,IF($AH$4="(blank)",'Final Calculation Sheet'!$AG$21="",IF($AH$4="(nonblank)",'Final Calculation Sheet'!$AG$21&lt;&gt;"",ISNUMBER(SEARCH($AH$4,'Final Calculation Sheet'!$AG$21))))),IF($AI$4="",TRUE,IF($AI$4="(blank)",IF('Final Calculation Sheet'!$AD$21&lt;=5,"SETTLED","OUTSTANDING")="",IF($AI$4="(nonblank)",IF('Final Calculation Sheet'!$AD$21&lt;=5,"SETTLED","OUTSTANDING")&lt;&gt;"",ISNUMBER(SEARCH($AI$4,IF('Final Calculation Sheet'!$AD$21&lt;=5,"SETTLED","OUTSTANDING")))))))</f>
        <v/>
      </c>
      <c r="AK23">
        <f>IF(AJ23=1,COUNTIF(AJ$6:AJ23,1),"")</f>
        <v/>
      </c>
      <c r="AM23">
        <f>AM22+IF(AND('Lists'!$O$23&lt;&gt;"",ISNUMBER(SEARCH($B$4,'Lists'!$O$23))),1,0)</f>
        <v/>
      </c>
      <c r="AN23">
        <f>IF(ROW()-3&gt;MAX($AM$4:$AM$42),"",INDEX('Lists'!$O$4:$O$42,MATCH(ROW()-3,$AM$4:$AM$42,0)))</f>
        <v/>
      </c>
      <c r="AO23">
        <f>AO22+IF(AND('Lists'!$T$23&lt;&gt;"",ISNUMBER(SEARCH($C$4,'Lists'!$T$23))),1,0)</f>
        <v/>
      </c>
      <c r="AP23">
        <f>IF(ROW()-3&gt;MAX($AO$4:$AO$42),"",INDEX('Lists'!$T$4:$T$42,MATCH(ROW()-3,$AO$4:$AO$42,0)))</f>
        <v/>
      </c>
      <c r="AQ23">
        <f>AQ22+IF(AND('Lists'!$Y$23&lt;&gt;"",ISNUMBER(SEARCH($D$4,'Lists'!$Y$23))),1,0)</f>
        <v/>
      </c>
      <c r="AR23">
        <f>IF(ROW()-3&gt;MAX($AQ$4:$AQ$42),"",INDEX('Lists'!$Y$4:$Y$42,MATCH(ROW()-3,$AQ$4:$AQ$42,0)))</f>
        <v/>
      </c>
      <c r="AS23">
        <f>AS22+IF(AND('Lists'!$AD$23&lt;&gt;"",ISNUMBER(SEARCH($E$4,'Lists'!$AD$23))),1,0)</f>
        <v/>
      </c>
      <c r="AT23">
        <f>IF(ROW()-3&gt;MAX($AS$4:$AS$42),"",INDEX('Lists'!$AD$4:$AD$42,MATCH(ROW()-3,$AS$4:$AS$42,0)))</f>
        <v/>
      </c>
      <c r="AU23">
        <f>AU22+IF(AND('Lists'!$AI$23&lt;&gt;"",ISNUMBER(SEARCH($F$4,'Lists'!$AI$23))),1,0)</f>
        <v/>
      </c>
      <c r="AV23">
        <f>IF(ROW()-3&gt;MAX($AU$4:$AU$42),"",INDEX('Lists'!$AI$4:$AI$42,MATCH(ROW()-3,$AU$4:$AU$42,0)))</f>
        <v/>
      </c>
      <c r="AW23">
        <f>AW22+IF(AND('Lists'!$AN$23&lt;&gt;"",ISNUMBER(SEARCH($G$4,'Lists'!$AN$23))),1,0)</f>
        <v/>
      </c>
      <c r="AX23">
        <f>IF(ROW()-3&gt;MAX($AW$4:$AW$42),"",INDEX('Lists'!$AN$4:$AN$42,MATCH(ROW()-3,$AW$4:$AW$42,0)))</f>
        <v/>
      </c>
      <c r="AY23">
        <f>AY22+IF(AND('Lists'!$AS$23&lt;&gt;"",ISNUMBER(SEARCH($H$4,'Lists'!$AS$23))),1,0)</f>
        <v/>
      </c>
      <c r="AZ23">
        <f>IF(ROW()-3&gt;MAX($AY$4:$AY$42),"",INDEX('Lists'!$AS$4:$AS$42,MATCH(ROW()-3,$AY$4:$AY$42,0)))</f>
        <v/>
      </c>
      <c r="BA23">
        <f>BA22+IF(AND('Lists'!$AX$23&lt;&gt;"",ISNUMBER(SEARCH($I$4,'Lists'!$AX$23))),1,0)</f>
        <v/>
      </c>
      <c r="BB23">
        <f>IF(ROW()-3&gt;MAX($BA$4:$BA$42),"",INDEX('Lists'!$AX$4:$AX$42,MATCH(ROW()-3,$BA$4:$BA$42,0)))</f>
        <v/>
      </c>
      <c r="BC23">
        <f>BC22+IF(AND('Lists'!$BC$23&lt;&gt;"",ISNUMBER(SEARCH($J$4,'Lists'!$BC$23))),1,0)</f>
        <v/>
      </c>
      <c r="BD23">
        <f>IF(ROW()-3&gt;MAX($BC$4:$BC$42),"",INDEX('Lists'!$BC$4:$BC$42,MATCH(ROW()-3,$BC$4:$BC$42,0)))</f>
        <v/>
      </c>
      <c r="BE23">
        <f>BE22+IF(AND('Lists'!$BH$23&lt;&gt;"",ISNUMBER(SEARCH($K$4,'Lists'!$BH$23))),1,0)</f>
        <v/>
      </c>
      <c r="BF23">
        <f>IF(ROW()-3&gt;MAX($BE$4:$BE$42),"",INDEX('Lists'!$BH$4:$BH$42,MATCH(ROW()-3,$BE$4:$BE$42,0)))</f>
        <v/>
      </c>
      <c r="BG23">
        <f>BG22+IF(AND('Lists'!$BM$23&lt;&gt;"",ISNUMBER(SEARCH($L$4,'Lists'!$BM$23))),1,0)</f>
        <v/>
      </c>
      <c r="BH23">
        <f>IF(ROW()-3&gt;MAX($BG$4:$BG$42),"",INDEX('Lists'!$BM$4:$BM$42,MATCH(ROW()-3,$BG$4:$BG$42,0)))</f>
        <v/>
      </c>
      <c r="BI23">
        <f>BI22+IF(AND('Lists'!$BR$23&lt;&gt;"",ISNUMBER(SEARCH($M$4,'Lists'!$BR$23))),1,0)</f>
        <v/>
      </c>
      <c r="BJ23">
        <f>IF(ROW()-3&gt;MAX($BI$4:$BI$42),"",INDEX('Lists'!$BR$4:$BR$42,MATCH(ROW()-3,$BI$4:$BI$42,0)))</f>
        <v/>
      </c>
      <c r="BK23">
        <f>BK22+IF(AND('Lists'!$BW$23&lt;&gt;"",ISNUMBER(SEARCH($N$4,'Lists'!$BW$23))),1,0)</f>
        <v/>
      </c>
      <c r="BL23">
        <f>IF(ROW()-3&gt;MAX($BK$4:$BK$42),"",INDEX('Lists'!$BW$4:$BW$42,MATCH(ROW()-3,$BK$4:$BK$42,0)))</f>
        <v/>
      </c>
      <c r="BM23">
        <f>BM22+IF(AND('Lists'!$CB$23&lt;&gt;"",ISNUMBER(SEARCH($O$4,'Lists'!$CB$23))),1,0)</f>
        <v/>
      </c>
      <c r="BN23">
        <f>IF(ROW()-3&gt;MAX($BM$4:$BM$42),"",INDEX('Lists'!$CB$4:$CB$42,MATCH(ROW()-3,$BM$4:$BM$42,0)))</f>
        <v/>
      </c>
      <c r="BO23">
        <f>BO22+IF(AND('Lists'!$CG$23&lt;&gt;"",ISNUMBER(SEARCH($P$4,'Lists'!$CG$23))),1,0)</f>
        <v/>
      </c>
      <c r="BP23">
        <f>IF(ROW()-3&gt;MAX($BO$4:$BO$42),"",INDEX('Lists'!$CG$4:$CG$42,MATCH(ROW()-3,$BO$4:$BO$42,0)))</f>
        <v/>
      </c>
      <c r="BQ23">
        <f>BQ22+IF(AND('Lists'!$CL$23&lt;&gt;"",ISNUMBER(SEARCH($Q$4,'Lists'!$CL$23))),1,0)</f>
        <v/>
      </c>
      <c r="BR23">
        <f>IF(ROW()-3&gt;MAX($BQ$4:$BQ$42),"",INDEX('Lists'!$CL$4:$CL$42,MATCH(ROW()-3,$BQ$4:$BQ$42,0)))</f>
        <v/>
      </c>
      <c r="BS23">
        <f>BS22+IF(AND('Lists'!$CQ$23&lt;&gt;"",ISNUMBER(SEARCH($R$4,'Lists'!$CQ$23))),1,0)</f>
        <v/>
      </c>
      <c r="BT23">
        <f>IF(ROW()-3&gt;MAX($BS$4:$BS$42),"",INDEX('Lists'!$CQ$4:$CQ$42,MATCH(ROW()-3,$BS$4:$BS$42,0)))</f>
        <v/>
      </c>
      <c r="BU23">
        <f>BU22+IF(AND('Lists'!$CV$23&lt;&gt;"",ISNUMBER(SEARCH($S$4,'Lists'!$CV$23))),1,0)</f>
        <v/>
      </c>
      <c r="BV23">
        <f>IF(ROW()-3&gt;MAX($BU$4:$BU$42),"",INDEX('Lists'!$CV$4:$CV$42,MATCH(ROW()-3,$BU$4:$BU$42,0)))</f>
        <v/>
      </c>
      <c r="BW23">
        <f>BW22+IF(AND('Lists'!$DA$23&lt;&gt;"",ISNUMBER(SEARCH($T$4,'Lists'!$DA$23))),1,0)</f>
        <v/>
      </c>
      <c r="BX23">
        <f>IF(ROW()-3&gt;MAX($BW$4:$BW$42),"",INDEX('Lists'!$DA$4:$DA$42,MATCH(ROW()-3,$BW$4:$BW$42,0)))</f>
        <v/>
      </c>
      <c r="BY23">
        <f>BY22+IF(AND('Lists'!$DF$23&lt;&gt;"",ISNUMBER(SEARCH($U$4,'Lists'!$DF$23))),1,0)</f>
        <v/>
      </c>
      <c r="BZ23">
        <f>IF(ROW()-3&gt;MAX($BY$4:$BY$42),"",INDEX('Lists'!$DF$4:$DF$42,MATCH(ROW()-3,$BY$4:$BY$42,0)))</f>
        <v/>
      </c>
      <c r="CA23">
        <f>CA22+IF(AND('Lists'!$DK$23&lt;&gt;"",ISNUMBER(SEARCH($V$4,'Lists'!$DK$23))),1,0)</f>
        <v/>
      </c>
      <c r="CB23">
        <f>IF(ROW()-3&gt;MAX($CA$4:$CA$42),"",INDEX('Lists'!$DK$4:$DK$42,MATCH(ROW()-3,$CA$4:$CA$42,0)))</f>
        <v/>
      </c>
      <c r="CC23">
        <f>CC22+IF(AND('Lists'!$DP$23&lt;&gt;"",ISNUMBER(SEARCH($W$4,'Lists'!$DP$23))),1,0)</f>
        <v/>
      </c>
      <c r="CD23">
        <f>IF(ROW()-3&gt;MAX($CC$4:$CC$42),"",INDEX('Lists'!$DP$4:$DP$42,MATCH(ROW()-3,$CC$4:$CC$42,0)))</f>
        <v/>
      </c>
      <c r="CE23">
        <f>CE22+IF(AND('Lists'!$DU$23&lt;&gt;"",ISNUMBER(SEARCH($X$4,'Lists'!$DU$23))),1,0)</f>
        <v/>
      </c>
      <c r="CF23">
        <f>IF(ROW()-3&gt;MAX($CE$4:$CE$42),"",INDEX('Lists'!$DU$4:$DU$42,MATCH(ROW()-3,$CE$4:$CE$42,0)))</f>
        <v/>
      </c>
      <c r="CG23">
        <f>CG22+IF(AND('Lists'!$DZ$23&lt;&gt;"",ISNUMBER(SEARCH($Y$4,'Lists'!$DZ$23))),1,0)</f>
        <v/>
      </c>
      <c r="CH23">
        <f>IF(ROW()-3&gt;MAX($CG$4:$CG$42),"",INDEX('Lists'!$DZ$4:$DZ$42,MATCH(ROW()-3,$CG$4:$CG$42,0)))</f>
        <v/>
      </c>
      <c r="CI23">
        <f>CI22+IF(AND('Lists'!$EE$23&lt;&gt;"",ISNUMBER(SEARCH($Z$4,'Lists'!$EE$23))),1,0)</f>
        <v/>
      </c>
      <c r="CJ23">
        <f>IF(ROW()-3&gt;MAX($CI$4:$CI$42),"",INDEX('Lists'!$EE$4:$EE$42,MATCH(ROW()-3,$CI$4:$CI$42,0)))</f>
        <v/>
      </c>
      <c r="CK23">
        <f>CK22+IF(AND('Lists'!$EJ$23&lt;&gt;"",ISNUMBER(SEARCH($AA$4,'Lists'!$EJ$23))),1,0)</f>
        <v/>
      </c>
      <c r="CL23">
        <f>IF(ROW()-3&gt;MAX($CK$4:$CK$42),"",INDEX('Lists'!$EJ$4:$EJ$42,MATCH(ROW()-3,$CK$4:$CK$42,0)))</f>
        <v/>
      </c>
      <c r="CM23">
        <f>CM22+IF(AND('Lists'!$EO$23&lt;&gt;"",ISNUMBER(SEARCH($AB$4,'Lists'!$EO$23))),1,0)</f>
        <v/>
      </c>
      <c r="CN23">
        <f>IF(ROW()-3&gt;MAX($CM$4:$CM$42),"",INDEX('Lists'!$EO$4:$EO$42,MATCH(ROW()-3,$CM$4:$CM$42,0)))</f>
        <v/>
      </c>
      <c r="CO23">
        <f>CO22+IF(AND('Lists'!$ET$23&lt;&gt;"",ISNUMBER(SEARCH($AC$4,'Lists'!$ET$23))),1,0)</f>
        <v/>
      </c>
      <c r="CP23">
        <f>IF(ROW()-3&gt;MAX($CO$4:$CO$42),"",INDEX('Lists'!$ET$4:$ET$42,MATCH(ROW()-3,$CO$4:$CO$42,0)))</f>
        <v/>
      </c>
      <c r="CQ23">
        <f>CQ22+IF(AND('Lists'!$EY$23&lt;&gt;"",ISNUMBER(SEARCH($AD$4,'Lists'!$EY$23))),1,0)</f>
        <v/>
      </c>
      <c r="CR23">
        <f>IF(ROW()-3&gt;MAX($CQ$4:$CQ$42),"",INDEX('Lists'!$EY$4:$EY$42,MATCH(ROW()-3,$CQ$4:$CQ$42,0)))</f>
        <v/>
      </c>
      <c r="CS23">
        <f>CS22+IF(AND('Lists'!$FD$23&lt;&gt;"",ISNUMBER(SEARCH($AE$4,'Lists'!$FD$23))),1,0)</f>
        <v/>
      </c>
      <c r="CT23">
        <f>IF(ROW()-3&gt;MAX($CS$4:$CS$42),"",INDEX('Lists'!$FD$4:$FD$42,MATCH(ROW()-3,$CS$4:$CS$42,0)))</f>
        <v/>
      </c>
      <c r="CU23">
        <f>CU22+IF(AND('Lists'!$FI$23&lt;&gt;"",ISNUMBER(SEARCH($AF$4,'Lists'!$FI$23))),1,0)</f>
        <v/>
      </c>
      <c r="CV23">
        <f>IF(ROW()-3&gt;MAX($CU$4:$CU$42),"",INDEX('Lists'!$FI$4:$FI$42,MATCH(ROW()-3,$CU$4:$CU$42,0)))</f>
        <v/>
      </c>
      <c r="CW23">
        <f>CW22+IF(AND('Lists'!$FN$23&lt;&gt;"",ISNUMBER(SEARCH($AG$4,'Lists'!$FN$23))),1,0)</f>
        <v/>
      </c>
      <c r="CX23">
        <f>IF(ROW()-3&gt;MAX($CW$4:$CW$42),"",INDEX('Lists'!$FN$4:$FN$42,MATCH(ROW()-3,$CW$4:$CW$42,0)))</f>
        <v/>
      </c>
      <c r="CY23">
        <f>CY22+IF(AND('Lists'!$FS$23&lt;&gt;"",ISNUMBER(SEARCH($AH$4,'Lists'!$FS$23))),1,0)</f>
        <v/>
      </c>
      <c r="CZ23">
        <f>IF(ROW()-3&gt;MAX($CY$4:$CY$42),"",INDEX('Lists'!$FS$4:$FS$42,MATCH(ROW()-3,$CY$4:$CY$42,0)))</f>
        <v/>
      </c>
      <c r="DA23">
        <f>DA22+IF(AND('Lists'!$FX$23&lt;&gt;"",ISNUMBER(SEARCH($AI$4,'Lists'!$FX$23))),1,0)</f>
        <v/>
      </c>
      <c r="DB23">
        <f>IF(ROW()-3&gt;MAX($DA$4:$DA$42),"",INDEX('Lists'!$FX$4:$FX$42,MATCH(ROW()-3,$DA$4:$DA$42,0)))</f>
        <v/>
      </c>
    </row>
    <row r="24" outlineLevel="1" ht="15" customHeight="1" s="77">
      <c r="A24" s="118" t="n">
        <v>8</v>
      </c>
      <c r="B24" s="119">
        <f>IF('Final Calculation Sheet'!$F$24="","",'Final Calculation Sheet'!$F$24)</f>
        <v/>
      </c>
      <c r="C24" s="119">
        <f>IF('Final Calculation Sheet'!$G$24="","",'Final Calculation Sheet'!$G$24)</f>
        <v/>
      </c>
      <c r="D24" s="120">
        <f>IF('Final Calculation Sheet'!$B$24="","",'Final Calculation Sheet'!$B$24)</f>
        <v/>
      </c>
      <c r="E24" s="120">
        <f>IF('Final Calculation Sheet'!$D$24="","",'Final Calculation Sheet'!$D$24)</f>
        <v/>
      </c>
      <c r="F24" s="120">
        <f>IF('Final Calculation Sheet'!$A$24="","",'Final Calculation Sheet'!$A$24)</f>
        <v/>
      </c>
      <c r="G24" s="120">
        <f>IF('Final Calculation Sheet'!$E$24="","",'Final Calculation Sheet'!$E$24)</f>
        <v/>
      </c>
      <c r="H24" s="121">
        <f>IF('Final Calculation Sheet'!$C$24="","",'Final Calculation Sheet'!$C$24)</f>
        <v/>
      </c>
      <c r="I24" s="121">
        <f>IF('Final Calculation Sheet'!$H$24="","",'Final Calculation Sheet'!$H$24)</f>
        <v/>
      </c>
      <c r="J24" s="121">
        <f>IF('Final Calculation Sheet'!$I$24="","",'Final Calculation Sheet'!$I$24)</f>
        <v/>
      </c>
      <c r="K24" s="121">
        <f>IF('Final Calculation Sheet'!$J$24="","",'Final Calculation Sheet'!$J$24)</f>
        <v/>
      </c>
      <c r="L24" s="121">
        <f>IF('Final Calculation Sheet'!$K$24="","",'Final Calculation Sheet'!$K$24)</f>
        <v/>
      </c>
      <c r="M24" s="121">
        <f>IF('Final Calculation Sheet'!$L$24="","",'Final Calculation Sheet'!$L$24)</f>
        <v/>
      </c>
      <c r="N24" s="121">
        <f>IF('Final Calculation Sheet'!$M$24="","",'Final Calculation Sheet'!$M$24)</f>
        <v/>
      </c>
      <c r="O24" s="122">
        <f>IF('Final Calculation Sheet'!$N$24="","",'Final Calculation Sheet'!$N$24)</f>
        <v/>
      </c>
      <c r="P24" s="121">
        <f>IF('Final Calculation Sheet'!$O$24="","",'Final Calculation Sheet'!$O$24)</f>
        <v/>
      </c>
      <c r="Q24" s="121">
        <f>IF('Final Calculation Sheet'!$P$24="","",'Final Calculation Sheet'!$P$24)</f>
        <v/>
      </c>
      <c r="R24" s="123">
        <f>IF('Final Calculation Sheet'!$Q$24="","",'Final Calculation Sheet'!$Q$24)</f>
        <v/>
      </c>
      <c r="S24" s="121">
        <f>IF('Final Calculation Sheet'!$R$24="","",'Final Calculation Sheet'!$R$24)</f>
        <v/>
      </c>
      <c r="T24" s="121">
        <f>IF('Final Calculation Sheet'!$S$24="","",'Final Calculation Sheet'!$S$24)</f>
        <v/>
      </c>
      <c r="U24" s="121">
        <f>IF('Final Calculation Sheet'!$T$24="","",'Final Calculation Sheet'!$T$24)</f>
        <v/>
      </c>
      <c r="V24" s="124">
        <f>IF('Final Calculation Sheet'!$U$24="","",'Final Calculation Sheet'!$U$24)</f>
        <v/>
      </c>
      <c r="W24" s="121">
        <f>IF('Final Calculation Sheet'!$V$24="","",'Final Calculation Sheet'!$V$24)</f>
        <v/>
      </c>
      <c r="X24" s="121">
        <f>IF('Final Calculation Sheet'!$W$24="","",'Final Calculation Sheet'!$W$24)</f>
        <v/>
      </c>
      <c r="Y24" s="121">
        <f>IF('Final Calculation Sheet'!$X$24="","",'Final Calculation Sheet'!$X$24)</f>
        <v/>
      </c>
      <c r="Z24" s="121">
        <f>IF('Final Calculation Sheet'!$Y$24="","",'Final Calculation Sheet'!$Y$24)</f>
        <v/>
      </c>
      <c r="AA24" s="121">
        <f>IF('Final Calculation Sheet'!$Z$24="","",'Final Calculation Sheet'!$Z$24)</f>
        <v/>
      </c>
      <c r="AB24" s="121">
        <f>IF('Final Calculation Sheet'!$AA$24="","",'Final Calculation Sheet'!$AA$24)</f>
        <v/>
      </c>
      <c r="AC24" s="121">
        <f>IF('Final Calculation Sheet'!$AB$24="","",'Final Calculation Sheet'!$AB$24)</f>
        <v/>
      </c>
      <c r="AD24" s="121">
        <f>IF('Final Calculation Sheet'!$AC$24="","",'Final Calculation Sheet'!$AC$24)</f>
        <v/>
      </c>
      <c r="AE24" s="121">
        <f>IF('Final Calculation Sheet'!$AD$24="","",'Final Calculation Sheet'!$AD$24)</f>
        <v/>
      </c>
      <c r="AF24" s="121">
        <f>IF('Final Calculation Sheet'!$AE$24="","",'Final Calculation Sheet'!$AE$24)</f>
        <v/>
      </c>
      <c r="AG24" s="125">
        <f>IF('Final Calculation Sheet'!$AF$24="","",'Final Calculation Sheet'!$AF$24)</f>
        <v/>
      </c>
      <c r="AH24" s="121">
        <f>IF('Final Calculation Sheet'!$AG$24="","",'Final Calculation Sheet'!$AG$24)</f>
        <v/>
      </c>
      <c r="AI24" s="126">
        <f>IF('Final Calculation Sheet'!$AD$24="","",IF('Final Calculation Sheet'!$AD$24&lt;=5,"SETTLED","OUTSTANDING"))</f>
        <v/>
      </c>
      <c r="AJ24">
        <f>AND(IF($B$4="",TRUE,IF($B$4="(blank)",'Final Calculation Sheet'!$F$22="",IF($B$4="(nonblank)",'Final Calculation Sheet'!$F$22&lt;&gt;"",ISNUMBER(SEARCH($B$4,'Final Calculation Sheet'!$F$22))))),IF($C$4="",TRUE,IF($C$4="(blank)",'Final Calculation Sheet'!$G$22="",IF($C$4="(nonblank)",'Final Calculation Sheet'!$G$22&lt;&gt;"",ISNUMBER(SEARCH($C$4,'Final Calculation Sheet'!$G$22))))),IF($D$4="",TRUE,IF($D$4="(blank)",'Final Calculation Sheet'!$B$22="",IF($D$4="(nonblank)",'Final Calculation Sheet'!$B$22&lt;&gt;"",ISNUMBER(SEARCH($D$4,'Final Calculation Sheet'!$B$22))))),IF($E$4="",TRUE,IF($E$4="(blank)",'Final Calculation Sheet'!$D$22="",IF($E$4="(nonblank)",'Final Calculation Sheet'!$D$22&lt;&gt;"",ISNUMBER(SEARCH($E$4,'Final Calculation Sheet'!$D$22))))),IF($F$4="",TRUE,IF($F$4="(blank)",'Final Calculation Sheet'!$A$22="",IF($F$4="(nonblank)",'Final Calculation Sheet'!$A$22&lt;&gt;"",ISNUMBER(SEARCH($F$4,'Final Calculation Sheet'!$A$22))))),IF($G$4="",TRUE,IF($G$4="(blank)",'Final Calculation Sheet'!$E$22="",IF($G$4="(nonblank)",'Final Calculation Sheet'!$E$22&lt;&gt;"",ISNUMBER(SEARCH($G$4,'Final Calculation Sheet'!$E$22))))),IF($H$4="",TRUE,IF($H$4="(blank)",'Final Calculation Sheet'!$C$22="",IF($H$4="(nonblank)",'Final Calculation Sheet'!$C$22&lt;&gt;"",ISNUMBER(SEARCH($H$4,'Final Calculation Sheet'!$C$22))))),IF($I$4="",TRUE,IF($I$4="(blank)",'Final Calculation Sheet'!$H$22="",IF($I$4="(nonblank)",'Final Calculation Sheet'!$H$22&lt;&gt;"",ISNUMBER(SEARCH($I$4,'Final Calculation Sheet'!$H$22))))),IF($J$4="",TRUE,IF($J$4="(blank)",'Final Calculation Sheet'!$I$22="",IF($J$4="(nonblank)",'Final Calculation Sheet'!$I$22&lt;&gt;"",ISNUMBER(SEARCH($J$4,'Final Calculation Sheet'!$I$22))))),IF($K$4="",TRUE,IF($K$4="(blank)",'Final Calculation Sheet'!$J$22="",IF($K$4="(nonblank)",'Final Calculation Sheet'!$J$22&lt;&gt;"",ISNUMBER(SEARCH($K$4,'Final Calculation Sheet'!$J$22))))),IF($L$4="",TRUE,IF($L$4="(blank)",'Final Calculation Sheet'!$K$22="",IF($L$4="(nonblank)",'Final Calculation Sheet'!$K$22&lt;&gt;"",ISNUMBER(SEARCH($L$4,'Final Calculation Sheet'!$K$22))))),IF($M$4="",TRUE,IF($M$4="(blank)",'Final Calculation Sheet'!$L$22="",IF($M$4="(nonblank)",'Final Calculation Sheet'!$L$22&lt;&gt;"",ISNUMBER(SEARCH($M$4,'Final Calculation Sheet'!$L$22))))),IF($N$4="",TRUE,IF($N$4="(blank)",'Final Calculation Sheet'!$M$22="",IF($N$4="(nonblank)",'Final Calculation Sheet'!$M$22&lt;&gt;"",ISNUMBER(SEARCH($N$4,'Final Calculation Sheet'!$M$22))))),IF($O$4="",TRUE,IF($O$4="(blank)",'Final Calculation Sheet'!$N$22="",IF($O$4="(nonblank)",'Final Calculation Sheet'!$N$22&lt;&gt;"",ISNUMBER(SEARCH($O$4,'Final Calculation Sheet'!$N$22))))),IF($P$4="",TRUE,IF($P$4="(blank)",'Final Calculation Sheet'!$O$22="",IF($P$4="(nonblank)",'Final Calculation Sheet'!$O$22&lt;&gt;"",ISNUMBER(SEARCH($P$4,'Final Calculation Sheet'!$O$22))))),IF($Q$4="",TRUE,IF($Q$4="(blank)",'Final Calculation Sheet'!$P$22="",IF($Q$4="(nonblank)",'Final Calculation Sheet'!$P$22&lt;&gt;"",ISNUMBER(SEARCH($Q$4,'Final Calculation Sheet'!$P$22))))),IF($R$4="",TRUE,IF($R$4="(blank)",'Final Calculation Sheet'!$Q$22="",IF($R$4="(nonblank)",'Final Calculation Sheet'!$Q$22&lt;&gt;"",ISNUMBER(SEARCH($R$4,'Final Calculation Sheet'!$Q$22))))),IF($S$4="",TRUE,IF($S$4="(blank)",'Final Calculation Sheet'!$R$22="",IF($S$4="(nonblank)",'Final Calculation Sheet'!$R$22&lt;&gt;"",ISNUMBER(SEARCH($S$4,'Final Calculation Sheet'!$R$22))))),IF($T$4="",TRUE,IF($T$4="(blank)",'Final Calculation Sheet'!$S$22="",IF($T$4="(nonblank)",'Final Calculation Sheet'!$S$22&lt;&gt;"",ISNUMBER(SEARCH($T$4,'Final Calculation Sheet'!$S$22))))),IF($U$4="",TRUE,IF($U$4="(blank)",'Final Calculation Sheet'!$T$22="",IF($U$4="(nonblank)",'Final Calculation Sheet'!$T$22&lt;&gt;"",ISNUMBER(SEARCH($U$4,'Final Calculation Sheet'!$T$22))))),IF($V$4="",TRUE,IF($V$4="(blank)",'Final Calculation Sheet'!$U$22="",IF($V$4="(nonblank)",'Final Calculation Sheet'!$U$22&lt;&gt;"",ISNUMBER(SEARCH($V$4,'Final Calculation Sheet'!$U$22))))),IF($W$4="",TRUE,IF($W$4="(blank)",'Final Calculation Sheet'!$V$22="",IF($W$4="(nonblank)",'Final Calculation Sheet'!$V$22&lt;&gt;"",ISNUMBER(SEARCH($W$4,'Final Calculation Sheet'!$V$22))))),IF($X$4="",TRUE,IF($X$4="(blank)",'Final Calculation Sheet'!$W$22="",IF($X$4="(nonblank)",'Final Calculation Sheet'!$W$22&lt;&gt;"",ISNUMBER(SEARCH($X$4,'Final Calculation Sheet'!$W$22))))),IF($Y$4="",TRUE,IF($Y$4="(blank)",'Final Calculation Sheet'!$X$22="",IF($Y$4="(nonblank)",'Final Calculation Sheet'!$X$22&lt;&gt;"",ISNUMBER(SEARCH($Y$4,'Final Calculation Sheet'!$X$22))))),IF($Z$4="",TRUE,IF($Z$4="(blank)",'Final Calculation Sheet'!$Y$22="",IF($Z$4="(nonblank)",'Final Calculation Sheet'!$Y$22&lt;&gt;"",ISNUMBER(SEARCH($Z$4,'Final Calculation Sheet'!$Y$22))))),IF($AA$4="",TRUE,IF($AA$4="(blank)",'Final Calculation Sheet'!$Z$22="",IF($AA$4="(nonblank)",'Final Calculation Sheet'!$Z$22&lt;&gt;"",ISNUMBER(SEARCH($AA$4,'Final Calculation Sheet'!$Z$22))))),IF($AB$4="",TRUE,IF($AB$4="(blank)",'Final Calculation Sheet'!$AA$22="",IF($AB$4="(nonblank)",'Final Calculation Sheet'!$AA$22&lt;&gt;"",ISNUMBER(SEARCH($AB$4,'Final Calculation Sheet'!$AA$22))))),IF($AC$4="",TRUE,IF($AC$4="(blank)",'Final Calculation Sheet'!$AB$22="",IF($AC$4="(nonblank)",'Final Calculation Sheet'!$AB$22&lt;&gt;"",ISNUMBER(SEARCH($AC$4,'Final Calculation Sheet'!$AB$22))))),IF($AD$4="",TRUE,IF($AD$4="(blank)",'Final Calculation Sheet'!$AC$22="",IF($AD$4="(nonblank)",'Final Calculation Sheet'!$AC$22&lt;&gt;"",ISNUMBER(SEARCH($AD$4,'Final Calculation Sheet'!$AC$22))))),IF($AE$4="",TRUE,IF($AE$4="(blank)",'Final Calculation Sheet'!$AD$22="",IF($AE$4="(nonblank)",'Final Calculation Sheet'!$AD$22&lt;&gt;"",ISNUMBER(SEARCH($AE$4,'Final Calculation Sheet'!$AD$22))))),IF($AF$4="",TRUE,IF($AF$4="(blank)",'Final Calculation Sheet'!$AE$22="",IF($AF$4="(nonblank)",'Final Calculation Sheet'!$AE$22&lt;&gt;"",ISNUMBER(SEARCH($AF$4,'Final Calculation Sheet'!$AE$22))))),IF($AG$4="",TRUE,IF($AG$4="(blank)",'Final Calculation Sheet'!$AF$22="",IF($AG$4="(nonblank)",'Final Calculation Sheet'!$AF$22&lt;&gt;"",ISNUMBER(SEARCH($AG$4,'Final Calculation Sheet'!$AF$22))))),IF($AH$4="",TRUE,IF($AH$4="(blank)",'Final Calculation Sheet'!$AG$22="",IF($AH$4="(nonblank)",'Final Calculation Sheet'!$AG$22&lt;&gt;"",ISNUMBER(SEARCH($AH$4,'Final Calculation Sheet'!$AG$22))))),IF($AI$4="",TRUE,IF($AI$4="(blank)",IF('Final Calculation Sheet'!$AD$22&lt;=5,"SETTLED","OUTSTANDING")="",IF($AI$4="(nonblank)",IF('Final Calculation Sheet'!$AD$22&lt;=5,"SETTLED","OUTSTANDING")&lt;&gt;"",ISNUMBER(SEARCH($AI$4,IF('Final Calculation Sheet'!$AD$22&lt;=5,"SETTLED","OUTSTANDING")))))))</f>
        <v/>
      </c>
      <c r="AK24">
        <f>IF(AJ24=1,COUNTIF(AJ$6:AJ24,1),"")</f>
        <v/>
      </c>
      <c r="AM24">
        <f>AM23+IF(AND('Lists'!$O$24&lt;&gt;"",ISNUMBER(SEARCH($B$4,'Lists'!$O$24))),1,0)</f>
        <v/>
      </c>
      <c r="AN24">
        <f>IF(ROW()-3&gt;MAX($AM$4:$AM$42),"",INDEX('Lists'!$O$4:$O$42,MATCH(ROW()-3,$AM$4:$AM$42,0)))</f>
        <v/>
      </c>
      <c r="AO24">
        <f>AO23+IF(AND('Lists'!$T$24&lt;&gt;"",ISNUMBER(SEARCH($C$4,'Lists'!$T$24))),1,0)</f>
        <v/>
      </c>
      <c r="AP24">
        <f>IF(ROW()-3&gt;MAX($AO$4:$AO$42),"",INDEX('Lists'!$T$4:$T$42,MATCH(ROW()-3,$AO$4:$AO$42,0)))</f>
        <v/>
      </c>
      <c r="AQ24">
        <f>AQ23+IF(AND('Lists'!$Y$24&lt;&gt;"",ISNUMBER(SEARCH($D$4,'Lists'!$Y$24))),1,0)</f>
        <v/>
      </c>
      <c r="AR24">
        <f>IF(ROW()-3&gt;MAX($AQ$4:$AQ$42),"",INDEX('Lists'!$Y$4:$Y$42,MATCH(ROW()-3,$AQ$4:$AQ$42,0)))</f>
        <v/>
      </c>
      <c r="AS24">
        <f>AS23+IF(AND('Lists'!$AD$24&lt;&gt;"",ISNUMBER(SEARCH($E$4,'Lists'!$AD$24))),1,0)</f>
        <v/>
      </c>
      <c r="AT24">
        <f>IF(ROW()-3&gt;MAX($AS$4:$AS$42),"",INDEX('Lists'!$AD$4:$AD$42,MATCH(ROW()-3,$AS$4:$AS$42,0)))</f>
        <v/>
      </c>
      <c r="AU24">
        <f>AU23+IF(AND('Lists'!$AI$24&lt;&gt;"",ISNUMBER(SEARCH($F$4,'Lists'!$AI$24))),1,0)</f>
        <v/>
      </c>
      <c r="AV24">
        <f>IF(ROW()-3&gt;MAX($AU$4:$AU$42),"",INDEX('Lists'!$AI$4:$AI$42,MATCH(ROW()-3,$AU$4:$AU$42,0)))</f>
        <v/>
      </c>
      <c r="AW24">
        <f>AW23+IF(AND('Lists'!$AN$24&lt;&gt;"",ISNUMBER(SEARCH($G$4,'Lists'!$AN$24))),1,0)</f>
        <v/>
      </c>
      <c r="AX24">
        <f>IF(ROW()-3&gt;MAX($AW$4:$AW$42),"",INDEX('Lists'!$AN$4:$AN$42,MATCH(ROW()-3,$AW$4:$AW$42,0)))</f>
        <v/>
      </c>
      <c r="AY24">
        <f>AY23+IF(AND('Lists'!$AS$24&lt;&gt;"",ISNUMBER(SEARCH($H$4,'Lists'!$AS$24))),1,0)</f>
        <v/>
      </c>
      <c r="AZ24">
        <f>IF(ROW()-3&gt;MAX($AY$4:$AY$42),"",INDEX('Lists'!$AS$4:$AS$42,MATCH(ROW()-3,$AY$4:$AY$42,0)))</f>
        <v/>
      </c>
      <c r="BA24">
        <f>BA23+IF(AND('Lists'!$AX$24&lt;&gt;"",ISNUMBER(SEARCH($I$4,'Lists'!$AX$24))),1,0)</f>
        <v/>
      </c>
      <c r="BB24">
        <f>IF(ROW()-3&gt;MAX($BA$4:$BA$42),"",INDEX('Lists'!$AX$4:$AX$42,MATCH(ROW()-3,$BA$4:$BA$42,0)))</f>
        <v/>
      </c>
      <c r="BC24">
        <f>BC23+IF(AND('Lists'!$BC$24&lt;&gt;"",ISNUMBER(SEARCH($J$4,'Lists'!$BC$24))),1,0)</f>
        <v/>
      </c>
      <c r="BD24">
        <f>IF(ROW()-3&gt;MAX($BC$4:$BC$42),"",INDEX('Lists'!$BC$4:$BC$42,MATCH(ROW()-3,$BC$4:$BC$42,0)))</f>
        <v/>
      </c>
      <c r="BE24">
        <f>BE23+IF(AND('Lists'!$BH$24&lt;&gt;"",ISNUMBER(SEARCH($K$4,'Lists'!$BH$24))),1,0)</f>
        <v/>
      </c>
      <c r="BF24">
        <f>IF(ROW()-3&gt;MAX($BE$4:$BE$42),"",INDEX('Lists'!$BH$4:$BH$42,MATCH(ROW()-3,$BE$4:$BE$42,0)))</f>
        <v/>
      </c>
      <c r="BG24">
        <f>BG23+IF(AND('Lists'!$BM$24&lt;&gt;"",ISNUMBER(SEARCH($L$4,'Lists'!$BM$24))),1,0)</f>
        <v/>
      </c>
      <c r="BH24">
        <f>IF(ROW()-3&gt;MAX($BG$4:$BG$42),"",INDEX('Lists'!$BM$4:$BM$42,MATCH(ROW()-3,$BG$4:$BG$42,0)))</f>
        <v/>
      </c>
      <c r="BI24">
        <f>BI23+IF(AND('Lists'!$BR$24&lt;&gt;"",ISNUMBER(SEARCH($M$4,'Lists'!$BR$24))),1,0)</f>
        <v/>
      </c>
      <c r="BJ24">
        <f>IF(ROW()-3&gt;MAX($BI$4:$BI$42),"",INDEX('Lists'!$BR$4:$BR$42,MATCH(ROW()-3,$BI$4:$BI$42,0)))</f>
        <v/>
      </c>
      <c r="BK24">
        <f>BK23+IF(AND('Lists'!$BW$24&lt;&gt;"",ISNUMBER(SEARCH($N$4,'Lists'!$BW$24))),1,0)</f>
        <v/>
      </c>
      <c r="BL24">
        <f>IF(ROW()-3&gt;MAX($BK$4:$BK$42),"",INDEX('Lists'!$BW$4:$BW$42,MATCH(ROW()-3,$BK$4:$BK$42,0)))</f>
        <v/>
      </c>
      <c r="BM24">
        <f>BM23+IF(AND('Lists'!$CB$24&lt;&gt;"",ISNUMBER(SEARCH($O$4,'Lists'!$CB$24))),1,0)</f>
        <v/>
      </c>
      <c r="BN24">
        <f>IF(ROW()-3&gt;MAX($BM$4:$BM$42),"",INDEX('Lists'!$CB$4:$CB$42,MATCH(ROW()-3,$BM$4:$BM$42,0)))</f>
        <v/>
      </c>
      <c r="BO24">
        <f>BO23+IF(AND('Lists'!$CG$24&lt;&gt;"",ISNUMBER(SEARCH($P$4,'Lists'!$CG$24))),1,0)</f>
        <v/>
      </c>
      <c r="BP24">
        <f>IF(ROW()-3&gt;MAX($BO$4:$BO$42),"",INDEX('Lists'!$CG$4:$CG$42,MATCH(ROW()-3,$BO$4:$BO$42,0)))</f>
        <v/>
      </c>
      <c r="BQ24">
        <f>BQ23+IF(AND('Lists'!$CL$24&lt;&gt;"",ISNUMBER(SEARCH($Q$4,'Lists'!$CL$24))),1,0)</f>
        <v/>
      </c>
      <c r="BR24">
        <f>IF(ROW()-3&gt;MAX($BQ$4:$BQ$42),"",INDEX('Lists'!$CL$4:$CL$42,MATCH(ROW()-3,$BQ$4:$BQ$42,0)))</f>
        <v/>
      </c>
      <c r="BS24">
        <f>BS23+IF(AND('Lists'!$CQ$24&lt;&gt;"",ISNUMBER(SEARCH($R$4,'Lists'!$CQ$24))),1,0)</f>
        <v/>
      </c>
      <c r="BT24">
        <f>IF(ROW()-3&gt;MAX($BS$4:$BS$42),"",INDEX('Lists'!$CQ$4:$CQ$42,MATCH(ROW()-3,$BS$4:$BS$42,0)))</f>
        <v/>
      </c>
      <c r="BU24">
        <f>BU23+IF(AND('Lists'!$CV$24&lt;&gt;"",ISNUMBER(SEARCH($S$4,'Lists'!$CV$24))),1,0)</f>
        <v/>
      </c>
      <c r="BV24">
        <f>IF(ROW()-3&gt;MAX($BU$4:$BU$42),"",INDEX('Lists'!$CV$4:$CV$42,MATCH(ROW()-3,$BU$4:$BU$42,0)))</f>
        <v/>
      </c>
      <c r="BW24">
        <f>BW23+IF(AND('Lists'!$DA$24&lt;&gt;"",ISNUMBER(SEARCH($T$4,'Lists'!$DA$24))),1,0)</f>
        <v/>
      </c>
      <c r="BX24">
        <f>IF(ROW()-3&gt;MAX($BW$4:$BW$42),"",INDEX('Lists'!$DA$4:$DA$42,MATCH(ROW()-3,$BW$4:$BW$42,0)))</f>
        <v/>
      </c>
      <c r="BY24">
        <f>BY23+IF(AND('Lists'!$DF$24&lt;&gt;"",ISNUMBER(SEARCH($U$4,'Lists'!$DF$24))),1,0)</f>
        <v/>
      </c>
      <c r="BZ24">
        <f>IF(ROW()-3&gt;MAX($BY$4:$BY$42),"",INDEX('Lists'!$DF$4:$DF$42,MATCH(ROW()-3,$BY$4:$BY$42,0)))</f>
        <v/>
      </c>
      <c r="CA24">
        <f>CA23+IF(AND('Lists'!$DK$24&lt;&gt;"",ISNUMBER(SEARCH($V$4,'Lists'!$DK$24))),1,0)</f>
        <v/>
      </c>
      <c r="CB24">
        <f>IF(ROW()-3&gt;MAX($CA$4:$CA$42),"",INDEX('Lists'!$DK$4:$DK$42,MATCH(ROW()-3,$CA$4:$CA$42,0)))</f>
        <v/>
      </c>
      <c r="CC24">
        <f>CC23+IF(AND('Lists'!$DP$24&lt;&gt;"",ISNUMBER(SEARCH($W$4,'Lists'!$DP$24))),1,0)</f>
        <v/>
      </c>
      <c r="CD24">
        <f>IF(ROW()-3&gt;MAX($CC$4:$CC$42),"",INDEX('Lists'!$DP$4:$DP$42,MATCH(ROW()-3,$CC$4:$CC$42,0)))</f>
        <v/>
      </c>
      <c r="CE24">
        <f>CE23+IF(AND('Lists'!$DU$24&lt;&gt;"",ISNUMBER(SEARCH($X$4,'Lists'!$DU$24))),1,0)</f>
        <v/>
      </c>
      <c r="CF24">
        <f>IF(ROW()-3&gt;MAX($CE$4:$CE$42),"",INDEX('Lists'!$DU$4:$DU$42,MATCH(ROW()-3,$CE$4:$CE$42,0)))</f>
        <v/>
      </c>
      <c r="CG24">
        <f>CG23+IF(AND('Lists'!$DZ$24&lt;&gt;"",ISNUMBER(SEARCH($Y$4,'Lists'!$DZ$24))),1,0)</f>
        <v/>
      </c>
      <c r="CH24">
        <f>IF(ROW()-3&gt;MAX($CG$4:$CG$42),"",INDEX('Lists'!$DZ$4:$DZ$42,MATCH(ROW()-3,$CG$4:$CG$42,0)))</f>
        <v/>
      </c>
      <c r="CI24">
        <f>CI23+IF(AND('Lists'!$EE$24&lt;&gt;"",ISNUMBER(SEARCH($Z$4,'Lists'!$EE$24))),1,0)</f>
        <v/>
      </c>
      <c r="CJ24">
        <f>IF(ROW()-3&gt;MAX($CI$4:$CI$42),"",INDEX('Lists'!$EE$4:$EE$42,MATCH(ROW()-3,$CI$4:$CI$42,0)))</f>
        <v/>
      </c>
      <c r="CK24">
        <f>CK23+IF(AND('Lists'!$EJ$24&lt;&gt;"",ISNUMBER(SEARCH($AA$4,'Lists'!$EJ$24))),1,0)</f>
        <v/>
      </c>
      <c r="CL24">
        <f>IF(ROW()-3&gt;MAX($CK$4:$CK$42),"",INDEX('Lists'!$EJ$4:$EJ$42,MATCH(ROW()-3,$CK$4:$CK$42,0)))</f>
        <v/>
      </c>
      <c r="CM24">
        <f>CM23+IF(AND('Lists'!$EO$24&lt;&gt;"",ISNUMBER(SEARCH($AB$4,'Lists'!$EO$24))),1,0)</f>
        <v/>
      </c>
      <c r="CN24">
        <f>IF(ROW()-3&gt;MAX($CM$4:$CM$42),"",INDEX('Lists'!$EO$4:$EO$42,MATCH(ROW()-3,$CM$4:$CM$42,0)))</f>
        <v/>
      </c>
      <c r="CO24">
        <f>CO23+IF(AND('Lists'!$ET$24&lt;&gt;"",ISNUMBER(SEARCH($AC$4,'Lists'!$ET$24))),1,0)</f>
        <v/>
      </c>
      <c r="CP24">
        <f>IF(ROW()-3&gt;MAX($CO$4:$CO$42),"",INDEX('Lists'!$ET$4:$ET$42,MATCH(ROW()-3,$CO$4:$CO$42,0)))</f>
        <v/>
      </c>
      <c r="CQ24">
        <f>CQ23+IF(AND('Lists'!$EY$24&lt;&gt;"",ISNUMBER(SEARCH($AD$4,'Lists'!$EY$24))),1,0)</f>
        <v/>
      </c>
      <c r="CR24">
        <f>IF(ROW()-3&gt;MAX($CQ$4:$CQ$42),"",INDEX('Lists'!$EY$4:$EY$42,MATCH(ROW()-3,$CQ$4:$CQ$42,0)))</f>
        <v/>
      </c>
      <c r="CS24">
        <f>CS23+IF(AND('Lists'!$FD$24&lt;&gt;"",ISNUMBER(SEARCH($AE$4,'Lists'!$FD$24))),1,0)</f>
        <v/>
      </c>
      <c r="CT24">
        <f>IF(ROW()-3&gt;MAX($CS$4:$CS$42),"",INDEX('Lists'!$FD$4:$FD$42,MATCH(ROW()-3,$CS$4:$CS$42,0)))</f>
        <v/>
      </c>
      <c r="CU24">
        <f>CU23+IF(AND('Lists'!$FI$24&lt;&gt;"",ISNUMBER(SEARCH($AF$4,'Lists'!$FI$24))),1,0)</f>
        <v/>
      </c>
      <c r="CV24">
        <f>IF(ROW()-3&gt;MAX($CU$4:$CU$42),"",INDEX('Lists'!$FI$4:$FI$42,MATCH(ROW()-3,$CU$4:$CU$42,0)))</f>
        <v/>
      </c>
      <c r="CW24">
        <f>CW23+IF(AND('Lists'!$FN$24&lt;&gt;"",ISNUMBER(SEARCH($AG$4,'Lists'!$FN$24))),1,0)</f>
        <v/>
      </c>
      <c r="CX24">
        <f>IF(ROW()-3&gt;MAX($CW$4:$CW$42),"",INDEX('Lists'!$FN$4:$FN$42,MATCH(ROW()-3,$CW$4:$CW$42,0)))</f>
        <v/>
      </c>
      <c r="CY24">
        <f>CY23+IF(AND('Lists'!$FS$24&lt;&gt;"",ISNUMBER(SEARCH($AH$4,'Lists'!$FS$24))),1,0)</f>
        <v/>
      </c>
      <c r="CZ24">
        <f>IF(ROW()-3&gt;MAX($CY$4:$CY$42),"",INDEX('Lists'!$FS$4:$FS$42,MATCH(ROW()-3,$CY$4:$CY$42,0)))</f>
        <v/>
      </c>
      <c r="DA24">
        <f>DA23+IF(AND('Lists'!$FX$24&lt;&gt;"",ISNUMBER(SEARCH($AI$4,'Lists'!$FX$24))),1,0)</f>
        <v/>
      </c>
      <c r="DB24">
        <f>IF(ROW()-3&gt;MAX($DA$4:$DA$42),"",INDEX('Lists'!$FX$4:$FX$42,MATCH(ROW()-3,$DA$4:$DA$42,0)))</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c r="AJ25">
        <f>AND(IF($B$4="",TRUE,IF($B$4="(blank)",'Final Calculation Sheet'!$F$23="",IF($B$4="(nonblank)",'Final Calculation Sheet'!$F$23&lt;&gt;"",ISNUMBER(SEARCH($B$4,'Final Calculation Sheet'!$F$23))))),IF($C$4="",TRUE,IF($C$4="(blank)",'Final Calculation Sheet'!$G$23="",IF($C$4="(nonblank)",'Final Calculation Sheet'!$G$23&lt;&gt;"",ISNUMBER(SEARCH($C$4,'Final Calculation Sheet'!$G$23))))),IF($D$4="",TRUE,IF($D$4="(blank)",'Final Calculation Sheet'!$B$23="",IF($D$4="(nonblank)",'Final Calculation Sheet'!$B$23&lt;&gt;"",ISNUMBER(SEARCH($D$4,'Final Calculation Sheet'!$B$23))))),IF($E$4="",TRUE,IF($E$4="(blank)",'Final Calculation Sheet'!$D$23="",IF($E$4="(nonblank)",'Final Calculation Sheet'!$D$23&lt;&gt;"",ISNUMBER(SEARCH($E$4,'Final Calculation Sheet'!$D$23))))),IF($F$4="",TRUE,IF($F$4="(blank)",'Final Calculation Sheet'!$A$23="",IF($F$4="(nonblank)",'Final Calculation Sheet'!$A$23&lt;&gt;"",ISNUMBER(SEARCH($F$4,'Final Calculation Sheet'!$A$23))))),IF($G$4="",TRUE,IF($G$4="(blank)",'Final Calculation Sheet'!$E$23="",IF($G$4="(nonblank)",'Final Calculation Sheet'!$E$23&lt;&gt;"",ISNUMBER(SEARCH($G$4,'Final Calculation Sheet'!$E$23))))),IF($H$4="",TRUE,IF($H$4="(blank)",'Final Calculation Sheet'!$C$23="",IF($H$4="(nonblank)",'Final Calculation Sheet'!$C$23&lt;&gt;"",ISNUMBER(SEARCH($H$4,'Final Calculation Sheet'!$C$23))))),IF($I$4="",TRUE,IF($I$4="(blank)",'Final Calculation Sheet'!$H$23="",IF($I$4="(nonblank)",'Final Calculation Sheet'!$H$23&lt;&gt;"",ISNUMBER(SEARCH($I$4,'Final Calculation Sheet'!$H$23))))),IF($J$4="",TRUE,IF($J$4="(blank)",'Final Calculation Sheet'!$I$23="",IF($J$4="(nonblank)",'Final Calculation Sheet'!$I$23&lt;&gt;"",ISNUMBER(SEARCH($J$4,'Final Calculation Sheet'!$I$23))))),IF($K$4="",TRUE,IF($K$4="(blank)",'Final Calculation Sheet'!$J$23="",IF($K$4="(nonblank)",'Final Calculation Sheet'!$J$23&lt;&gt;"",ISNUMBER(SEARCH($K$4,'Final Calculation Sheet'!$J$23))))),IF($L$4="",TRUE,IF($L$4="(blank)",'Final Calculation Sheet'!$K$23="",IF($L$4="(nonblank)",'Final Calculation Sheet'!$K$23&lt;&gt;"",ISNUMBER(SEARCH($L$4,'Final Calculation Sheet'!$K$23))))),IF($M$4="",TRUE,IF($M$4="(blank)",'Final Calculation Sheet'!$L$23="",IF($M$4="(nonblank)",'Final Calculation Sheet'!$L$23&lt;&gt;"",ISNUMBER(SEARCH($M$4,'Final Calculation Sheet'!$L$23))))),IF($N$4="",TRUE,IF($N$4="(blank)",'Final Calculation Sheet'!$M$23="",IF($N$4="(nonblank)",'Final Calculation Sheet'!$M$23&lt;&gt;"",ISNUMBER(SEARCH($N$4,'Final Calculation Sheet'!$M$23))))),IF($O$4="",TRUE,IF($O$4="(blank)",'Final Calculation Sheet'!$N$23="",IF($O$4="(nonblank)",'Final Calculation Sheet'!$N$23&lt;&gt;"",ISNUMBER(SEARCH($O$4,'Final Calculation Sheet'!$N$23))))),IF($P$4="",TRUE,IF($P$4="(blank)",'Final Calculation Sheet'!$O$23="",IF($P$4="(nonblank)",'Final Calculation Sheet'!$O$23&lt;&gt;"",ISNUMBER(SEARCH($P$4,'Final Calculation Sheet'!$O$23))))),IF($Q$4="",TRUE,IF($Q$4="(blank)",'Final Calculation Sheet'!$P$23="",IF($Q$4="(nonblank)",'Final Calculation Sheet'!$P$23&lt;&gt;"",ISNUMBER(SEARCH($Q$4,'Final Calculation Sheet'!$P$23))))),IF($R$4="",TRUE,IF($R$4="(blank)",'Final Calculation Sheet'!$Q$23="",IF($R$4="(nonblank)",'Final Calculation Sheet'!$Q$23&lt;&gt;"",ISNUMBER(SEARCH($R$4,'Final Calculation Sheet'!$Q$23))))),IF($S$4="",TRUE,IF($S$4="(blank)",'Final Calculation Sheet'!$R$23="",IF($S$4="(nonblank)",'Final Calculation Sheet'!$R$23&lt;&gt;"",ISNUMBER(SEARCH($S$4,'Final Calculation Sheet'!$R$23))))),IF($T$4="",TRUE,IF($T$4="(blank)",'Final Calculation Sheet'!$S$23="",IF($T$4="(nonblank)",'Final Calculation Sheet'!$S$23&lt;&gt;"",ISNUMBER(SEARCH($T$4,'Final Calculation Sheet'!$S$23))))),IF($U$4="",TRUE,IF($U$4="(blank)",'Final Calculation Sheet'!$T$23="",IF($U$4="(nonblank)",'Final Calculation Sheet'!$T$23&lt;&gt;"",ISNUMBER(SEARCH($U$4,'Final Calculation Sheet'!$T$23))))),IF($V$4="",TRUE,IF($V$4="(blank)",'Final Calculation Sheet'!$U$23="",IF($V$4="(nonblank)",'Final Calculation Sheet'!$U$23&lt;&gt;"",ISNUMBER(SEARCH($V$4,'Final Calculation Sheet'!$U$23))))),IF($W$4="",TRUE,IF($W$4="(blank)",'Final Calculation Sheet'!$V$23="",IF($W$4="(nonblank)",'Final Calculation Sheet'!$V$23&lt;&gt;"",ISNUMBER(SEARCH($W$4,'Final Calculation Sheet'!$V$23))))),IF($X$4="",TRUE,IF($X$4="(blank)",'Final Calculation Sheet'!$W$23="",IF($X$4="(nonblank)",'Final Calculation Sheet'!$W$23&lt;&gt;"",ISNUMBER(SEARCH($X$4,'Final Calculation Sheet'!$W$23))))),IF($Y$4="",TRUE,IF($Y$4="(blank)",'Final Calculation Sheet'!$X$23="",IF($Y$4="(nonblank)",'Final Calculation Sheet'!$X$23&lt;&gt;"",ISNUMBER(SEARCH($Y$4,'Final Calculation Sheet'!$X$23))))),IF($Z$4="",TRUE,IF($Z$4="(blank)",'Final Calculation Sheet'!$Y$23="",IF($Z$4="(nonblank)",'Final Calculation Sheet'!$Y$23&lt;&gt;"",ISNUMBER(SEARCH($Z$4,'Final Calculation Sheet'!$Y$23))))),IF($AA$4="",TRUE,IF($AA$4="(blank)",'Final Calculation Sheet'!$Z$23="",IF($AA$4="(nonblank)",'Final Calculation Sheet'!$Z$23&lt;&gt;"",ISNUMBER(SEARCH($AA$4,'Final Calculation Sheet'!$Z$23))))),IF($AB$4="",TRUE,IF($AB$4="(blank)",'Final Calculation Sheet'!$AA$23="",IF($AB$4="(nonblank)",'Final Calculation Sheet'!$AA$23&lt;&gt;"",ISNUMBER(SEARCH($AB$4,'Final Calculation Sheet'!$AA$23))))),IF($AC$4="",TRUE,IF($AC$4="(blank)",'Final Calculation Sheet'!$AB$23="",IF($AC$4="(nonblank)",'Final Calculation Sheet'!$AB$23&lt;&gt;"",ISNUMBER(SEARCH($AC$4,'Final Calculation Sheet'!$AB$23))))),IF($AD$4="",TRUE,IF($AD$4="(blank)",'Final Calculation Sheet'!$AC$23="",IF($AD$4="(nonblank)",'Final Calculation Sheet'!$AC$23&lt;&gt;"",ISNUMBER(SEARCH($AD$4,'Final Calculation Sheet'!$AC$23))))),IF($AE$4="",TRUE,IF($AE$4="(blank)",'Final Calculation Sheet'!$AD$23="",IF($AE$4="(nonblank)",'Final Calculation Sheet'!$AD$23&lt;&gt;"",ISNUMBER(SEARCH($AE$4,'Final Calculation Sheet'!$AD$23))))),IF($AF$4="",TRUE,IF($AF$4="(blank)",'Final Calculation Sheet'!$AE$23="",IF($AF$4="(nonblank)",'Final Calculation Sheet'!$AE$23&lt;&gt;"",ISNUMBER(SEARCH($AF$4,'Final Calculation Sheet'!$AE$23))))),IF($AG$4="",TRUE,IF($AG$4="(blank)",'Final Calculation Sheet'!$AF$23="",IF($AG$4="(nonblank)",'Final Calculation Sheet'!$AF$23&lt;&gt;"",ISNUMBER(SEARCH($AG$4,'Final Calculation Sheet'!$AF$23))))),IF($AH$4="",TRUE,IF($AH$4="(blank)",'Final Calculation Sheet'!$AG$23="",IF($AH$4="(nonblank)",'Final Calculation Sheet'!$AG$23&lt;&gt;"",ISNUMBER(SEARCH($AH$4,'Final Calculation Sheet'!$AG$23))))),IF($AI$4="",TRUE,IF($AI$4="(blank)",IF('Final Calculation Sheet'!$AD$23&lt;=5,"SETTLED","OUTSTANDING")="",IF($AI$4="(nonblank)",IF('Final Calculation Sheet'!$AD$23&lt;=5,"SETTLED","OUTSTANDING")&lt;&gt;"",ISNUMBER(SEARCH($AI$4,IF('Final Calculation Sheet'!$AD$23&lt;=5,"SETTLED","OUTSTANDING")))))))</f>
        <v/>
      </c>
      <c r="AK25">
        <f>IF(AJ25=1,COUNTIF(AJ$6:AJ25,1),"")</f>
        <v/>
      </c>
      <c r="AM25">
        <f>AM24+IF(AND('Lists'!$O$25&lt;&gt;"",ISNUMBER(SEARCH($B$4,'Lists'!$O$25))),1,0)</f>
        <v/>
      </c>
      <c r="AN25">
        <f>IF(ROW()-3&gt;MAX($AM$4:$AM$42),"",INDEX('Lists'!$O$4:$O$42,MATCH(ROW()-3,$AM$4:$AM$42,0)))</f>
        <v/>
      </c>
      <c r="AO25">
        <f>AO24+IF(AND('Lists'!$T$25&lt;&gt;"",ISNUMBER(SEARCH($C$4,'Lists'!$T$25))),1,0)</f>
        <v/>
      </c>
      <c r="AP25">
        <f>IF(ROW()-3&gt;MAX($AO$4:$AO$42),"",INDEX('Lists'!$T$4:$T$42,MATCH(ROW()-3,$AO$4:$AO$42,0)))</f>
        <v/>
      </c>
      <c r="AQ25">
        <f>AQ24+IF(AND('Lists'!$Y$25&lt;&gt;"",ISNUMBER(SEARCH($D$4,'Lists'!$Y$25))),1,0)</f>
        <v/>
      </c>
      <c r="AR25">
        <f>IF(ROW()-3&gt;MAX($AQ$4:$AQ$42),"",INDEX('Lists'!$Y$4:$Y$42,MATCH(ROW()-3,$AQ$4:$AQ$42,0)))</f>
        <v/>
      </c>
      <c r="AS25">
        <f>AS24+IF(AND('Lists'!$AD$25&lt;&gt;"",ISNUMBER(SEARCH($E$4,'Lists'!$AD$25))),1,0)</f>
        <v/>
      </c>
      <c r="AT25">
        <f>IF(ROW()-3&gt;MAX($AS$4:$AS$42),"",INDEX('Lists'!$AD$4:$AD$42,MATCH(ROW()-3,$AS$4:$AS$42,0)))</f>
        <v/>
      </c>
      <c r="AU25">
        <f>AU24+IF(AND('Lists'!$AI$25&lt;&gt;"",ISNUMBER(SEARCH($F$4,'Lists'!$AI$25))),1,0)</f>
        <v/>
      </c>
      <c r="AV25">
        <f>IF(ROW()-3&gt;MAX($AU$4:$AU$42),"",INDEX('Lists'!$AI$4:$AI$42,MATCH(ROW()-3,$AU$4:$AU$42,0)))</f>
        <v/>
      </c>
      <c r="AW25">
        <f>AW24+IF(AND('Lists'!$AN$25&lt;&gt;"",ISNUMBER(SEARCH($G$4,'Lists'!$AN$25))),1,0)</f>
        <v/>
      </c>
      <c r="AX25">
        <f>IF(ROW()-3&gt;MAX($AW$4:$AW$42),"",INDEX('Lists'!$AN$4:$AN$42,MATCH(ROW()-3,$AW$4:$AW$42,0)))</f>
        <v/>
      </c>
      <c r="AY25">
        <f>AY24+IF(AND('Lists'!$AS$25&lt;&gt;"",ISNUMBER(SEARCH($H$4,'Lists'!$AS$25))),1,0)</f>
        <v/>
      </c>
      <c r="AZ25">
        <f>IF(ROW()-3&gt;MAX($AY$4:$AY$42),"",INDEX('Lists'!$AS$4:$AS$42,MATCH(ROW()-3,$AY$4:$AY$42,0)))</f>
        <v/>
      </c>
      <c r="BA25">
        <f>BA24+IF(AND('Lists'!$AX$25&lt;&gt;"",ISNUMBER(SEARCH($I$4,'Lists'!$AX$25))),1,0)</f>
        <v/>
      </c>
      <c r="BB25">
        <f>IF(ROW()-3&gt;MAX($BA$4:$BA$42),"",INDEX('Lists'!$AX$4:$AX$42,MATCH(ROW()-3,$BA$4:$BA$42,0)))</f>
        <v/>
      </c>
      <c r="BC25">
        <f>BC24+IF(AND('Lists'!$BC$25&lt;&gt;"",ISNUMBER(SEARCH($J$4,'Lists'!$BC$25))),1,0)</f>
        <v/>
      </c>
      <c r="BD25">
        <f>IF(ROW()-3&gt;MAX($BC$4:$BC$42),"",INDEX('Lists'!$BC$4:$BC$42,MATCH(ROW()-3,$BC$4:$BC$42,0)))</f>
        <v/>
      </c>
      <c r="BE25">
        <f>BE24+IF(AND('Lists'!$BH$25&lt;&gt;"",ISNUMBER(SEARCH($K$4,'Lists'!$BH$25))),1,0)</f>
        <v/>
      </c>
      <c r="BF25">
        <f>IF(ROW()-3&gt;MAX($BE$4:$BE$42),"",INDEX('Lists'!$BH$4:$BH$42,MATCH(ROW()-3,$BE$4:$BE$42,0)))</f>
        <v/>
      </c>
      <c r="BG25">
        <f>BG24+IF(AND('Lists'!$BM$25&lt;&gt;"",ISNUMBER(SEARCH($L$4,'Lists'!$BM$25))),1,0)</f>
        <v/>
      </c>
      <c r="BH25">
        <f>IF(ROW()-3&gt;MAX($BG$4:$BG$42),"",INDEX('Lists'!$BM$4:$BM$42,MATCH(ROW()-3,$BG$4:$BG$42,0)))</f>
        <v/>
      </c>
      <c r="BI25">
        <f>BI24+IF(AND('Lists'!$BR$25&lt;&gt;"",ISNUMBER(SEARCH($M$4,'Lists'!$BR$25))),1,0)</f>
        <v/>
      </c>
      <c r="BJ25">
        <f>IF(ROW()-3&gt;MAX($BI$4:$BI$42),"",INDEX('Lists'!$BR$4:$BR$42,MATCH(ROW()-3,$BI$4:$BI$42,0)))</f>
        <v/>
      </c>
      <c r="BK25">
        <f>BK24+IF(AND('Lists'!$BW$25&lt;&gt;"",ISNUMBER(SEARCH($N$4,'Lists'!$BW$25))),1,0)</f>
        <v/>
      </c>
      <c r="BL25">
        <f>IF(ROW()-3&gt;MAX($BK$4:$BK$42),"",INDEX('Lists'!$BW$4:$BW$42,MATCH(ROW()-3,$BK$4:$BK$42,0)))</f>
        <v/>
      </c>
      <c r="BM25">
        <f>BM24+IF(AND('Lists'!$CB$25&lt;&gt;"",ISNUMBER(SEARCH($O$4,'Lists'!$CB$25))),1,0)</f>
        <v/>
      </c>
      <c r="BN25">
        <f>IF(ROW()-3&gt;MAX($BM$4:$BM$42),"",INDEX('Lists'!$CB$4:$CB$42,MATCH(ROW()-3,$BM$4:$BM$42,0)))</f>
        <v/>
      </c>
      <c r="BO25">
        <f>BO24+IF(AND('Lists'!$CG$25&lt;&gt;"",ISNUMBER(SEARCH($P$4,'Lists'!$CG$25))),1,0)</f>
        <v/>
      </c>
      <c r="BP25">
        <f>IF(ROW()-3&gt;MAX($BO$4:$BO$42),"",INDEX('Lists'!$CG$4:$CG$42,MATCH(ROW()-3,$BO$4:$BO$42,0)))</f>
        <v/>
      </c>
      <c r="BQ25">
        <f>BQ24+IF(AND('Lists'!$CL$25&lt;&gt;"",ISNUMBER(SEARCH($Q$4,'Lists'!$CL$25))),1,0)</f>
        <v/>
      </c>
      <c r="BR25">
        <f>IF(ROW()-3&gt;MAX($BQ$4:$BQ$42),"",INDEX('Lists'!$CL$4:$CL$42,MATCH(ROW()-3,$BQ$4:$BQ$42,0)))</f>
        <v/>
      </c>
      <c r="BS25">
        <f>BS24+IF(AND('Lists'!$CQ$25&lt;&gt;"",ISNUMBER(SEARCH($R$4,'Lists'!$CQ$25))),1,0)</f>
        <v/>
      </c>
      <c r="BT25">
        <f>IF(ROW()-3&gt;MAX($BS$4:$BS$42),"",INDEX('Lists'!$CQ$4:$CQ$42,MATCH(ROW()-3,$BS$4:$BS$42,0)))</f>
        <v/>
      </c>
      <c r="BU25">
        <f>BU24+IF(AND('Lists'!$CV$25&lt;&gt;"",ISNUMBER(SEARCH($S$4,'Lists'!$CV$25))),1,0)</f>
        <v/>
      </c>
      <c r="BV25">
        <f>IF(ROW()-3&gt;MAX($BU$4:$BU$42),"",INDEX('Lists'!$CV$4:$CV$42,MATCH(ROW()-3,$BU$4:$BU$42,0)))</f>
        <v/>
      </c>
      <c r="BW25">
        <f>BW24+IF(AND('Lists'!$DA$25&lt;&gt;"",ISNUMBER(SEARCH($T$4,'Lists'!$DA$25))),1,0)</f>
        <v/>
      </c>
      <c r="BX25">
        <f>IF(ROW()-3&gt;MAX($BW$4:$BW$42),"",INDEX('Lists'!$DA$4:$DA$42,MATCH(ROW()-3,$BW$4:$BW$42,0)))</f>
        <v/>
      </c>
      <c r="BY25">
        <f>BY24+IF(AND('Lists'!$DF$25&lt;&gt;"",ISNUMBER(SEARCH($U$4,'Lists'!$DF$25))),1,0)</f>
        <v/>
      </c>
      <c r="BZ25">
        <f>IF(ROW()-3&gt;MAX($BY$4:$BY$42),"",INDEX('Lists'!$DF$4:$DF$42,MATCH(ROW()-3,$BY$4:$BY$42,0)))</f>
        <v/>
      </c>
      <c r="CA25">
        <f>CA24+IF(AND('Lists'!$DK$25&lt;&gt;"",ISNUMBER(SEARCH($V$4,'Lists'!$DK$25))),1,0)</f>
        <v/>
      </c>
      <c r="CB25">
        <f>IF(ROW()-3&gt;MAX($CA$4:$CA$42),"",INDEX('Lists'!$DK$4:$DK$42,MATCH(ROW()-3,$CA$4:$CA$42,0)))</f>
        <v/>
      </c>
      <c r="CC25">
        <f>CC24+IF(AND('Lists'!$DP$25&lt;&gt;"",ISNUMBER(SEARCH($W$4,'Lists'!$DP$25))),1,0)</f>
        <v/>
      </c>
      <c r="CD25">
        <f>IF(ROW()-3&gt;MAX($CC$4:$CC$42),"",INDEX('Lists'!$DP$4:$DP$42,MATCH(ROW()-3,$CC$4:$CC$42,0)))</f>
        <v/>
      </c>
      <c r="CE25">
        <f>CE24+IF(AND('Lists'!$DU$25&lt;&gt;"",ISNUMBER(SEARCH($X$4,'Lists'!$DU$25))),1,0)</f>
        <v/>
      </c>
      <c r="CF25">
        <f>IF(ROW()-3&gt;MAX($CE$4:$CE$42),"",INDEX('Lists'!$DU$4:$DU$42,MATCH(ROW()-3,$CE$4:$CE$42,0)))</f>
        <v/>
      </c>
      <c r="CG25">
        <f>CG24+IF(AND('Lists'!$DZ$25&lt;&gt;"",ISNUMBER(SEARCH($Y$4,'Lists'!$DZ$25))),1,0)</f>
        <v/>
      </c>
      <c r="CH25">
        <f>IF(ROW()-3&gt;MAX($CG$4:$CG$42),"",INDEX('Lists'!$DZ$4:$DZ$42,MATCH(ROW()-3,$CG$4:$CG$42,0)))</f>
        <v/>
      </c>
      <c r="CI25">
        <f>CI24+IF(AND('Lists'!$EE$25&lt;&gt;"",ISNUMBER(SEARCH($Z$4,'Lists'!$EE$25))),1,0)</f>
        <v/>
      </c>
      <c r="CJ25">
        <f>IF(ROW()-3&gt;MAX($CI$4:$CI$42),"",INDEX('Lists'!$EE$4:$EE$42,MATCH(ROW()-3,$CI$4:$CI$42,0)))</f>
        <v/>
      </c>
      <c r="CK25">
        <f>CK24+IF(AND('Lists'!$EJ$25&lt;&gt;"",ISNUMBER(SEARCH($AA$4,'Lists'!$EJ$25))),1,0)</f>
        <v/>
      </c>
      <c r="CL25">
        <f>IF(ROW()-3&gt;MAX($CK$4:$CK$42),"",INDEX('Lists'!$EJ$4:$EJ$42,MATCH(ROW()-3,$CK$4:$CK$42,0)))</f>
        <v/>
      </c>
      <c r="CM25">
        <f>CM24+IF(AND('Lists'!$EO$25&lt;&gt;"",ISNUMBER(SEARCH($AB$4,'Lists'!$EO$25))),1,0)</f>
        <v/>
      </c>
      <c r="CN25">
        <f>IF(ROW()-3&gt;MAX($CM$4:$CM$42),"",INDEX('Lists'!$EO$4:$EO$42,MATCH(ROW()-3,$CM$4:$CM$42,0)))</f>
        <v/>
      </c>
      <c r="CO25">
        <f>CO24+IF(AND('Lists'!$ET$25&lt;&gt;"",ISNUMBER(SEARCH($AC$4,'Lists'!$ET$25))),1,0)</f>
        <v/>
      </c>
      <c r="CP25">
        <f>IF(ROW()-3&gt;MAX($CO$4:$CO$42),"",INDEX('Lists'!$ET$4:$ET$42,MATCH(ROW()-3,$CO$4:$CO$42,0)))</f>
        <v/>
      </c>
      <c r="CQ25">
        <f>CQ24+IF(AND('Lists'!$EY$25&lt;&gt;"",ISNUMBER(SEARCH($AD$4,'Lists'!$EY$25))),1,0)</f>
        <v/>
      </c>
      <c r="CR25">
        <f>IF(ROW()-3&gt;MAX($CQ$4:$CQ$42),"",INDEX('Lists'!$EY$4:$EY$42,MATCH(ROW()-3,$CQ$4:$CQ$42,0)))</f>
        <v/>
      </c>
      <c r="CS25">
        <f>CS24+IF(AND('Lists'!$FD$25&lt;&gt;"",ISNUMBER(SEARCH($AE$4,'Lists'!$FD$25))),1,0)</f>
        <v/>
      </c>
      <c r="CT25">
        <f>IF(ROW()-3&gt;MAX($CS$4:$CS$42),"",INDEX('Lists'!$FD$4:$FD$42,MATCH(ROW()-3,$CS$4:$CS$42,0)))</f>
        <v/>
      </c>
      <c r="CU25">
        <f>CU24+IF(AND('Lists'!$FI$25&lt;&gt;"",ISNUMBER(SEARCH($AF$4,'Lists'!$FI$25))),1,0)</f>
        <v/>
      </c>
      <c r="CV25">
        <f>IF(ROW()-3&gt;MAX($CU$4:$CU$42),"",INDEX('Lists'!$FI$4:$FI$42,MATCH(ROW()-3,$CU$4:$CU$42,0)))</f>
        <v/>
      </c>
      <c r="CW25">
        <f>CW24+IF(AND('Lists'!$FN$25&lt;&gt;"",ISNUMBER(SEARCH($AG$4,'Lists'!$FN$25))),1,0)</f>
        <v/>
      </c>
      <c r="CX25">
        <f>IF(ROW()-3&gt;MAX($CW$4:$CW$42),"",INDEX('Lists'!$FN$4:$FN$42,MATCH(ROW()-3,$CW$4:$CW$42,0)))</f>
        <v/>
      </c>
      <c r="CY25">
        <f>CY24+IF(AND('Lists'!$FS$25&lt;&gt;"",ISNUMBER(SEARCH($AH$4,'Lists'!$FS$25))),1,0)</f>
        <v/>
      </c>
      <c r="CZ25">
        <f>IF(ROW()-3&gt;MAX($CY$4:$CY$42),"",INDEX('Lists'!$FS$4:$FS$42,MATCH(ROW()-3,$CY$4:$CY$42,0)))</f>
        <v/>
      </c>
      <c r="DA25">
        <f>DA24+IF(AND('Lists'!$FX$25&lt;&gt;"",ISNUMBER(SEARCH($AI$4,'Lists'!$FX$25))),1,0)</f>
        <v/>
      </c>
      <c r="DB25">
        <f>IF(ROW()-3&gt;MAX($DA$4:$DA$42),"",INDEX('Lists'!$FX$4:$FX$42,MATCH(ROW()-3,$DA$4:$DA$42,0)))</f>
        <v/>
      </c>
    </row>
    <row r="26" outlineLevel="1" ht="15" customHeight="1" s="77">
      <c r="A26" s="118" t="n">
        <v>10</v>
      </c>
      <c r="B26" s="119">
        <f>IF('Final Calculation Sheet'!$F$30="","",'Final Calculation Sheet'!$F$30)</f>
        <v/>
      </c>
      <c r="C26" s="119">
        <f>IF('Final Calculation Sheet'!$G$30="","",'Final Calculation Sheet'!$G$30)</f>
        <v/>
      </c>
      <c r="D26" s="120">
        <f>IF('Final Calculation Sheet'!$B$30="","",'Final Calculation Sheet'!$B$30)</f>
        <v/>
      </c>
      <c r="E26" s="120">
        <f>IF('Final Calculation Sheet'!$D$30="","",'Final Calculation Sheet'!$D$30)</f>
        <v/>
      </c>
      <c r="F26" s="120">
        <f>IF('Final Calculation Sheet'!$A$30="","",'Final Calculation Sheet'!$A$30)</f>
        <v/>
      </c>
      <c r="G26" s="120">
        <f>IF('Final Calculation Sheet'!$E$30="","",'Final Calculation Sheet'!$E$30)</f>
        <v/>
      </c>
      <c r="H26" s="121">
        <f>IF('Final Calculation Sheet'!$C$30="","",'Final Calculation Sheet'!$C$30)</f>
        <v/>
      </c>
      <c r="I26" s="121">
        <f>IF('Final Calculation Sheet'!$H$30="","",'Final Calculation Sheet'!$H$30)</f>
        <v/>
      </c>
      <c r="J26" s="121">
        <f>IF('Final Calculation Sheet'!$I$30="","",'Final Calculation Sheet'!$I$30)</f>
        <v/>
      </c>
      <c r="K26" s="121">
        <f>IF('Final Calculation Sheet'!$J$30="","",'Final Calculation Sheet'!$J$30)</f>
        <v/>
      </c>
      <c r="L26" s="121">
        <f>IF('Final Calculation Sheet'!$K$30="","",'Final Calculation Sheet'!$K$30)</f>
        <v/>
      </c>
      <c r="M26" s="121">
        <f>IF('Final Calculation Sheet'!$L$30="","",'Final Calculation Sheet'!$L$30)</f>
        <v/>
      </c>
      <c r="N26" s="121">
        <f>IF('Final Calculation Sheet'!$M$30="","",'Final Calculation Sheet'!$M$30)</f>
        <v/>
      </c>
      <c r="O26" s="122">
        <f>IF('Final Calculation Sheet'!$N$30="","",'Final Calculation Sheet'!$N$30)</f>
        <v/>
      </c>
      <c r="P26" s="121">
        <f>IF('Final Calculation Sheet'!$O$30="","",'Final Calculation Sheet'!$O$30)</f>
        <v/>
      </c>
      <c r="Q26" s="121">
        <f>IF('Final Calculation Sheet'!$P$30="","",'Final Calculation Sheet'!$P$30)</f>
        <v/>
      </c>
      <c r="R26" s="123">
        <f>IF('Final Calculation Sheet'!$Q$30="","",'Final Calculation Sheet'!$Q$30)</f>
        <v/>
      </c>
      <c r="S26" s="121">
        <f>IF('Final Calculation Sheet'!$R$30="","",'Final Calculation Sheet'!$R$30)</f>
        <v/>
      </c>
      <c r="T26" s="121">
        <f>IF('Final Calculation Sheet'!$S$30="","",'Final Calculation Sheet'!$S$30)</f>
        <v/>
      </c>
      <c r="U26" s="121">
        <f>IF('Final Calculation Sheet'!$T$30="","",'Final Calculation Sheet'!$T$30)</f>
        <v/>
      </c>
      <c r="V26" s="124">
        <f>IF('Final Calculation Sheet'!$U$30="","",'Final Calculation Sheet'!$U$30)</f>
        <v/>
      </c>
      <c r="W26" s="121">
        <f>IF('Final Calculation Sheet'!$V$30="","",'Final Calculation Sheet'!$V$30)</f>
        <v/>
      </c>
      <c r="X26" s="121">
        <f>IF('Final Calculation Sheet'!$W$30="","",'Final Calculation Sheet'!$W$30)</f>
        <v/>
      </c>
      <c r="Y26" s="121">
        <f>IF('Final Calculation Sheet'!$X$30="","",'Final Calculation Sheet'!$X$30)</f>
        <v/>
      </c>
      <c r="Z26" s="121">
        <f>IF('Final Calculation Sheet'!$Y$30="","",'Final Calculation Sheet'!$Y$30)</f>
        <v/>
      </c>
      <c r="AA26" s="121">
        <f>IF('Final Calculation Sheet'!$Z$30="","",'Final Calculation Sheet'!$Z$30)</f>
        <v/>
      </c>
      <c r="AB26" s="121">
        <f>IF('Final Calculation Sheet'!$AA$30="","",'Final Calculation Sheet'!$AA$30)</f>
        <v/>
      </c>
      <c r="AC26" s="121">
        <f>IF('Final Calculation Sheet'!$AB$30="","",'Final Calculation Sheet'!$AB$30)</f>
        <v/>
      </c>
      <c r="AD26" s="121">
        <f>IF('Final Calculation Sheet'!$AC$30="","",'Final Calculation Sheet'!$AC$30)</f>
        <v/>
      </c>
      <c r="AE26" s="121">
        <f>IF('Final Calculation Sheet'!$AD$30="","",'Final Calculation Sheet'!$AD$30)</f>
        <v/>
      </c>
      <c r="AF26" s="121">
        <f>IF('Final Calculation Sheet'!$AE$30="","",'Final Calculation Sheet'!$AE$30)</f>
        <v/>
      </c>
      <c r="AG26" s="125">
        <f>IF('Final Calculation Sheet'!$AF$30="","",'Final Calculation Sheet'!$AF$30)</f>
        <v/>
      </c>
      <c r="AH26" s="121">
        <f>IF('Final Calculation Sheet'!$AG$30="","",'Final Calculation Sheet'!$AG$30)</f>
        <v/>
      </c>
      <c r="AI26" s="126">
        <f>IF('Final Calculation Sheet'!$AD$30="","",IF('Final Calculation Sheet'!$AD$30&lt;=5,"SETTLED","OUTSTANDING"))</f>
        <v/>
      </c>
      <c r="AJ26">
        <f>AND(IF($B$4="",TRUE,IF($B$4="(blank)",'Final Calculation Sheet'!$F$24="",IF($B$4="(nonblank)",'Final Calculation Sheet'!$F$24&lt;&gt;"",ISNUMBER(SEARCH($B$4,'Final Calculation Sheet'!$F$24))))),IF($C$4="",TRUE,IF($C$4="(blank)",'Final Calculation Sheet'!$G$24="",IF($C$4="(nonblank)",'Final Calculation Sheet'!$G$24&lt;&gt;"",ISNUMBER(SEARCH($C$4,'Final Calculation Sheet'!$G$24))))),IF($D$4="",TRUE,IF($D$4="(blank)",'Final Calculation Sheet'!$B$24="",IF($D$4="(nonblank)",'Final Calculation Sheet'!$B$24&lt;&gt;"",ISNUMBER(SEARCH($D$4,'Final Calculation Sheet'!$B$24))))),IF($E$4="",TRUE,IF($E$4="(blank)",'Final Calculation Sheet'!$D$24="",IF($E$4="(nonblank)",'Final Calculation Sheet'!$D$24&lt;&gt;"",ISNUMBER(SEARCH($E$4,'Final Calculation Sheet'!$D$24))))),IF($F$4="",TRUE,IF($F$4="(blank)",'Final Calculation Sheet'!$A$24="",IF($F$4="(nonblank)",'Final Calculation Sheet'!$A$24&lt;&gt;"",ISNUMBER(SEARCH($F$4,'Final Calculation Sheet'!$A$24))))),IF($G$4="",TRUE,IF($G$4="(blank)",'Final Calculation Sheet'!$E$24="",IF($G$4="(nonblank)",'Final Calculation Sheet'!$E$24&lt;&gt;"",ISNUMBER(SEARCH($G$4,'Final Calculation Sheet'!$E$24))))),IF($H$4="",TRUE,IF($H$4="(blank)",'Final Calculation Sheet'!$C$24="",IF($H$4="(nonblank)",'Final Calculation Sheet'!$C$24&lt;&gt;"",ISNUMBER(SEARCH($H$4,'Final Calculation Sheet'!$C$24))))),IF($I$4="",TRUE,IF($I$4="(blank)",'Final Calculation Sheet'!$H$24="",IF($I$4="(nonblank)",'Final Calculation Sheet'!$H$24&lt;&gt;"",ISNUMBER(SEARCH($I$4,'Final Calculation Sheet'!$H$24))))),IF($J$4="",TRUE,IF($J$4="(blank)",'Final Calculation Sheet'!$I$24="",IF($J$4="(nonblank)",'Final Calculation Sheet'!$I$24&lt;&gt;"",ISNUMBER(SEARCH($J$4,'Final Calculation Sheet'!$I$24))))),IF($K$4="",TRUE,IF($K$4="(blank)",'Final Calculation Sheet'!$J$24="",IF($K$4="(nonblank)",'Final Calculation Sheet'!$J$24&lt;&gt;"",ISNUMBER(SEARCH($K$4,'Final Calculation Sheet'!$J$24))))),IF($L$4="",TRUE,IF($L$4="(blank)",'Final Calculation Sheet'!$K$24="",IF($L$4="(nonblank)",'Final Calculation Sheet'!$K$24&lt;&gt;"",ISNUMBER(SEARCH($L$4,'Final Calculation Sheet'!$K$24))))),IF($M$4="",TRUE,IF($M$4="(blank)",'Final Calculation Sheet'!$L$24="",IF($M$4="(nonblank)",'Final Calculation Sheet'!$L$24&lt;&gt;"",ISNUMBER(SEARCH($M$4,'Final Calculation Sheet'!$L$24))))),IF($N$4="",TRUE,IF($N$4="(blank)",'Final Calculation Sheet'!$M$24="",IF($N$4="(nonblank)",'Final Calculation Sheet'!$M$24&lt;&gt;"",ISNUMBER(SEARCH($N$4,'Final Calculation Sheet'!$M$24))))),IF($O$4="",TRUE,IF($O$4="(blank)",'Final Calculation Sheet'!$N$24="",IF($O$4="(nonblank)",'Final Calculation Sheet'!$N$24&lt;&gt;"",ISNUMBER(SEARCH($O$4,'Final Calculation Sheet'!$N$24))))),IF($P$4="",TRUE,IF($P$4="(blank)",'Final Calculation Sheet'!$O$24="",IF($P$4="(nonblank)",'Final Calculation Sheet'!$O$24&lt;&gt;"",ISNUMBER(SEARCH($P$4,'Final Calculation Sheet'!$O$24))))),IF($Q$4="",TRUE,IF($Q$4="(blank)",'Final Calculation Sheet'!$P$24="",IF($Q$4="(nonblank)",'Final Calculation Sheet'!$P$24&lt;&gt;"",ISNUMBER(SEARCH($Q$4,'Final Calculation Sheet'!$P$24))))),IF($R$4="",TRUE,IF($R$4="(blank)",'Final Calculation Sheet'!$Q$24="",IF($R$4="(nonblank)",'Final Calculation Sheet'!$Q$24&lt;&gt;"",ISNUMBER(SEARCH($R$4,'Final Calculation Sheet'!$Q$24))))),IF($S$4="",TRUE,IF($S$4="(blank)",'Final Calculation Sheet'!$R$24="",IF($S$4="(nonblank)",'Final Calculation Sheet'!$R$24&lt;&gt;"",ISNUMBER(SEARCH($S$4,'Final Calculation Sheet'!$R$24))))),IF($T$4="",TRUE,IF($T$4="(blank)",'Final Calculation Sheet'!$S$24="",IF($T$4="(nonblank)",'Final Calculation Sheet'!$S$24&lt;&gt;"",ISNUMBER(SEARCH($T$4,'Final Calculation Sheet'!$S$24))))),IF($U$4="",TRUE,IF($U$4="(blank)",'Final Calculation Sheet'!$T$24="",IF($U$4="(nonblank)",'Final Calculation Sheet'!$T$24&lt;&gt;"",ISNUMBER(SEARCH($U$4,'Final Calculation Sheet'!$T$24))))),IF($V$4="",TRUE,IF($V$4="(blank)",'Final Calculation Sheet'!$U$24="",IF($V$4="(nonblank)",'Final Calculation Sheet'!$U$24&lt;&gt;"",ISNUMBER(SEARCH($V$4,'Final Calculation Sheet'!$U$24))))),IF($W$4="",TRUE,IF($W$4="(blank)",'Final Calculation Sheet'!$V$24="",IF($W$4="(nonblank)",'Final Calculation Sheet'!$V$24&lt;&gt;"",ISNUMBER(SEARCH($W$4,'Final Calculation Sheet'!$V$24))))),IF($X$4="",TRUE,IF($X$4="(blank)",'Final Calculation Sheet'!$W$24="",IF($X$4="(nonblank)",'Final Calculation Sheet'!$W$24&lt;&gt;"",ISNUMBER(SEARCH($X$4,'Final Calculation Sheet'!$W$24))))),IF($Y$4="",TRUE,IF($Y$4="(blank)",'Final Calculation Sheet'!$X$24="",IF($Y$4="(nonblank)",'Final Calculation Sheet'!$X$24&lt;&gt;"",ISNUMBER(SEARCH($Y$4,'Final Calculation Sheet'!$X$24))))),IF($Z$4="",TRUE,IF($Z$4="(blank)",'Final Calculation Sheet'!$Y$24="",IF($Z$4="(nonblank)",'Final Calculation Sheet'!$Y$24&lt;&gt;"",ISNUMBER(SEARCH($Z$4,'Final Calculation Sheet'!$Y$24))))),IF($AA$4="",TRUE,IF($AA$4="(blank)",'Final Calculation Sheet'!$Z$24="",IF($AA$4="(nonblank)",'Final Calculation Sheet'!$Z$24&lt;&gt;"",ISNUMBER(SEARCH($AA$4,'Final Calculation Sheet'!$Z$24))))),IF($AB$4="",TRUE,IF($AB$4="(blank)",'Final Calculation Sheet'!$AA$24="",IF($AB$4="(nonblank)",'Final Calculation Sheet'!$AA$24&lt;&gt;"",ISNUMBER(SEARCH($AB$4,'Final Calculation Sheet'!$AA$24))))),IF($AC$4="",TRUE,IF($AC$4="(blank)",'Final Calculation Sheet'!$AB$24="",IF($AC$4="(nonblank)",'Final Calculation Sheet'!$AB$24&lt;&gt;"",ISNUMBER(SEARCH($AC$4,'Final Calculation Sheet'!$AB$24))))),IF($AD$4="",TRUE,IF($AD$4="(blank)",'Final Calculation Sheet'!$AC$24="",IF($AD$4="(nonblank)",'Final Calculation Sheet'!$AC$24&lt;&gt;"",ISNUMBER(SEARCH($AD$4,'Final Calculation Sheet'!$AC$24))))),IF($AE$4="",TRUE,IF($AE$4="(blank)",'Final Calculation Sheet'!$AD$24="",IF($AE$4="(nonblank)",'Final Calculation Sheet'!$AD$24&lt;&gt;"",ISNUMBER(SEARCH($AE$4,'Final Calculation Sheet'!$AD$24))))),IF($AF$4="",TRUE,IF($AF$4="(blank)",'Final Calculation Sheet'!$AE$24="",IF($AF$4="(nonblank)",'Final Calculation Sheet'!$AE$24&lt;&gt;"",ISNUMBER(SEARCH($AF$4,'Final Calculation Sheet'!$AE$24))))),IF($AG$4="",TRUE,IF($AG$4="(blank)",'Final Calculation Sheet'!$AF$24="",IF($AG$4="(nonblank)",'Final Calculation Sheet'!$AF$24&lt;&gt;"",ISNUMBER(SEARCH($AG$4,'Final Calculation Sheet'!$AF$24))))),IF($AH$4="",TRUE,IF($AH$4="(blank)",'Final Calculation Sheet'!$AG$24="",IF($AH$4="(nonblank)",'Final Calculation Sheet'!$AG$24&lt;&gt;"",ISNUMBER(SEARCH($AH$4,'Final Calculation Sheet'!$AG$24))))),IF($AI$4="",TRUE,IF($AI$4="(blank)",IF('Final Calculation Sheet'!$AD$24&lt;=5,"SETTLED","OUTSTANDING")="",IF($AI$4="(nonblank)",IF('Final Calculation Sheet'!$AD$24&lt;=5,"SETTLED","OUTSTANDING")&lt;&gt;"",ISNUMBER(SEARCH($AI$4,IF('Final Calculation Sheet'!$AD$24&lt;=5,"SETTLED","OUTSTANDING")))))))</f>
        <v/>
      </c>
      <c r="AK26">
        <f>IF(AJ26=1,COUNTIF(AJ$6:AJ26,1),"")</f>
        <v/>
      </c>
      <c r="AM26">
        <f>AM25+IF(AND('Lists'!$O$26&lt;&gt;"",ISNUMBER(SEARCH($B$4,'Lists'!$O$26))),1,0)</f>
        <v/>
      </c>
      <c r="AN26">
        <f>IF(ROW()-3&gt;MAX($AM$4:$AM$42),"",INDEX('Lists'!$O$4:$O$42,MATCH(ROW()-3,$AM$4:$AM$42,0)))</f>
        <v/>
      </c>
      <c r="AO26">
        <f>AO25+IF(AND('Lists'!$T$26&lt;&gt;"",ISNUMBER(SEARCH($C$4,'Lists'!$T$26))),1,0)</f>
        <v/>
      </c>
      <c r="AP26">
        <f>IF(ROW()-3&gt;MAX($AO$4:$AO$42),"",INDEX('Lists'!$T$4:$T$42,MATCH(ROW()-3,$AO$4:$AO$42,0)))</f>
        <v/>
      </c>
      <c r="AQ26">
        <f>AQ25+IF(AND('Lists'!$Y$26&lt;&gt;"",ISNUMBER(SEARCH($D$4,'Lists'!$Y$26))),1,0)</f>
        <v/>
      </c>
      <c r="AR26">
        <f>IF(ROW()-3&gt;MAX($AQ$4:$AQ$42),"",INDEX('Lists'!$Y$4:$Y$42,MATCH(ROW()-3,$AQ$4:$AQ$42,0)))</f>
        <v/>
      </c>
      <c r="AS26">
        <f>AS25+IF(AND('Lists'!$AD$26&lt;&gt;"",ISNUMBER(SEARCH($E$4,'Lists'!$AD$26))),1,0)</f>
        <v/>
      </c>
      <c r="AT26">
        <f>IF(ROW()-3&gt;MAX($AS$4:$AS$42),"",INDEX('Lists'!$AD$4:$AD$42,MATCH(ROW()-3,$AS$4:$AS$42,0)))</f>
        <v/>
      </c>
      <c r="AU26">
        <f>AU25+IF(AND('Lists'!$AI$26&lt;&gt;"",ISNUMBER(SEARCH($F$4,'Lists'!$AI$26))),1,0)</f>
        <v/>
      </c>
      <c r="AV26">
        <f>IF(ROW()-3&gt;MAX($AU$4:$AU$42),"",INDEX('Lists'!$AI$4:$AI$42,MATCH(ROW()-3,$AU$4:$AU$42,0)))</f>
        <v/>
      </c>
      <c r="AW26">
        <f>AW25+IF(AND('Lists'!$AN$26&lt;&gt;"",ISNUMBER(SEARCH($G$4,'Lists'!$AN$26))),1,0)</f>
        <v/>
      </c>
      <c r="AX26">
        <f>IF(ROW()-3&gt;MAX($AW$4:$AW$42),"",INDEX('Lists'!$AN$4:$AN$42,MATCH(ROW()-3,$AW$4:$AW$42,0)))</f>
        <v/>
      </c>
      <c r="AY26">
        <f>AY25+IF(AND('Lists'!$AS$26&lt;&gt;"",ISNUMBER(SEARCH($H$4,'Lists'!$AS$26))),1,0)</f>
        <v/>
      </c>
      <c r="AZ26">
        <f>IF(ROW()-3&gt;MAX($AY$4:$AY$42),"",INDEX('Lists'!$AS$4:$AS$42,MATCH(ROW()-3,$AY$4:$AY$42,0)))</f>
        <v/>
      </c>
      <c r="BA26">
        <f>BA25+IF(AND('Lists'!$AX$26&lt;&gt;"",ISNUMBER(SEARCH($I$4,'Lists'!$AX$26))),1,0)</f>
        <v/>
      </c>
      <c r="BB26">
        <f>IF(ROW()-3&gt;MAX($BA$4:$BA$42),"",INDEX('Lists'!$AX$4:$AX$42,MATCH(ROW()-3,$BA$4:$BA$42,0)))</f>
        <v/>
      </c>
      <c r="BC26">
        <f>BC25+IF(AND('Lists'!$BC$26&lt;&gt;"",ISNUMBER(SEARCH($J$4,'Lists'!$BC$26))),1,0)</f>
        <v/>
      </c>
      <c r="BD26">
        <f>IF(ROW()-3&gt;MAX($BC$4:$BC$42),"",INDEX('Lists'!$BC$4:$BC$42,MATCH(ROW()-3,$BC$4:$BC$42,0)))</f>
        <v/>
      </c>
      <c r="BE26">
        <f>BE25+IF(AND('Lists'!$BH$26&lt;&gt;"",ISNUMBER(SEARCH($K$4,'Lists'!$BH$26))),1,0)</f>
        <v/>
      </c>
      <c r="BF26">
        <f>IF(ROW()-3&gt;MAX($BE$4:$BE$42),"",INDEX('Lists'!$BH$4:$BH$42,MATCH(ROW()-3,$BE$4:$BE$42,0)))</f>
        <v/>
      </c>
      <c r="BG26">
        <f>BG25+IF(AND('Lists'!$BM$26&lt;&gt;"",ISNUMBER(SEARCH($L$4,'Lists'!$BM$26))),1,0)</f>
        <v/>
      </c>
      <c r="BH26">
        <f>IF(ROW()-3&gt;MAX($BG$4:$BG$42),"",INDEX('Lists'!$BM$4:$BM$42,MATCH(ROW()-3,$BG$4:$BG$42,0)))</f>
        <v/>
      </c>
      <c r="BI26">
        <f>BI25+IF(AND('Lists'!$BR$26&lt;&gt;"",ISNUMBER(SEARCH($M$4,'Lists'!$BR$26))),1,0)</f>
        <v/>
      </c>
      <c r="BJ26">
        <f>IF(ROW()-3&gt;MAX($BI$4:$BI$42),"",INDEX('Lists'!$BR$4:$BR$42,MATCH(ROW()-3,$BI$4:$BI$42,0)))</f>
        <v/>
      </c>
      <c r="BK26">
        <f>BK25+IF(AND('Lists'!$BW$26&lt;&gt;"",ISNUMBER(SEARCH($N$4,'Lists'!$BW$26))),1,0)</f>
        <v/>
      </c>
      <c r="BL26">
        <f>IF(ROW()-3&gt;MAX($BK$4:$BK$42),"",INDEX('Lists'!$BW$4:$BW$42,MATCH(ROW()-3,$BK$4:$BK$42,0)))</f>
        <v/>
      </c>
      <c r="BM26">
        <f>BM25+IF(AND('Lists'!$CB$26&lt;&gt;"",ISNUMBER(SEARCH($O$4,'Lists'!$CB$26))),1,0)</f>
        <v/>
      </c>
      <c r="BN26">
        <f>IF(ROW()-3&gt;MAX($BM$4:$BM$42),"",INDEX('Lists'!$CB$4:$CB$42,MATCH(ROW()-3,$BM$4:$BM$42,0)))</f>
        <v/>
      </c>
      <c r="BO26">
        <f>BO25+IF(AND('Lists'!$CG$26&lt;&gt;"",ISNUMBER(SEARCH($P$4,'Lists'!$CG$26))),1,0)</f>
        <v/>
      </c>
      <c r="BP26">
        <f>IF(ROW()-3&gt;MAX($BO$4:$BO$42),"",INDEX('Lists'!$CG$4:$CG$42,MATCH(ROW()-3,$BO$4:$BO$42,0)))</f>
        <v/>
      </c>
      <c r="BQ26">
        <f>BQ25+IF(AND('Lists'!$CL$26&lt;&gt;"",ISNUMBER(SEARCH($Q$4,'Lists'!$CL$26))),1,0)</f>
        <v/>
      </c>
      <c r="BR26">
        <f>IF(ROW()-3&gt;MAX($BQ$4:$BQ$42),"",INDEX('Lists'!$CL$4:$CL$42,MATCH(ROW()-3,$BQ$4:$BQ$42,0)))</f>
        <v/>
      </c>
      <c r="BS26">
        <f>BS25+IF(AND('Lists'!$CQ$26&lt;&gt;"",ISNUMBER(SEARCH($R$4,'Lists'!$CQ$26))),1,0)</f>
        <v/>
      </c>
      <c r="BT26">
        <f>IF(ROW()-3&gt;MAX($BS$4:$BS$42),"",INDEX('Lists'!$CQ$4:$CQ$42,MATCH(ROW()-3,$BS$4:$BS$42,0)))</f>
        <v/>
      </c>
      <c r="BU26">
        <f>BU25+IF(AND('Lists'!$CV$26&lt;&gt;"",ISNUMBER(SEARCH($S$4,'Lists'!$CV$26))),1,0)</f>
        <v/>
      </c>
      <c r="BV26">
        <f>IF(ROW()-3&gt;MAX($BU$4:$BU$42),"",INDEX('Lists'!$CV$4:$CV$42,MATCH(ROW()-3,$BU$4:$BU$42,0)))</f>
        <v/>
      </c>
      <c r="BW26">
        <f>BW25+IF(AND('Lists'!$DA$26&lt;&gt;"",ISNUMBER(SEARCH($T$4,'Lists'!$DA$26))),1,0)</f>
        <v/>
      </c>
      <c r="BX26">
        <f>IF(ROW()-3&gt;MAX($BW$4:$BW$42),"",INDEX('Lists'!$DA$4:$DA$42,MATCH(ROW()-3,$BW$4:$BW$42,0)))</f>
        <v/>
      </c>
      <c r="BY26">
        <f>BY25+IF(AND('Lists'!$DF$26&lt;&gt;"",ISNUMBER(SEARCH($U$4,'Lists'!$DF$26))),1,0)</f>
        <v/>
      </c>
      <c r="BZ26">
        <f>IF(ROW()-3&gt;MAX($BY$4:$BY$42),"",INDEX('Lists'!$DF$4:$DF$42,MATCH(ROW()-3,$BY$4:$BY$42,0)))</f>
        <v/>
      </c>
      <c r="CA26">
        <f>CA25+IF(AND('Lists'!$DK$26&lt;&gt;"",ISNUMBER(SEARCH($V$4,'Lists'!$DK$26))),1,0)</f>
        <v/>
      </c>
      <c r="CB26">
        <f>IF(ROW()-3&gt;MAX($CA$4:$CA$42),"",INDEX('Lists'!$DK$4:$DK$42,MATCH(ROW()-3,$CA$4:$CA$42,0)))</f>
        <v/>
      </c>
      <c r="CC26">
        <f>CC25+IF(AND('Lists'!$DP$26&lt;&gt;"",ISNUMBER(SEARCH($W$4,'Lists'!$DP$26))),1,0)</f>
        <v/>
      </c>
      <c r="CD26">
        <f>IF(ROW()-3&gt;MAX($CC$4:$CC$42),"",INDEX('Lists'!$DP$4:$DP$42,MATCH(ROW()-3,$CC$4:$CC$42,0)))</f>
        <v/>
      </c>
      <c r="CE26">
        <f>CE25+IF(AND('Lists'!$DU$26&lt;&gt;"",ISNUMBER(SEARCH($X$4,'Lists'!$DU$26))),1,0)</f>
        <v/>
      </c>
      <c r="CF26">
        <f>IF(ROW()-3&gt;MAX($CE$4:$CE$42),"",INDEX('Lists'!$DU$4:$DU$42,MATCH(ROW()-3,$CE$4:$CE$42,0)))</f>
        <v/>
      </c>
      <c r="CG26">
        <f>CG25+IF(AND('Lists'!$DZ$26&lt;&gt;"",ISNUMBER(SEARCH($Y$4,'Lists'!$DZ$26))),1,0)</f>
        <v/>
      </c>
      <c r="CH26">
        <f>IF(ROW()-3&gt;MAX($CG$4:$CG$42),"",INDEX('Lists'!$DZ$4:$DZ$42,MATCH(ROW()-3,$CG$4:$CG$42,0)))</f>
        <v/>
      </c>
      <c r="CI26">
        <f>CI25+IF(AND('Lists'!$EE$26&lt;&gt;"",ISNUMBER(SEARCH($Z$4,'Lists'!$EE$26))),1,0)</f>
        <v/>
      </c>
      <c r="CJ26">
        <f>IF(ROW()-3&gt;MAX($CI$4:$CI$42),"",INDEX('Lists'!$EE$4:$EE$42,MATCH(ROW()-3,$CI$4:$CI$42,0)))</f>
        <v/>
      </c>
      <c r="CK26">
        <f>CK25+IF(AND('Lists'!$EJ$26&lt;&gt;"",ISNUMBER(SEARCH($AA$4,'Lists'!$EJ$26))),1,0)</f>
        <v/>
      </c>
      <c r="CL26">
        <f>IF(ROW()-3&gt;MAX($CK$4:$CK$42),"",INDEX('Lists'!$EJ$4:$EJ$42,MATCH(ROW()-3,$CK$4:$CK$42,0)))</f>
        <v/>
      </c>
      <c r="CM26">
        <f>CM25+IF(AND('Lists'!$EO$26&lt;&gt;"",ISNUMBER(SEARCH($AB$4,'Lists'!$EO$26))),1,0)</f>
        <v/>
      </c>
      <c r="CN26">
        <f>IF(ROW()-3&gt;MAX($CM$4:$CM$42),"",INDEX('Lists'!$EO$4:$EO$42,MATCH(ROW()-3,$CM$4:$CM$42,0)))</f>
        <v/>
      </c>
      <c r="CO26">
        <f>CO25+IF(AND('Lists'!$ET$26&lt;&gt;"",ISNUMBER(SEARCH($AC$4,'Lists'!$ET$26))),1,0)</f>
        <v/>
      </c>
      <c r="CP26">
        <f>IF(ROW()-3&gt;MAX($CO$4:$CO$42),"",INDEX('Lists'!$ET$4:$ET$42,MATCH(ROW()-3,$CO$4:$CO$42,0)))</f>
        <v/>
      </c>
      <c r="CQ26">
        <f>CQ25+IF(AND('Lists'!$EY$26&lt;&gt;"",ISNUMBER(SEARCH($AD$4,'Lists'!$EY$26))),1,0)</f>
        <v/>
      </c>
      <c r="CR26">
        <f>IF(ROW()-3&gt;MAX($CQ$4:$CQ$42),"",INDEX('Lists'!$EY$4:$EY$42,MATCH(ROW()-3,$CQ$4:$CQ$42,0)))</f>
        <v/>
      </c>
      <c r="CS26">
        <f>CS25+IF(AND('Lists'!$FD$26&lt;&gt;"",ISNUMBER(SEARCH($AE$4,'Lists'!$FD$26))),1,0)</f>
        <v/>
      </c>
      <c r="CT26">
        <f>IF(ROW()-3&gt;MAX($CS$4:$CS$42),"",INDEX('Lists'!$FD$4:$FD$42,MATCH(ROW()-3,$CS$4:$CS$42,0)))</f>
        <v/>
      </c>
      <c r="CU26">
        <f>CU25+IF(AND('Lists'!$FI$26&lt;&gt;"",ISNUMBER(SEARCH($AF$4,'Lists'!$FI$26))),1,0)</f>
        <v/>
      </c>
      <c r="CV26">
        <f>IF(ROW()-3&gt;MAX($CU$4:$CU$42),"",INDEX('Lists'!$FI$4:$FI$42,MATCH(ROW()-3,$CU$4:$CU$42,0)))</f>
        <v/>
      </c>
      <c r="CW26">
        <f>CW25+IF(AND('Lists'!$FN$26&lt;&gt;"",ISNUMBER(SEARCH($AG$4,'Lists'!$FN$26))),1,0)</f>
        <v/>
      </c>
      <c r="CX26">
        <f>IF(ROW()-3&gt;MAX($CW$4:$CW$42),"",INDEX('Lists'!$FN$4:$FN$42,MATCH(ROW()-3,$CW$4:$CW$42,0)))</f>
        <v/>
      </c>
      <c r="CY26">
        <f>CY25+IF(AND('Lists'!$FS$26&lt;&gt;"",ISNUMBER(SEARCH($AH$4,'Lists'!$FS$26))),1,0)</f>
        <v/>
      </c>
      <c r="CZ26">
        <f>IF(ROW()-3&gt;MAX($CY$4:$CY$42),"",INDEX('Lists'!$FS$4:$FS$42,MATCH(ROW()-3,$CY$4:$CY$42,0)))</f>
        <v/>
      </c>
      <c r="DA26">
        <f>DA25+IF(AND('Lists'!$FX$26&lt;&gt;"",ISNUMBER(SEARCH($AI$4,'Lists'!$FX$26))),1,0)</f>
        <v/>
      </c>
      <c r="DB26">
        <f>IF(ROW()-3&gt;MAX($DA$4:$DA$42),"",INDEX('Lists'!$FX$4:$FX$42,MATCH(ROW()-3,$DA$4:$DA$42,0)))</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c r="AJ27">
        <f>AND(IF($B$4="",TRUE,IF($B$4="(blank)",'Final Calculation Sheet'!$F$25="",IF($B$4="(nonblank)",'Final Calculation Sheet'!$F$25&lt;&gt;"",ISNUMBER(SEARCH($B$4,'Final Calculation Sheet'!$F$25))))),IF($C$4="",TRUE,IF($C$4="(blank)",'Final Calculation Sheet'!$G$25="",IF($C$4="(nonblank)",'Final Calculation Sheet'!$G$25&lt;&gt;"",ISNUMBER(SEARCH($C$4,'Final Calculation Sheet'!$G$25))))),IF($D$4="",TRUE,IF($D$4="(blank)",'Final Calculation Sheet'!$B$25="",IF($D$4="(nonblank)",'Final Calculation Sheet'!$B$25&lt;&gt;"",ISNUMBER(SEARCH($D$4,'Final Calculation Sheet'!$B$25))))),IF($E$4="",TRUE,IF($E$4="(blank)",'Final Calculation Sheet'!$D$25="",IF($E$4="(nonblank)",'Final Calculation Sheet'!$D$25&lt;&gt;"",ISNUMBER(SEARCH($E$4,'Final Calculation Sheet'!$D$25))))),IF($F$4="",TRUE,IF($F$4="(blank)",'Final Calculation Sheet'!$A$25="",IF($F$4="(nonblank)",'Final Calculation Sheet'!$A$25&lt;&gt;"",ISNUMBER(SEARCH($F$4,'Final Calculation Sheet'!$A$25))))),IF($G$4="",TRUE,IF($G$4="(blank)",'Final Calculation Sheet'!$E$25="",IF($G$4="(nonblank)",'Final Calculation Sheet'!$E$25&lt;&gt;"",ISNUMBER(SEARCH($G$4,'Final Calculation Sheet'!$E$25))))),IF($H$4="",TRUE,IF($H$4="(blank)",'Final Calculation Sheet'!$C$25="",IF($H$4="(nonblank)",'Final Calculation Sheet'!$C$25&lt;&gt;"",ISNUMBER(SEARCH($H$4,'Final Calculation Sheet'!$C$25))))),IF($I$4="",TRUE,IF($I$4="(blank)",'Final Calculation Sheet'!$H$25="",IF($I$4="(nonblank)",'Final Calculation Sheet'!$H$25&lt;&gt;"",ISNUMBER(SEARCH($I$4,'Final Calculation Sheet'!$H$25))))),IF($J$4="",TRUE,IF($J$4="(blank)",'Final Calculation Sheet'!$I$25="",IF($J$4="(nonblank)",'Final Calculation Sheet'!$I$25&lt;&gt;"",ISNUMBER(SEARCH($J$4,'Final Calculation Sheet'!$I$25))))),IF($K$4="",TRUE,IF($K$4="(blank)",'Final Calculation Sheet'!$J$25="",IF($K$4="(nonblank)",'Final Calculation Sheet'!$J$25&lt;&gt;"",ISNUMBER(SEARCH($K$4,'Final Calculation Sheet'!$J$25))))),IF($L$4="",TRUE,IF($L$4="(blank)",'Final Calculation Sheet'!$K$25="",IF($L$4="(nonblank)",'Final Calculation Sheet'!$K$25&lt;&gt;"",ISNUMBER(SEARCH($L$4,'Final Calculation Sheet'!$K$25))))),IF($M$4="",TRUE,IF($M$4="(blank)",'Final Calculation Sheet'!$L$25="",IF($M$4="(nonblank)",'Final Calculation Sheet'!$L$25&lt;&gt;"",ISNUMBER(SEARCH($M$4,'Final Calculation Sheet'!$L$25))))),IF($N$4="",TRUE,IF($N$4="(blank)",'Final Calculation Sheet'!$M$25="",IF($N$4="(nonblank)",'Final Calculation Sheet'!$M$25&lt;&gt;"",ISNUMBER(SEARCH($N$4,'Final Calculation Sheet'!$M$25))))),IF($O$4="",TRUE,IF($O$4="(blank)",'Final Calculation Sheet'!$N$25="",IF($O$4="(nonblank)",'Final Calculation Sheet'!$N$25&lt;&gt;"",ISNUMBER(SEARCH($O$4,'Final Calculation Sheet'!$N$25))))),IF($P$4="",TRUE,IF($P$4="(blank)",'Final Calculation Sheet'!$O$25="",IF($P$4="(nonblank)",'Final Calculation Sheet'!$O$25&lt;&gt;"",ISNUMBER(SEARCH($P$4,'Final Calculation Sheet'!$O$25))))),IF($Q$4="",TRUE,IF($Q$4="(blank)",'Final Calculation Sheet'!$P$25="",IF($Q$4="(nonblank)",'Final Calculation Sheet'!$P$25&lt;&gt;"",ISNUMBER(SEARCH($Q$4,'Final Calculation Sheet'!$P$25))))),IF($R$4="",TRUE,IF($R$4="(blank)",'Final Calculation Sheet'!$Q$25="",IF($R$4="(nonblank)",'Final Calculation Sheet'!$Q$25&lt;&gt;"",ISNUMBER(SEARCH($R$4,'Final Calculation Sheet'!$Q$25))))),IF($S$4="",TRUE,IF($S$4="(blank)",'Final Calculation Sheet'!$R$25="",IF($S$4="(nonblank)",'Final Calculation Sheet'!$R$25&lt;&gt;"",ISNUMBER(SEARCH($S$4,'Final Calculation Sheet'!$R$25))))),IF($T$4="",TRUE,IF($T$4="(blank)",'Final Calculation Sheet'!$S$25="",IF($T$4="(nonblank)",'Final Calculation Sheet'!$S$25&lt;&gt;"",ISNUMBER(SEARCH($T$4,'Final Calculation Sheet'!$S$25))))),IF($U$4="",TRUE,IF($U$4="(blank)",'Final Calculation Sheet'!$T$25="",IF($U$4="(nonblank)",'Final Calculation Sheet'!$T$25&lt;&gt;"",ISNUMBER(SEARCH($U$4,'Final Calculation Sheet'!$T$25))))),IF($V$4="",TRUE,IF($V$4="(blank)",'Final Calculation Sheet'!$U$25="",IF($V$4="(nonblank)",'Final Calculation Sheet'!$U$25&lt;&gt;"",ISNUMBER(SEARCH($V$4,'Final Calculation Sheet'!$U$25))))),IF($W$4="",TRUE,IF($W$4="(blank)",'Final Calculation Sheet'!$V$25="",IF($W$4="(nonblank)",'Final Calculation Sheet'!$V$25&lt;&gt;"",ISNUMBER(SEARCH($W$4,'Final Calculation Sheet'!$V$25))))),IF($X$4="",TRUE,IF($X$4="(blank)",'Final Calculation Sheet'!$W$25="",IF($X$4="(nonblank)",'Final Calculation Sheet'!$W$25&lt;&gt;"",ISNUMBER(SEARCH($X$4,'Final Calculation Sheet'!$W$25))))),IF($Y$4="",TRUE,IF($Y$4="(blank)",'Final Calculation Sheet'!$X$25="",IF($Y$4="(nonblank)",'Final Calculation Sheet'!$X$25&lt;&gt;"",ISNUMBER(SEARCH($Y$4,'Final Calculation Sheet'!$X$25))))),IF($Z$4="",TRUE,IF($Z$4="(blank)",'Final Calculation Sheet'!$Y$25="",IF($Z$4="(nonblank)",'Final Calculation Sheet'!$Y$25&lt;&gt;"",ISNUMBER(SEARCH($Z$4,'Final Calculation Sheet'!$Y$25))))),IF($AA$4="",TRUE,IF($AA$4="(blank)",'Final Calculation Sheet'!$Z$25="",IF($AA$4="(nonblank)",'Final Calculation Sheet'!$Z$25&lt;&gt;"",ISNUMBER(SEARCH($AA$4,'Final Calculation Sheet'!$Z$25))))),IF($AB$4="",TRUE,IF($AB$4="(blank)",'Final Calculation Sheet'!$AA$25="",IF($AB$4="(nonblank)",'Final Calculation Sheet'!$AA$25&lt;&gt;"",ISNUMBER(SEARCH($AB$4,'Final Calculation Sheet'!$AA$25))))),IF($AC$4="",TRUE,IF($AC$4="(blank)",'Final Calculation Sheet'!$AB$25="",IF($AC$4="(nonblank)",'Final Calculation Sheet'!$AB$25&lt;&gt;"",ISNUMBER(SEARCH($AC$4,'Final Calculation Sheet'!$AB$25))))),IF($AD$4="",TRUE,IF($AD$4="(blank)",'Final Calculation Sheet'!$AC$25="",IF($AD$4="(nonblank)",'Final Calculation Sheet'!$AC$25&lt;&gt;"",ISNUMBER(SEARCH($AD$4,'Final Calculation Sheet'!$AC$25))))),IF($AE$4="",TRUE,IF($AE$4="(blank)",'Final Calculation Sheet'!$AD$25="",IF($AE$4="(nonblank)",'Final Calculation Sheet'!$AD$25&lt;&gt;"",ISNUMBER(SEARCH($AE$4,'Final Calculation Sheet'!$AD$25))))),IF($AF$4="",TRUE,IF($AF$4="(blank)",'Final Calculation Sheet'!$AE$25="",IF($AF$4="(nonblank)",'Final Calculation Sheet'!$AE$25&lt;&gt;"",ISNUMBER(SEARCH($AF$4,'Final Calculation Sheet'!$AE$25))))),IF($AG$4="",TRUE,IF($AG$4="(blank)",'Final Calculation Sheet'!$AF$25="",IF($AG$4="(nonblank)",'Final Calculation Sheet'!$AF$25&lt;&gt;"",ISNUMBER(SEARCH($AG$4,'Final Calculation Sheet'!$AF$25))))),IF($AH$4="",TRUE,IF($AH$4="(blank)",'Final Calculation Sheet'!$AG$25="",IF($AH$4="(nonblank)",'Final Calculation Sheet'!$AG$25&lt;&gt;"",ISNUMBER(SEARCH($AH$4,'Final Calculation Sheet'!$AG$25))))),IF($AI$4="",TRUE,IF($AI$4="(blank)",IF('Final Calculation Sheet'!$AD$25&lt;=5,"SETTLED","OUTSTANDING")="",IF($AI$4="(nonblank)",IF('Final Calculation Sheet'!$AD$25&lt;=5,"SETTLED","OUTSTANDING")&lt;&gt;"",ISNUMBER(SEARCH($AI$4,IF('Final Calculation Sheet'!$AD$25&lt;=5,"SETTLED","OUTSTANDING")))))))</f>
        <v/>
      </c>
      <c r="AK27">
        <f>IF(AJ27=1,COUNTIF(AJ$6:AJ27,1),"")</f>
        <v/>
      </c>
      <c r="AM27">
        <f>AM26+IF(AND('Lists'!$O$27&lt;&gt;"",ISNUMBER(SEARCH($B$4,'Lists'!$O$27))),1,0)</f>
        <v/>
      </c>
      <c r="AN27">
        <f>IF(ROW()-3&gt;MAX($AM$4:$AM$42),"",INDEX('Lists'!$O$4:$O$42,MATCH(ROW()-3,$AM$4:$AM$42,0)))</f>
        <v/>
      </c>
      <c r="AO27">
        <f>AO26+IF(AND('Lists'!$T$27&lt;&gt;"",ISNUMBER(SEARCH($C$4,'Lists'!$T$27))),1,0)</f>
        <v/>
      </c>
      <c r="AP27">
        <f>IF(ROW()-3&gt;MAX($AO$4:$AO$42),"",INDEX('Lists'!$T$4:$T$42,MATCH(ROW()-3,$AO$4:$AO$42,0)))</f>
        <v/>
      </c>
      <c r="AQ27">
        <f>AQ26+IF(AND('Lists'!$Y$27&lt;&gt;"",ISNUMBER(SEARCH($D$4,'Lists'!$Y$27))),1,0)</f>
        <v/>
      </c>
      <c r="AR27">
        <f>IF(ROW()-3&gt;MAX($AQ$4:$AQ$42),"",INDEX('Lists'!$Y$4:$Y$42,MATCH(ROW()-3,$AQ$4:$AQ$42,0)))</f>
        <v/>
      </c>
      <c r="AS27">
        <f>AS26+IF(AND('Lists'!$AD$27&lt;&gt;"",ISNUMBER(SEARCH($E$4,'Lists'!$AD$27))),1,0)</f>
        <v/>
      </c>
      <c r="AT27">
        <f>IF(ROW()-3&gt;MAX($AS$4:$AS$42),"",INDEX('Lists'!$AD$4:$AD$42,MATCH(ROW()-3,$AS$4:$AS$42,0)))</f>
        <v/>
      </c>
      <c r="AU27">
        <f>AU26+IF(AND('Lists'!$AI$27&lt;&gt;"",ISNUMBER(SEARCH($F$4,'Lists'!$AI$27))),1,0)</f>
        <v/>
      </c>
      <c r="AV27">
        <f>IF(ROW()-3&gt;MAX($AU$4:$AU$42),"",INDEX('Lists'!$AI$4:$AI$42,MATCH(ROW()-3,$AU$4:$AU$42,0)))</f>
        <v/>
      </c>
      <c r="AW27">
        <f>AW26+IF(AND('Lists'!$AN$27&lt;&gt;"",ISNUMBER(SEARCH($G$4,'Lists'!$AN$27))),1,0)</f>
        <v/>
      </c>
      <c r="AX27">
        <f>IF(ROW()-3&gt;MAX($AW$4:$AW$42),"",INDEX('Lists'!$AN$4:$AN$42,MATCH(ROW()-3,$AW$4:$AW$42,0)))</f>
        <v/>
      </c>
      <c r="AY27">
        <f>AY26+IF(AND('Lists'!$AS$27&lt;&gt;"",ISNUMBER(SEARCH($H$4,'Lists'!$AS$27))),1,0)</f>
        <v/>
      </c>
      <c r="AZ27">
        <f>IF(ROW()-3&gt;MAX($AY$4:$AY$42),"",INDEX('Lists'!$AS$4:$AS$42,MATCH(ROW()-3,$AY$4:$AY$42,0)))</f>
        <v/>
      </c>
      <c r="BA27">
        <f>BA26+IF(AND('Lists'!$AX$27&lt;&gt;"",ISNUMBER(SEARCH($I$4,'Lists'!$AX$27))),1,0)</f>
        <v/>
      </c>
      <c r="BB27">
        <f>IF(ROW()-3&gt;MAX($BA$4:$BA$42),"",INDEX('Lists'!$AX$4:$AX$42,MATCH(ROW()-3,$BA$4:$BA$42,0)))</f>
        <v/>
      </c>
      <c r="BC27">
        <f>BC26+IF(AND('Lists'!$BC$27&lt;&gt;"",ISNUMBER(SEARCH($J$4,'Lists'!$BC$27))),1,0)</f>
        <v/>
      </c>
      <c r="BD27">
        <f>IF(ROW()-3&gt;MAX($BC$4:$BC$42),"",INDEX('Lists'!$BC$4:$BC$42,MATCH(ROW()-3,$BC$4:$BC$42,0)))</f>
        <v/>
      </c>
      <c r="BE27">
        <f>BE26+IF(AND('Lists'!$BH$27&lt;&gt;"",ISNUMBER(SEARCH($K$4,'Lists'!$BH$27))),1,0)</f>
        <v/>
      </c>
      <c r="BF27">
        <f>IF(ROW()-3&gt;MAX($BE$4:$BE$42),"",INDEX('Lists'!$BH$4:$BH$42,MATCH(ROW()-3,$BE$4:$BE$42,0)))</f>
        <v/>
      </c>
      <c r="BG27">
        <f>BG26+IF(AND('Lists'!$BM$27&lt;&gt;"",ISNUMBER(SEARCH($L$4,'Lists'!$BM$27))),1,0)</f>
        <v/>
      </c>
      <c r="BH27">
        <f>IF(ROW()-3&gt;MAX($BG$4:$BG$42),"",INDEX('Lists'!$BM$4:$BM$42,MATCH(ROW()-3,$BG$4:$BG$42,0)))</f>
        <v/>
      </c>
      <c r="BI27">
        <f>BI26+IF(AND('Lists'!$BR$27&lt;&gt;"",ISNUMBER(SEARCH($M$4,'Lists'!$BR$27))),1,0)</f>
        <v/>
      </c>
      <c r="BJ27">
        <f>IF(ROW()-3&gt;MAX($BI$4:$BI$42),"",INDEX('Lists'!$BR$4:$BR$42,MATCH(ROW()-3,$BI$4:$BI$42,0)))</f>
        <v/>
      </c>
      <c r="BK27">
        <f>BK26+IF(AND('Lists'!$BW$27&lt;&gt;"",ISNUMBER(SEARCH($N$4,'Lists'!$BW$27))),1,0)</f>
        <v/>
      </c>
      <c r="BL27">
        <f>IF(ROW()-3&gt;MAX($BK$4:$BK$42),"",INDEX('Lists'!$BW$4:$BW$42,MATCH(ROW()-3,$BK$4:$BK$42,0)))</f>
        <v/>
      </c>
      <c r="BM27">
        <f>BM26+IF(AND('Lists'!$CB$27&lt;&gt;"",ISNUMBER(SEARCH($O$4,'Lists'!$CB$27))),1,0)</f>
        <v/>
      </c>
      <c r="BN27">
        <f>IF(ROW()-3&gt;MAX($BM$4:$BM$42),"",INDEX('Lists'!$CB$4:$CB$42,MATCH(ROW()-3,$BM$4:$BM$42,0)))</f>
        <v/>
      </c>
      <c r="BO27">
        <f>BO26+IF(AND('Lists'!$CG$27&lt;&gt;"",ISNUMBER(SEARCH($P$4,'Lists'!$CG$27))),1,0)</f>
        <v/>
      </c>
      <c r="BP27">
        <f>IF(ROW()-3&gt;MAX($BO$4:$BO$42),"",INDEX('Lists'!$CG$4:$CG$42,MATCH(ROW()-3,$BO$4:$BO$42,0)))</f>
        <v/>
      </c>
      <c r="BQ27">
        <f>BQ26+IF(AND('Lists'!$CL$27&lt;&gt;"",ISNUMBER(SEARCH($Q$4,'Lists'!$CL$27))),1,0)</f>
        <v/>
      </c>
      <c r="BR27">
        <f>IF(ROW()-3&gt;MAX($BQ$4:$BQ$42),"",INDEX('Lists'!$CL$4:$CL$42,MATCH(ROW()-3,$BQ$4:$BQ$42,0)))</f>
        <v/>
      </c>
      <c r="BS27">
        <f>BS26+IF(AND('Lists'!$CQ$27&lt;&gt;"",ISNUMBER(SEARCH($R$4,'Lists'!$CQ$27))),1,0)</f>
        <v/>
      </c>
      <c r="BT27">
        <f>IF(ROW()-3&gt;MAX($BS$4:$BS$42),"",INDEX('Lists'!$CQ$4:$CQ$42,MATCH(ROW()-3,$BS$4:$BS$42,0)))</f>
        <v/>
      </c>
      <c r="BU27">
        <f>BU26+IF(AND('Lists'!$CV$27&lt;&gt;"",ISNUMBER(SEARCH($S$4,'Lists'!$CV$27))),1,0)</f>
        <v/>
      </c>
      <c r="BV27">
        <f>IF(ROW()-3&gt;MAX($BU$4:$BU$42),"",INDEX('Lists'!$CV$4:$CV$42,MATCH(ROW()-3,$BU$4:$BU$42,0)))</f>
        <v/>
      </c>
      <c r="BW27">
        <f>BW26+IF(AND('Lists'!$DA$27&lt;&gt;"",ISNUMBER(SEARCH($T$4,'Lists'!$DA$27))),1,0)</f>
        <v/>
      </c>
      <c r="BX27">
        <f>IF(ROW()-3&gt;MAX($BW$4:$BW$42),"",INDEX('Lists'!$DA$4:$DA$42,MATCH(ROW()-3,$BW$4:$BW$42,0)))</f>
        <v/>
      </c>
      <c r="BY27">
        <f>BY26+IF(AND('Lists'!$DF$27&lt;&gt;"",ISNUMBER(SEARCH($U$4,'Lists'!$DF$27))),1,0)</f>
        <v/>
      </c>
      <c r="BZ27">
        <f>IF(ROW()-3&gt;MAX($BY$4:$BY$42),"",INDEX('Lists'!$DF$4:$DF$42,MATCH(ROW()-3,$BY$4:$BY$42,0)))</f>
        <v/>
      </c>
      <c r="CA27">
        <f>CA26+IF(AND('Lists'!$DK$27&lt;&gt;"",ISNUMBER(SEARCH($V$4,'Lists'!$DK$27))),1,0)</f>
        <v/>
      </c>
      <c r="CB27">
        <f>IF(ROW()-3&gt;MAX($CA$4:$CA$42),"",INDEX('Lists'!$DK$4:$DK$42,MATCH(ROW()-3,$CA$4:$CA$42,0)))</f>
        <v/>
      </c>
      <c r="CC27">
        <f>CC26+IF(AND('Lists'!$DP$27&lt;&gt;"",ISNUMBER(SEARCH($W$4,'Lists'!$DP$27))),1,0)</f>
        <v/>
      </c>
      <c r="CD27">
        <f>IF(ROW()-3&gt;MAX($CC$4:$CC$42),"",INDEX('Lists'!$DP$4:$DP$42,MATCH(ROW()-3,$CC$4:$CC$42,0)))</f>
        <v/>
      </c>
      <c r="CE27">
        <f>CE26+IF(AND('Lists'!$DU$27&lt;&gt;"",ISNUMBER(SEARCH($X$4,'Lists'!$DU$27))),1,0)</f>
        <v/>
      </c>
      <c r="CF27">
        <f>IF(ROW()-3&gt;MAX($CE$4:$CE$42),"",INDEX('Lists'!$DU$4:$DU$42,MATCH(ROW()-3,$CE$4:$CE$42,0)))</f>
        <v/>
      </c>
      <c r="CG27">
        <f>CG26+IF(AND('Lists'!$DZ$27&lt;&gt;"",ISNUMBER(SEARCH($Y$4,'Lists'!$DZ$27))),1,0)</f>
        <v/>
      </c>
      <c r="CH27">
        <f>IF(ROW()-3&gt;MAX($CG$4:$CG$42),"",INDEX('Lists'!$DZ$4:$DZ$42,MATCH(ROW()-3,$CG$4:$CG$42,0)))</f>
        <v/>
      </c>
      <c r="CI27">
        <f>CI26+IF(AND('Lists'!$EE$27&lt;&gt;"",ISNUMBER(SEARCH($Z$4,'Lists'!$EE$27))),1,0)</f>
        <v/>
      </c>
      <c r="CJ27">
        <f>IF(ROW()-3&gt;MAX($CI$4:$CI$42),"",INDEX('Lists'!$EE$4:$EE$42,MATCH(ROW()-3,$CI$4:$CI$42,0)))</f>
        <v/>
      </c>
      <c r="CK27">
        <f>CK26+IF(AND('Lists'!$EJ$27&lt;&gt;"",ISNUMBER(SEARCH($AA$4,'Lists'!$EJ$27))),1,0)</f>
        <v/>
      </c>
      <c r="CL27">
        <f>IF(ROW()-3&gt;MAX($CK$4:$CK$42),"",INDEX('Lists'!$EJ$4:$EJ$42,MATCH(ROW()-3,$CK$4:$CK$42,0)))</f>
        <v/>
      </c>
      <c r="CM27">
        <f>CM26+IF(AND('Lists'!$EO$27&lt;&gt;"",ISNUMBER(SEARCH($AB$4,'Lists'!$EO$27))),1,0)</f>
        <v/>
      </c>
      <c r="CN27">
        <f>IF(ROW()-3&gt;MAX($CM$4:$CM$42),"",INDEX('Lists'!$EO$4:$EO$42,MATCH(ROW()-3,$CM$4:$CM$42,0)))</f>
        <v/>
      </c>
      <c r="CO27">
        <f>CO26+IF(AND('Lists'!$ET$27&lt;&gt;"",ISNUMBER(SEARCH($AC$4,'Lists'!$ET$27))),1,0)</f>
        <v/>
      </c>
      <c r="CP27">
        <f>IF(ROW()-3&gt;MAX($CO$4:$CO$42),"",INDEX('Lists'!$ET$4:$ET$42,MATCH(ROW()-3,$CO$4:$CO$42,0)))</f>
        <v/>
      </c>
      <c r="CQ27">
        <f>CQ26+IF(AND('Lists'!$EY$27&lt;&gt;"",ISNUMBER(SEARCH($AD$4,'Lists'!$EY$27))),1,0)</f>
        <v/>
      </c>
      <c r="CR27">
        <f>IF(ROW()-3&gt;MAX($CQ$4:$CQ$42),"",INDEX('Lists'!$EY$4:$EY$42,MATCH(ROW()-3,$CQ$4:$CQ$42,0)))</f>
        <v/>
      </c>
      <c r="CS27">
        <f>CS26+IF(AND('Lists'!$FD$27&lt;&gt;"",ISNUMBER(SEARCH($AE$4,'Lists'!$FD$27))),1,0)</f>
        <v/>
      </c>
      <c r="CT27">
        <f>IF(ROW()-3&gt;MAX($CS$4:$CS$42),"",INDEX('Lists'!$FD$4:$FD$42,MATCH(ROW()-3,$CS$4:$CS$42,0)))</f>
        <v/>
      </c>
      <c r="CU27">
        <f>CU26+IF(AND('Lists'!$FI$27&lt;&gt;"",ISNUMBER(SEARCH($AF$4,'Lists'!$FI$27))),1,0)</f>
        <v/>
      </c>
      <c r="CV27">
        <f>IF(ROW()-3&gt;MAX($CU$4:$CU$42),"",INDEX('Lists'!$FI$4:$FI$42,MATCH(ROW()-3,$CU$4:$CU$42,0)))</f>
        <v/>
      </c>
      <c r="CW27">
        <f>CW26+IF(AND('Lists'!$FN$27&lt;&gt;"",ISNUMBER(SEARCH($AG$4,'Lists'!$FN$27))),1,0)</f>
        <v/>
      </c>
      <c r="CX27">
        <f>IF(ROW()-3&gt;MAX($CW$4:$CW$42),"",INDEX('Lists'!$FN$4:$FN$42,MATCH(ROW()-3,$CW$4:$CW$42,0)))</f>
        <v/>
      </c>
      <c r="CY27">
        <f>CY26+IF(AND('Lists'!$FS$27&lt;&gt;"",ISNUMBER(SEARCH($AH$4,'Lists'!$FS$27))),1,0)</f>
        <v/>
      </c>
      <c r="CZ27">
        <f>IF(ROW()-3&gt;MAX($CY$4:$CY$42),"",INDEX('Lists'!$FS$4:$FS$42,MATCH(ROW()-3,$CY$4:$CY$42,0)))</f>
        <v/>
      </c>
      <c r="DA27">
        <f>DA26+IF(AND('Lists'!$FX$27&lt;&gt;"",ISNUMBER(SEARCH($AI$4,'Lists'!$FX$27))),1,0)</f>
        <v/>
      </c>
      <c r="DB27">
        <f>IF(ROW()-3&gt;MAX($DA$4:$DA$42),"",INDEX('Lists'!$FX$4:$FX$42,MATCH(ROW()-3,$DA$4:$DA$42,0)))</f>
        <v/>
      </c>
    </row>
    <row r="28" outlineLevel="1" ht="15" customHeight="1" s="77">
      <c r="A28" s="118" t="n">
        <v>12</v>
      </c>
      <c r="B28" s="119">
        <f>IF('Final Calculation Sheet'!$F$33="","",'Final Calculation Sheet'!$F$33)</f>
        <v/>
      </c>
      <c r="C28" s="119">
        <f>IF('Final Calculation Sheet'!$G$33="","",'Final Calculation Sheet'!$G$33)</f>
        <v/>
      </c>
      <c r="D28" s="120">
        <f>IF('Final Calculation Sheet'!$B$33="","",'Final Calculation Sheet'!$B$33)</f>
        <v/>
      </c>
      <c r="E28" s="120">
        <f>IF('Final Calculation Sheet'!$D$33="","",'Final Calculation Sheet'!$D$33)</f>
        <v/>
      </c>
      <c r="F28" s="120">
        <f>IF('Final Calculation Sheet'!$A$33="","",'Final Calculation Sheet'!$A$33)</f>
        <v/>
      </c>
      <c r="G28" s="120">
        <f>IF('Final Calculation Sheet'!$E$33="","",'Final Calculation Sheet'!$E$33)</f>
        <v/>
      </c>
      <c r="H28" s="121">
        <f>IF('Final Calculation Sheet'!$C$33="","",'Final Calculation Sheet'!$C$33)</f>
        <v/>
      </c>
      <c r="I28" s="121">
        <f>IF('Final Calculation Sheet'!$H$33="","",'Final Calculation Sheet'!$H$33)</f>
        <v/>
      </c>
      <c r="J28" s="121">
        <f>IF('Final Calculation Sheet'!$I$33="","",'Final Calculation Sheet'!$I$33)</f>
        <v/>
      </c>
      <c r="K28" s="121">
        <f>IF('Final Calculation Sheet'!$J$33="","",'Final Calculation Sheet'!$J$33)</f>
        <v/>
      </c>
      <c r="L28" s="121">
        <f>IF('Final Calculation Sheet'!$K$33="","",'Final Calculation Sheet'!$K$33)</f>
        <v/>
      </c>
      <c r="M28" s="121">
        <f>IF('Final Calculation Sheet'!$L$33="","",'Final Calculation Sheet'!$L$33)</f>
        <v/>
      </c>
      <c r="N28" s="121">
        <f>IF('Final Calculation Sheet'!$M$33="","",'Final Calculation Sheet'!$M$33)</f>
        <v/>
      </c>
      <c r="O28" s="122">
        <f>IF('Final Calculation Sheet'!$N$33="","",'Final Calculation Sheet'!$N$33)</f>
        <v/>
      </c>
      <c r="P28" s="121">
        <f>IF('Final Calculation Sheet'!$O$33="","",'Final Calculation Sheet'!$O$33)</f>
        <v/>
      </c>
      <c r="Q28" s="121">
        <f>IF('Final Calculation Sheet'!$P$33="","",'Final Calculation Sheet'!$P$33)</f>
        <v/>
      </c>
      <c r="R28" s="123">
        <f>IF('Final Calculation Sheet'!$Q$33="","",'Final Calculation Sheet'!$Q$33)</f>
        <v/>
      </c>
      <c r="S28" s="121">
        <f>IF('Final Calculation Sheet'!$R$33="","",'Final Calculation Sheet'!$R$33)</f>
        <v/>
      </c>
      <c r="T28" s="121">
        <f>IF('Final Calculation Sheet'!$S$33="","",'Final Calculation Sheet'!$S$33)</f>
        <v/>
      </c>
      <c r="U28" s="121">
        <f>IF('Final Calculation Sheet'!$T$33="","",'Final Calculation Sheet'!$T$33)</f>
        <v/>
      </c>
      <c r="V28" s="124">
        <f>IF('Final Calculation Sheet'!$U$33="","",'Final Calculation Sheet'!$U$33)</f>
        <v/>
      </c>
      <c r="W28" s="121">
        <f>IF('Final Calculation Sheet'!$V$33="","",'Final Calculation Sheet'!$V$33)</f>
        <v/>
      </c>
      <c r="X28" s="121">
        <f>IF('Final Calculation Sheet'!$W$33="","",'Final Calculation Sheet'!$W$33)</f>
        <v/>
      </c>
      <c r="Y28" s="121">
        <f>IF('Final Calculation Sheet'!$X$33="","",'Final Calculation Sheet'!$X$33)</f>
        <v/>
      </c>
      <c r="Z28" s="121">
        <f>IF('Final Calculation Sheet'!$Y$33="","",'Final Calculation Sheet'!$Y$33)</f>
        <v/>
      </c>
      <c r="AA28" s="121">
        <f>IF('Final Calculation Sheet'!$Z$33="","",'Final Calculation Sheet'!$Z$33)</f>
        <v/>
      </c>
      <c r="AB28" s="121">
        <f>IF('Final Calculation Sheet'!$AA$33="","",'Final Calculation Sheet'!$AA$33)</f>
        <v/>
      </c>
      <c r="AC28" s="121">
        <f>IF('Final Calculation Sheet'!$AB$33="","",'Final Calculation Sheet'!$AB$33)</f>
        <v/>
      </c>
      <c r="AD28" s="121">
        <f>IF('Final Calculation Sheet'!$AC$33="","",'Final Calculation Sheet'!$AC$33)</f>
        <v/>
      </c>
      <c r="AE28" s="121">
        <f>IF('Final Calculation Sheet'!$AD$33="","",'Final Calculation Sheet'!$AD$33)</f>
        <v/>
      </c>
      <c r="AF28" s="121">
        <f>IF('Final Calculation Sheet'!$AE$33="","",'Final Calculation Sheet'!$AE$33)</f>
        <v/>
      </c>
      <c r="AG28" s="125">
        <f>IF('Final Calculation Sheet'!$AF$33="","",'Final Calculation Sheet'!$AF$33)</f>
        <v/>
      </c>
      <c r="AH28" s="121">
        <f>IF('Final Calculation Sheet'!$AG$33="","",'Final Calculation Sheet'!$AG$33)</f>
        <v/>
      </c>
      <c r="AI28" s="126">
        <f>IF('Final Calculation Sheet'!$AD$33="","",IF('Final Calculation Sheet'!$AD$33&lt;=5,"SETTLED","OUTSTANDING"))</f>
        <v/>
      </c>
      <c r="AJ28">
        <f>AND(IF($B$4="",TRUE,IF($B$4="(blank)",'Final Calculation Sheet'!$F$26="",IF($B$4="(nonblank)",'Final Calculation Sheet'!$F$26&lt;&gt;"",ISNUMBER(SEARCH($B$4,'Final Calculation Sheet'!$F$26))))),IF($C$4="",TRUE,IF($C$4="(blank)",'Final Calculation Sheet'!$G$26="",IF($C$4="(nonblank)",'Final Calculation Sheet'!$G$26&lt;&gt;"",ISNUMBER(SEARCH($C$4,'Final Calculation Sheet'!$G$26))))),IF($D$4="",TRUE,IF($D$4="(blank)",'Final Calculation Sheet'!$B$26="",IF($D$4="(nonblank)",'Final Calculation Sheet'!$B$26&lt;&gt;"",ISNUMBER(SEARCH($D$4,'Final Calculation Sheet'!$B$26))))),IF($E$4="",TRUE,IF($E$4="(blank)",'Final Calculation Sheet'!$D$26="",IF($E$4="(nonblank)",'Final Calculation Sheet'!$D$26&lt;&gt;"",ISNUMBER(SEARCH($E$4,'Final Calculation Sheet'!$D$26))))),IF($F$4="",TRUE,IF($F$4="(blank)",'Final Calculation Sheet'!$A$26="",IF($F$4="(nonblank)",'Final Calculation Sheet'!$A$26&lt;&gt;"",ISNUMBER(SEARCH($F$4,'Final Calculation Sheet'!$A$26))))),IF($G$4="",TRUE,IF($G$4="(blank)",'Final Calculation Sheet'!$E$26="",IF($G$4="(nonblank)",'Final Calculation Sheet'!$E$26&lt;&gt;"",ISNUMBER(SEARCH($G$4,'Final Calculation Sheet'!$E$26))))),IF($H$4="",TRUE,IF($H$4="(blank)",'Final Calculation Sheet'!$C$26="",IF($H$4="(nonblank)",'Final Calculation Sheet'!$C$26&lt;&gt;"",ISNUMBER(SEARCH($H$4,'Final Calculation Sheet'!$C$26))))),IF($I$4="",TRUE,IF($I$4="(blank)",'Final Calculation Sheet'!$H$26="",IF($I$4="(nonblank)",'Final Calculation Sheet'!$H$26&lt;&gt;"",ISNUMBER(SEARCH($I$4,'Final Calculation Sheet'!$H$26))))),IF($J$4="",TRUE,IF($J$4="(blank)",'Final Calculation Sheet'!$I$26="",IF($J$4="(nonblank)",'Final Calculation Sheet'!$I$26&lt;&gt;"",ISNUMBER(SEARCH($J$4,'Final Calculation Sheet'!$I$26))))),IF($K$4="",TRUE,IF($K$4="(blank)",'Final Calculation Sheet'!$J$26="",IF($K$4="(nonblank)",'Final Calculation Sheet'!$J$26&lt;&gt;"",ISNUMBER(SEARCH($K$4,'Final Calculation Sheet'!$J$26))))),IF($L$4="",TRUE,IF($L$4="(blank)",'Final Calculation Sheet'!$K$26="",IF($L$4="(nonblank)",'Final Calculation Sheet'!$K$26&lt;&gt;"",ISNUMBER(SEARCH($L$4,'Final Calculation Sheet'!$K$26))))),IF($M$4="",TRUE,IF($M$4="(blank)",'Final Calculation Sheet'!$L$26="",IF($M$4="(nonblank)",'Final Calculation Sheet'!$L$26&lt;&gt;"",ISNUMBER(SEARCH($M$4,'Final Calculation Sheet'!$L$26))))),IF($N$4="",TRUE,IF($N$4="(blank)",'Final Calculation Sheet'!$M$26="",IF($N$4="(nonblank)",'Final Calculation Sheet'!$M$26&lt;&gt;"",ISNUMBER(SEARCH($N$4,'Final Calculation Sheet'!$M$26))))),IF($O$4="",TRUE,IF($O$4="(blank)",'Final Calculation Sheet'!$N$26="",IF($O$4="(nonblank)",'Final Calculation Sheet'!$N$26&lt;&gt;"",ISNUMBER(SEARCH($O$4,'Final Calculation Sheet'!$N$26))))),IF($P$4="",TRUE,IF($P$4="(blank)",'Final Calculation Sheet'!$O$26="",IF($P$4="(nonblank)",'Final Calculation Sheet'!$O$26&lt;&gt;"",ISNUMBER(SEARCH($P$4,'Final Calculation Sheet'!$O$26))))),IF($Q$4="",TRUE,IF($Q$4="(blank)",'Final Calculation Sheet'!$P$26="",IF($Q$4="(nonblank)",'Final Calculation Sheet'!$P$26&lt;&gt;"",ISNUMBER(SEARCH($Q$4,'Final Calculation Sheet'!$P$26))))),IF($R$4="",TRUE,IF($R$4="(blank)",'Final Calculation Sheet'!$Q$26="",IF($R$4="(nonblank)",'Final Calculation Sheet'!$Q$26&lt;&gt;"",ISNUMBER(SEARCH($R$4,'Final Calculation Sheet'!$Q$26))))),IF($S$4="",TRUE,IF($S$4="(blank)",'Final Calculation Sheet'!$R$26="",IF($S$4="(nonblank)",'Final Calculation Sheet'!$R$26&lt;&gt;"",ISNUMBER(SEARCH($S$4,'Final Calculation Sheet'!$R$26))))),IF($T$4="",TRUE,IF($T$4="(blank)",'Final Calculation Sheet'!$S$26="",IF($T$4="(nonblank)",'Final Calculation Sheet'!$S$26&lt;&gt;"",ISNUMBER(SEARCH($T$4,'Final Calculation Sheet'!$S$26))))),IF($U$4="",TRUE,IF($U$4="(blank)",'Final Calculation Sheet'!$T$26="",IF($U$4="(nonblank)",'Final Calculation Sheet'!$T$26&lt;&gt;"",ISNUMBER(SEARCH($U$4,'Final Calculation Sheet'!$T$26))))),IF($V$4="",TRUE,IF($V$4="(blank)",'Final Calculation Sheet'!$U$26="",IF($V$4="(nonblank)",'Final Calculation Sheet'!$U$26&lt;&gt;"",ISNUMBER(SEARCH($V$4,'Final Calculation Sheet'!$U$26))))),IF($W$4="",TRUE,IF($W$4="(blank)",'Final Calculation Sheet'!$V$26="",IF($W$4="(nonblank)",'Final Calculation Sheet'!$V$26&lt;&gt;"",ISNUMBER(SEARCH($W$4,'Final Calculation Sheet'!$V$26))))),IF($X$4="",TRUE,IF($X$4="(blank)",'Final Calculation Sheet'!$W$26="",IF($X$4="(nonblank)",'Final Calculation Sheet'!$W$26&lt;&gt;"",ISNUMBER(SEARCH($X$4,'Final Calculation Sheet'!$W$26))))),IF($Y$4="",TRUE,IF($Y$4="(blank)",'Final Calculation Sheet'!$X$26="",IF($Y$4="(nonblank)",'Final Calculation Sheet'!$X$26&lt;&gt;"",ISNUMBER(SEARCH($Y$4,'Final Calculation Sheet'!$X$26))))),IF($Z$4="",TRUE,IF($Z$4="(blank)",'Final Calculation Sheet'!$Y$26="",IF($Z$4="(nonblank)",'Final Calculation Sheet'!$Y$26&lt;&gt;"",ISNUMBER(SEARCH($Z$4,'Final Calculation Sheet'!$Y$26))))),IF($AA$4="",TRUE,IF($AA$4="(blank)",'Final Calculation Sheet'!$Z$26="",IF($AA$4="(nonblank)",'Final Calculation Sheet'!$Z$26&lt;&gt;"",ISNUMBER(SEARCH($AA$4,'Final Calculation Sheet'!$Z$26))))),IF($AB$4="",TRUE,IF($AB$4="(blank)",'Final Calculation Sheet'!$AA$26="",IF($AB$4="(nonblank)",'Final Calculation Sheet'!$AA$26&lt;&gt;"",ISNUMBER(SEARCH($AB$4,'Final Calculation Sheet'!$AA$26))))),IF($AC$4="",TRUE,IF($AC$4="(blank)",'Final Calculation Sheet'!$AB$26="",IF($AC$4="(nonblank)",'Final Calculation Sheet'!$AB$26&lt;&gt;"",ISNUMBER(SEARCH($AC$4,'Final Calculation Sheet'!$AB$26))))),IF($AD$4="",TRUE,IF($AD$4="(blank)",'Final Calculation Sheet'!$AC$26="",IF($AD$4="(nonblank)",'Final Calculation Sheet'!$AC$26&lt;&gt;"",ISNUMBER(SEARCH($AD$4,'Final Calculation Sheet'!$AC$26))))),IF($AE$4="",TRUE,IF($AE$4="(blank)",'Final Calculation Sheet'!$AD$26="",IF($AE$4="(nonblank)",'Final Calculation Sheet'!$AD$26&lt;&gt;"",ISNUMBER(SEARCH($AE$4,'Final Calculation Sheet'!$AD$26))))),IF($AF$4="",TRUE,IF($AF$4="(blank)",'Final Calculation Sheet'!$AE$26="",IF($AF$4="(nonblank)",'Final Calculation Sheet'!$AE$26&lt;&gt;"",ISNUMBER(SEARCH($AF$4,'Final Calculation Sheet'!$AE$26))))),IF($AG$4="",TRUE,IF($AG$4="(blank)",'Final Calculation Sheet'!$AF$26="",IF($AG$4="(nonblank)",'Final Calculation Sheet'!$AF$26&lt;&gt;"",ISNUMBER(SEARCH($AG$4,'Final Calculation Sheet'!$AF$26))))),IF($AH$4="",TRUE,IF($AH$4="(blank)",'Final Calculation Sheet'!$AG$26="",IF($AH$4="(nonblank)",'Final Calculation Sheet'!$AG$26&lt;&gt;"",ISNUMBER(SEARCH($AH$4,'Final Calculation Sheet'!$AG$26))))),IF($AI$4="",TRUE,IF($AI$4="(blank)",IF('Final Calculation Sheet'!$AD$26&lt;=5,"SETTLED","OUTSTANDING")="",IF($AI$4="(nonblank)",IF('Final Calculation Sheet'!$AD$26&lt;=5,"SETTLED","OUTSTANDING")&lt;&gt;"",ISNUMBER(SEARCH($AI$4,IF('Final Calculation Sheet'!$AD$26&lt;=5,"SETTLED","OUTSTANDING")))))))</f>
        <v/>
      </c>
      <c r="AK28">
        <f>IF(AJ28=1,COUNTIF(AJ$6:AJ28,1),"")</f>
        <v/>
      </c>
      <c r="AM28">
        <f>AM27+IF(AND('Lists'!$O$28&lt;&gt;"",ISNUMBER(SEARCH($B$4,'Lists'!$O$28))),1,0)</f>
        <v/>
      </c>
      <c r="AN28">
        <f>IF(ROW()-3&gt;MAX($AM$4:$AM$42),"",INDEX('Lists'!$O$4:$O$42,MATCH(ROW()-3,$AM$4:$AM$42,0)))</f>
        <v/>
      </c>
      <c r="AO28">
        <f>AO27+IF(AND('Lists'!$T$28&lt;&gt;"",ISNUMBER(SEARCH($C$4,'Lists'!$T$28))),1,0)</f>
        <v/>
      </c>
      <c r="AP28">
        <f>IF(ROW()-3&gt;MAX($AO$4:$AO$42),"",INDEX('Lists'!$T$4:$T$42,MATCH(ROW()-3,$AO$4:$AO$42,0)))</f>
        <v/>
      </c>
      <c r="AQ28">
        <f>AQ27+IF(AND('Lists'!$Y$28&lt;&gt;"",ISNUMBER(SEARCH($D$4,'Lists'!$Y$28))),1,0)</f>
        <v/>
      </c>
      <c r="AR28">
        <f>IF(ROW()-3&gt;MAX($AQ$4:$AQ$42),"",INDEX('Lists'!$Y$4:$Y$42,MATCH(ROW()-3,$AQ$4:$AQ$42,0)))</f>
        <v/>
      </c>
      <c r="AS28">
        <f>AS27+IF(AND('Lists'!$AD$28&lt;&gt;"",ISNUMBER(SEARCH($E$4,'Lists'!$AD$28))),1,0)</f>
        <v/>
      </c>
      <c r="AT28">
        <f>IF(ROW()-3&gt;MAX($AS$4:$AS$42),"",INDEX('Lists'!$AD$4:$AD$42,MATCH(ROW()-3,$AS$4:$AS$42,0)))</f>
        <v/>
      </c>
      <c r="AU28">
        <f>AU27+IF(AND('Lists'!$AI$28&lt;&gt;"",ISNUMBER(SEARCH($F$4,'Lists'!$AI$28))),1,0)</f>
        <v/>
      </c>
      <c r="AV28">
        <f>IF(ROW()-3&gt;MAX($AU$4:$AU$42),"",INDEX('Lists'!$AI$4:$AI$42,MATCH(ROW()-3,$AU$4:$AU$42,0)))</f>
        <v/>
      </c>
      <c r="AW28">
        <f>AW27+IF(AND('Lists'!$AN$28&lt;&gt;"",ISNUMBER(SEARCH($G$4,'Lists'!$AN$28))),1,0)</f>
        <v/>
      </c>
      <c r="AX28">
        <f>IF(ROW()-3&gt;MAX($AW$4:$AW$42),"",INDEX('Lists'!$AN$4:$AN$42,MATCH(ROW()-3,$AW$4:$AW$42,0)))</f>
        <v/>
      </c>
      <c r="AY28">
        <f>AY27+IF(AND('Lists'!$AS$28&lt;&gt;"",ISNUMBER(SEARCH($H$4,'Lists'!$AS$28))),1,0)</f>
        <v/>
      </c>
      <c r="AZ28">
        <f>IF(ROW()-3&gt;MAX($AY$4:$AY$42),"",INDEX('Lists'!$AS$4:$AS$42,MATCH(ROW()-3,$AY$4:$AY$42,0)))</f>
        <v/>
      </c>
      <c r="BA28">
        <f>BA27+IF(AND('Lists'!$AX$28&lt;&gt;"",ISNUMBER(SEARCH($I$4,'Lists'!$AX$28))),1,0)</f>
        <v/>
      </c>
      <c r="BB28">
        <f>IF(ROW()-3&gt;MAX($BA$4:$BA$42),"",INDEX('Lists'!$AX$4:$AX$42,MATCH(ROW()-3,$BA$4:$BA$42,0)))</f>
        <v/>
      </c>
      <c r="BC28">
        <f>BC27+IF(AND('Lists'!$BC$28&lt;&gt;"",ISNUMBER(SEARCH($J$4,'Lists'!$BC$28))),1,0)</f>
        <v/>
      </c>
      <c r="BD28">
        <f>IF(ROW()-3&gt;MAX($BC$4:$BC$42),"",INDEX('Lists'!$BC$4:$BC$42,MATCH(ROW()-3,$BC$4:$BC$42,0)))</f>
        <v/>
      </c>
      <c r="BE28">
        <f>BE27+IF(AND('Lists'!$BH$28&lt;&gt;"",ISNUMBER(SEARCH($K$4,'Lists'!$BH$28))),1,0)</f>
        <v/>
      </c>
      <c r="BF28">
        <f>IF(ROW()-3&gt;MAX($BE$4:$BE$42),"",INDEX('Lists'!$BH$4:$BH$42,MATCH(ROW()-3,$BE$4:$BE$42,0)))</f>
        <v/>
      </c>
      <c r="BG28">
        <f>BG27+IF(AND('Lists'!$BM$28&lt;&gt;"",ISNUMBER(SEARCH($L$4,'Lists'!$BM$28))),1,0)</f>
        <v/>
      </c>
      <c r="BH28">
        <f>IF(ROW()-3&gt;MAX($BG$4:$BG$42),"",INDEX('Lists'!$BM$4:$BM$42,MATCH(ROW()-3,$BG$4:$BG$42,0)))</f>
        <v/>
      </c>
      <c r="BI28">
        <f>BI27+IF(AND('Lists'!$BR$28&lt;&gt;"",ISNUMBER(SEARCH($M$4,'Lists'!$BR$28))),1,0)</f>
        <v/>
      </c>
      <c r="BJ28">
        <f>IF(ROW()-3&gt;MAX($BI$4:$BI$42),"",INDEX('Lists'!$BR$4:$BR$42,MATCH(ROW()-3,$BI$4:$BI$42,0)))</f>
        <v/>
      </c>
      <c r="BK28">
        <f>BK27+IF(AND('Lists'!$BW$28&lt;&gt;"",ISNUMBER(SEARCH($N$4,'Lists'!$BW$28))),1,0)</f>
        <v/>
      </c>
      <c r="BL28">
        <f>IF(ROW()-3&gt;MAX($BK$4:$BK$42),"",INDEX('Lists'!$BW$4:$BW$42,MATCH(ROW()-3,$BK$4:$BK$42,0)))</f>
        <v/>
      </c>
      <c r="BM28">
        <f>BM27+IF(AND('Lists'!$CB$28&lt;&gt;"",ISNUMBER(SEARCH($O$4,'Lists'!$CB$28))),1,0)</f>
        <v/>
      </c>
      <c r="BN28">
        <f>IF(ROW()-3&gt;MAX($BM$4:$BM$42),"",INDEX('Lists'!$CB$4:$CB$42,MATCH(ROW()-3,$BM$4:$BM$42,0)))</f>
        <v/>
      </c>
      <c r="BO28">
        <f>BO27+IF(AND('Lists'!$CG$28&lt;&gt;"",ISNUMBER(SEARCH($P$4,'Lists'!$CG$28))),1,0)</f>
        <v/>
      </c>
      <c r="BP28">
        <f>IF(ROW()-3&gt;MAX($BO$4:$BO$42),"",INDEX('Lists'!$CG$4:$CG$42,MATCH(ROW()-3,$BO$4:$BO$42,0)))</f>
        <v/>
      </c>
      <c r="BQ28">
        <f>BQ27+IF(AND('Lists'!$CL$28&lt;&gt;"",ISNUMBER(SEARCH($Q$4,'Lists'!$CL$28))),1,0)</f>
        <v/>
      </c>
      <c r="BR28">
        <f>IF(ROW()-3&gt;MAX($BQ$4:$BQ$42),"",INDEX('Lists'!$CL$4:$CL$42,MATCH(ROW()-3,$BQ$4:$BQ$42,0)))</f>
        <v/>
      </c>
      <c r="BS28">
        <f>BS27+IF(AND('Lists'!$CQ$28&lt;&gt;"",ISNUMBER(SEARCH($R$4,'Lists'!$CQ$28))),1,0)</f>
        <v/>
      </c>
      <c r="BT28">
        <f>IF(ROW()-3&gt;MAX($BS$4:$BS$42),"",INDEX('Lists'!$CQ$4:$CQ$42,MATCH(ROW()-3,$BS$4:$BS$42,0)))</f>
        <v/>
      </c>
      <c r="BU28">
        <f>BU27+IF(AND('Lists'!$CV$28&lt;&gt;"",ISNUMBER(SEARCH($S$4,'Lists'!$CV$28))),1,0)</f>
        <v/>
      </c>
      <c r="BV28">
        <f>IF(ROW()-3&gt;MAX($BU$4:$BU$42),"",INDEX('Lists'!$CV$4:$CV$42,MATCH(ROW()-3,$BU$4:$BU$42,0)))</f>
        <v/>
      </c>
      <c r="BW28">
        <f>BW27+IF(AND('Lists'!$DA$28&lt;&gt;"",ISNUMBER(SEARCH($T$4,'Lists'!$DA$28))),1,0)</f>
        <v/>
      </c>
      <c r="BX28">
        <f>IF(ROW()-3&gt;MAX($BW$4:$BW$42),"",INDEX('Lists'!$DA$4:$DA$42,MATCH(ROW()-3,$BW$4:$BW$42,0)))</f>
        <v/>
      </c>
      <c r="BY28">
        <f>BY27+IF(AND('Lists'!$DF$28&lt;&gt;"",ISNUMBER(SEARCH($U$4,'Lists'!$DF$28))),1,0)</f>
        <v/>
      </c>
      <c r="BZ28">
        <f>IF(ROW()-3&gt;MAX($BY$4:$BY$42),"",INDEX('Lists'!$DF$4:$DF$42,MATCH(ROW()-3,$BY$4:$BY$42,0)))</f>
        <v/>
      </c>
      <c r="CA28">
        <f>CA27+IF(AND('Lists'!$DK$28&lt;&gt;"",ISNUMBER(SEARCH($V$4,'Lists'!$DK$28))),1,0)</f>
        <v/>
      </c>
      <c r="CB28">
        <f>IF(ROW()-3&gt;MAX($CA$4:$CA$42),"",INDEX('Lists'!$DK$4:$DK$42,MATCH(ROW()-3,$CA$4:$CA$42,0)))</f>
        <v/>
      </c>
      <c r="CC28">
        <f>CC27+IF(AND('Lists'!$DP$28&lt;&gt;"",ISNUMBER(SEARCH($W$4,'Lists'!$DP$28))),1,0)</f>
        <v/>
      </c>
      <c r="CD28">
        <f>IF(ROW()-3&gt;MAX($CC$4:$CC$42),"",INDEX('Lists'!$DP$4:$DP$42,MATCH(ROW()-3,$CC$4:$CC$42,0)))</f>
        <v/>
      </c>
      <c r="CE28">
        <f>CE27+IF(AND('Lists'!$DU$28&lt;&gt;"",ISNUMBER(SEARCH($X$4,'Lists'!$DU$28))),1,0)</f>
        <v/>
      </c>
      <c r="CF28">
        <f>IF(ROW()-3&gt;MAX($CE$4:$CE$42),"",INDEX('Lists'!$DU$4:$DU$42,MATCH(ROW()-3,$CE$4:$CE$42,0)))</f>
        <v/>
      </c>
      <c r="CG28">
        <f>CG27+IF(AND('Lists'!$DZ$28&lt;&gt;"",ISNUMBER(SEARCH($Y$4,'Lists'!$DZ$28))),1,0)</f>
        <v/>
      </c>
      <c r="CH28">
        <f>IF(ROW()-3&gt;MAX($CG$4:$CG$42),"",INDEX('Lists'!$DZ$4:$DZ$42,MATCH(ROW()-3,$CG$4:$CG$42,0)))</f>
        <v/>
      </c>
      <c r="CI28">
        <f>CI27+IF(AND('Lists'!$EE$28&lt;&gt;"",ISNUMBER(SEARCH($Z$4,'Lists'!$EE$28))),1,0)</f>
        <v/>
      </c>
      <c r="CJ28">
        <f>IF(ROW()-3&gt;MAX($CI$4:$CI$42),"",INDEX('Lists'!$EE$4:$EE$42,MATCH(ROW()-3,$CI$4:$CI$42,0)))</f>
        <v/>
      </c>
      <c r="CK28">
        <f>CK27+IF(AND('Lists'!$EJ$28&lt;&gt;"",ISNUMBER(SEARCH($AA$4,'Lists'!$EJ$28))),1,0)</f>
        <v/>
      </c>
      <c r="CL28">
        <f>IF(ROW()-3&gt;MAX($CK$4:$CK$42),"",INDEX('Lists'!$EJ$4:$EJ$42,MATCH(ROW()-3,$CK$4:$CK$42,0)))</f>
        <v/>
      </c>
      <c r="CM28">
        <f>CM27+IF(AND('Lists'!$EO$28&lt;&gt;"",ISNUMBER(SEARCH($AB$4,'Lists'!$EO$28))),1,0)</f>
        <v/>
      </c>
      <c r="CN28">
        <f>IF(ROW()-3&gt;MAX($CM$4:$CM$42),"",INDEX('Lists'!$EO$4:$EO$42,MATCH(ROW()-3,$CM$4:$CM$42,0)))</f>
        <v/>
      </c>
      <c r="CO28">
        <f>CO27+IF(AND('Lists'!$ET$28&lt;&gt;"",ISNUMBER(SEARCH($AC$4,'Lists'!$ET$28))),1,0)</f>
        <v/>
      </c>
      <c r="CP28">
        <f>IF(ROW()-3&gt;MAX($CO$4:$CO$42),"",INDEX('Lists'!$ET$4:$ET$42,MATCH(ROW()-3,$CO$4:$CO$42,0)))</f>
        <v/>
      </c>
      <c r="CQ28">
        <f>CQ27+IF(AND('Lists'!$EY$28&lt;&gt;"",ISNUMBER(SEARCH($AD$4,'Lists'!$EY$28))),1,0)</f>
        <v/>
      </c>
      <c r="CR28">
        <f>IF(ROW()-3&gt;MAX($CQ$4:$CQ$42),"",INDEX('Lists'!$EY$4:$EY$42,MATCH(ROW()-3,$CQ$4:$CQ$42,0)))</f>
        <v/>
      </c>
      <c r="CS28">
        <f>CS27+IF(AND('Lists'!$FD$28&lt;&gt;"",ISNUMBER(SEARCH($AE$4,'Lists'!$FD$28))),1,0)</f>
        <v/>
      </c>
      <c r="CT28">
        <f>IF(ROW()-3&gt;MAX($CS$4:$CS$42),"",INDEX('Lists'!$FD$4:$FD$42,MATCH(ROW()-3,$CS$4:$CS$42,0)))</f>
        <v/>
      </c>
      <c r="CU28">
        <f>CU27+IF(AND('Lists'!$FI$28&lt;&gt;"",ISNUMBER(SEARCH($AF$4,'Lists'!$FI$28))),1,0)</f>
        <v/>
      </c>
      <c r="CV28">
        <f>IF(ROW()-3&gt;MAX($CU$4:$CU$42),"",INDEX('Lists'!$FI$4:$FI$42,MATCH(ROW()-3,$CU$4:$CU$42,0)))</f>
        <v/>
      </c>
      <c r="CW28">
        <f>CW27+IF(AND('Lists'!$FN$28&lt;&gt;"",ISNUMBER(SEARCH($AG$4,'Lists'!$FN$28))),1,0)</f>
        <v/>
      </c>
      <c r="CX28">
        <f>IF(ROW()-3&gt;MAX($CW$4:$CW$42),"",INDEX('Lists'!$FN$4:$FN$42,MATCH(ROW()-3,$CW$4:$CW$42,0)))</f>
        <v/>
      </c>
      <c r="CY28">
        <f>CY27+IF(AND('Lists'!$FS$28&lt;&gt;"",ISNUMBER(SEARCH($AH$4,'Lists'!$FS$28))),1,0)</f>
        <v/>
      </c>
      <c r="CZ28">
        <f>IF(ROW()-3&gt;MAX($CY$4:$CY$42),"",INDEX('Lists'!$FS$4:$FS$42,MATCH(ROW()-3,$CY$4:$CY$42,0)))</f>
        <v/>
      </c>
      <c r="DA28">
        <f>DA27+IF(AND('Lists'!$FX$28&lt;&gt;"",ISNUMBER(SEARCH($AI$4,'Lists'!$FX$28))),1,0)</f>
        <v/>
      </c>
      <c r="DB28">
        <f>IF(ROW()-3&gt;MAX($DA$4:$DA$42),"",INDEX('Lists'!$FX$4:$FX$42,MATCH(ROW()-3,$DA$4:$DA$42,0)))</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c r="AJ29">
        <f>AND(IF($B$4="",TRUE,IF($B$4="(blank)",'Final Calculation Sheet'!$F$27="",IF($B$4="(nonblank)",'Final Calculation Sheet'!$F$27&lt;&gt;"",ISNUMBER(SEARCH($B$4,'Final Calculation Sheet'!$F$27))))),IF($C$4="",TRUE,IF($C$4="(blank)",'Final Calculation Sheet'!$G$27="",IF($C$4="(nonblank)",'Final Calculation Sheet'!$G$27&lt;&gt;"",ISNUMBER(SEARCH($C$4,'Final Calculation Sheet'!$G$27))))),IF($D$4="",TRUE,IF($D$4="(blank)",'Final Calculation Sheet'!$B$27="",IF($D$4="(nonblank)",'Final Calculation Sheet'!$B$27&lt;&gt;"",ISNUMBER(SEARCH($D$4,'Final Calculation Sheet'!$B$27))))),IF($E$4="",TRUE,IF($E$4="(blank)",'Final Calculation Sheet'!$D$27="",IF($E$4="(nonblank)",'Final Calculation Sheet'!$D$27&lt;&gt;"",ISNUMBER(SEARCH($E$4,'Final Calculation Sheet'!$D$27))))),IF($F$4="",TRUE,IF($F$4="(blank)",'Final Calculation Sheet'!$A$27="",IF($F$4="(nonblank)",'Final Calculation Sheet'!$A$27&lt;&gt;"",ISNUMBER(SEARCH($F$4,'Final Calculation Sheet'!$A$27))))),IF($G$4="",TRUE,IF($G$4="(blank)",'Final Calculation Sheet'!$E$27="",IF($G$4="(nonblank)",'Final Calculation Sheet'!$E$27&lt;&gt;"",ISNUMBER(SEARCH($G$4,'Final Calculation Sheet'!$E$27))))),IF($H$4="",TRUE,IF($H$4="(blank)",'Final Calculation Sheet'!$C$27="",IF($H$4="(nonblank)",'Final Calculation Sheet'!$C$27&lt;&gt;"",ISNUMBER(SEARCH($H$4,'Final Calculation Sheet'!$C$27))))),IF($I$4="",TRUE,IF($I$4="(blank)",'Final Calculation Sheet'!$H$27="",IF($I$4="(nonblank)",'Final Calculation Sheet'!$H$27&lt;&gt;"",ISNUMBER(SEARCH($I$4,'Final Calculation Sheet'!$H$27))))),IF($J$4="",TRUE,IF($J$4="(blank)",'Final Calculation Sheet'!$I$27="",IF($J$4="(nonblank)",'Final Calculation Sheet'!$I$27&lt;&gt;"",ISNUMBER(SEARCH($J$4,'Final Calculation Sheet'!$I$27))))),IF($K$4="",TRUE,IF($K$4="(blank)",'Final Calculation Sheet'!$J$27="",IF($K$4="(nonblank)",'Final Calculation Sheet'!$J$27&lt;&gt;"",ISNUMBER(SEARCH($K$4,'Final Calculation Sheet'!$J$27))))),IF($L$4="",TRUE,IF($L$4="(blank)",'Final Calculation Sheet'!$K$27="",IF($L$4="(nonblank)",'Final Calculation Sheet'!$K$27&lt;&gt;"",ISNUMBER(SEARCH($L$4,'Final Calculation Sheet'!$K$27))))),IF($M$4="",TRUE,IF($M$4="(blank)",'Final Calculation Sheet'!$L$27="",IF($M$4="(nonblank)",'Final Calculation Sheet'!$L$27&lt;&gt;"",ISNUMBER(SEARCH($M$4,'Final Calculation Sheet'!$L$27))))),IF($N$4="",TRUE,IF($N$4="(blank)",'Final Calculation Sheet'!$M$27="",IF($N$4="(nonblank)",'Final Calculation Sheet'!$M$27&lt;&gt;"",ISNUMBER(SEARCH($N$4,'Final Calculation Sheet'!$M$27))))),IF($O$4="",TRUE,IF($O$4="(blank)",'Final Calculation Sheet'!$N$27="",IF($O$4="(nonblank)",'Final Calculation Sheet'!$N$27&lt;&gt;"",ISNUMBER(SEARCH($O$4,'Final Calculation Sheet'!$N$27))))),IF($P$4="",TRUE,IF($P$4="(blank)",'Final Calculation Sheet'!$O$27="",IF($P$4="(nonblank)",'Final Calculation Sheet'!$O$27&lt;&gt;"",ISNUMBER(SEARCH($P$4,'Final Calculation Sheet'!$O$27))))),IF($Q$4="",TRUE,IF($Q$4="(blank)",'Final Calculation Sheet'!$P$27="",IF($Q$4="(nonblank)",'Final Calculation Sheet'!$P$27&lt;&gt;"",ISNUMBER(SEARCH($Q$4,'Final Calculation Sheet'!$P$27))))),IF($R$4="",TRUE,IF($R$4="(blank)",'Final Calculation Sheet'!$Q$27="",IF($R$4="(nonblank)",'Final Calculation Sheet'!$Q$27&lt;&gt;"",ISNUMBER(SEARCH($R$4,'Final Calculation Sheet'!$Q$27))))),IF($S$4="",TRUE,IF($S$4="(blank)",'Final Calculation Sheet'!$R$27="",IF($S$4="(nonblank)",'Final Calculation Sheet'!$R$27&lt;&gt;"",ISNUMBER(SEARCH($S$4,'Final Calculation Sheet'!$R$27))))),IF($T$4="",TRUE,IF($T$4="(blank)",'Final Calculation Sheet'!$S$27="",IF($T$4="(nonblank)",'Final Calculation Sheet'!$S$27&lt;&gt;"",ISNUMBER(SEARCH($T$4,'Final Calculation Sheet'!$S$27))))),IF($U$4="",TRUE,IF($U$4="(blank)",'Final Calculation Sheet'!$T$27="",IF($U$4="(nonblank)",'Final Calculation Sheet'!$T$27&lt;&gt;"",ISNUMBER(SEARCH($U$4,'Final Calculation Sheet'!$T$27))))),IF($V$4="",TRUE,IF($V$4="(blank)",'Final Calculation Sheet'!$U$27="",IF($V$4="(nonblank)",'Final Calculation Sheet'!$U$27&lt;&gt;"",ISNUMBER(SEARCH($V$4,'Final Calculation Sheet'!$U$27))))),IF($W$4="",TRUE,IF($W$4="(blank)",'Final Calculation Sheet'!$V$27="",IF($W$4="(nonblank)",'Final Calculation Sheet'!$V$27&lt;&gt;"",ISNUMBER(SEARCH($W$4,'Final Calculation Sheet'!$V$27))))),IF($X$4="",TRUE,IF($X$4="(blank)",'Final Calculation Sheet'!$W$27="",IF($X$4="(nonblank)",'Final Calculation Sheet'!$W$27&lt;&gt;"",ISNUMBER(SEARCH($X$4,'Final Calculation Sheet'!$W$27))))),IF($Y$4="",TRUE,IF($Y$4="(blank)",'Final Calculation Sheet'!$X$27="",IF($Y$4="(nonblank)",'Final Calculation Sheet'!$X$27&lt;&gt;"",ISNUMBER(SEARCH($Y$4,'Final Calculation Sheet'!$X$27))))),IF($Z$4="",TRUE,IF($Z$4="(blank)",'Final Calculation Sheet'!$Y$27="",IF($Z$4="(nonblank)",'Final Calculation Sheet'!$Y$27&lt;&gt;"",ISNUMBER(SEARCH($Z$4,'Final Calculation Sheet'!$Y$27))))),IF($AA$4="",TRUE,IF($AA$4="(blank)",'Final Calculation Sheet'!$Z$27="",IF($AA$4="(nonblank)",'Final Calculation Sheet'!$Z$27&lt;&gt;"",ISNUMBER(SEARCH($AA$4,'Final Calculation Sheet'!$Z$27))))),IF($AB$4="",TRUE,IF($AB$4="(blank)",'Final Calculation Sheet'!$AA$27="",IF($AB$4="(nonblank)",'Final Calculation Sheet'!$AA$27&lt;&gt;"",ISNUMBER(SEARCH($AB$4,'Final Calculation Sheet'!$AA$27))))),IF($AC$4="",TRUE,IF($AC$4="(blank)",'Final Calculation Sheet'!$AB$27="",IF($AC$4="(nonblank)",'Final Calculation Sheet'!$AB$27&lt;&gt;"",ISNUMBER(SEARCH($AC$4,'Final Calculation Sheet'!$AB$27))))),IF($AD$4="",TRUE,IF($AD$4="(blank)",'Final Calculation Sheet'!$AC$27="",IF($AD$4="(nonblank)",'Final Calculation Sheet'!$AC$27&lt;&gt;"",ISNUMBER(SEARCH($AD$4,'Final Calculation Sheet'!$AC$27))))),IF($AE$4="",TRUE,IF($AE$4="(blank)",'Final Calculation Sheet'!$AD$27="",IF($AE$4="(nonblank)",'Final Calculation Sheet'!$AD$27&lt;&gt;"",ISNUMBER(SEARCH($AE$4,'Final Calculation Sheet'!$AD$27))))),IF($AF$4="",TRUE,IF($AF$4="(blank)",'Final Calculation Sheet'!$AE$27="",IF($AF$4="(nonblank)",'Final Calculation Sheet'!$AE$27&lt;&gt;"",ISNUMBER(SEARCH($AF$4,'Final Calculation Sheet'!$AE$27))))),IF($AG$4="",TRUE,IF($AG$4="(blank)",'Final Calculation Sheet'!$AF$27="",IF($AG$4="(nonblank)",'Final Calculation Sheet'!$AF$27&lt;&gt;"",ISNUMBER(SEARCH($AG$4,'Final Calculation Sheet'!$AF$27))))),IF($AH$4="",TRUE,IF($AH$4="(blank)",'Final Calculation Sheet'!$AG$27="",IF($AH$4="(nonblank)",'Final Calculation Sheet'!$AG$27&lt;&gt;"",ISNUMBER(SEARCH($AH$4,'Final Calculation Sheet'!$AG$27))))),IF($AI$4="",TRUE,IF($AI$4="(blank)",IF('Final Calculation Sheet'!$AD$27&lt;=5,"SETTLED","OUTSTANDING")="",IF($AI$4="(nonblank)",IF('Final Calculation Sheet'!$AD$27&lt;=5,"SETTLED","OUTSTANDING")&lt;&gt;"",ISNUMBER(SEARCH($AI$4,IF('Final Calculation Sheet'!$AD$27&lt;=5,"SETTLED","OUTSTANDING")))))))</f>
        <v/>
      </c>
      <c r="AK29">
        <f>IF(AJ29=1,COUNTIF(AJ$6:AJ29,1),"")</f>
        <v/>
      </c>
      <c r="AM29">
        <f>AM28+IF(AND('Lists'!$O$29&lt;&gt;"",ISNUMBER(SEARCH($B$4,'Lists'!$O$29))),1,0)</f>
        <v/>
      </c>
      <c r="AN29">
        <f>IF(ROW()-3&gt;MAX($AM$4:$AM$42),"",INDEX('Lists'!$O$4:$O$42,MATCH(ROW()-3,$AM$4:$AM$42,0)))</f>
        <v/>
      </c>
      <c r="AO29">
        <f>AO28+IF(AND('Lists'!$T$29&lt;&gt;"",ISNUMBER(SEARCH($C$4,'Lists'!$T$29))),1,0)</f>
        <v/>
      </c>
      <c r="AP29">
        <f>IF(ROW()-3&gt;MAX($AO$4:$AO$42),"",INDEX('Lists'!$T$4:$T$42,MATCH(ROW()-3,$AO$4:$AO$42,0)))</f>
        <v/>
      </c>
      <c r="AQ29">
        <f>AQ28+IF(AND('Lists'!$Y$29&lt;&gt;"",ISNUMBER(SEARCH($D$4,'Lists'!$Y$29))),1,0)</f>
        <v/>
      </c>
      <c r="AR29">
        <f>IF(ROW()-3&gt;MAX($AQ$4:$AQ$42),"",INDEX('Lists'!$Y$4:$Y$42,MATCH(ROW()-3,$AQ$4:$AQ$42,0)))</f>
        <v/>
      </c>
      <c r="AS29">
        <f>AS28+IF(AND('Lists'!$AD$29&lt;&gt;"",ISNUMBER(SEARCH($E$4,'Lists'!$AD$29))),1,0)</f>
        <v/>
      </c>
      <c r="AT29">
        <f>IF(ROW()-3&gt;MAX($AS$4:$AS$42),"",INDEX('Lists'!$AD$4:$AD$42,MATCH(ROW()-3,$AS$4:$AS$42,0)))</f>
        <v/>
      </c>
      <c r="AU29">
        <f>AU28+IF(AND('Lists'!$AI$29&lt;&gt;"",ISNUMBER(SEARCH($F$4,'Lists'!$AI$29))),1,0)</f>
        <v/>
      </c>
      <c r="AV29">
        <f>IF(ROW()-3&gt;MAX($AU$4:$AU$42),"",INDEX('Lists'!$AI$4:$AI$42,MATCH(ROW()-3,$AU$4:$AU$42,0)))</f>
        <v/>
      </c>
      <c r="AW29">
        <f>AW28+IF(AND('Lists'!$AN$29&lt;&gt;"",ISNUMBER(SEARCH($G$4,'Lists'!$AN$29))),1,0)</f>
        <v/>
      </c>
      <c r="AX29">
        <f>IF(ROW()-3&gt;MAX($AW$4:$AW$42),"",INDEX('Lists'!$AN$4:$AN$42,MATCH(ROW()-3,$AW$4:$AW$42,0)))</f>
        <v/>
      </c>
      <c r="AY29">
        <f>AY28+IF(AND('Lists'!$AS$29&lt;&gt;"",ISNUMBER(SEARCH($H$4,'Lists'!$AS$29))),1,0)</f>
        <v/>
      </c>
      <c r="AZ29">
        <f>IF(ROW()-3&gt;MAX($AY$4:$AY$42),"",INDEX('Lists'!$AS$4:$AS$42,MATCH(ROW()-3,$AY$4:$AY$42,0)))</f>
        <v/>
      </c>
      <c r="BA29">
        <f>BA28+IF(AND('Lists'!$AX$29&lt;&gt;"",ISNUMBER(SEARCH($I$4,'Lists'!$AX$29))),1,0)</f>
        <v/>
      </c>
      <c r="BB29">
        <f>IF(ROW()-3&gt;MAX($BA$4:$BA$42),"",INDEX('Lists'!$AX$4:$AX$42,MATCH(ROW()-3,$BA$4:$BA$42,0)))</f>
        <v/>
      </c>
      <c r="BC29">
        <f>BC28+IF(AND('Lists'!$BC$29&lt;&gt;"",ISNUMBER(SEARCH($J$4,'Lists'!$BC$29))),1,0)</f>
        <v/>
      </c>
      <c r="BD29">
        <f>IF(ROW()-3&gt;MAX($BC$4:$BC$42),"",INDEX('Lists'!$BC$4:$BC$42,MATCH(ROW()-3,$BC$4:$BC$42,0)))</f>
        <v/>
      </c>
      <c r="BE29">
        <f>BE28+IF(AND('Lists'!$BH$29&lt;&gt;"",ISNUMBER(SEARCH($K$4,'Lists'!$BH$29))),1,0)</f>
        <v/>
      </c>
      <c r="BF29">
        <f>IF(ROW()-3&gt;MAX($BE$4:$BE$42),"",INDEX('Lists'!$BH$4:$BH$42,MATCH(ROW()-3,$BE$4:$BE$42,0)))</f>
        <v/>
      </c>
      <c r="BG29">
        <f>BG28+IF(AND('Lists'!$BM$29&lt;&gt;"",ISNUMBER(SEARCH($L$4,'Lists'!$BM$29))),1,0)</f>
        <v/>
      </c>
      <c r="BH29">
        <f>IF(ROW()-3&gt;MAX($BG$4:$BG$42),"",INDEX('Lists'!$BM$4:$BM$42,MATCH(ROW()-3,$BG$4:$BG$42,0)))</f>
        <v/>
      </c>
      <c r="BI29">
        <f>BI28+IF(AND('Lists'!$BR$29&lt;&gt;"",ISNUMBER(SEARCH($M$4,'Lists'!$BR$29))),1,0)</f>
        <v/>
      </c>
      <c r="BJ29">
        <f>IF(ROW()-3&gt;MAX($BI$4:$BI$42),"",INDEX('Lists'!$BR$4:$BR$42,MATCH(ROW()-3,$BI$4:$BI$42,0)))</f>
        <v/>
      </c>
      <c r="BK29">
        <f>BK28+IF(AND('Lists'!$BW$29&lt;&gt;"",ISNUMBER(SEARCH($N$4,'Lists'!$BW$29))),1,0)</f>
        <v/>
      </c>
      <c r="BL29">
        <f>IF(ROW()-3&gt;MAX($BK$4:$BK$42),"",INDEX('Lists'!$BW$4:$BW$42,MATCH(ROW()-3,$BK$4:$BK$42,0)))</f>
        <v/>
      </c>
      <c r="BM29">
        <f>BM28+IF(AND('Lists'!$CB$29&lt;&gt;"",ISNUMBER(SEARCH($O$4,'Lists'!$CB$29))),1,0)</f>
        <v/>
      </c>
      <c r="BN29">
        <f>IF(ROW()-3&gt;MAX($BM$4:$BM$42),"",INDEX('Lists'!$CB$4:$CB$42,MATCH(ROW()-3,$BM$4:$BM$42,0)))</f>
        <v/>
      </c>
      <c r="BO29">
        <f>BO28+IF(AND('Lists'!$CG$29&lt;&gt;"",ISNUMBER(SEARCH($P$4,'Lists'!$CG$29))),1,0)</f>
        <v/>
      </c>
      <c r="BP29">
        <f>IF(ROW()-3&gt;MAX($BO$4:$BO$42),"",INDEX('Lists'!$CG$4:$CG$42,MATCH(ROW()-3,$BO$4:$BO$42,0)))</f>
        <v/>
      </c>
      <c r="BQ29">
        <f>BQ28+IF(AND('Lists'!$CL$29&lt;&gt;"",ISNUMBER(SEARCH($Q$4,'Lists'!$CL$29))),1,0)</f>
        <v/>
      </c>
      <c r="BR29">
        <f>IF(ROW()-3&gt;MAX($BQ$4:$BQ$42),"",INDEX('Lists'!$CL$4:$CL$42,MATCH(ROW()-3,$BQ$4:$BQ$42,0)))</f>
        <v/>
      </c>
      <c r="BS29">
        <f>BS28+IF(AND('Lists'!$CQ$29&lt;&gt;"",ISNUMBER(SEARCH($R$4,'Lists'!$CQ$29))),1,0)</f>
        <v/>
      </c>
      <c r="BT29">
        <f>IF(ROW()-3&gt;MAX($BS$4:$BS$42),"",INDEX('Lists'!$CQ$4:$CQ$42,MATCH(ROW()-3,$BS$4:$BS$42,0)))</f>
        <v/>
      </c>
      <c r="BU29">
        <f>BU28+IF(AND('Lists'!$CV$29&lt;&gt;"",ISNUMBER(SEARCH($S$4,'Lists'!$CV$29))),1,0)</f>
        <v/>
      </c>
      <c r="BV29">
        <f>IF(ROW()-3&gt;MAX($BU$4:$BU$42),"",INDEX('Lists'!$CV$4:$CV$42,MATCH(ROW()-3,$BU$4:$BU$42,0)))</f>
        <v/>
      </c>
      <c r="BW29">
        <f>BW28+IF(AND('Lists'!$DA$29&lt;&gt;"",ISNUMBER(SEARCH($T$4,'Lists'!$DA$29))),1,0)</f>
        <v/>
      </c>
      <c r="BX29">
        <f>IF(ROW()-3&gt;MAX($BW$4:$BW$42),"",INDEX('Lists'!$DA$4:$DA$42,MATCH(ROW()-3,$BW$4:$BW$42,0)))</f>
        <v/>
      </c>
      <c r="BY29">
        <f>BY28+IF(AND('Lists'!$DF$29&lt;&gt;"",ISNUMBER(SEARCH($U$4,'Lists'!$DF$29))),1,0)</f>
        <v/>
      </c>
      <c r="BZ29">
        <f>IF(ROW()-3&gt;MAX($BY$4:$BY$42),"",INDEX('Lists'!$DF$4:$DF$42,MATCH(ROW()-3,$BY$4:$BY$42,0)))</f>
        <v/>
      </c>
      <c r="CA29">
        <f>CA28+IF(AND('Lists'!$DK$29&lt;&gt;"",ISNUMBER(SEARCH($V$4,'Lists'!$DK$29))),1,0)</f>
        <v/>
      </c>
      <c r="CB29">
        <f>IF(ROW()-3&gt;MAX($CA$4:$CA$42),"",INDEX('Lists'!$DK$4:$DK$42,MATCH(ROW()-3,$CA$4:$CA$42,0)))</f>
        <v/>
      </c>
      <c r="CC29">
        <f>CC28+IF(AND('Lists'!$DP$29&lt;&gt;"",ISNUMBER(SEARCH($W$4,'Lists'!$DP$29))),1,0)</f>
        <v/>
      </c>
      <c r="CD29">
        <f>IF(ROW()-3&gt;MAX($CC$4:$CC$42),"",INDEX('Lists'!$DP$4:$DP$42,MATCH(ROW()-3,$CC$4:$CC$42,0)))</f>
        <v/>
      </c>
      <c r="CE29">
        <f>CE28+IF(AND('Lists'!$DU$29&lt;&gt;"",ISNUMBER(SEARCH($X$4,'Lists'!$DU$29))),1,0)</f>
        <v/>
      </c>
      <c r="CF29">
        <f>IF(ROW()-3&gt;MAX($CE$4:$CE$42),"",INDEX('Lists'!$DU$4:$DU$42,MATCH(ROW()-3,$CE$4:$CE$42,0)))</f>
        <v/>
      </c>
      <c r="CG29">
        <f>CG28+IF(AND('Lists'!$DZ$29&lt;&gt;"",ISNUMBER(SEARCH($Y$4,'Lists'!$DZ$29))),1,0)</f>
        <v/>
      </c>
      <c r="CH29">
        <f>IF(ROW()-3&gt;MAX($CG$4:$CG$42),"",INDEX('Lists'!$DZ$4:$DZ$42,MATCH(ROW()-3,$CG$4:$CG$42,0)))</f>
        <v/>
      </c>
      <c r="CI29">
        <f>CI28+IF(AND('Lists'!$EE$29&lt;&gt;"",ISNUMBER(SEARCH($Z$4,'Lists'!$EE$29))),1,0)</f>
        <v/>
      </c>
      <c r="CJ29">
        <f>IF(ROW()-3&gt;MAX($CI$4:$CI$42),"",INDEX('Lists'!$EE$4:$EE$42,MATCH(ROW()-3,$CI$4:$CI$42,0)))</f>
        <v/>
      </c>
      <c r="CK29">
        <f>CK28+IF(AND('Lists'!$EJ$29&lt;&gt;"",ISNUMBER(SEARCH($AA$4,'Lists'!$EJ$29))),1,0)</f>
        <v/>
      </c>
      <c r="CL29">
        <f>IF(ROW()-3&gt;MAX($CK$4:$CK$42),"",INDEX('Lists'!$EJ$4:$EJ$42,MATCH(ROW()-3,$CK$4:$CK$42,0)))</f>
        <v/>
      </c>
      <c r="CM29">
        <f>CM28+IF(AND('Lists'!$EO$29&lt;&gt;"",ISNUMBER(SEARCH($AB$4,'Lists'!$EO$29))),1,0)</f>
        <v/>
      </c>
      <c r="CN29">
        <f>IF(ROW()-3&gt;MAX($CM$4:$CM$42),"",INDEX('Lists'!$EO$4:$EO$42,MATCH(ROW()-3,$CM$4:$CM$42,0)))</f>
        <v/>
      </c>
      <c r="CO29">
        <f>CO28+IF(AND('Lists'!$ET$29&lt;&gt;"",ISNUMBER(SEARCH($AC$4,'Lists'!$ET$29))),1,0)</f>
        <v/>
      </c>
      <c r="CP29">
        <f>IF(ROW()-3&gt;MAX($CO$4:$CO$42),"",INDEX('Lists'!$ET$4:$ET$42,MATCH(ROW()-3,$CO$4:$CO$42,0)))</f>
        <v/>
      </c>
      <c r="CQ29">
        <f>CQ28+IF(AND('Lists'!$EY$29&lt;&gt;"",ISNUMBER(SEARCH($AD$4,'Lists'!$EY$29))),1,0)</f>
        <v/>
      </c>
      <c r="CR29">
        <f>IF(ROW()-3&gt;MAX($CQ$4:$CQ$42),"",INDEX('Lists'!$EY$4:$EY$42,MATCH(ROW()-3,$CQ$4:$CQ$42,0)))</f>
        <v/>
      </c>
      <c r="CS29">
        <f>CS28+IF(AND('Lists'!$FD$29&lt;&gt;"",ISNUMBER(SEARCH($AE$4,'Lists'!$FD$29))),1,0)</f>
        <v/>
      </c>
      <c r="CT29">
        <f>IF(ROW()-3&gt;MAX($CS$4:$CS$42),"",INDEX('Lists'!$FD$4:$FD$42,MATCH(ROW()-3,$CS$4:$CS$42,0)))</f>
        <v/>
      </c>
      <c r="CU29">
        <f>CU28+IF(AND('Lists'!$FI$29&lt;&gt;"",ISNUMBER(SEARCH($AF$4,'Lists'!$FI$29))),1,0)</f>
        <v/>
      </c>
      <c r="CV29">
        <f>IF(ROW()-3&gt;MAX($CU$4:$CU$42),"",INDEX('Lists'!$FI$4:$FI$42,MATCH(ROW()-3,$CU$4:$CU$42,0)))</f>
        <v/>
      </c>
      <c r="CW29">
        <f>CW28+IF(AND('Lists'!$FN$29&lt;&gt;"",ISNUMBER(SEARCH($AG$4,'Lists'!$FN$29))),1,0)</f>
        <v/>
      </c>
      <c r="CX29">
        <f>IF(ROW()-3&gt;MAX($CW$4:$CW$42),"",INDEX('Lists'!$FN$4:$FN$42,MATCH(ROW()-3,$CW$4:$CW$42,0)))</f>
        <v/>
      </c>
      <c r="CY29">
        <f>CY28+IF(AND('Lists'!$FS$29&lt;&gt;"",ISNUMBER(SEARCH($AH$4,'Lists'!$FS$29))),1,0)</f>
        <v/>
      </c>
      <c r="CZ29">
        <f>IF(ROW()-3&gt;MAX($CY$4:$CY$42),"",INDEX('Lists'!$FS$4:$FS$42,MATCH(ROW()-3,$CY$4:$CY$42,0)))</f>
        <v/>
      </c>
      <c r="DA29">
        <f>DA28+IF(AND('Lists'!$FX$29&lt;&gt;"",ISNUMBER(SEARCH($AI$4,'Lists'!$FX$29))),1,0)</f>
        <v/>
      </c>
      <c r="DB29">
        <f>IF(ROW()-3&gt;MAX($DA$4:$DA$42),"",INDEX('Lists'!$FX$4:$FX$42,MATCH(ROW()-3,$DA$4:$DA$42,0)))</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c r="AJ30">
        <f>AND(IF($B$4="",TRUE,IF($B$4="(blank)",'Final Calculation Sheet'!$F$28="",IF($B$4="(nonblank)",'Final Calculation Sheet'!$F$28&lt;&gt;"",ISNUMBER(SEARCH($B$4,'Final Calculation Sheet'!$F$28))))),IF($C$4="",TRUE,IF($C$4="(blank)",'Final Calculation Sheet'!$G$28="",IF($C$4="(nonblank)",'Final Calculation Sheet'!$G$28&lt;&gt;"",ISNUMBER(SEARCH($C$4,'Final Calculation Sheet'!$G$28))))),IF($D$4="",TRUE,IF($D$4="(blank)",'Final Calculation Sheet'!$B$28="",IF($D$4="(nonblank)",'Final Calculation Sheet'!$B$28&lt;&gt;"",ISNUMBER(SEARCH($D$4,'Final Calculation Sheet'!$B$28))))),IF($E$4="",TRUE,IF($E$4="(blank)",'Final Calculation Sheet'!$D$28="",IF($E$4="(nonblank)",'Final Calculation Sheet'!$D$28&lt;&gt;"",ISNUMBER(SEARCH($E$4,'Final Calculation Sheet'!$D$28))))),IF($F$4="",TRUE,IF($F$4="(blank)",'Final Calculation Sheet'!$A$28="",IF($F$4="(nonblank)",'Final Calculation Sheet'!$A$28&lt;&gt;"",ISNUMBER(SEARCH($F$4,'Final Calculation Sheet'!$A$28))))),IF($G$4="",TRUE,IF($G$4="(blank)",'Final Calculation Sheet'!$E$28="",IF($G$4="(nonblank)",'Final Calculation Sheet'!$E$28&lt;&gt;"",ISNUMBER(SEARCH($G$4,'Final Calculation Sheet'!$E$28))))),IF($H$4="",TRUE,IF($H$4="(blank)",'Final Calculation Sheet'!$C$28="",IF($H$4="(nonblank)",'Final Calculation Sheet'!$C$28&lt;&gt;"",ISNUMBER(SEARCH($H$4,'Final Calculation Sheet'!$C$28))))),IF($I$4="",TRUE,IF($I$4="(blank)",'Final Calculation Sheet'!$H$28="",IF($I$4="(nonblank)",'Final Calculation Sheet'!$H$28&lt;&gt;"",ISNUMBER(SEARCH($I$4,'Final Calculation Sheet'!$H$28))))),IF($J$4="",TRUE,IF($J$4="(blank)",'Final Calculation Sheet'!$I$28="",IF($J$4="(nonblank)",'Final Calculation Sheet'!$I$28&lt;&gt;"",ISNUMBER(SEARCH($J$4,'Final Calculation Sheet'!$I$28))))),IF($K$4="",TRUE,IF($K$4="(blank)",'Final Calculation Sheet'!$J$28="",IF($K$4="(nonblank)",'Final Calculation Sheet'!$J$28&lt;&gt;"",ISNUMBER(SEARCH($K$4,'Final Calculation Sheet'!$J$28))))),IF($L$4="",TRUE,IF($L$4="(blank)",'Final Calculation Sheet'!$K$28="",IF($L$4="(nonblank)",'Final Calculation Sheet'!$K$28&lt;&gt;"",ISNUMBER(SEARCH($L$4,'Final Calculation Sheet'!$K$28))))),IF($M$4="",TRUE,IF($M$4="(blank)",'Final Calculation Sheet'!$L$28="",IF($M$4="(nonblank)",'Final Calculation Sheet'!$L$28&lt;&gt;"",ISNUMBER(SEARCH($M$4,'Final Calculation Sheet'!$L$28))))),IF($N$4="",TRUE,IF($N$4="(blank)",'Final Calculation Sheet'!$M$28="",IF($N$4="(nonblank)",'Final Calculation Sheet'!$M$28&lt;&gt;"",ISNUMBER(SEARCH($N$4,'Final Calculation Sheet'!$M$28))))),IF($O$4="",TRUE,IF($O$4="(blank)",'Final Calculation Sheet'!$N$28="",IF($O$4="(nonblank)",'Final Calculation Sheet'!$N$28&lt;&gt;"",ISNUMBER(SEARCH($O$4,'Final Calculation Sheet'!$N$28))))),IF($P$4="",TRUE,IF($P$4="(blank)",'Final Calculation Sheet'!$O$28="",IF($P$4="(nonblank)",'Final Calculation Sheet'!$O$28&lt;&gt;"",ISNUMBER(SEARCH($P$4,'Final Calculation Sheet'!$O$28))))),IF($Q$4="",TRUE,IF($Q$4="(blank)",'Final Calculation Sheet'!$P$28="",IF($Q$4="(nonblank)",'Final Calculation Sheet'!$P$28&lt;&gt;"",ISNUMBER(SEARCH($Q$4,'Final Calculation Sheet'!$P$28))))),IF($R$4="",TRUE,IF($R$4="(blank)",'Final Calculation Sheet'!$Q$28="",IF($R$4="(nonblank)",'Final Calculation Sheet'!$Q$28&lt;&gt;"",ISNUMBER(SEARCH($R$4,'Final Calculation Sheet'!$Q$28))))),IF($S$4="",TRUE,IF($S$4="(blank)",'Final Calculation Sheet'!$R$28="",IF($S$4="(nonblank)",'Final Calculation Sheet'!$R$28&lt;&gt;"",ISNUMBER(SEARCH($S$4,'Final Calculation Sheet'!$R$28))))),IF($T$4="",TRUE,IF($T$4="(blank)",'Final Calculation Sheet'!$S$28="",IF($T$4="(nonblank)",'Final Calculation Sheet'!$S$28&lt;&gt;"",ISNUMBER(SEARCH($T$4,'Final Calculation Sheet'!$S$28))))),IF($U$4="",TRUE,IF($U$4="(blank)",'Final Calculation Sheet'!$T$28="",IF($U$4="(nonblank)",'Final Calculation Sheet'!$T$28&lt;&gt;"",ISNUMBER(SEARCH($U$4,'Final Calculation Sheet'!$T$28))))),IF($V$4="",TRUE,IF($V$4="(blank)",'Final Calculation Sheet'!$U$28="",IF($V$4="(nonblank)",'Final Calculation Sheet'!$U$28&lt;&gt;"",ISNUMBER(SEARCH($V$4,'Final Calculation Sheet'!$U$28))))),IF($W$4="",TRUE,IF($W$4="(blank)",'Final Calculation Sheet'!$V$28="",IF($W$4="(nonblank)",'Final Calculation Sheet'!$V$28&lt;&gt;"",ISNUMBER(SEARCH($W$4,'Final Calculation Sheet'!$V$28))))),IF($X$4="",TRUE,IF($X$4="(blank)",'Final Calculation Sheet'!$W$28="",IF($X$4="(nonblank)",'Final Calculation Sheet'!$W$28&lt;&gt;"",ISNUMBER(SEARCH($X$4,'Final Calculation Sheet'!$W$28))))),IF($Y$4="",TRUE,IF($Y$4="(blank)",'Final Calculation Sheet'!$X$28="",IF($Y$4="(nonblank)",'Final Calculation Sheet'!$X$28&lt;&gt;"",ISNUMBER(SEARCH($Y$4,'Final Calculation Sheet'!$X$28))))),IF($Z$4="",TRUE,IF($Z$4="(blank)",'Final Calculation Sheet'!$Y$28="",IF($Z$4="(nonblank)",'Final Calculation Sheet'!$Y$28&lt;&gt;"",ISNUMBER(SEARCH($Z$4,'Final Calculation Sheet'!$Y$28))))),IF($AA$4="",TRUE,IF($AA$4="(blank)",'Final Calculation Sheet'!$Z$28="",IF($AA$4="(nonblank)",'Final Calculation Sheet'!$Z$28&lt;&gt;"",ISNUMBER(SEARCH($AA$4,'Final Calculation Sheet'!$Z$28))))),IF($AB$4="",TRUE,IF($AB$4="(blank)",'Final Calculation Sheet'!$AA$28="",IF($AB$4="(nonblank)",'Final Calculation Sheet'!$AA$28&lt;&gt;"",ISNUMBER(SEARCH($AB$4,'Final Calculation Sheet'!$AA$28))))),IF($AC$4="",TRUE,IF($AC$4="(blank)",'Final Calculation Sheet'!$AB$28="",IF($AC$4="(nonblank)",'Final Calculation Sheet'!$AB$28&lt;&gt;"",ISNUMBER(SEARCH($AC$4,'Final Calculation Sheet'!$AB$28))))),IF($AD$4="",TRUE,IF($AD$4="(blank)",'Final Calculation Sheet'!$AC$28="",IF($AD$4="(nonblank)",'Final Calculation Sheet'!$AC$28&lt;&gt;"",ISNUMBER(SEARCH($AD$4,'Final Calculation Sheet'!$AC$28))))),IF($AE$4="",TRUE,IF($AE$4="(blank)",'Final Calculation Sheet'!$AD$28="",IF($AE$4="(nonblank)",'Final Calculation Sheet'!$AD$28&lt;&gt;"",ISNUMBER(SEARCH($AE$4,'Final Calculation Sheet'!$AD$28))))),IF($AF$4="",TRUE,IF($AF$4="(blank)",'Final Calculation Sheet'!$AE$28="",IF($AF$4="(nonblank)",'Final Calculation Sheet'!$AE$28&lt;&gt;"",ISNUMBER(SEARCH($AF$4,'Final Calculation Sheet'!$AE$28))))),IF($AG$4="",TRUE,IF($AG$4="(blank)",'Final Calculation Sheet'!$AF$28="",IF($AG$4="(nonblank)",'Final Calculation Sheet'!$AF$28&lt;&gt;"",ISNUMBER(SEARCH($AG$4,'Final Calculation Sheet'!$AF$28))))),IF($AH$4="",TRUE,IF($AH$4="(blank)",'Final Calculation Sheet'!$AG$28="",IF($AH$4="(nonblank)",'Final Calculation Sheet'!$AG$28&lt;&gt;"",ISNUMBER(SEARCH($AH$4,'Final Calculation Sheet'!$AG$28))))),IF($AI$4="",TRUE,IF($AI$4="(blank)",IF('Final Calculation Sheet'!$AD$28&lt;=5,"SETTLED","OUTSTANDING")="",IF($AI$4="(nonblank)",IF('Final Calculation Sheet'!$AD$28&lt;=5,"SETTLED","OUTSTANDING")&lt;&gt;"",ISNUMBER(SEARCH($AI$4,IF('Final Calculation Sheet'!$AD$28&lt;=5,"SETTLED","OUTSTANDING")))))))</f>
        <v/>
      </c>
      <c r="AK30">
        <f>IF(AJ30=1,COUNTIF(AJ$6:AJ30,1),"")</f>
        <v/>
      </c>
      <c r="AM30">
        <f>AM29+IF(AND('Lists'!$O$30&lt;&gt;"",ISNUMBER(SEARCH($B$4,'Lists'!$O$30))),1,0)</f>
        <v/>
      </c>
      <c r="AN30">
        <f>IF(ROW()-3&gt;MAX($AM$4:$AM$42),"",INDEX('Lists'!$O$4:$O$42,MATCH(ROW()-3,$AM$4:$AM$42,0)))</f>
        <v/>
      </c>
      <c r="AO30">
        <f>AO29+IF(AND('Lists'!$T$30&lt;&gt;"",ISNUMBER(SEARCH($C$4,'Lists'!$T$30))),1,0)</f>
        <v/>
      </c>
      <c r="AP30">
        <f>IF(ROW()-3&gt;MAX($AO$4:$AO$42),"",INDEX('Lists'!$T$4:$T$42,MATCH(ROW()-3,$AO$4:$AO$42,0)))</f>
        <v/>
      </c>
      <c r="AQ30">
        <f>AQ29+IF(AND('Lists'!$Y$30&lt;&gt;"",ISNUMBER(SEARCH($D$4,'Lists'!$Y$30))),1,0)</f>
        <v/>
      </c>
      <c r="AR30">
        <f>IF(ROW()-3&gt;MAX($AQ$4:$AQ$42),"",INDEX('Lists'!$Y$4:$Y$42,MATCH(ROW()-3,$AQ$4:$AQ$42,0)))</f>
        <v/>
      </c>
      <c r="AS30">
        <f>AS29+IF(AND('Lists'!$AD$30&lt;&gt;"",ISNUMBER(SEARCH($E$4,'Lists'!$AD$30))),1,0)</f>
        <v/>
      </c>
      <c r="AT30">
        <f>IF(ROW()-3&gt;MAX($AS$4:$AS$42),"",INDEX('Lists'!$AD$4:$AD$42,MATCH(ROW()-3,$AS$4:$AS$42,0)))</f>
        <v/>
      </c>
      <c r="AU30">
        <f>AU29+IF(AND('Lists'!$AI$30&lt;&gt;"",ISNUMBER(SEARCH($F$4,'Lists'!$AI$30))),1,0)</f>
        <v/>
      </c>
      <c r="AV30">
        <f>IF(ROW()-3&gt;MAX($AU$4:$AU$42),"",INDEX('Lists'!$AI$4:$AI$42,MATCH(ROW()-3,$AU$4:$AU$42,0)))</f>
        <v/>
      </c>
      <c r="AW30">
        <f>AW29+IF(AND('Lists'!$AN$30&lt;&gt;"",ISNUMBER(SEARCH($G$4,'Lists'!$AN$30))),1,0)</f>
        <v/>
      </c>
      <c r="AX30">
        <f>IF(ROW()-3&gt;MAX($AW$4:$AW$42),"",INDEX('Lists'!$AN$4:$AN$42,MATCH(ROW()-3,$AW$4:$AW$42,0)))</f>
        <v/>
      </c>
      <c r="AY30">
        <f>AY29+IF(AND('Lists'!$AS$30&lt;&gt;"",ISNUMBER(SEARCH($H$4,'Lists'!$AS$30))),1,0)</f>
        <v/>
      </c>
      <c r="AZ30">
        <f>IF(ROW()-3&gt;MAX($AY$4:$AY$42),"",INDEX('Lists'!$AS$4:$AS$42,MATCH(ROW()-3,$AY$4:$AY$42,0)))</f>
        <v/>
      </c>
      <c r="BA30">
        <f>BA29+IF(AND('Lists'!$AX$30&lt;&gt;"",ISNUMBER(SEARCH($I$4,'Lists'!$AX$30))),1,0)</f>
        <v/>
      </c>
      <c r="BB30">
        <f>IF(ROW()-3&gt;MAX($BA$4:$BA$42),"",INDEX('Lists'!$AX$4:$AX$42,MATCH(ROW()-3,$BA$4:$BA$42,0)))</f>
        <v/>
      </c>
      <c r="BC30">
        <f>BC29+IF(AND('Lists'!$BC$30&lt;&gt;"",ISNUMBER(SEARCH($J$4,'Lists'!$BC$30))),1,0)</f>
        <v/>
      </c>
      <c r="BD30">
        <f>IF(ROW()-3&gt;MAX($BC$4:$BC$42),"",INDEX('Lists'!$BC$4:$BC$42,MATCH(ROW()-3,$BC$4:$BC$42,0)))</f>
        <v/>
      </c>
      <c r="BE30">
        <f>BE29+IF(AND('Lists'!$BH$30&lt;&gt;"",ISNUMBER(SEARCH($K$4,'Lists'!$BH$30))),1,0)</f>
        <v/>
      </c>
      <c r="BF30">
        <f>IF(ROW()-3&gt;MAX($BE$4:$BE$42),"",INDEX('Lists'!$BH$4:$BH$42,MATCH(ROW()-3,$BE$4:$BE$42,0)))</f>
        <v/>
      </c>
      <c r="BG30">
        <f>BG29+IF(AND('Lists'!$BM$30&lt;&gt;"",ISNUMBER(SEARCH($L$4,'Lists'!$BM$30))),1,0)</f>
        <v/>
      </c>
      <c r="BH30">
        <f>IF(ROW()-3&gt;MAX($BG$4:$BG$42),"",INDEX('Lists'!$BM$4:$BM$42,MATCH(ROW()-3,$BG$4:$BG$42,0)))</f>
        <v/>
      </c>
      <c r="BI30">
        <f>BI29+IF(AND('Lists'!$BR$30&lt;&gt;"",ISNUMBER(SEARCH($M$4,'Lists'!$BR$30))),1,0)</f>
        <v/>
      </c>
      <c r="BJ30">
        <f>IF(ROW()-3&gt;MAX($BI$4:$BI$42),"",INDEX('Lists'!$BR$4:$BR$42,MATCH(ROW()-3,$BI$4:$BI$42,0)))</f>
        <v/>
      </c>
      <c r="BK30">
        <f>BK29+IF(AND('Lists'!$BW$30&lt;&gt;"",ISNUMBER(SEARCH($N$4,'Lists'!$BW$30))),1,0)</f>
        <v/>
      </c>
      <c r="BL30">
        <f>IF(ROW()-3&gt;MAX($BK$4:$BK$42),"",INDEX('Lists'!$BW$4:$BW$42,MATCH(ROW()-3,$BK$4:$BK$42,0)))</f>
        <v/>
      </c>
      <c r="BM30">
        <f>BM29+IF(AND('Lists'!$CB$30&lt;&gt;"",ISNUMBER(SEARCH($O$4,'Lists'!$CB$30))),1,0)</f>
        <v/>
      </c>
      <c r="BN30">
        <f>IF(ROW()-3&gt;MAX($BM$4:$BM$42),"",INDEX('Lists'!$CB$4:$CB$42,MATCH(ROW()-3,$BM$4:$BM$42,0)))</f>
        <v/>
      </c>
      <c r="BO30">
        <f>BO29+IF(AND('Lists'!$CG$30&lt;&gt;"",ISNUMBER(SEARCH($P$4,'Lists'!$CG$30))),1,0)</f>
        <v/>
      </c>
      <c r="BP30">
        <f>IF(ROW()-3&gt;MAX($BO$4:$BO$42),"",INDEX('Lists'!$CG$4:$CG$42,MATCH(ROW()-3,$BO$4:$BO$42,0)))</f>
        <v/>
      </c>
      <c r="BQ30">
        <f>BQ29+IF(AND('Lists'!$CL$30&lt;&gt;"",ISNUMBER(SEARCH($Q$4,'Lists'!$CL$30))),1,0)</f>
        <v/>
      </c>
      <c r="BR30">
        <f>IF(ROW()-3&gt;MAX($BQ$4:$BQ$42),"",INDEX('Lists'!$CL$4:$CL$42,MATCH(ROW()-3,$BQ$4:$BQ$42,0)))</f>
        <v/>
      </c>
      <c r="BS30">
        <f>BS29+IF(AND('Lists'!$CQ$30&lt;&gt;"",ISNUMBER(SEARCH($R$4,'Lists'!$CQ$30))),1,0)</f>
        <v/>
      </c>
      <c r="BT30">
        <f>IF(ROW()-3&gt;MAX($BS$4:$BS$42),"",INDEX('Lists'!$CQ$4:$CQ$42,MATCH(ROW()-3,$BS$4:$BS$42,0)))</f>
        <v/>
      </c>
      <c r="BU30">
        <f>BU29+IF(AND('Lists'!$CV$30&lt;&gt;"",ISNUMBER(SEARCH($S$4,'Lists'!$CV$30))),1,0)</f>
        <v/>
      </c>
      <c r="BV30">
        <f>IF(ROW()-3&gt;MAX($BU$4:$BU$42),"",INDEX('Lists'!$CV$4:$CV$42,MATCH(ROW()-3,$BU$4:$BU$42,0)))</f>
        <v/>
      </c>
      <c r="BW30">
        <f>BW29+IF(AND('Lists'!$DA$30&lt;&gt;"",ISNUMBER(SEARCH($T$4,'Lists'!$DA$30))),1,0)</f>
        <v/>
      </c>
      <c r="BX30">
        <f>IF(ROW()-3&gt;MAX($BW$4:$BW$42),"",INDEX('Lists'!$DA$4:$DA$42,MATCH(ROW()-3,$BW$4:$BW$42,0)))</f>
        <v/>
      </c>
      <c r="BY30">
        <f>BY29+IF(AND('Lists'!$DF$30&lt;&gt;"",ISNUMBER(SEARCH($U$4,'Lists'!$DF$30))),1,0)</f>
        <v/>
      </c>
      <c r="BZ30">
        <f>IF(ROW()-3&gt;MAX($BY$4:$BY$42),"",INDEX('Lists'!$DF$4:$DF$42,MATCH(ROW()-3,$BY$4:$BY$42,0)))</f>
        <v/>
      </c>
      <c r="CA30">
        <f>CA29+IF(AND('Lists'!$DK$30&lt;&gt;"",ISNUMBER(SEARCH($V$4,'Lists'!$DK$30))),1,0)</f>
        <v/>
      </c>
      <c r="CB30">
        <f>IF(ROW()-3&gt;MAX($CA$4:$CA$42),"",INDEX('Lists'!$DK$4:$DK$42,MATCH(ROW()-3,$CA$4:$CA$42,0)))</f>
        <v/>
      </c>
      <c r="CC30">
        <f>CC29+IF(AND('Lists'!$DP$30&lt;&gt;"",ISNUMBER(SEARCH($W$4,'Lists'!$DP$30))),1,0)</f>
        <v/>
      </c>
      <c r="CD30">
        <f>IF(ROW()-3&gt;MAX($CC$4:$CC$42),"",INDEX('Lists'!$DP$4:$DP$42,MATCH(ROW()-3,$CC$4:$CC$42,0)))</f>
        <v/>
      </c>
      <c r="CE30">
        <f>CE29+IF(AND('Lists'!$DU$30&lt;&gt;"",ISNUMBER(SEARCH($X$4,'Lists'!$DU$30))),1,0)</f>
        <v/>
      </c>
      <c r="CF30">
        <f>IF(ROW()-3&gt;MAX($CE$4:$CE$42),"",INDEX('Lists'!$DU$4:$DU$42,MATCH(ROW()-3,$CE$4:$CE$42,0)))</f>
        <v/>
      </c>
      <c r="CG30">
        <f>CG29+IF(AND('Lists'!$DZ$30&lt;&gt;"",ISNUMBER(SEARCH($Y$4,'Lists'!$DZ$30))),1,0)</f>
        <v/>
      </c>
      <c r="CH30">
        <f>IF(ROW()-3&gt;MAX($CG$4:$CG$42),"",INDEX('Lists'!$DZ$4:$DZ$42,MATCH(ROW()-3,$CG$4:$CG$42,0)))</f>
        <v/>
      </c>
      <c r="CI30">
        <f>CI29+IF(AND('Lists'!$EE$30&lt;&gt;"",ISNUMBER(SEARCH($Z$4,'Lists'!$EE$30))),1,0)</f>
        <v/>
      </c>
      <c r="CJ30">
        <f>IF(ROW()-3&gt;MAX($CI$4:$CI$42),"",INDEX('Lists'!$EE$4:$EE$42,MATCH(ROW()-3,$CI$4:$CI$42,0)))</f>
        <v/>
      </c>
      <c r="CK30">
        <f>CK29+IF(AND('Lists'!$EJ$30&lt;&gt;"",ISNUMBER(SEARCH($AA$4,'Lists'!$EJ$30))),1,0)</f>
        <v/>
      </c>
      <c r="CL30">
        <f>IF(ROW()-3&gt;MAX($CK$4:$CK$42),"",INDEX('Lists'!$EJ$4:$EJ$42,MATCH(ROW()-3,$CK$4:$CK$42,0)))</f>
        <v/>
      </c>
      <c r="CM30">
        <f>CM29+IF(AND('Lists'!$EO$30&lt;&gt;"",ISNUMBER(SEARCH($AB$4,'Lists'!$EO$30))),1,0)</f>
        <v/>
      </c>
      <c r="CN30">
        <f>IF(ROW()-3&gt;MAX($CM$4:$CM$42),"",INDEX('Lists'!$EO$4:$EO$42,MATCH(ROW()-3,$CM$4:$CM$42,0)))</f>
        <v/>
      </c>
      <c r="CO30">
        <f>CO29+IF(AND('Lists'!$ET$30&lt;&gt;"",ISNUMBER(SEARCH($AC$4,'Lists'!$ET$30))),1,0)</f>
        <v/>
      </c>
      <c r="CP30">
        <f>IF(ROW()-3&gt;MAX($CO$4:$CO$42),"",INDEX('Lists'!$ET$4:$ET$42,MATCH(ROW()-3,$CO$4:$CO$42,0)))</f>
        <v/>
      </c>
      <c r="CQ30">
        <f>CQ29+IF(AND('Lists'!$EY$30&lt;&gt;"",ISNUMBER(SEARCH($AD$4,'Lists'!$EY$30))),1,0)</f>
        <v/>
      </c>
      <c r="CR30">
        <f>IF(ROW()-3&gt;MAX($CQ$4:$CQ$42),"",INDEX('Lists'!$EY$4:$EY$42,MATCH(ROW()-3,$CQ$4:$CQ$42,0)))</f>
        <v/>
      </c>
      <c r="CS30">
        <f>CS29+IF(AND('Lists'!$FD$30&lt;&gt;"",ISNUMBER(SEARCH($AE$4,'Lists'!$FD$30))),1,0)</f>
        <v/>
      </c>
      <c r="CT30">
        <f>IF(ROW()-3&gt;MAX($CS$4:$CS$42),"",INDEX('Lists'!$FD$4:$FD$42,MATCH(ROW()-3,$CS$4:$CS$42,0)))</f>
        <v/>
      </c>
      <c r="CU30">
        <f>CU29+IF(AND('Lists'!$FI$30&lt;&gt;"",ISNUMBER(SEARCH($AF$4,'Lists'!$FI$30))),1,0)</f>
        <v/>
      </c>
      <c r="CV30">
        <f>IF(ROW()-3&gt;MAX($CU$4:$CU$42),"",INDEX('Lists'!$FI$4:$FI$42,MATCH(ROW()-3,$CU$4:$CU$42,0)))</f>
        <v/>
      </c>
      <c r="CW30">
        <f>CW29+IF(AND('Lists'!$FN$30&lt;&gt;"",ISNUMBER(SEARCH($AG$4,'Lists'!$FN$30))),1,0)</f>
        <v/>
      </c>
      <c r="CX30">
        <f>IF(ROW()-3&gt;MAX($CW$4:$CW$42),"",INDEX('Lists'!$FN$4:$FN$42,MATCH(ROW()-3,$CW$4:$CW$42,0)))</f>
        <v/>
      </c>
      <c r="CY30">
        <f>CY29+IF(AND('Lists'!$FS$30&lt;&gt;"",ISNUMBER(SEARCH($AH$4,'Lists'!$FS$30))),1,0)</f>
        <v/>
      </c>
      <c r="CZ30">
        <f>IF(ROW()-3&gt;MAX($CY$4:$CY$42),"",INDEX('Lists'!$FS$4:$FS$42,MATCH(ROW()-3,$CY$4:$CY$42,0)))</f>
        <v/>
      </c>
      <c r="DA30">
        <f>DA29+IF(AND('Lists'!$FX$30&lt;&gt;"",ISNUMBER(SEARCH($AI$4,'Lists'!$FX$30))),1,0)</f>
        <v/>
      </c>
      <c r="DB30">
        <f>IF(ROW()-3&gt;MAX($DA$4:$DA$42),"",INDEX('Lists'!$FX$4:$FX$42,MATCH(ROW()-3,$DA$4:$DA$42,0)))</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c r="AJ31">
        <f>AND(IF($B$4="",TRUE,IF($B$4="(blank)",'Final Calculation Sheet'!$F$29="",IF($B$4="(nonblank)",'Final Calculation Sheet'!$F$29&lt;&gt;"",ISNUMBER(SEARCH($B$4,'Final Calculation Sheet'!$F$29))))),IF($C$4="",TRUE,IF($C$4="(blank)",'Final Calculation Sheet'!$G$29="",IF($C$4="(nonblank)",'Final Calculation Sheet'!$G$29&lt;&gt;"",ISNUMBER(SEARCH($C$4,'Final Calculation Sheet'!$G$29))))),IF($D$4="",TRUE,IF($D$4="(blank)",'Final Calculation Sheet'!$B$29="",IF($D$4="(nonblank)",'Final Calculation Sheet'!$B$29&lt;&gt;"",ISNUMBER(SEARCH($D$4,'Final Calculation Sheet'!$B$29))))),IF($E$4="",TRUE,IF($E$4="(blank)",'Final Calculation Sheet'!$D$29="",IF($E$4="(nonblank)",'Final Calculation Sheet'!$D$29&lt;&gt;"",ISNUMBER(SEARCH($E$4,'Final Calculation Sheet'!$D$29))))),IF($F$4="",TRUE,IF($F$4="(blank)",'Final Calculation Sheet'!$A$29="",IF($F$4="(nonblank)",'Final Calculation Sheet'!$A$29&lt;&gt;"",ISNUMBER(SEARCH($F$4,'Final Calculation Sheet'!$A$29))))),IF($G$4="",TRUE,IF($G$4="(blank)",'Final Calculation Sheet'!$E$29="",IF($G$4="(nonblank)",'Final Calculation Sheet'!$E$29&lt;&gt;"",ISNUMBER(SEARCH($G$4,'Final Calculation Sheet'!$E$29))))),IF($H$4="",TRUE,IF($H$4="(blank)",'Final Calculation Sheet'!$C$29="",IF($H$4="(nonblank)",'Final Calculation Sheet'!$C$29&lt;&gt;"",ISNUMBER(SEARCH($H$4,'Final Calculation Sheet'!$C$29))))),IF($I$4="",TRUE,IF($I$4="(blank)",'Final Calculation Sheet'!$H$29="",IF($I$4="(nonblank)",'Final Calculation Sheet'!$H$29&lt;&gt;"",ISNUMBER(SEARCH($I$4,'Final Calculation Sheet'!$H$29))))),IF($J$4="",TRUE,IF($J$4="(blank)",'Final Calculation Sheet'!$I$29="",IF($J$4="(nonblank)",'Final Calculation Sheet'!$I$29&lt;&gt;"",ISNUMBER(SEARCH($J$4,'Final Calculation Sheet'!$I$29))))),IF($K$4="",TRUE,IF($K$4="(blank)",'Final Calculation Sheet'!$J$29="",IF($K$4="(nonblank)",'Final Calculation Sheet'!$J$29&lt;&gt;"",ISNUMBER(SEARCH($K$4,'Final Calculation Sheet'!$J$29))))),IF($L$4="",TRUE,IF($L$4="(blank)",'Final Calculation Sheet'!$K$29="",IF($L$4="(nonblank)",'Final Calculation Sheet'!$K$29&lt;&gt;"",ISNUMBER(SEARCH($L$4,'Final Calculation Sheet'!$K$29))))),IF($M$4="",TRUE,IF($M$4="(blank)",'Final Calculation Sheet'!$L$29="",IF($M$4="(nonblank)",'Final Calculation Sheet'!$L$29&lt;&gt;"",ISNUMBER(SEARCH($M$4,'Final Calculation Sheet'!$L$29))))),IF($N$4="",TRUE,IF($N$4="(blank)",'Final Calculation Sheet'!$M$29="",IF($N$4="(nonblank)",'Final Calculation Sheet'!$M$29&lt;&gt;"",ISNUMBER(SEARCH($N$4,'Final Calculation Sheet'!$M$29))))),IF($O$4="",TRUE,IF($O$4="(blank)",'Final Calculation Sheet'!$N$29="",IF($O$4="(nonblank)",'Final Calculation Sheet'!$N$29&lt;&gt;"",ISNUMBER(SEARCH($O$4,'Final Calculation Sheet'!$N$29))))),IF($P$4="",TRUE,IF($P$4="(blank)",'Final Calculation Sheet'!$O$29="",IF($P$4="(nonblank)",'Final Calculation Sheet'!$O$29&lt;&gt;"",ISNUMBER(SEARCH($P$4,'Final Calculation Sheet'!$O$29))))),IF($Q$4="",TRUE,IF($Q$4="(blank)",'Final Calculation Sheet'!$P$29="",IF($Q$4="(nonblank)",'Final Calculation Sheet'!$P$29&lt;&gt;"",ISNUMBER(SEARCH($Q$4,'Final Calculation Sheet'!$P$29))))),IF($R$4="",TRUE,IF($R$4="(blank)",'Final Calculation Sheet'!$Q$29="",IF($R$4="(nonblank)",'Final Calculation Sheet'!$Q$29&lt;&gt;"",ISNUMBER(SEARCH($R$4,'Final Calculation Sheet'!$Q$29))))),IF($S$4="",TRUE,IF($S$4="(blank)",'Final Calculation Sheet'!$R$29="",IF($S$4="(nonblank)",'Final Calculation Sheet'!$R$29&lt;&gt;"",ISNUMBER(SEARCH($S$4,'Final Calculation Sheet'!$R$29))))),IF($T$4="",TRUE,IF($T$4="(blank)",'Final Calculation Sheet'!$S$29="",IF($T$4="(nonblank)",'Final Calculation Sheet'!$S$29&lt;&gt;"",ISNUMBER(SEARCH($T$4,'Final Calculation Sheet'!$S$29))))),IF($U$4="",TRUE,IF($U$4="(blank)",'Final Calculation Sheet'!$T$29="",IF($U$4="(nonblank)",'Final Calculation Sheet'!$T$29&lt;&gt;"",ISNUMBER(SEARCH($U$4,'Final Calculation Sheet'!$T$29))))),IF($V$4="",TRUE,IF($V$4="(blank)",'Final Calculation Sheet'!$U$29="",IF($V$4="(nonblank)",'Final Calculation Sheet'!$U$29&lt;&gt;"",ISNUMBER(SEARCH($V$4,'Final Calculation Sheet'!$U$29))))),IF($W$4="",TRUE,IF($W$4="(blank)",'Final Calculation Sheet'!$V$29="",IF($W$4="(nonblank)",'Final Calculation Sheet'!$V$29&lt;&gt;"",ISNUMBER(SEARCH($W$4,'Final Calculation Sheet'!$V$29))))),IF($X$4="",TRUE,IF($X$4="(blank)",'Final Calculation Sheet'!$W$29="",IF($X$4="(nonblank)",'Final Calculation Sheet'!$W$29&lt;&gt;"",ISNUMBER(SEARCH($X$4,'Final Calculation Sheet'!$W$29))))),IF($Y$4="",TRUE,IF($Y$4="(blank)",'Final Calculation Sheet'!$X$29="",IF($Y$4="(nonblank)",'Final Calculation Sheet'!$X$29&lt;&gt;"",ISNUMBER(SEARCH($Y$4,'Final Calculation Sheet'!$X$29))))),IF($Z$4="",TRUE,IF($Z$4="(blank)",'Final Calculation Sheet'!$Y$29="",IF($Z$4="(nonblank)",'Final Calculation Sheet'!$Y$29&lt;&gt;"",ISNUMBER(SEARCH($Z$4,'Final Calculation Sheet'!$Y$29))))),IF($AA$4="",TRUE,IF($AA$4="(blank)",'Final Calculation Sheet'!$Z$29="",IF($AA$4="(nonblank)",'Final Calculation Sheet'!$Z$29&lt;&gt;"",ISNUMBER(SEARCH($AA$4,'Final Calculation Sheet'!$Z$29))))),IF($AB$4="",TRUE,IF($AB$4="(blank)",'Final Calculation Sheet'!$AA$29="",IF($AB$4="(nonblank)",'Final Calculation Sheet'!$AA$29&lt;&gt;"",ISNUMBER(SEARCH($AB$4,'Final Calculation Sheet'!$AA$29))))),IF($AC$4="",TRUE,IF($AC$4="(blank)",'Final Calculation Sheet'!$AB$29="",IF($AC$4="(nonblank)",'Final Calculation Sheet'!$AB$29&lt;&gt;"",ISNUMBER(SEARCH($AC$4,'Final Calculation Sheet'!$AB$29))))),IF($AD$4="",TRUE,IF($AD$4="(blank)",'Final Calculation Sheet'!$AC$29="",IF($AD$4="(nonblank)",'Final Calculation Sheet'!$AC$29&lt;&gt;"",ISNUMBER(SEARCH($AD$4,'Final Calculation Sheet'!$AC$29))))),IF($AE$4="",TRUE,IF($AE$4="(blank)",'Final Calculation Sheet'!$AD$29="",IF($AE$4="(nonblank)",'Final Calculation Sheet'!$AD$29&lt;&gt;"",ISNUMBER(SEARCH($AE$4,'Final Calculation Sheet'!$AD$29))))),IF($AF$4="",TRUE,IF($AF$4="(blank)",'Final Calculation Sheet'!$AE$29="",IF($AF$4="(nonblank)",'Final Calculation Sheet'!$AE$29&lt;&gt;"",ISNUMBER(SEARCH($AF$4,'Final Calculation Sheet'!$AE$29))))),IF($AG$4="",TRUE,IF($AG$4="(blank)",'Final Calculation Sheet'!$AF$29="",IF($AG$4="(nonblank)",'Final Calculation Sheet'!$AF$29&lt;&gt;"",ISNUMBER(SEARCH($AG$4,'Final Calculation Sheet'!$AF$29))))),IF($AH$4="",TRUE,IF($AH$4="(blank)",'Final Calculation Sheet'!$AG$29="",IF($AH$4="(nonblank)",'Final Calculation Sheet'!$AG$29&lt;&gt;"",ISNUMBER(SEARCH($AH$4,'Final Calculation Sheet'!$AG$29))))),IF($AI$4="",TRUE,IF($AI$4="(blank)",IF('Final Calculation Sheet'!$AD$29&lt;=5,"SETTLED","OUTSTANDING")="",IF($AI$4="(nonblank)",IF('Final Calculation Sheet'!$AD$29&lt;=5,"SETTLED","OUTSTANDING")&lt;&gt;"",ISNUMBER(SEARCH($AI$4,IF('Final Calculation Sheet'!$AD$29&lt;=5,"SETTLED","OUTSTANDING")))))))</f>
        <v/>
      </c>
      <c r="AK31">
        <f>IF(AJ31=1,COUNTIF(AJ$6:AJ31,1),"")</f>
        <v/>
      </c>
      <c r="AM31">
        <f>AM30+IF(AND('Lists'!$O$31&lt;&gt;"",ISNUMBER(SEARCH($B$4,'Lists'!$O$31))),1,0)</f>
        <v/>
      </c>
      <c r="AN31">
        <f>IF(ROW()-3&gt;MAX($AM$4:$AM$42),"",INDEX('Lists'!$O$4:$O$42,MATCH(ROW()-3,$AM$4:$AM$42,0)))</f>
        <v/>
      </c>
      <c r="AO31">
        <f>AO30+IF(AND('Lists'!$T$31&lt;&gt;"",ISNUMBER(SEARCH($C$4,'Lists'!$T$31))),1,0)</f>
        <v/>
      </c>
      <c r="AP31">
        <f>IF(ROW()-3&gt;MAX($AO$4:$AO$42),"",INDEX('Lists'!$T$4:$T$42,MATCH(ROW()-3,$AO$4:$AO$42,0)))</f>
        <v/>
      </c>
      <c r="AQ31">
        <f>AQ30+IF(AND('Lists'!$Y$31&lt;&gt;"",ISNUMBER(SEARCH($D$4,'Lists'!$Y$31))),1,0)</f>
        <v/>
      </c>
      <c r="AR31">
        <f>IF(ROW()-3&gt;MAX($AQ$4:$AQ$42),"",INDEX('Lists'!$Y$4:$Y$42,MATCH(ROW()-3,$AQ$4:$AQ$42,0)))</f>
        <v/>
      </c>
      <c r="AS31">
        <f>AS30+IF(AND('Lists'!$AD$31&lt;&gt;"",ISNUMBER(SEARCH($E$4,'Lists'!$AD$31))),1,0)</f>
        <v/>
      </c>
      <c r="AT31">
        <f>IF(ROW()-3&gt;MAX($AS$4:$AS$42),"",INDEX('Lists'!$AD$4:$AD$42,MATCH(ROW()-3,$AS$4:$AS$42,0)))</f>
        <v/>
      </c>
      <c r="AU31">
        <f>AU30+IF(AND('Lists'!$AI$31&lt;&gt;"",ISNUMBER(SEARCH($F$4,'Lists'!$AI$31))),1,0)</f>
        <v/>
      </c>
      <c r="AV31">
        <f>IF(ROW()-3&gt;MAX($AU$4:$AU$42),"",INDEX('Lists'!$AI$4:$AI$42,MATCH(ROW()-3,$AU$4:$AU$42,0)))</f>
        <v/>
      </c>
      <c r="AW31">
        <f>AW30+IF(AND('Lists'!$AN$31&lt;&gt;"",ISNUMBER(SEARCH($G$4,'Lists'!$AN$31))),1,0)</f>
        <v/>
      </c>
      <c r="AX31">
        <f>IF(ROW()-3&gt;MAX($AW$4:$AW$42),"",INDEX('Lists'!$AN$4:$AN$42,MATCH(ROW()-3,$AW$4:$AW$42,0)))</f>
        <v/>
      </c>
      <c r="AY31">
        <f>AY30+IF(AND('Lists'!$AS$31&lt;&gt;"",ISNUMBER(SEARCH($H$4,'Lists'!$AS$31))),1,0)</f>
        <v/>
      </c>
      <c r="AZ31">
        <f>IF(ROW()-3&gt;MAX($AY$4:$AY$42),"",INDEX('Lists'!$AS$4:$AS$42,MATCH(ROW()-3,$AY$4:$AY$42,0)))</f>
        <v/>
      </c>
      <c r="BA31">
        <f>BA30+IF(AND('Lists'!$AX$31&lt;&gt;"",ISNUMBER(SEARCH($I$4,'Lists'!$AX$31))),1,0)</f>
        <v/>
      </c>
      <c r="BB31">
        <f>IF(ROW()-3&gt;MAX($BA$4:$BA$42),"",INDEX('Lists'!$AX$4:$AX$42,MATCH(ROW()-3,$BA$4:$BA$42,0)))</f>
        <v/>
      </c>
      <c r="BC31">
        <f>BC30+IF(AND('Lists'!$BC$31&lt;&gt;"",ISNUMBER(SEARCH($J$4,'Lists'!$BC$31))),1,0)</f>
        <v/>
      </c>
      <c r="BD31">
        <f>IF(ROW()-3&gt;MAX($BC$4:$BC$42),"",INDEX('Lists'!$BC$4:$BC$42,MATCH(ROW()-3,$BC$4:$BC$42,0)))</f>
        <v/>
      </c>
      <c r="BE31">
        <f>BE30+IF(AND('Lists'!$BH$31&lt;&gt;"",ISNUMBER(SEARCH($K$4,'Lists'!$BH$31))),1,0)</f>
        <v/>
      </c>
      <c r="BF31">
        <f>IF(ROW()-3&gt;MAX($BE$4:$BE$42),"",INDEX('Lists'!$BH$4:$BH$42,MATCH(ROW()-3,$BE$4:$BE$42,0)))</f>
        <v/>
      </c>
      <c r="BG31">
        <f>BG30+IF(AND('Lists'!$BM$31&lt;&gt;"",ISNUMBER(SEARCH($L$4,'Lists'!$BM$31))),1,0)</f>
        <v/>
      </c>
      <c r="BH31">
        <f>IF(ROW()-3&gt;MAX($BG$4:$BG$42),"",INDEX('Lists'!$BM$4:$BM$42,MATCH(ROW()-3,$BG$4:$BG$42,0)))</f>
        <v/>
      </c>
      <c r="BI31">
        <f>BI30+IF(AND('Lists'!$BR$31&lt;&gt;"",ISNUMBER(SEARCH($M$4,'Lists'!$BR$31))),1,0)</f>
        <v/>
      </c>
      <c r="BJ31">
        <f>IF(ROW()-3&gt;MAX($BI$4:$BI$42),"",INDEX('Lists'!$BR$4:$BR$42,MATCH(ROW()-3,$BI$4:$BI$42,0)))</f>
        <v/>
      </c>
      <c r="BK31">
        <f>BK30+IF(AND('Lists'!$BW$31&lt;&gt;"",ISNUMBER(SEARCH($N$4,'Lists'!$BW$31))),1,0)</f>
        <v/>
      </c>
      <c r="BL31">
        <f>IF(ROW()-3&gt;MAX($BK$4:$BK$42),"",INDEX('Lists'!$BW$4:$BW$42,MATCH(ROW()-3,$BK$4:$BK$42,0)))</f>
        <v/>
      </c>
      <c r="BM31">
        <f>BM30+IF(AND('Lists'!$CB$31&lt;&gt;"",ISNUMBER(SEARCH($O$4,'Lists'!$CB$31))),1,0)</f>
        <v/>
      </c>
      <c r="BN31">
        <f>IF(ROW()-3&gt;MAX($BM$4:$BM$42),"",INDEX('Lists'!$CB$4:$CB$42,MATCH(ROW()-3,$BM$4:$BM$42,0)))</f>
        <v/>
      </c>
      <c r="BO31">
        <f>BO30+IF(AND('Lists'!$CG$31&lt;&gt;"",ISNUMBER(SEARCH($P$4,'Lists'!$CG$31))),1,0)</f>
        <v/>
      </c>
      <c r="BP31">
        <f>IF(ROW()-3&gt;MAX($BO$4:$BO$42),"",INDEX('Lists'!$CG$4:$CG$42,MATCH(ROW()-3,$BO$4:$BO$42,0)))</f>
        <v/>
      </c>
      <c r="BQ31">
        <f>BQ30+IF(AND('Lists'!$CL$31&lt;&gt;"",ISNUMBER(SEARCH($Q$4,'Lists'!$CL$31))),1,0)</f>
        <v/>
      </c>
      <c r="BR31">
        <f>IF(ROW()-3&gt;MAX($BQ$4:$BQ$42),"",INDEX('Lists'!$CL$4:$CL$42,MATCH(ROW()-3,$BQ$4:$BQ$42,0)))</f>
        <v/>
      </c>
      <c r="BS31">
        <f>BS30+IF(AND('Lists'!$CQ$31&lt;&gt;"",ISNUMBER(SEARCH($R$4,'Lists'!$CQ$31))),1,0)</f>
        <v/>
      </c>
      <c r="BT31">
        <f>IF(ROW()-3&gt;MAX($BS$4:$BS$42),"",INDEX('Lists'!$CQ$4:$CQ$42,MATCH(ROW()-3,$BS$4:$BS$42,0)))</f>
        <v/>
      </c>
      <c r="BU31">
        <f>BU30+IF(AND('Lists'!$CV$31&lt;&gt;"",ISNUMBER(SEARCH($S$4,'Lists'!$CV$31))),1,0)</f>
        <v/>
      </c>
      <c r="BV31">
        <f>IF(ROW()-3&gt;MAX($BU$4:$BU$42),"",INDEX('Lists'!$CV$4:$CV$42,MATCH(ROW()-3,$BU$4:$BU$42,0)))</f>
        <v/>
      </c>
      <c r="BW31">
        <f>BW30+IF(AND('Lists'!$DA$31&lt;&gt;"",ISNUMBER(SEARCH($T$4,'Lists'!$DA$31))),1,0)</f>
        <v/>
      </c>
      <c r="BX31">
        <f>IF(ROW()-3&gt;MAX($BW$4:$BW$42),"",INDEX('Lists'!$DA$4:$DA$42,MATCH(ROW()-3,$BW$4:$BW$42,0)))</f>
        <v/>
      </c>
      <c r="BY31">
        <f>BY30+IF(AND('Lists'!$DF$31&lt;&gt;"",ISNUMBER(SEARCH($U$4,'Lists'!$DF$31))),1,0)</f>
        <v/>
      </c>
      <c r="BZ31">
        <f>IF(ROW()-3&gt;MAX($BY$4:$BY$42),"",INDEX('Lists'!$DF$4:$DF$42,MATCH(ROW()-3,$BY$4:$BY$42,0)))</f>
        <v/>
      </c>
      <c r="CA31">
        <f>CA30+IF(AND('Lists'!$DK$31&lt;&gt;"",ISNUMBER(SEARCH($V$4,'Lists'!$DK$31))),1,0)</f>
        <v/>
      </c>
      <c r="CB31">
        <f>IF(ROW()-3&gt;MAX($CA$4:$CA$42),"",INDEX('Lists'!$DK$4:$DK$42,MATCH(ROW()-3,$CA$4:$CA$42,0)))</f>
        <v/>
      </c>
      <c r="CC31">
        <f>CC30+IF(AND('Lists'!$DP$31&lt;&gt;"",ISNUMBER(SEARCH($W$4,'Lists'!$DP$31))),1,0)</f>
        <v/>
      </c>
      <c r="CD31">
        <f>IF(ROW()-3&gt;MAX($CC$4:$CC$42),"",INDEX('Lists'!$DP$4:$DP$42,MATCH(ROW()-3,$CC$4:$CC$42,0)))</f>
        <v/>
      </c>
      <c r="CE31">
        <f>CE30+IF(AND('Lists'!$DU$31&lt;&gt;"",ISNUMBER(SEARCH($X$4,'Lists'!$DU$31))),1,0)</f>
        <v/>
      </c>
      <c r="CF31">
        <f>IF(ROW()-3&gt;MAX($CE$4:$CE$42),"",INDEX('Lists'!$DU$4:$DU$42,MATCH(ROW()-3,$CE$4:$CE$42,0)))</f>
        <v/>
      </c>
      <c r="CG31">
        <f>CG30+IF(AND('Lists'!$DZ$31&lt;&gt;"",ISNUMBER(SEARCH($Y$4,'Lists'!$DZ$31))),1,0)</f>
        <v/>
      </c>
      <c r="CH31">
        <f>IF(ROW()-3&gt;MAX($CG$4:$CG$42),"",INDEX('Lists'!$DZ$4:$DZ$42,MATCH(ROW()-3,$CG$4:$CG$42,0)))</f>
        <v/>
      </c>
      <c r="CI31">
        <f>CI30+IF(AND('Lists'!$EE$31&lt;&gt;"",ISNUMBER(SEARCH($Z$4,'Lists'!$EE$31))),1,0)</f>
        <v/>
      </c>
      <c r="CJ31">
        <f>IF(ROW()-3&gt;MAX($CI$4:$CI$42),"",INDEX('Lists'!$EE$4:$EE$42,MATCH(ROW()-3,$CI$4:$CI$42,0)))</f>
        <v/>
      </c>
      <c r="CK31">
        <f>CK30+IF(AND('Lists'!$EJ$31&lt;&gt;"",ISNUMBER(SEARCH($AA$4,'Lists'!$EJ$31))),1,0)</f>
        <v/>
      </c>
      <c r="CL31">
        <f>IF(ROW()-3&gt;MAX($CK$4:$CK$42),"",INDEX('Lists'!$EJ$4:$EJ$42,MATCH(ROW()-3,$CK$4:$CK$42,0)))</f>
        <v/>
      </c>
      <c r="CM31">
        <f>CM30+IF(AND('Lists'!$EO$31&lt;&gt;"",ISNUMBER(SEARCH($AB$4,'Lists'!$EO$31))),1,0)</f>
        <v/>
      </c>
      <c r="CN31">
        <f>IF(ROW()-3&gt;MAX($CM$4:$CM$42),"",INDEX('Lists'!$EO$4:$EO$42,MATCH(ROW()-3,$CM$4:$CM$42,0)))</f>
        <v/>
      </c>
      <c r="CO31">
        <f>CO30+IF(AND('Lists'!$ET$31&lt;&gt;"",ISNUMBER(SEARCH($AC$4,'Lists'!$ET$31))),1,0)</f>
        <v/>
      </c>
      <c r="CP31">
        <f>IF(ROW()-3&gt;MAX($CO$4:$CO$42),"",INDEX('Lists'!$ET$4:$ET$42,MATCH(ROW()-3,$CO$4:$CO$42,0)))</f>
        <v/>
      </c>
      <c r="CQ31">
        <f>CQ30+IF(AND('Lists'!$EY$31&lt;&gt;"",ISNUMBER(SEARCH($AD$4,'Lists'!$EY$31))),1,0)</f>
        <v/>
      </c>
      <c r="CR31">
        <f>IF(ROW()-3&gt;MAX($CQ$4:$CQ$42),"",INDEX('Lists'!$EY$4:$EY$42,MATCH(ROW()-3,$CQ$4:$CQ$42,0)))</f>
        <v/>
      </c>
      <c r="CS31">
        <f>CS30+IF(AND('Lists'!$FD$31&lt;&gt;"",ISNUMBER(SEARCH($AE$4,'Lists'!$FD$31))),1,0)</f>
        <v/>
      </c>
      <c r="CT31">
        <f>IF(ROW()-3&gt;MAX($CS$4:$CS$42),"",INDEX('Lists'!$FD$4:$FD$42,MATCH(ROW()-3,$CS$4:$CS$42,0)))</f>
        <v/>
      </c>
      <c r="CU31">
        <f>CU30+IF(AND('Lists'!$FI$31&lt;&gt;"",ISNUMBER(SEARCH($AF$4,'Lists'!$FI$31))),1,0)</f>
        <v/>
      </c>
      <c r="CV31">
        <f>IF(ROW()-3&gt;MAX($CU$4:$CU$42),"",INDEX('Lists'!$FI$4:$FI$42,MATCH(ROW()-3,$CU$4:$CU$42,0)))</f>
        <v/>
      </c>
      <c r="CW31">
        <f>CW30+IF(AND('Lists'!$FN$31&lt;&gt;"",ISNUMBER(SEARCH($AG$4,'Lists'!$FN$31))),1,0)</f>
        <v/>
      </c>
      <c r="CX31">
        <f>IF(ROW()-3&gt;MAX($CW$4:$CW$42),"",INDEX('Lists'!$FN$4:$FN$42,MATCH(ROW()-3,$CW$4:$CW$42,0)))</f>
        <v/>
      </c>
      <c r="CY31">
        <f>CY30+IF(AND('Lists'!$FS$31&lt;&gt;"",ISNUMBER(SEARCH($AH$4,'Lists'!$FS$31))),1,0)</f>
        <v/>
      </c>
      <c r="CZ31">
        <f>IF(ROW()-3&gt;MAX($CY$4:$CY$42),"",INDEX('Lists'!$FS$4:$FS$42,MATCH(ROW()-3,$CY$4:$CY$42,0)))</f>
        <v/>
      </c>
      <c r="DA31">
        <f>DA30+IF(AND('Lists'!$FX$31&lt;&gt;"",ISNUMBER(SEARCH($AI$4,'Lists'!$FX$31))),1,0)</f>
        <v/>
      </c>
      <c r="DB31">
        <f>IF(ROW()-3&gt;MAX($DA$4:$DA$42),"",INDEX('Lists'!$FX$4:$FX$42,MATCH(ROW()-3,$DA$4:$DA$42,0)))</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c r="AJ32">
        <f>AND(IF($B$4="",TRUE,IF($B$4="(blank)",'Final Calculation Sheet'!$F$30="",IF($B$4="(nonblank)",'Final Calculation Sheet'!$F$30&lt;&gt;"",ISNUMBER(SEARCH($B$4,'Final Calculation Sheet'!$F$30))))),IF($C$4="",TRUE,IF($C$4="(blank)",'Final Calculation Sheet'!$G$30="",IF($C$4="(nonblank)",'Final Calculation Sheet'!$G$30&lt;&gt;"",ISNUMBER(SEARCH($C$4,'Final Calculation Sheet'!$G$30))))),IF($D$4="",TRUE,IF($D$4="(blank)",'Final Calculation Sheet'!$B$30="",IF($D$4="(nonblank)",'Final Calculation Sheet'!$B$30&lt;&gt;"",ISNUMBER(SEARCH($D$4,'Final Calculation Sheet'!$B$30))))),IF($E$4="",TRUE,IF($E$4="(blank)",'Final Calculation Sheet'!$D$30="",IF($E$4="(nonblank)",'Final Calculation Sheet'!$D$30&lt;&gt;"",ISNUMBER(SEARCH($E$4,'Final Calculation Sheet'!$D$30))))),IF($F$4="",TRUE,IF($F$4="(blank)",'Final Calculation Sheet'!$A$30="",IF($F$4="(nonblank)",'Final Calculation Sheet'!$A$30&lt;&gt;"",ISNUMBER(SEARCH($F$4,'Final Calculation Sheet'!$A$30))))),IF($G$4="",TRUE,IF($G$4="(blank)",'Final Calculation Sheet'!$E$30="",IF($G$4="(nonblank)",'Final Calculation Sheet'!$E$30&lt;&gt;"",ISNUMBER(SEARCH($G$4,'Final Calculation Sheet'!$E$30))))),IF($H$4="",TRUE,IF($H$4="(blank)",'Final Calculation Sheet'!$C$30="",IF($H$4="(nonblank)",'Final Calculation Sheet'!$C$30&lt;&gt;"",ISNUMBER(SEARCH($H$4,'Final Calculation Sheet'!$C$30))))),IF($I$4="",TRUE,IF($I$4="(blank)",'Final Calculation Sheet'!$H$30="",IF($I$4="(nonblank)",'Final Calculation Sheet'!$H$30&lt;&gt;"",ISNUMBER(SEARCH($I$4,'Final Calculation Sheet'!$H$30))))),IF($J$4="",TRUE,IF($J$4="(blank)",'Final Calculation Sheet'!$I$30="",IF($J$4="(nonblank)",'Final Calculation Sheet'!$I$30&lt;&gt;"",ISNUMBER(SEARCH($J$4,'Final Calculation Sheet'!$I$30))))),IF($K$4="",TRUE,IF($K$4="(blank)",'Final Calculation Sheet'!$J$30="",IF($K$4="(nonblank)",'Final Calculation Sheet'!$J$30&lt;&gt;"",ISNUMBER(SEARCH($K$4,'Final Calculation Sheet'!$J$30))))),IF($L$4="",TRUE,IF($L$4="(blank)",'Final Calculation Sheet'!$K$30="",IF($L$4="(nonblank)",'Final Calculation Sheet'!$K$30&lt;&gt;"",ISNUMBER(SEARCH($L$4,'Final Calculation Sheet'!$K$30))))),IF($M$4="",TRUE,IF($M$4="(blank)",'Final Calculation Sheet'!$L$30="",IF($M$4="(nonblank)",'Final Calculation Sheet'!$L$30&lt;&gt;"",ISNUMBER(SEARCH($M$4,'Final Calculation Sheet'!$L$30))))),IF($N$4="",TRUE,IF($N$4="(blank)",'Final Calculation Sheet'!$M$30="",IF($N$4="(nonblank)",'Final Calculation Sheet'!$M$30&lt;&gt;"",ISNUMBER(SEARCH($N$4,'Final Calculation Sheet'!$M$30))))),IF($O$4="",TRUE,IF($O$4="(blank)",'Final Calculation Sheet'!$N$30="",IF($O$4="(nonblank)",'Final Calculation Sheet'!$N$30&lt;&gt;"",ISNUMBER(SEARCH($O$4,'Final Calculation Sheet'!$N$30))))),IF($P$4="",TRUE,IF($P$4="(blank)",'Final Calculation Sheet'!$O$30="",IF($P$4="(nonblank)",'Final Calculation Sheet'!$O$30&lt;&gt;"",ISNUMBER(SEARCH($P$4,'Final Calculation Sheet'!$O$30))))),IF($Q$4="",TRUE,IF($Q$4="(blank)",'Final Calculation Sheet'!$P$30="",IF($Q$4="(nonblank)",'Final Calculation Sheet'!$P$30&lt;&gt;"",ISNUMBER(SEARCH($Q$4,'Final Calculation Sheet'!$P$30))))),IF($R$4="",TRUE,IF($R$4="(blank)",'Final Calculation Sheet'!$Q$30="",IF($R$4="(nonblank)",'Final Calculation Sheet'!$Q$30&lt;&gt;"",ISNUMBER(SEARCH($R$4,'Final Calculation Sheet'!$Q$30))))),IF($S$4="",TRUE,IF($S$4="(blank)",'Final Calculation Sheet'!$R$30="",IF($S$4="(nonblank)",'Final Calculation Sheet'!$R$30&lt;&gt;"",ISNUMBER(SEARCH($S$4,'Final Calculation Sheet'!$R$30))))),IF($T$4="",TRUE,IF($T$4="(blank)",'Final Calculation Sheet'!$S$30="",IF($T$4="(nonblank)",'Final Calculation Sheet'!$S$30&lt;&gt;"",ISNUMBER(SEARCH($T$4,'Final Calculation Sheet'!$S$30))))),IF($U$4="",TRUE,IF($U$4="(blank)",'Final Calculation Sheet'!$T$30="",IF($U$4="(nonblank)",'Final Calculation Sheet'!$T$30&lt;&gt;"",ISNUMBER(SEARCH($U$4,'Final Calculation Sheet'!$T$30))))),IF($V$4="",TRUE,IF($V$4="(blank)",'Final Calculation Sheet'!$U$30="",IF($V$4="(nonblank)",'Final Calculation Sheet'!$U$30&lt;&gt;"",ISNUMBER(SEARCH($V$4,'Final Calculation Sheet'!$U$30))))),IF($W$4="",TRUE,IF($W$4="(blank)",'Final Calculation Sheet'!$V$30="",IF($W$4="(nonblank)",'Final Calculation Sheet'!$V$30&lt;&gt;"",ISNUMBER(SEARCH($W$4,'Final Calculation Sheet'!$V$30))))),IF($X$4="",TRUE,IF($X$4="(blank)",'Final Calculation Sheet'!$W$30="",IF($X$4="(nonblank)",'Final Calculation Sheet'!$W$30&lt;&gt;"",ISNUMBER(SEARCH($X$4,'Final Calculation Sheet'!$W$30))))),IF($Y$4="",TRUE,IF($Y$4="(blank)",'Final Calculation Sheet'!$X$30="",IF($Y$4="(nonblank)",'Final Calculation Sheet'!$X$30&lt;&gt;"",ISNUMBER(SEARCH($Y$4,'Final Calculation Sheet'!$X$30))))),IF($Z$4="",TRUE,IF($Z$4="(blank)",'Final Calculation Sheet'!$Y$30="",IF($Z$4="(nonblank)",'Final Calculation Sheet'!$Y$30&lt;&gt;"",ISNUMBER(SEARCH($Z$4,'Final Calculation Sheet'!$Y$30))))),IF($AA$4="",TRUE,IF($AA$4="(blank)",'Final Calculation Sheet'!$Z$30="",IF($AA$4="(nonblank)",'Final Calculation Sheet'!$Z$30&lt;&gt;"",ISNUMBER(SEARCH($AA$4,'Final Calculation Sheet'!$Z$30))))),IF($AB$4="",TRUE,IF($AB$4="(blank)",'Final Calculation Sheet'!$AA$30="",IF($AB$4="(nonblank)",'Final Calculation Sheet'!$AA$30&lt;&gt;"",ISNUMBER(SEARCH($AB$4,'Final Calculation Sheet'!$AA$30))))),IF($AC$4="",TRUE,IF($AC$4="(blank)",'Final Calculation Sheet'!$AB$30="",IF($AC$4="(nonblank)",'Final Calculation Sheet'!$AB$30&lt;&gt;"",ISNUMBER(SEARCH($AC$4,'Final Calculation Sheet'!$AB$30))))),IF($AD$4="",TRUE,IF($AD$4="(blank)",'Final Calculation Sheet'!$AC$30="",IF($AD$4="(nonblank)",'Final Calculation Sheet'!$AC$30&lt;&gt;"",ISNUMBER(SEARCH($AD$4,'Final Calculation Sheet'!$AC$30))))),IF($AE$4="",TRUE,IF($AE$4="(blank)",'Final Calculation Sheet'!$AD$30="",IF($AE$4="(nonblank)",'Final Calculation Sheet'!$AD$30&lt;&gt;"",ISNUMBER(SEARCH($AE$4,'Final Calculation Sheet'!$AD$30))))),IF($AF$4="",TRUE,IF($AF$4="(blank)",'Final Calculation Sheet'!$AE$30="",IF($AF$4="(nonblank)",'Final Calculation Sheet'!$AE$30&lt;&gt;"",ISNUMBER(SEARCH($AF$4,'Final Calculation Sheet'!$AE$30))))),IF($AG$4="",TRUE,IF($AG$4="(blank)",'Final Calculation Sheet'!$AF$30="",IF($AG$4="(nonblank)",'Final Calculation Sheet'!$AF$30&lt;&gt;"",ISNUMBER(SEARCH($AG$4,'Final Calculation Sheet'!$AF$30))))),IF($AH$4="",TRUE,IF($AH$4="(blank)",'Final Calculation Sheet'!$AG$30="",IF($AH$4="(nonblank)",'Final Calculation Sheet'!$AG$30&lt;&gt;"",ISNUMBER(SEARCH($AH$4,'Final Calculation Sheet'!$AG$30))))),IF($AI$4="",TRUE,IF($AI$4="(blank)",IF('Final Calculation Sheet'!$AD$30&lt;=5,"SETTLED","OUTSTANDING")="",IF($AI$4="(nonblank)",IF('Final Calculation Sheet'!$AD$30&lt;=5,"SETTLED","OUTSTANDING")&lt;&gt;"",ISNUMBER(SEARCH($AI$4,IF('Final Calculation Sheet'!$AD$30&lt;=5,"SETTLED","OUTSTANDING")))))))</f>
        <v/>
      </c>
      <c r="AK32">
        <f>IF(AJ32=1,COUNTIF(AJ$6:AJ32,1),"")</f>
        <v/>
      </c>
      <c r="AM32">
        <f>AM31+IF(AND('Lists'!$O$32&lt;&gt;"",ISNUMBER(SEARCH($B$4,'Lists'!$O$32))),1,0)</f>
        <v/>
      </c>
      <c r="AN32">
        <f>IF(ROW()-3&gt;MAX($AM$4:$AM$42),"",INDEX('Lists'!$O$4:$O$42,MATCH(ROW()-3,$AM$4:$AM$42,0)))</f>
        <v/>
      </c>
      <c r="AO32">
        <f>AO31+IF(AND('Lists'!$T$32&lt;&gt;"",ISNUMBER(SEARCH($C$4,'Lists'!$T$32))),1,0)</f>
        <v/>
      </c>
      <c r="AP32">
        <f>IF(ROW()-3&gt;MAX($AO$4:$AO$42),"",INDEX('Lists'!$T$4:$T$42,MATCH(ROW()-3,$AO$4:$AO$42,0)))</f>
        <v/>
      </c>
      <c r="AQ32">
        <f>AQ31+IF(AND('Lists'!$Y$32&lt;&gt;"",ISNUMBER(SEARCH($D$4,'Lists'!$Y$32))),1,0)</f>
        <v/>
      </c>
      <c r="AR32">
        <f>IF(ROW()-3&gt;MAX($AQ$4:$AQ$42),"",INDEX('Lists'!$Y$4:$Y$42,MATCH(ROW()-3,$AQ$4:$AQ$42,0)))</f>
        <v/>
      </c>
      <c r="AS32">
        <f>AS31+IF(AND('Lists'!$AD$32&lt;&gt;"",ISNUMBER(SEARCH($E$4,'Lists'!$AD$32))),1,0)</f>
        <v/>
      </c>
      <c r="AT32">
        <f>IF(ROW()-3&gt;MAX($AS$4:$AS$42),"",INDEX('Lists'!$AD$4:$AD$42,MATCH(ROW()-3,$AS$4:$AS$42,0)))</f>
        <v/>
      </c>
      <c r="AU32">
        <f>AU31+IF(AND('Lists'!$AI$32&lt;&gt;"",ISNUMBER(SEARCH($F$4,'Lists'!$AI$32))),1,0)</f>
        <v/>
      </c>
      <c r="AV32">
        <f>IF(ROW()-3&gt;MAX($AU$4:$AU$42),"",INDEX('Lists'!$AI$4:$AI$42,MATCH(ROW()-3,$AU$4:$AU$42,0)))</f>
        <v/>
      </c>
      <c r="AW32">
        <f>AW31+IF(AND('Lists'!$AN$32&lt;&gt;"",ISNUMBER(SEARCH($G$4,'Lists'!$AN$32))),1,0)</f>
        <v/>
      </c>
      <c r="AX32">
        <f>IF(ROW()-3&gt;MAX($AW$4:$AW$42),"",INDEX('Lists'!$AN$4:$AN$42,MATCH(ROW()-3,$AW$4:$AW$42,0)))</f>
        <v/>
      </c>
      <c r="AY32">
        <f>AY31+IF(AND('Lists'!$AS$32&lt;&gt;"",ISNUMBER(SEARCH($H$4,'Lists'!$AS$32))),1,0)</f>
        <v/>
      </c>
      <c r="AZ32">
        <f>IF(ROW()-3&gt;MAX($AY$4:$AY$42),"",INDEX('Lists'!$AS$4:$AS$42,MATCH(ROW()-3,$AY$4:$AY$42,0)))</f>
        <v/>
      </c>
      <c r="BA32">
        <f>BA31+IF(AND('Lists'!$AX$32&lt;&gt;"",ISNUMBER(SEARCH($I$4,'Lists'!$AX$32))),1,0)</f>
        <v/>
      </c>
      <c r="BB32">
        <f>IF(ROW()-3&gt;MAX($BA$4:$BA$42),"",INDEX('Lists'!$AX$4:$AX$42,MATCH(ROW()-3,$BA$4:$BA$42,0)))</f>
        <v/>
      </c>
      <c r="BC32">
        <f>BC31+IF(AND('Lists'!$BC$32&lt;&gt;"",ISNUMBER(SEARCH($J$4,'Lists'!$BC$32))),1,0)</f>
        <v/>
      </c>
      <c r="BD32">
        <f>IF(ROW()-3&gt;MAX($BC$4:$BC$42),"",INDEX('Lists'!$BC$4:$BC$42,MATCH(ROW()-3,$BC$4:$BC$42,0)))</f>
        <v/>
      </c>
      <c r="BE32">
        <f>BE31+IF(AND('Lists'!$BH$32&lt;&gt;"",ISNUMBER(SEARCH($K$4,'Lists'!$BH$32))),1,0)</f>
        <v/>
      </c>
      <c r="BF32">
        <f>IF(ROW()-3&gt;MAX($BE$4:$BE$42),"",INDEX('Lists'!$BH$4:$BH$42,MATCH(ROW()-3,$BE$4:$BE$42,0)))</f>
        <v/>
      </c>
      <c r="BG32">
        <f>BG31+IF(AND('Lists'!$BM$32&lt;&gt;"",ISNUMBER(SEARCH($L$4,'Lists'!$BM$32))),1,0)</f>
        <v/>
      </c>
      <c r="BH32">
        <f>IF(ROW()-3&gt;MAX($BG$4:$BG$42),"",INDEX('Lists'!$BM$4:$BM$42,MATCH(ROW()-3,$BG$4:$BG$42,0)))</f>
        <v/>
      </c>
      <c r="BI32">
        <f>BI31+IF(AND('Lists'!$BR$32&lt;&gt;"",ISNUMBER(SEARCH($M$4,'Lists'!$BR$32))),1,0)</f>
        <v/>
      </c>
      <c r="BJ32">
        <f>IF(ROW()-3&gt;MAX($BI$4:$BI$42),"",INDEX('Lists'!$BR$4:$BR$42,MATCH(ROW()-3,$BI$4:$BI$42,0)))</f>
        <v/>
      </c>
      <c r="BK32">
        <f>BK31+IF(AND('Lists'!$BW$32&lt;&gt;"",ISNUMBER(SEARCH($N$4,'Lists'!$BW$32))),1,0)</f>
        <v/>
      </c>
      <c r="BL32">
        <f>IF(ROW()-3&gt;MAX($BK$4:$BK$42),"",INDEX('Lists'!$BW$4:$BW$42,MATCH(ROW()-3,$BK$4:$BK$42,0)))</f>
        <v/>
      </c>
      <c r="BM32">
        <f>BM31+IF(AND('Lists'!$CB$32&lt;&gt;"",ISNUMBER(SEARCH($O$4,'Lists'!$CB$32))),1,0)</f>
        <v/>
      </c>
      <c r="BN32">
        <f>IF(ROW()-3&gt;MAX($BM$4:$BM$42),"",INDEX('Lists'!$CB$4:$CB$42,MATCH(ROW()-3,$BM$4:$BM$42,0)))</f>
        <v/>
      </c>
      <c r="BO32">
        <f>BO31+IF(AND('Lists'!$CG$32&lt;&gt;"",ISNUMBER(SEARCH($P$4,'Lists'!$CG$32))),1,0)</f>
        <v/>
      </c>
      <c r="BP32">
        <f>IF(ROW()-3&gt;MAX($BO$4:$BO$42),"",INDEX('Lists'!$CG$4:$CG$42,MATCH(ROW()-3,$BO$4:$BO$42,0)))</f>
        <v/>
      </c>
      <c r="BQ32">
        <f>BQ31+IF(AND('Lists'!$CL$32&lt;&gt;"",ISNUMBER(SEARCH($Q$4,'Lists'!$CL$32))),1,0)</f>
        <v/>
      </c>
      <c r="BR32">
        <f>IF(ROW()-3&gt;MAX($BQ$4:$BQ$42),"",INDEX('Lists'!$CL$4:$CL$42,MATCH(ROW()-3,$BQ$4:$BQ$42,0)))</f>
        <v/>
      </c>
      <c r="BS32">
        <f>BS31+IF(AND('Lists'!$CQ$32&lt;&gt;"",ISNUMBER(SEARCH($R$4,'Lists'!$CQ$32))),1,0)</f>
        <v/>
      </c>
      <c r="BT32">
        <f>IF(ROW()-3&gt;MAX($BS$4:$BS$42),"",INDEX('Lists'!$CQ$4:$CQ$42,MATCH(ROW()-3,$BS$4:$BS$42,0)))</f>
        <v/>
      </c>
      <c r="BU32">
        <f>BU31+IF(AND('Lists'!$CV$32&lt;&gt;"",ISNUMBER(SEARCH($S$4,'Lists'!$CV$32))),1,0)</f>
        <v/>
      </c>
      <c r="BV32">
        <f>IF(ROW()-3&gt;MAX($BU$4:$BU$42),"",INDEX('Lists'!$CV$4:$CV$42,MATCH(ROW()-3,$BU$4:$BU$42,0)))</f>
        <v/>
      </c>
      <c r="BW32">
        <f>BW31+IF(AND('Lists'!$DA$32&lt;&gt;"",ISNUMBER(SEARCH($T$4,'Lists'!$DA$32))),1,0)</f>
        <v/>
      </c>
      <c r="BX32">
        <f>IF(ROW()-3&gt;MAX($BW$4:$BW$42),"",INDEX('Lists'!$DA$4:$DA$42,MATCH(ROW()-3,$BW$4:$BW$42,0)))</f>
        <v/>
      </c>
      <c r="BY32">
        <f>BY31+IF(AND('Lists'!$DF$32&lt;&gt;"",ISNUMBER(SEARCH($U$4,'Lists'!$DF$32))),1,0)</f>
        <v/>
      </c>
      <c r="BZ32">
        <f>IF(ROW()-3&gt;MAX($BY$4:$BY$42),"",INDEX('Lists'!$DF$4:$DF$42,MATCH(ROW()-3,$BY$4:$BY$42,0)))</f>
        <v/>
      </c>
      <c r="CA32">
        <f>CA31+IF(AND('Lists'!$DK$32&lt;&gt;"",ISNUMBER(SEARCH($V$4,'Lists'!$DK$32))),1,0)</f>
        <v/>
      </c>
      <c r="CB32">
        <f>IF(ROW()-3&gt;MAX($CA$4:$CA$42),"",INDEX('Lists'!$DK$4:$DK$42,MATCH(ROW()-3,$CA$4:$CA$42,0)))</f>
        <v/>
      </c>
      <c r="CC32">
        <f>CC31+IF(AND('Lists'!$DP$32&lt;&gt;"",ISNUMBER(SEARCH($W$4,'Lists'!$DP$32))),1,0)</f>
        <v/>
      </c>
      <c r="CD32">
        <f>IF(ROW()-3&gt;MAX($CC$4:$CC$42),"",INDEX('Lists'!$DP$4:$DP$42,MATCH(ROW()-3,$CC$4:$CC$42,0)))</f>
        <v/>
      </c>
      <c r="CE32">
        <f>CE31+IF(AND('Lists'!$DU$32&lt;&gt;"",ISNUMBER(SEARCH($X$4,'Lists'!$DU$32))),1,0)</f>
        <v/>
      </c>
      <c r="CF32">
        <f>IF(ROW()-3&gt;MAX($CE$4:$CE$42),"",INDEX('Lists'!$DU$4:$DU$42,MATCH(ROW()-3,$CE$4:$CE$42,0)))</f>
        <v/>
      </c>
      <c r="CG32">
        <f>CG31+IF(AND('Lists'!$DZ$32&lt;&gt;"",ISNUMBER(SEARCH($Y$4,'Lists'!$DZ$32))),1,0)</f>
        <v/>
      </c>
      <c r="CH32">
        <f>IF(ROW()-3&gt;MAX($CG$4:$CG$42),"",INDEX('Lists'!$DZ$4:$DZ$42,MATCH(ROW()-3,$CG$4:$CG$42,0)))</f>
        <v/>
      </c>
      <c r="CI32">
        <f>CI31+IF(AND('Lists'!$EE$32&lt;&gt;"",ISNUMBER(SEARCH($Z$4,'Lists'!$EE$32))),1,0)</f>
        <v/>
      </c>
      <c r="CJ32">
        <f>IF(ROW()-3&gt;MAX($CI$4:$CI$42),"",INDEX('Lists'!$EE$4:$EE$42,MATCH(ROW()-3,$CI$4:$CI$42,0)))</f>
        <v/>
      </c>
      <c r="CK32">
        <f>CK31+IF(AND('Lists'!$EJ$32&lt;&gt;"",ISNUMBER(SEARCH($AA$4,'Lists'!$EJ$32))),1,0)</f>
        <v/>
      </c>
      <c r="CL32">
        <f>IF(ROW()-3&gt;MAX($CK$4:$CK$42),"",INDEX('Lists'!$EJ$4:$EJ$42,MATCH(ROW()-3,$CK$4:$CK$42,0)))</f>
        <v/>
      </c>
      <c r="CM32">
        <f>CM31+IF(AND('Lists'!$EO$32&lt;&gt;"",ISNUMBER(SEARCH($AB$4,'Lists'!$EO$32))),1,0)</f>
        <v/>
      </c>
      <c r="CN32">
        <f>IF(ROW()-3&gt;MAX($CM$4:$CM$42),"",INDEX('Lists'!$EO$4:$EO$42,MATCH(ROW()-3,$CM$4:$CM$42,0)))</f>
        <v/>
      </c>
      <c r="CO32">
        <f>CO31+IF(AND('Lists'!$ET$32&lt;&gt;"",ISNUMBER(SEARCH($AC$4,'Lists'!$ET$32))),1,0)</f>
        <v/>
      </c>
      <c r="CP32">
        <f>IF(ROW()-3&gt;MAX($CO$4:$CO$42),"",INDEX('Lists'!$ET$4:$ET$42,MATCH(ROW()-3,$CO$4:$CO$42,0)))</f>
        <v/>
      </c>
      <c r="CQ32">
        <f>CQ31+IF(AND('Lists'!$EY$32&lt;&gt;"",ISNUMBER(SEARCH($AD$4,'Lists'!$EY$32))),1,0)</f>
        <v/>
      </c>
      <c r="CR32">
        <f>IF(ROW()-3&gt;MAX($CQ$4:$CQ$42),"",INDEX('Lists'!$EY$4:$EY$42,MATCH(ROW()-3,$CQ$4:$CQ$42,0)))</f>
        <v/>
      </c>
      <c r="CS32">
        <f>CS31+IF(AND('Lists'!$FD$32&lt;&gt;"",ISNUMBER(SEARCH($AE$4,'Lists'!$FD$32))),1,0)</f>
        <v/>
      </c>
      <c r="CT32">
        <f>IF(ROW()-3&gt;MAX($CS$4:$CS$42),"",INDEX('Lists'!$FD$4:$FD$42,MATCH(ROW()-3,$CS$4:$CS$42,0)))</f>
        <v/>
      </c>
      <c r="CU32">
        <f>CU31+IF(AND('Lists'!$FI$32&lt;&gt;"",ISNUMBER(SEARCH($AF$4,'Lists'!$FI$32))),1,0)</f>
        <v/>
      </c>
      <c r="CV32">
        <f>IF(ROW()-3&gt;MAX($CU$4:$CU$42),"",INDEX('Lists'!$FI$4:$FI$42,MATCH(ROW()-3,$CU$4:$CU$42,0)))</f>
        <v/>
      </c>
      <c r="CW32">
        <f>CW31+IF(AND('Lists'!$FN$32&lt;&gt;"",ISNUMBER(SEARCH($AG$4,'Lists'!$FN$32))),1,0)</f>
        <v/>
      </c>
      <c r="CX32">
        <f>IF(ROW()-3&gt;MAX($CW$4:$CW$42),"",INDEX('Lists'!$FN$4:$FN$42,MATCH(ROW()-3,$CW$4:$CW$42,0)))</f>
        <v/>
      </c>
      <c r="CY32">
        <f>CY31+IF(AND('Lists'!$FS$32&lt;&gt;"",ISNUMBER(SEARCH($AH$4,'Lists'!$FS$32))),1,0)</f>
        <v/>
      </c>
      <c r="CZ32">
        <f>IF(ROW()-3&gt;MAX($CY$4:$CY$42),"",INDEX('Lists'!$FS$4:$FS$42,MATCH(ROW()-3,$CY$4:$CY$42,0)))</f>
        <v/>
      </c>
      <c r="DA32">
        <f>DA31+IF(AND('Lists'!$FX$32&lt;&gt;"",ISNUMBER(SEARCH($AI$4,'Lists'!$FX$32))),1,0)</f>
        <v/>
      </c>
      <c r="DB32">
        <f>IF(ROW()-3&gt;MAX($DA$4:$DA$42),"",INDEX('Lists'!$FX$4:$FX$42,MATCH(ROW()-3,$DA$4:$DA$42,0)))</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c r="AJ33">
        <f>AND(IF($B$4="",TRUE,IF($B$4="(blank)",'Final Calculation Sheet'!$F$31="",IF($B$4="(nonblank)",'Final Calculation Sheet'!$F$31&lt;&gt;"",ISNUMBER(SEARCH($B$4,'Final Calculation Sheet'!$F$31))))),IF($C$4="",TRUE,IF($C$4="(blank)",'Final Calculation Sheet'!$G$31="",IF($C$4="(nonblank)",'Final Calculation Sheet'!$G$31&lt;&gt;"",ISNUMBER(SEARCH($C$4,'Final Calculation Sheet'!$G$31))))),IF($D$4="",TRUE,IF($D$4="(blank)",'Final Calculation Sheet'!$B$31="",IF($D$4="(nonblank)",'Final Calculation Sheet'!$B$31&lt;&gt;"",ISNUMBER(SEARCH($D$4,'Final Calculation Sheet'!$B$31))))),IF($E$4="",TRUE,IF($E$4="(blank)",'Final Calculation Sheet'!$D$31="",IF($E$4="(nonblank)",'Final Calculation Sheet'!$D$31&lt;&gt;"",ISNUMBER(SEARCH($E$4,'Final Calculation Sheet'!$D$31))))),IF($F$4="",TRUE,IF($F$4="(blank)",'Final Calculation Sheet'!$A$31="",IF($F$4="(nonblank)",'Final Calculation Sheet'!$A$31&lt;&gt;"",ISNUMBER(SEARCH($F$4,'Final Calculation Sheet'!$A$31))))),IF($G$4="",TRUE,IF($G$4="(blank)",'Final Calculation Sheet'!$E$31="",IF($G$4="(nonblank)",'Final Calculation Sheet'!$E$31&lt;&gt;"",ISNUMBER(SEARCH($G$4,'Final Calculation Sheet'!$E$31))))),IF($H$4="",TRUE,IF($H$4="(blank)",'Final Calculation Sheet'!$C$31="",IF($H$4="(nonblank)",'Final Calculation Sheet'!$C$31&lt;&gt;"",ISNUMBER(SEARCH($H$4,'Final Calculation Sheet'!$C$31))))),IF($I$4="",TRUE,IF($I$4="(blank)",'Final Calculation Sheet'!$H$31="",IF($I$4="(nonblank)",'Final Calculation Sheet'!$H$31&lt;&gt;"",ISNUMBER(SEARCH($I$4,'Final Calculation Sheet'!$H$31))))),IF($J$4="",TRUE,IF($J$4="(blank)",'Final Calculation Sheet'!$I$31="",IF($J$4="(nonblank)",'Final Calculation Sheet'!$I$31&lt;&gt;"",ISNUMBER(SEARCH($J$4,'Final Calculation Sheet'!$I$31))))),IF($K$4="",TRUE,IF($K$4="(blank)",'Final Calculation Sheet'!$J$31="",IF($K$4="(nonblank)",'Final Calculation Sheet'!$J$31&lt;&gt;"",ISNUMBER(SEARCH($K$4,'Final Calculation Sheet'!$J$31))))),IF($L$4="",TRUE,IF($L$4="(blank)",'Final Calculation Sheet'!$K$31="",IF($L$4="(nonblank)",'Final Calculation Sheet'!$K$31&lt;&gt;"",ISNUMBER(SEARCH($L$4,'Final Calculation Sheet'!$K$31))))),IF($M$4="",TRUE,IF($M$4="(blank)",'Final Calculation Sheet'!$L$31="",IF($M$4="(nonblank)",'Final Calculation Sheet'!$L$31&lt;&gt;"",ISNUMBER(SEARCH($M$4,'Final Calculation Sheet'!$L$31))))),IF($N$4="",TRUE,IF($N$4="(blank)",'Final Calculation Sheet'!$M$31="",IF($N$4="(nonblank)",'Final Calculation Sheet'!$M$31&lt;&gt;"",ISNUMBER(SEARCH($N$4,'Final Calculation Sheet'!$M$31))))),IF($O$4="",TRUE,IF($O$4="(blank)",'Final Calculation Sheet'!$N$31="",IF($O$4="(nonblank)",'Final Calculation Sheet'!$N$31&lt;&gt;"",ISNUMBER(SEARCH($O$4,'Final Calculation Sheet'!$N$31))))),IF($P$4="",TRUE,IF($P$4="(blank)",'Final Calculation Sheet'!$O$31="",IF($P$4="(nonblank)",'Final Calculation Sheet'!$O$31&lt;&gt;"",ISNUMBER(SEARCH($P$4,'Final Calculation Sheet'!$O$31))))),IF($Q$4="",TRUE,IF($Q$4="(blank)",'Final Calculation Sheet'!$P$31="",IF($Q$4="(nonblank)",'Final Calculation Sheet'!$P$31&lt;&gt;"",ISNUMBER(SEARCH($Q$4,'Final Calculation Sheet'!$P$31))))),IF($R$4="",TRUE,IF($R$4="(blank)",'Final Calculation Sheet'!$Q$31="",IF($R$4="(nonblank)",'Final Calculation Sheet'!$Q$31&lt;&gt;"",ISNUMBER(SEARCH($R$4,'Final Calculation Sheet'!$Q$31))))),IF($S$4="",TRUE,IF($S$4="(blank)",'Final Calculation Sheet'!$R$31="",IF($S$4="(nonblank)",'Final Calculation Sheet'!$R$31&lt;&gt;"",ISNUMBER(SEARCH($S$4,'Final Calculation Sheet'!$R$31))))),IF($T$4="",TRUE,IF($T$4="(blank)",'Final Calculation Sheet'!$S$31="",IF($T$4="(nonblank)",'Final Calculation Sheet'!$S$31&lt;&gt;"",ISNUMBER(SEARCH($T$4,'Final Calculation Sheet'!$S$31))))),IF($U$4="",TRUE,IF($U$4="(blank)",'Final Calculation Sheet'!$T$31="",IF($U$4="(nonblank)",'Final Calculation Sheet'!$T$31&lt;&gt;"",ISNUMBER(SEARCH($U$4,'Final Calculation Sheet'!$T$31))))),IF($V$4="",TRUE,IF($V$4="(blank)",'Final Calculation Sheet'!$U$31="",IF($V$4="(nonblank)",'Final Calculation Sheet'!$U$31&lt;&gt;"",ISNUMBER(SEARCH($V$4,'Final Calculation Sheet'!$U$31))))),IF($W$4="",TRUE,IF($W$4="(blank)",'Final Calculation Sheet'!$V$31="",IF($W$4="(nonblank)",'Final Calculation Sheet'!$V$31&lt;&gt;"",ISNUMBER(SEARCH($W$4,'Final Calculation Sheet'!$V$31))))),IF($X$4="",TRUE,IF($X$4="(blank)",'Final Calculation Sheet'!$W$31="",IF($X$4="(nonblank)",'Final Calculation Sheet'!$W$31&lt;&gt;"",ISNUMBER(SEARCH($X$4,'Final Calculation Sheet'!$W$31))))),IF($Y$4="",TRUE,IF($Y$4="(blank)",'Final Calculation Sheet'!$X$31="",IF($Y$4="(nonblank)",'Final Calculation Sheet'!$X$31&lt;&gt;"",ISNUMBER(SEARCH($Y$4,'Final Calculation Sheet'!$X$31))))),IF($Z$4="",TRUE,IF($Z$4="(blank)",'Final Calculation Sheet'!$Y$31="",IF($Z$4="(nonblank)",'Final Calculation Sheet'!$Y$31&lt;&gt;"",ISNUMBER(SEARCH($Z$4,'Final Calculation Sheet'!$Y$31))))),IF($AA$4="",TRUE,IF($AA$4="(blank)",'Final Calculation Sheet'!$Z$31="",IF($AA$4="(nonblank)",'Final Calculation Sheet'!$Z$31&lt;&gt;"",ISNUMBER(SEARCH($AA$4,'Final Calculation Sheet'!$Z$31))))),IF($AB$4="",TRUE,IF($AB$4="(blank)",'Final Calculation Sheet'!$AA$31="",IF($AB$4="(nonblank)",'Final Calculation Sheet'!$AA$31&lt;&gt;"",ISNUMBER(SEARCH($AB$4,'Final Calculation Sheet'!$AA$31))))),IF($AC$4="",TRUE,IF($AC$4="(blank)",'Final Calculation Sheet'!$AB$31="",IF($AC$4="(nonblank)",'Final Calculation Sheet'!$AB$31&lt;&gt;"",ISNUMBER(SEARCH($AC$4,'Final Calculation Sheet'!$AB$31))))),IF($AD$4="",TRUE,IF($AD$4="(blank)",'Final Calculation Sheet'!$AC$31="",IF($AD$4="(nonblank)",'Final Calculation Sheet'!$AC$31&lt;&gt;"",ISNUMBER(SEARCH($AD$4,'Final Calculation Sheet'!$AC$31))))),IF($AE$4="",TRUE,IF($AE$4="(blank)",'Final Calculation Sheet'!$AD$31="",IF($AE$4="(nonblank)",'Final Calculation Sheet'!$AD$31&lt;&gt;"",ISNUMBER(SEARCH($AE$4,'Final Calculation Sheet'!$AD$31))))),IF($AF$4="",TRUE,IF($AF$4="(blank)",'Final Calculation Sheet'!$AE$31="",IF($AF$4="(nonblank)",'Final Calculation Sheet'!$AE$31&lt;&gt;"",ISNUMBER(SEARCH($AF$4,'Final Calculation Sheet'!$AE$31))))),IF($AG$4="",TRUE,IF($AG$4="(blank)",'Final Calculation Sheet'!$AF$31="",IF($AG$4="(nonblank)",'Final Calculation Sheet'!$AF$31&lt;&gt;"",ISNUMBER(SEARCH($AG$4,'Final Calculation Sheet'!$AF$31))))),IF($AH$4="",TRUE,IF($AH$4="(blank)",'Final Calculation Sheet'!$AG$31="",IF($AH$4="(nonblank)",'Final Calculation Sheet'!$AG$31&lt;&gt;"",ISNUMBER(SEARCH($AH$4,'Final Calculation Sheet'!$AG$31))))),IF($AI$4="",TRUE,IF($AI$4="(blank)",IF('Final Calculation Sheet'!$AD$31&lt;=5,"SETTLED","OUTSTANDING")="",IF($AI$4="(nonblank)",IF('Final Calculation Sheet'!$AD$31&lt;=5,"SETTLED","OUTSTANDING")&lt;&gt;"",ISNUMBER(SEARCH($AI$4,IF('Final Calculation Sheet'!$AD$31&lt;=5,"SETTLED","OUTSTANDING")))))))</f>
        <v/>
      </c>
      <c r="AK33">
        <f>IF(AJ33=1,COUNTIF(AJ$6:AJ33,1),"")</f>
        <v/>
      </c>
      <c r="AM33">
        <f>AM32+IF(AND('Lists'!$O$33&lt;&gt;"",ISNUMBER(SEARCH($B$4,'Lists'!$O$33))),1,0)</f>
        <v/>
      </c>
      <c r="AN33">
        <f>IF(ROW()-3&gt;MAX($AM$4:$AM$42),"",INDEX('Lists'!$O$4:$O$42,MATCH(ROW()-3,$AM$4:$AM$42,0)))</f>
        <v/>
      </c>
      <c r="AO33">
        <f>AO32+IF(AND('Lists'!$T$33&lt;&gt;"",ISNUMBER(SEARCH($C$4,'Lists'!$T$33))),1,0)</f>
        <v/>
      </c>
      <c r="AP33">
        <f>IF(ROW()-3&gt;MAX($AO$4:$AO$42),"",INDEX('Lists'!$T$4:$T$42,MATCH(ROW()-3,$AO$4:$AO$42,0)))</f>
        <v/>
      </c>
      <c r="AQ33">
        <f>AQ32+IF(AND('Lists'!$Y$33&lt;&gt;"",ISNUMBER(SEARCH($D$4,'Lists'!$Y$33))),1,0)</f>
        <v/>
      </c>
      <c r="AR33">
        <f>IF(ROW()-3&gt;MAX($AQ$4:$AQ$42),"",INDEX('Lists'!$Y$4:$Y$42,MATCH(ROW()-3,$AQ$4:$AQ$42,0)))</f>
        <v/>
      </c>
      <c r="AS33">
        <f>AS32+IF(AND('Lists'!$AD$33&lt;&gt;"",ISNUMBER(SEARCH($E$4,'Lists'!$AD$33))),1,0)</f>
        <v/>
      </c>
      <c r="AT33">
        <f>IF(ROW()-3&gt;MAX($AS$4:$AS$42),"",INDEX('Lists'!$AD$4:$AD$42,MATCH(ROW()-3,$AS$4:$AS$42,0)))</f>
        <v/>
      </c>
      <c r="AU33">
        <f>AU32+IF(AND('Lists'!$AI$33&lt;&gt;"",ISNUMBER(SEARCH($F$4,'Lists'!$AI$33))),1,0)</f>
        <v/>
      </c>
      <c r="AV33">
        <f>IF(ROW()-3&gt;MAX($AU$4:$AU$42),"",INDEX('Lists'!$AI$4:$AI$42,MATCH(ROW()-3,$AU$4:$AU$42,0)))</f>
        <v/>
      </c>
      <c r="AW33">
        <f>AW32+IF(AND('Lists'!$AN$33&lt;&gt;"",ISNUMBER(SEARCH($G$4,'Lists'!$AN$33))),1,0)</f>
        <v/>
      </c>
      <c r="AX33">
        <f>IF(ROW()-3&gt;MAX($AW$4:$AW$42),"",INDEX('Lists'!$AN$4:$AN$42,MATCH(ROW()-3,$AW$4:$AW$42,0)))</f>
        <v/>
      </c>
      <c r="AY33">
        <f>AY32+IF(AND('Lists'!$AS$33&lt;&gt;"",ISNUMBER(SEARCH($H$4,'Lists'!$AS$33))),1,0)</f>
        <v/>
      </c>
      <c r="AZ33">
        <f>IF(ROW()-3&gt;MAX($AY$4:$AY$42),"",INDEX('Lists'!$AS$4:$AS$42,MATCH(ROW()-3,$AY$4:$AY$42,0)))</f>
        <v/>
      </c>
      <c r="BA33">
        <f>BA32+IF(AND('Lists'!$AX$33&lt;&gt;"",ISNUMBER(SEARCH($I$4,'Lists'!$AX$33))),1,0)</f>
        <v/>
      </c>
      <c r="BB33">
        <f>IF(ROW()-3&gt;MAX($BA$4:$BA$42),"",INDEX('Lists'!$AX$4:$AX$42,MATCH(ROW()-3,$BA$4:$BA$42,0)))</f>
        <v/>
      </c>
      <c r="BC33">
        <f>BC32+IF(AND('Lists'!$BC$33&lt;&gt;"",ISNUMBER(SEARCH($J$4,'Lists'!$BC$33))),1,0)</f>
        <v/>
      </c>
      <c r="BD33">
        <f>IF(ROW()-3&gt;MAX($BC$4:$BC$42),"",INDEX('Lists'!$BC$4:$BC$42,MATCH(ROW()-3,$BC$4:$BC$42,0)))</f>
        <v/>
      </c>
      <c r="BE33">
        <f>BE32+IF(AND('Lists'!$BH$33&lt;&gt;"",ISNUMBER(SEARCH($K$4,'Lists'!$BH$33))),1,0)</f>
        <v/>
      </c>
      <c r="BF33">
        <f>IF(ROW()-3&gt;MAX($BE$4:$BE$42),"",INDEX('Lists'!$BH$4:$BH$42,MATCH(ROW()-3,$BE$4:$BE$42,0)))</f>
        <v/>
      </c>
      <c r="BG33">
        <f>BG32+IF(AND('Lists'!$BM$33&lt;&gt;"",ISNUMBER(SEARCH($L$4,'Lists'!$BM$33))),1,0)</f>
        <v/>
      </c>
      <c r="BH33">
        <f>IF(ROW()-3&gt;MAX($BG$4:$BG$42),"",INDEX('Lists'!$BM$4:$BM$42,MATCH(ROW()-3,$BG$4:$BG$42,0)))</f>
        <v/>
      </c>
      <c r="BI33">
        <f>BI32+IF(AND('Lists'!$BR$33&lt;&gt;"",ISNUMBER(SEARCH($M$4,'Lists'!$BR$33))),1,0)</f>
        <v/>
      </c>
      <c r="BJ33">
        <f>IF(ROW()-3&gt;MAX($BI$4:$BI$42),"",INDEX('Lists'!$BR$4:$BR$42,MATCH(ROW()-3,$BI$4:$BI$42,0)))</f>
        <v/>
      </c>
      <c r="BK33">
        <f>BK32+IF(AND('Lists'!$BW$33&lt;&gt;"",ISNUMBER(SEARCH($N$4,'Lists'!$BW$33))),1,0)</f>
        <v/>
      </c>
      <c r="BL33">
        <f>IF(ROW()-3&gt;MAX($BK$4:$BK$42),"",INDEX('Lists'!$BW$4:$BW$42,MATCH(ROW()-3,$BK$4:$BK$42,0)))</f>
        <v/>
      </c>
      <c r="BM33">
        <f>BM32+IF(AND('Lists'!$CB$33&lt;&gt;"",ISNUMBER(SEARCH($O$4,'Lists'!$CB$33))),1,0)</f>
        <v/>
      </c>
      <c r="BN33">
        <f>IF(ROW()-3&gt;MAX($BM$4:$BM$42),"",INDEX('Lists'!$CB$4:$CB$42,MATCH(ROW()-3,$BM$4:$BM$42,0)))</f>
        <v/>
      </c>
      <c r="BO33">
        <f>BO32+IF(AND('Lists'!$CG$33&lt;&gt;"",ISNUMBER(SEARCH($P$4,'Lists'!$CG$33))),1,0)</f>
        <v/>
      </c>
      <c r="BP33">
        <f>IF(ROW()-3&gt;MAX($BO$4:$BO$42),"",INDEX('Lists'!$CG$4:$CG$42,MATCH(ROW()-3,$BO$4:$BO$42,0)))</f>
        <v/>
      </c>
      <c r="BQ33">
        <f>BQ32+IF(AND('Lists'!$CL$33&lt;&gt;"",ISNUMBER(SEARCH($Q$4,'Lists'!$CL$33))),1,0)</f>
        <v/>
      </c>
      <c r="BR33">
        <f>IF(ROW()-3&gt;MAX($BQ$4:$BQ$42),"",INDEX('Lists'!$CL$4:$CL$42,MATCH(ROW()-3,$BQ$4:$BQ$42,0)))</f>
        <v/>
      </c>
      <c r="BS33">
        <f>BS32+IF(AND('Lists'!$CQ$33&lt;&gt;"",ISNUMBER(SEARCH($R$4,'Lists'!$CQ$33))),1,0)</f>
        <v/>
      </c>
      <c r="BT33">
        <f>IF(ROW()-3&gt;MAX($BS$4:$BS$42),"",INDEX('Lists'!$CQ$4:$CQ$42,MATCH(ROW()-3,$BS$4:$BS$42,0)))</f>
        <v/>
      </c>
      <c r="BU33">
        <f>BU32+IF(AND('Lists'!$CV$33&lt;&gt;"",ISNUMBER(SEARCH($S$4,'Lists'!$CV$33))),1,0)</f>
        <v/>
      </c>
      <c r="BV33">
        <f>IF(ROW()-3&gt;MAX($BU$4:$BU$42),"",INDEX('Lists'!$CV$4:$CV$42,MATCH(ROW()-3,$BU$4:$BU$42,0)))</f>
        <v/>
      </c>
      <c r="BW33">
        <f>BW32+IF(AND('Lists'!$DA$33&lt;&gt;"",ISNUMBER(SEARCH($T$4,'Lists'!$DA$33))),1,0)</f>
        <v/>
      </c>
      <c r="BX33">
        <f>IF(ROW()-3&gt;MAX($BW$4:$BW$42),"",INDEX('Lists'!$DA$4:$DA$42,MATCH(ROW()-3,$BW$4:$BW$42,0)))</f>
        <v/>
      </c>
      <c r="BY33">
        <f>BY32+IF(AND('Lists'!$DF$33&lt;&gt;"",ISNUMBER(SEARCH($U$4,'Lists'!$DF$33))),1,0)</f>
        <v/>
      </c>
      <c r="BZ33">
        <f>IF(ROW()-3&gt;MAX($BY$4:$BY$42),"",INDEX('Lists'!$DF$4:$DF$42,MATCH(ROW()-3,$BY$4:$BY$42,0)))</f>
        <v/>
      </c>
      <c r="CA33">
        <f>CA32+IF(AND('Lists'!$DK$33&lt;&gt;"",ISNUMBER(SEARCH($V$4,'Lists'!$DK$33))),1,0)</f>
        <v/>
      </c>
      <c r="CB33">
        <f>IF(ROW()-3&gt;MAX($CA$4:$CA$42),"",INDEX('Lists'!$DK$4:$DK$42,MATCH(ROW()-3,$CA$4:$CA$42,0)))</f>
        <v/>
      </c>
      <c r="CC33">
        <f>CC32+IF(AND('Lists'!$DP$33&lt;&gt;"",ISNUMBER(SEARCH($W$4,'Lists'!$DP$33))),1,0)</f>
        <v/>
      </c>
      <c r="CD33">
        <f>IF(ROW()-3&gt;MAX($CC$4:$CC$42),"",INDEX('Lists'!$DP$4:$DP$42,MATCH(ROW()-3,$CC$4:$CC$42,0)))</f>
        <v/>
      </c>
      <c r="CE33">
        <f>CE32+IF(AND('Lists'!$DU$33&lt;&gt;"",ISNUMBER(SEARCH($X$4,'Lists'!$DU$33))),1,0)</f>
        <v/>
      </c>
      <c r="CF33">
        <f>IF(ROW()-3&gt;MAX($CE$4:$CE$42),"",INDEX('Lists'!$DU$4:$DU$42,MATCH(ROW()-3,$CE$4:$CE$42,0)))</f>
        <v/>
      </c>
      <c r="CG33">
        <f>CG32+IF(AND('Lists'!$DZ$33&lt;&gt;"",ISNUMBER(SEARCH($Y$4,'Lists'!$DZ$33))),1,0)</f>
        <v/>
      </c>
      <c r="CH33">
        <f>IF(ROW()-3&gt;MAX($CG$4:$CG$42),"",INDEX('Lists'!$DZ$4:$DZ$42,MATCH(ROW()-3,$CG$4:$CG$42,0)))</f>
        <v/>
      </c>
      <c r="CI33">
        <f>CI32+IF(AND('Lists'!$EE$33&lt;&gt;"",ISNUMBER(SEARCH($Z$4,'Lists'!$EE$33))),1,0)</f>
        <v/>
      </c>
      <c r="CJ33">
        <f>IF(ROW()-3&gt;MAX($CI$4:$CI$42),"",INDEX('Lists'!$EE$4:$EE$42,MATCH(ROW()-3,$CI$4:$CI$42,0)))</f>
        <v/>
      </c>
      <c r="CK33">
        <f>CK32+IF(AND('Lists'!$EJ$33&lt;&gt;"",ISNUMBER(SEARCH($AA$4,'Lists'!$EJ$33))),1,0)</f>
        <v/>
      </c>
      <c r="CL33">
        <f>IF(ROW()-3&gt;MAX($CK$4:$CK$42),"",INDEX('Lists'!$EJ$4:$EJ$42,MATCH(ROW()-3,$CK$4:$CK$42,0)))</f>
        <v/>
      </c>
      <c r="CM33">
        <f>CM32+IF(AND('Lists'!$EO$33&lt;&gt;"",ISNUMBER(SEARCH($AB$4,'Lists'!$EO$33))),1,0)</f>
        <v/>
      </c>
      <c r="CN33">
        <f>IF(ROW()-3&gt;MAX($CM$4:$CM$42),"",INDEX('Lists'!$EO$4:$EO$42,MATCH(ROW()-3,$CM$4:$CM$42,0)))</f>
        <v/>
      </c>
      <c r="CO33">
        <f>CO32+IF(AND('Lists'!$ET$33&lt;&gt;"",ISNUMBER(SEARCH($AC$4,'Lists'!$ET$33))),1,0)</f>
        <v/>
      </c>
      <c r="CP33">
        <f>IF(ROW()-3&gt;MAX($CO$4:$CO$42),"",INDEX('Lists'!$ET$4:$ET$42,MATCH(ROW()-3,$CO$4:$CO$42,0)))</f>
        <v/>
      </c>
      <c r="CQ33">
        <f>CQ32+IF(AND('Lists'!$EY$33&lt;&gt;"",ISNUMBER(SEARCH($AD$4,'Lists'!$EY$33))),1,0)</f>
        <v/>
      </c>
      <c r="CR33">
        <f>IF(ROW()-3&gt;MAX($CQ$4:$CQ$42),"",INDEX('Lists'!$EY$4:$EY$42,MATCH(ROW()-3,$CQ$4:$CQ$42,0)))</f>
        <v/>
      </c>
      <c r="CS33">
        <f>CS32+IF(AND('Lists'!$FD$33&lt;&gt;"",ISNUMBER(SEARCH($AE$4,'Lists'!$FD$33))),1,0)</f>
        <v/>
      </c>
      <c r="CT33">
        <f>IF(ROW()-3&gt;MAX($CS$4:$CS$42),"",INDEX('Lists'!$FD$4:$FD$42,MATCH(ROW()-3,$CS$4:$CS$42,0)))</f>
        <v/>
      </c>
      <c r="CU33">
        <f>CU32+IF(AND('Lists'!$FI$33&lt;&gt;"",ISNUMBER(SEARCH($AF$4,'Lists'!$FI$33))),1,0)</f>
        <v/>
      </c>
      <c r="CV33">
        <f>IF(ROW()-3&gt;MAX($CU$4:$CU$42),"",INDEX('Lists'!$FI$4:$FI$42,MATCH(ROW()-3,$CU$4:$CU$42,0)))</f>
        <v/>
      </c>
      <c r="CW33">
        <f>CW32+IF(AND('Lists'!$FN$33&lt;&gt;"",ISNUMBER(SEARCH($AG$4,'Lists'!$FN$33))),1,0)</f>
        <v/>
      </c>
      <c r="CX33">
        <f>IF(ROW()-3&gt;MAX($CW$4:$CW$42),"",INDEX('Lists'!$FN$4:$FN$42,MATCH(ROW()-3,$CW$4:$CW$42,0)))</f>
        <v/>
      </c>
      <c r="CY33">
        <f>CY32+IF(AND('Lists'!$FS$33&lt;&gt;"",ISNUMBER(SEARCH($AH$4,'Lists'!$FS$33))),1,0)</f>
        <v/>
      </c>
      <c r="CZ33">
        <f>IF(ROW()-3&gt;MAX($CY$4:$CY$42),"",INDEX('Lists'!$FS$4:$FS$42,MATCH(ROW()-3,$CY$4:$CY$42,0)))</f>
        <v/>
      </c>
      <c r="DA33">
        <f>DA32+IF(AND('Lists'!$FX$33&lt;&gt;"",ISNUMBER(SEARCH($AI$4,'Lists'!$FX$33))),1,0)</f>
        <v/>
      </c>
      <c r="DB33">
        <f>IF(ROW()-3&gt;MAX($DA$4:$DA$42),"",INDEX('Lists'!$FX$4:$FX$42,MATCH(ROW()-3,$DA$4:$DA$42,0)))</f>
        <v/>
      </c>
    </row>
    <row r="34" outlineLevel="1" ht="15" customHeight="1" s="77">
      <c r="A34" s="118" t="n">
        <v>2</v>
      </c>
      <c r="B34" s="119">
        <f>IF('Final Calculation Sheet'!$F$20="","",'Final Calculation Sheet'!$F$20)</f>
        <v/>
      </c>
      <c r="C34" s="119">
        <f>IF('Final Calculation Sheet'!$G$20="","",'Final Calculation Sheet'!$G$20)</f>
        <v/>
      </c>
      <c r="D34" s="120">
        <f>IF('Final Calculation Sheet'!$B$20="","",'Final Calculation Sheet'!$B$20)</f>
        <v/>
      </c>
      <c r="E34" s="120">
        <f>IF('Final Calculation Sheet'!$D$20="","",'Final Calculation Sheet'!$D$20)</f>
        <v/>
      </c>
      <c r="F34" s="120">
        <f>IF('Final Calculation Sheet'!$A$20="","",'Final Calculation Sheet'!$A$20)</f>
        <v/>
      </c>
      <c r="G34" s="120">
        <f>IF('Final Calculation Sheet'!$E$20="","",'Final Calculation Sheet'!$E$20)</f>
        <v/>
      </c>
      <c r="H34" s="121">
        <f>IF('Final Calculation Sheet'!$C$20="","",'Final Calculation Sheet'!$C$20)</f>
        <v/>
      </c>
      <c r="I34" s="121">
        <f>IF('Final Calculation Sheet'!$H$20="","",'Final Calculation Sheet'!$H$20)</f>
        <v/>
      </c>
      <c r="J34" s="121">
        <f>IF('Final Calculation Sheet'!$I$20="","",'Final Calculation Sheet'!$I$20)</f>
        <v/>
      </c>
      <c r="K34" s="121">
        <f>IF('Final Calculation Sheet'!$J$20="","",'Final Calculation Sheet'!$J$20)</f>
        <v/>
      </c>
      <c r="L34" s="121">
        <f>IF('Final Calculation Sheet'!$K$20="","",'Final Calculation Sheet'!$K$20)</f>
        <v/>
      </c>
      <c r="M34" s="121">
        <f>IF('Final Calculation Sheet'!$L$20="","",'Final Calculation Sheet'!$L$20)</f>
        <v/>
      </c>
      <c r="N34" s="121">
        <f>IF('Final Calculation Sheet'!$M$20="","",'Final Calculation Sheet'!$M$20)</f>
        <v/>
      </c>
      <c r="O34" s="122">
        <f>IF('Final Calculation Sheet'!$N$20="","",'Final Calculation Sheet'!$N$20)</f>
        <v/>
      </c>
      <c r="P34" s="121">
        <f>IF('Final Calculation Sheet'!$O$20="","",'Final Calculation Sheet'!$O$20)</f>
        <v/>
      </c>
      <c r="Q34" s="121">
        <f>IF('Final Calculation Sheet'!$P$20="","",'Final Calculation Sheet'!$P$20)</f>
        <v/>
      </c>
      <c r="R34" s="123">
        <f>IF('Final Calculation Sheet'!$Q$20="","",'Final Calculation Sheet'!$Q$20)</f>
        <v/>
      </c>
      <c r="S34" s="121">
        <f>IF('Final Calculation Sheet'!$R$20="","",'Final Calculation Sheet'!$R$20)</f>
        <v/>
      </c>
      <c r="T34" s="121">
        <f>IF('Final Calculation Sheet'!$S$20="","",'Final Calculation Sheet'!$S$20)</f>
        <v/>
      </c>
      <c r="U34" s="121">
        <f>IF('Final Calculation Sheet'!$T$20="","",'Final Calculation Sheet'!$T$20)</f>
        <v/>
      </c>
      <c r="V34" s="124">
        <f>IF('Final Calculation Sheet'!$U$20="","",'Final Calculation Sheet'!$U$20)</f>
        <v/>
      </c>
      <c r="W34" s="121">
        <f>IF('Final Calculation Sheet'!$V$20="","",'Final Calculation Sheet'!$V$20)</f>
        <v/>
      </c>
      <c r="X34" s="121">
        <f>IF('Final Calculation Sheet'!$W$20="","",'Final Calculation Sheet'!$W$20)</f>
        <v/>
      </c>
      <c r="Y34" s="121">
        <f>IF('Final Calculation Sheet'!$X$20="","",'Final Calculation Sheet'!$X$20)</f>
        <v/>
      </c>
      <c r="Z34" s="121">
        <f>IF('Final Calculation Sheet'!$Y$20="","",'Final Calculation Sheet'!$Y$20)</f>
        <v/>
      </c>
      <c r="AA34" s="121">
        <f>IF('Final Calculation Sheet'!$Z$20="","",'Final Calculation Sheet'!$Z$20)</f>
        <v/>
      </c>
      <c r="AB34" s="121">
        <f>IF('Final Calculation Sheet'!$AA$20="","",'Final Calculation Sheet'!$AA$20)</f>
        <v/>
      </c>
      <c r="AC34" s="121">
        <f>IF('Final Calculation Sheet'!$AB$20="","",'Final Calculation Sheet'!$AB$20)</f>
        <v/>
      </c>
      <c r="AD34" s="121">
        <f>IF('Final Calculation Sheet'!$AC$20="","",'Final Calculation Sheet'!$AC$20)</f>
        <v/>
      </c>
      <c r="AE34" s="121">
        <f>IF('Final Calculation Sheet'!$AD$20="","",'Final Calculation Sheet'!$AD$20)</f>
        <v/>
      </c>
      <c r="AF34" s="121">
        <f>IF('Final Calculation Sheet'!$AE$20="","",'Final Calculation Sheet'!$AE$20)</f>
        <v/>
      </c>
      <c r="AG34" s="125">
        <f>IF('Final Calculation Sheet'!$AF$20="","",'Final Calculation Sheet'!$AF$20)</f>
        <v/>
      </c>
      <c r="AH34" s="121">
        <f>IF('Final Calculation Sheet'!$AG$20="","",'Final Calculation Sheet'!$AG$20)</f>
        <v/>
      </c>
      <c r="AI34" s="126">
        <f>IF('Final Calculation Sheet'!$AD$20="","",IF('Final Calculation Sheet'!$AD$20&lt;=5,"SETTLED","OUTSTANDING"))</f>
        <v/>
      </c>
      <c r="AJ34">
        <f>AND(IF($B$4="",TRUE,IF($B$4="(blank)",'Final Calculation Sheet'!$F$32="",IF($B$4="(nonblank)",'Final Calculation Sheet'!$F$32&lt;&gt;"",ISNUMBER(SEARCH($B$4,'Final Calculation Sheet'!$F$32))))),IF($C$4="",TRUE,IF($C$4="(blank)",'Final Calculation Sheet'!$G$32="",IF($C$4="(nonblank)",'Final Calculation Sheet'!$G$32&lt;&gt;"",ISNUMBER(SEARCH($C$4,'Final Calculation Sheet'!$G$32))))),IF($D$4="",TRUE,IF($D$4="(blank)",'Final Calculation Sheet'!$B$32="",IF($D$4="(nonblank)",'Final Calculation Sheet'!$B$32&lt;&gt;"",ISNUMBER(SEARCH($D$4,'Final Calculation Sheet'!$B$32))))),IF($E$4="",TRUE,IF($E$4="(blank)",'Final Calculation Sheet'!$D$32="",IF($E$4="(nonblank)",'Final Calculation Sheet'!$D$32&lt;&gt;"",ISNUMBER(SEARCH($E$4,'Final Calculation Sheet'!$D$32))))),IF($F$4="",TRUE,IF($F$4="(blank)",'Final Calculation Sheet'!$A$32="",IF($F$4="(nonblank)",'Final Calculation Sheet'!$A$32&lt;&gt;"",ISNUMBER(SEARCH($F$4,'Final Calculation Sheet'!$A$32))))),IF($G$4="",TRUE,IF($G$4="(blank)",'Final Calculation Sheet'!$E$32="",IF($G$4="(nonblank)",'Final Calculation Sheet'!$E$32&lt;&gt;"",ISNUMBER(SEARCH($G$4,'Final Calculation Sheet'!$E$32))))),IF($H$4="",TRUE,IF($H$4="(blank)",'Final Calculation Sheet'!$C$32="",IF($H$4="(nonblank)",'Final Calculation Sheet'!$C$32&lt;&gt;"",ISNUMBER(SEARCH($H$4,'Final Calculation Sheet'!$C$32))))),IF($I$4="",TRUE,IF($I$4="(blank)",'Final Calculation Sheet'!$H$32="",IF($I$4="(nonblank)",'Final Calculation Sheet'!$H$32&lt;&gt;"",ISNUMBER(SEARCH($I$4,'Final Calculation Sheet'!$H$32))))),IF($J$4="",TRUE,IF($J$4="(blank)",'Final Calculation Sheet'!$I$32="",IF($J$4="(nonblank)",'Final Calculation Sheet'!$I$32&lt;&gt;"",ISNUMBER(SEARCH($J$4,'Final Calculation Sheet'!$I$32))))),IF($K$4="",TRUE,IF($K$4="(blank)",'Final Calculation Sheet'!$J$32="",IF($K$4="(nonblank)",'Final Calculation Sheet'!$J$32&lt;&gt;"",ISNUMBER(SEARCH($K$4,'Final Calculation Sheet'!$J$32))))),IF($L$4="",TRUE,IF($L$4="(blank)",'Final Calculation Sheet'!$K$32="",IF($L$4="(nonblank)",'Final Calculation Sheet'!$K$32&lt;&gt;"",ISNUMBER(SEARCH($L$4,'Final Calculation Sheet'!$K$32))))),IF($M$4="",TRUE,IF($M$4="(blank)",'Final Calculation Sheet'!$L$32="",IF($M$4="(nonblank)",'Final Calculation Sheet'!$L$32&lt;&gt;"",ISNUMBER(SEARCH($M$4,'Final Calculation Sheet'!$L$32))))),IF($N$4="",TRUE,IF($N$4="(blank)",'Final Calculation Sheet'!$M$32="",IF($N$4="(nonblank)",'Final Calculation Sheet'!$M$32&lt;&gt;"",ISNUMBER(SEARCH($N$4,'Final Calculation Sheet'!$M$32))))),IF($O$4="",TRUE,IF($O$4="(blank)",'Final Calculation Sheet'!$N$32="",IF($O$4="(nonblank)",'Final Calculation Sheet'!$N$32&lt;&gt;"",ISNUMBER(SEARCH($O$4,'Final Calculation Sheet'!$N$32))))),IF($P$4="",TRUE,IF($P$4="(blank)",'Final Calculation Sheet'!$O$32="",IF($P$4="(nonblank)",'Final Calculation Sheet'!$O$32&lt;&gt;"",ISNUMBER(SEARCH($P$4,'Final Calculation Sheet'!$O$32))))),IF($Q$4="",TRUE,IF($Q$4="(blank)",'Final Calculation Sheet'!$P$32="",IF($Q$4="(nonblank)",'Final Calculation Sheet'!$P$32&lt;&gt;"",ISNUMBER(SEARCH($Q$4,'Final Calculation Sheet'!$P$32))))),IF($R$4="",TRUE,IF($R$4="(blank)",'Final Calculation Sheet'!$Q$32="",IF($R$4="(nonblank)",'Final Calculation Sheet'!$Q$32&lt;&gt;"",ISNUMBER(SEARCH($R$4,'Final Calculation Sheet'!$Q$32))))),IF($S$4="",TRUE,IF($S$4="(blank)",'Final Calculation Sheet'!$R$32="",IF($S$4="(nonblank)",'Final Calculation Sheet'!$R$32&lt;&gt;"",ISNUMBER(SEARCH($S$4,'Final Calculation Sheet'!$R$32))))),IF($T$4="",TRUE,IF($T$4="(blank)",'Final Calculation Sheet'!$S$32="",IF($T$4="(nonblank)",'Final Calculation Sheet'!$S$32&lt;&gt;"",ISNUMBER(SEARCH($T$4,'Final Calculation Sheet'!$S$32))))),IF($U$4="",TRUE,IF($U$4="(blank)",'Final Calculation Sheet'!$T$32="",IF($U$4="(nonblank)",'Final Calculation Sheet'!$T$32&lt;&gt;"",ISNUMBER(SEARCH($U$4,'Final Calculation Sheet'!$T$32))))),IF($V$4="",TRUE,IF($V$4="(blank)",'Final Calculation Sheet'!$U$32="",IF($V$4="(nonblank)",'Final Calculation Sheet'!$U$32&lt;&gt;"",ISNUMBER(SEARCH($V$4,'Final Calculation Sheet'!$U$32))))),IF($W$4="",TRUE,IF($W$4="(blank)",'Final Calculation Sheet'!$V$32="",IF($W$4="(nonblank)",'Final Calculation Sheet'!$V$32&lt;&gt;"",ISNUMBER(SEARCH($W$4,'Final Calculation Sheet'!$V$32))))),IF($X$4="",TRUE,IF($X$4="(blank)",'Final Calculation Sheet'!$W$32="",IF($X$4="(nonblank)",'Final Calculation Sheet'!$W$32&lt;&gt;"",ISNUMBER(SEARCH($X$4,'Final Calculation Sheet'!$W$32))))),IF($Y$4="",TRUE,IF($Y$4="(blank)",'Final Calculation Sheet'!$X$32="",IF($Y$4="(nonblank)",'Final Calculation Sheet'!$X$32&lt;&gt;"",ISNUMBER(SEARCH($Y$4,'Final Calculation Sheet'!$X$32))))),IF($Z$4="",TRUE,IF($Z$4="(blank)",'Final Calculation Sheet'!$Y$32="",IF($Z$4="(nonblank)",'Final Calculation Sheet'!$Y$32&lt;&gt;"",ISNUMBER(SEARCH($Z$4,'Final Calculation Sheet'!$Y$32))))),IF($AA$4="",TRUE,IF($AA$4="(blank)",'Final Calculation Sheet'!$Z$32="",IF($AA$4="(nonblank)",'Final Calculation Sheet'!$Z$32&lt;&gt;"",ISNUMBER(SEARCH($AA$4,'Final Calculation Sheet'!$Z$32))))),IF($AB$4="",TRUE,IF($AB$4="(blank)",'Final Calculation Sheet'!$AA$32="",IF($AB$4="(nonblank)",'Final Calculation Sheet'!$AA$32&lt;&gt;"",ISNUMBER(SEARCH($AB$4,'Final Calculation Sheet'!$AA$32))))),IF($AC$4="",TRUE,IF($AC$4="(blank)",'Final Calculation Sheet'!$AB$32="",IF($AC$4="(nonblank)",'Final Calculation Sheet'!$AB$32&lt;&gt;"",ISNUMBER(SEARCH($AC$4,'Final Calculation Sheet'!$AB$32))))),IF($AD$4="",TRUE,IF($AD$4="(blank)",'Final Calculation Sheet'!$AC$32="",IF($AD$4="(nonblank)",'Final Calculation Sheet'!$AC$32&lt;&gt;"",ISNUMBER(SEARCH($AD$4,'Final Calculation Sheet'!$AC$32))))),IF($AE$4="",TRUE,IF($AE$4="(blank)",'Final Calculation Sheet'!$AD$32="",IF($AE$4="(nonblank)",'Final Calculation Sheet'!$AD$32&lt;&gt;"",ISNUMBER(SEARCH($AE$4,'Final Calculation Sheet'!$AD$32))))),IF($AF$4="",TRUE,IF($AF$4="(blank)",'Final Calculation Sheet'!$AE$32="",IF($AF$4="(nonblank)",'Final Calculation Sheet'!$AE$32&lt;&gt;"",ISNUMBER(SEARCH($AF$4,'Final Calculation Sheet'!$AE$32))))),IF($AG$4="",TRUE,IF($AG$4="(blank)",'Final Calculation Sheet'!$AF$32="",IF($AG$4="(nonblank)",'Final Calculation Sheet'!$AF$32&lt;&gt;"",ISNUMBER(SEARCH($AG$4,'Final Calculation Sheet'!$AF$32))))),IF($AH$4="",TRUE,IF($AH$4="(blank)",'Final Calculation Sheet'!$AG$32="",IF($AH$4="(nonblank)",'Final Calculation Sheet'!$AG$32&lt;&gt;"",ISNUMBER(SEARCH($AH$4,'Final Calculation Sheet'!$AG$32))))),IF($AI$4="",TRUE,IF($AI$4="(blank)",IF('Final Calculation Sheet'!$AD$32&lt;=5,"SETTLED","OUTSTANDING")="",IF($AI$4="(nonblank)",IF('Final Calculation Sheet'!$AD$32&lt;=5,"SETTLED","OUTSTANDING")&lt;&gt;"",ISNUMBER(SEARCH($AI$4,IF('Final Calculation Sheet'!$AD$32&lt;=5,"SETTLED","OUTSTANDING")))))))</f>
        <v/>
      </c>
      <c r="AK34">
        <f>IF(AJ34=1,COUNTIF(AJ$6:AJ34,1),"")</f>
        <v/>
      </c>
      <c r="AM34">
        <f>AM33+IF(AND('Lists'!$O$34&lt;&gt;"",ISNUMBER(SEARCH($B$4,'Lists'!$O$34))),1,0)</f>
        <v/>
      </c>
      <c r="AN34">
        <f>IF(ROW()-3&gt;MAX($AM$4:$AM$42),"",INDEX('Lists'!$O$4:$O$42,MATCH(ROW()-3,$AM$4:$AM$42,0)))</f>
        <v/>
      </c>
      <c r="AO34">
        <f>AO33+IF(AND('Lists'!$T$34&lt;&gt;"",ISNUMBER(SEARCH($C$4,'Lists'!$T$34))),1,0)</f>
        <v/>
      </c>
      <c r="AP34">
        <f>IF(ROW()-3&gt;MAX($AO$4:$AO$42),"",INDEX('Lists'!$T$4:$T$42,MATCH(ROW()-3,$AO$4:$AO$42,0)))</f>
        <v/>
      </c>
      <c r="AQ34">
        <f>AQ33+IF(AND('Lists'!$Y$34&lt;&gt;"",ISNUMBER(SEARCH($D$4,'Lists'!$Y$34))),1,0)</f>
        <v/>
      </c>
      <c r="AR34">
        <f>IF(ROW()-3&gt;MAX($AQ$4:$AQ$42),"",INDEX('Lists'!$Y$4:$Y$42,MATCH(ROW()-3,$AQ$4:$AQ$42,0)))</f>
        <v/>
      </c>
      <c r="AS34">
        <f>AS33+IF(AND('Lists'!$AD$34&lt;&gt;"",ISNUMBER(SEARCH($E$4,'Lists'!$AD$34))),1,0)</f>
        <v/>
      </c>
      <c r="AT34">
        <f>IF(ROW()-3&gt;MAX($AS$4:$AS$42),"",INDEX('Lists'!$AD$4:$AD$42,MATCH(ROW()-3,$AS$4:$AS$42,0)))</f>
        <v/>
      </c>
      <c r="AU34">
        <f>AU33+IF(AND('Lists'!$AI$34&lt;&gt;"",ISNUMBER(SEARCH($F$4,'Lists'!$AI$34))),1,0)</f>
        <v/>
      </c>
      <c r="AV34">
        <f>IF(ROW()-3&gt;MAX($AU$4:$AU$42),"",INDEX('Lists'!$AI$4:$AI$42,MATCH(ROW()-3,$AU$4:$AU$42,0)))</f>
        <v/>
      </c>
      <c r="AW34">
        <f>AW33+IF(AND('Lists'!$AN$34&lt;&gt;"",ISNUMBER(SEARCH($G$4,'Lists'!$AN$34))),1,0)</f>
        <v/>
      </c>
      <c r="AX34">
        <f>IF(ROW()-3&gt;MAX($AW$4:$AW$42),"",INDEX('Lists'!$AN$4:$AN$42,MATCH(ROW()-3,$AW$4:$AW$42,0)))</f>
        <v/>
      </c>
      <c r="AY34">
        <f>AY33+IF(AND('Lists'!$AS$34&lt;&gt;"",ISNUMBER(SEARCH($H$4,'Lists'!$AS$34))),1,0)</f>
        <v/>
      </c>
      <c r="AZ34">
        <f>IF(ROW()-3&gt;MAX($AY$4:$AY$42),"",INDEX('Lists'!$AS$4:$AS$42,MATCH(ROW()-3,$AY$4:$AY$42,0)))</f>
        <v/>
      </c>
      <c r="BA34">
        <f>BA33+IF(AND('Lists'!$AX$34&lt;&gt;"",ISNUMBER(SEARCH($I$4,'Lists'!$AX$34))),1,0)</f>
        <v/>
      </c>
      <c r="BB34">
        <f>IF(ROW()-3&gt;MAX($BA$4:$BA$42),"",INDEX('Lists'!$AX$4:$AX$42,MATCH(ROW()-3,$BA$4:$BA$42,0)))</f>
        <v/>
      </c>
      <c r="BC34">
        <f>BC33+IF(AND('Lists'!$BC$34&lt;&gt;"",ISNUMBER(SEARCH($J$4,'Lists'!$BC$34))),1,0)</f>
        <v/>
      </c>
      <c r="BD34">
        <f>IF(ROW()-3&gt;MAX($BC$4:$BC$42),"",INDEX('Lists'!$BC$4:$BC$42,MATCH(ROW()-3,$BC$4:$BC$42,0)))</f>
        <v/>
      </c>
      <c r="BE34">
        <f>BE33+IF(AND('Lists'!$BH$34&lt;&gt;"",ISNUMBER(SEARCH($K$4,'Lists'!$BH$34))),1,0)</f>
        <v/>
      </c>
      <c r="BF34">
        <f>IF(ROW()-3&gt;MAX($BE$4:$BE$42),"",INDEX('Lists'!$BH$4:$BH$42,MATCH(ROW()-3,$BE$4:$BE$42,0)))</f>
        <v/>
      </c>
      <c r="BG34">
        <f>BG33+IF(AND('Lists'!$BM$34&lt;&gt;"",ISNUMBER(SEARCH($L$4,'Lists'!$BM$34))),1,0)</f>
        <v/>
      </c>
      <c r="BH34">
        <f>IF(ROW()-3&gt;MAX($BG$4:$BG$42),"",INDEX('Lists'!$BM$4:$BM$42,MATCH(ROW()-3,$BG$4:$BG$42,0)))</f>
        <v/>
      </c>
      <c r="BI34">
        <f>BI33+IF(AND('Lists'!$BR$34&lt;&gt;"",ISNUMBER(SEARCH($M$4,'Lists'!$BR$34))),1,0)</f>
        <v/>
      </c>
      <c r="BJ34">
        <f>IF(ROW()-3&gt;MAX($BI$4:$BI$42),"",INDEX('Lists'!$BR$4:$BR$42,MATCH(ROW()-3,$BI$4:$BI$42,0)))</f>
        <v/>
      </c>
      <c r="BK34">
        <f>BK33+IF(AND('Lists'!$BW$34&lt;&gt;"",ISNUMBER(SEARCH($N$4,'Lists'!$BW$34))),1,0)</f>
        <v/>
      </c>
      <c r="BL34">
        <f>IF(ROW()-3&gt;MAX($BK$4:$BK$42),"",INDEX('Lists'!$BW$4:$BW$42,MATCH(ROW()-3,$BK$4:$BK$42,0)))</f>
        <v/>
      </c>
      <c r="BM34">
        <f>BM33+IF(AND('Lists'!$CB$34&lt;&gt;"",ISNUMBER(SEARCH($O$4,'Lists'!$CB$34))),1,0)</f>
        <v/>
      </c>
      <c r="BN34">
        <f>IF(ROW()-3&gt;MAX($BM$4:$BM$42),"",INDEX('Lists'!$CB$4:$CB$42,MATCH(ROW()-3,$BM$4:$BM$42,0)))</f>
        <v/>
      </c>
      <c r="BO34">
        <f>BO33+IF(AND('Lists'!$CG$34&lt;&gt;"",ISNUMBER(SEARCH($P$4,'Lists'!$CG$34))),1,0)</f>
        <v/>
      </c>
      <c r="BP34">
        <f>IF(ROW()-3&gt;MAX($BO$4:$BO$42),"",INDEX('Lists'!$CG$4:$CG$42,MATCH(ROW()-3,$BO$4:$BO$42,0)))</f>
        <v/>
      </c>
      <c r="BQ34">
        <f>BQ33+IF(AND('Lists'!$CL$34&lt;&gt;"",ISNUMBER(SEARCH($Q$4,'Lists'!$CL$34))),1,0)</f>
        <v/>
      </c>
      <c r="BR34">
        <f>IF(ROW()-3&gt;MAX($BQ$4:$BQ$42),"",INDEX('Lists'!$CL$4:$CL$42,MATCH(ROW()-3,$BQ$4:$BQ$42,0)))</f>
        <v/>
      </c>
      <c r="BS34">
        <f>BS33+IF(AND('Lists'!$CQ$34&lt;&gt;"",ISNUMBER(SEARCH($R$4,'Lists'!$CQ$34))),1,0)</f>
        <v/>
      </c>
      <c r="BT34">
        <f>IF(ROW()-3&gt;MAX($BS$4:$BS$42),"",INDEX('Lists'!$CQ$4:$CQ$42,MATCH(ROW()-3,$BS$4:$BS$42,0)))</f>
        <v/>
      </c>
      <c r="BU34">
        <f>BU33+IF(AND('Lists'!$CV$34&lt;&gt;"",ISNUMBER(SEARCH($S$4,'Lists'!$CV$34))),1,0)</f>
        <v/>
      </c>
      <c r="BV34">
        <f>IF(ROW()-3&gt;MAX($BU$4:$BU$42),"",INDEX('Lists'!$CV$4:$CV$42,MATCH(ROW()-3,$BU$4:$BU$42,0)))</f>
        <v/>
      </c>
      <c r="BW34">
        <f>BW33+IF(AND('Lists'!$DA$34&lt;&gt;"",ISNUMBER(SEARCH($T$4,'Lists'!$DA$34))),1,0)</f>
        <v/>
      </c>
      <c r="BX34">
        <f>IF(ROW()-3&gt;MAX($BW$4:$BW$42),"",INDEX('Lists'!$DA$4:$DA$42,MATCH(ROW()-3,$BW$4:$BW$42,0)))</f>
        <v/>
      </c>
      <c r="BY34">
        <f>BY33+IF(AND('Lists'!$DF$34&lt;&gt;"",ISNUMBER(SEARCH($U$4,'Lists'!$DF$34))),1,0)</f>
        <v/>
      </c>
      <c r="BZ34">
        <f>IF(ROW()-3&gt;MAX($BY$4:$BY$42),"",INDEX('Lists'!$DF$4:$DF$42,MATCH(ROW()-3,$BY$4:$BY$42,0)))</f>
        <v/>
      </c>
      <c r="CA34">
        <f>CA33+IF(AND('Lists'!$DK$34&lt;&gt;"",ISNUMBER(SEARCH($V$4,'Lists'!$DK$34))),1,0)</f>
        <v/>
      </c>
      <c r="CB34">
        <f>IF(ROW()-3&gt;MAX($CA$4:$CA$42),"",INDEX('Lists'!$DK$4:$DK$42,MATCH(ROW()-3,$CA$4:$CA$42,0)))</f>
        <v/>
      </c>
      <c r="CC34">
        <f>CC33+IF(AND('Lists'!$DP$34&lt;&gt;"",ISNUMBER(SEARCH($W$4,'Lists'!$DP$34))),1,0)</f>
        <v/>
      </c>
      <c r="CD34">
        <f>IF(ROW()-3&gt;MAX($CC$4:$CC$42),"",INDEX('Lists'!$DP$4:$DP$42,MATCH(ROW()-3,$CC$4:$CC$42,0)))</f>
        <v/>
      </c>
      <c r="CE34">
        <f>CE33+IF(AND('Lists'!$DU$34&lt;&gt;"",ISNUMBER(SEARCH($X$4,'Lists'!$DU$34))),1,0)</f>
        <v/>
      </c>
      <c r="CF34">
        <f>IF(ROW()-3&gt;MAX($CE$4:$CE$42),"",INDEX('Lists'!$DU$4:$DU$42,MATCH(ROW()-3,$CE$4:$CE$42,0)))</f>
        <v/>
      </c>
      <c r="CG34">
        <f>CG33+IF(AND('Lists'!$DZ$34&lt;&gt;"",ISNUMBER(SEARCH($Y$4,'Lists'!$DZ$34))),1,0)</f>
        <v/>
      </c>
      <c r="CH34">
        <f>IF(ROW()-3&gt;MAX($CG$4:$CG$42),"",INDEX('Lists'!$DZ$4:$DZ$42,MATCH(ROW()-3,$CG$4:$CG$42,0)))</f>
        <v/>
      </c>
      <c r="CI34">
        <f>CI33+IF(AND('Lists'!$EE$34&lt;&gt;"",ISNUMBER(SEARCH($Z$4,'Lists'!$EE$34))),1,0)</f>
        <v/>
      </c>
      <c r="CJ34">
        <f>IF(ROW()-3&gt;MAX($CI$4:$CI$42),"",INDEX('Lists'!$EE$4:$EE$42,MATCH(ROW()-3,$CI$4:$CI$42,0)))</f>
        <v/>
      </c>
      <c r="CK34">
        <f>CK33+IF(AND('Lists'!$EJ$34&lt;&gt;"",ISNUMBER(SEARCH($AA$4,'Lists'!$EJ$34))),1,0)</f>
        <v/>
      </c>
      <c r="CL34">
        <f>IF(ROW()-3&gt;MAX($CK$4:$CK$42),"",INDEX('Lists'!$EJ$4:$EJ$42,MATCH(ROW()-3,$CK$4:$CK$42,0)))</f>
        <v/>
      </c>
      <c r="CM34">
        <f>CM33+IF(AND('Lists'!$EO$34&lt;&gt;"",ISNUMBER(SEARCH($AB$4,'Lists'!$EO$34))),1,0)</f>
        <v/>
      </c>
      <c r="CN34">
        <f>IF(ROW()-3&gt;MAX($CM$4:$CM$42),"",INDEX('Lists'!$EO$4:$EO$42,MATCH(ROW()-3,$CM$4:$CM$42,0)))</f>
        <v/>
      </c>
      <c r="CO34">
        <f>CO33+IF(AND('Lists'!$ET$34&lt;&gt;"",ISNUMBER(SEARCH($AC$4,'Lists'!$ET$34))),1,0)</f>
        <v/>
      </c>
      <c r="CP34">
        <f>IF(ROW()-3&gt;MAX($CO$4:$CO$42),"",INDEX('Lists'!$ET$4:$ET$42,MATCH(ROW()-3,$CO$4:$CO$42,0)))</f>
        <v/>
      </c>
      <c r="CQ34">
        <f>CQ33+IF(AND('Lists'!$EY$34&lt;&gt;"",ISNUMBER(SEARCH($AD$4,'Lists'!$EY$34))),1,0)</f>
        <v/>
      </c>
      <c r="CR34">
        <f>IF(ROW()-3&gt;MAX($CQ$4:$CQ$42),"",INDEX('Lists'!$EY$4:$EY$42,MATCH(ROW()-3,$CQ$4:$CQ$42,0)))</f>
        <v/>
      </c>
      <c r="CS34">
        <f>CS33+IF(AND('Lists'!$FD$34&lt;&gt;"",ISNUMBER(SEARCH($AE$4,'Lists'!$FD$34))),1,0)</f>
        <v/>
      </c>
      <c r="CT34">
        <f>IF(ROW()-3&gt;MAX($CS$4:$CS$42),"",INDEX('Lists'!$FD$4:$FD$42,MATCH(ROW()-3,$CS$4:$CS$42,0)))</f>
        <v/>
      </c>
      <c r="CU34">
        <f>CU33+IF(AND('Lists'!$FI$34&lt;&gt;"",ISNUMBER(SEARCH($AF$4,'Lists'!$FI$34))),1,0)</f>
        <v/>
      </c>
      <c r="CV34">
        <f>IF(ROW()-3&gt;MAX($CU$4:$CU$42),"",INDEX('Lists'!$FI$4:$FI$42,MATCH(ROW()-3,$CU$4:$CU$42,0)))</f>
        <v/>
      </c>
      <c r="CW34">
        <f>CW33+IF(AND('Lists'!$FN$34&lt;&gt;"",ISNUMBER(SEARCH($AG$4,'Lists'!$FN$34))),1,0)</f>
        <v/>
      </c>
      <c r="CX34">
        <f>IF(ROW()-3&gt;MAX($CW$4:$CW$42),"",INDEX('Lists'!$FN$4:$FN$42,MATCH(ROW()-3,$CW$4:$CW$42,0)))</f>
        <v/>
      </c>
      <c r="CY34">
        <f>CY33+IF(AND('Lists'!$FS$34&lt;&gt;"",ISNUMBER(SEARCH($AH$4,'Lists'!$FS$34))),1,0)</f>
        <v/>
      </c>
      <c r="CZ34">
        <f>IF(ROW()-3&gt;MAX($CY$4:$CY$42),"",INDEX('Lists'!$FS$4:$FS$42,MATCH(ROW()-3,$CY$4:$CY$42,0)))</f>
        <v/>
      </c>
      <c r="DA34">
        <f>DA33+IF(AND('Lists'!$FX$34&lt;&gt;"",ISNUMBER(SEARCH($AI$4,'Lists'!$FX$34))),1,0)</f>
        <v/>
      </c>
      <c r="DB34">
        <f>IF(ROW()-3&gt;MAX($DA$4:$DA$42),"",INDEX('Lists'!$FX$4:$FX$42,MATCH(ROW()-3,$DA$4:$DA$42,0)))</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c r="AJ35">
        <f>AND(IF($B$4="",TRUE,IF($B$4="(blank)",'Final Calculation Sheet'!$F$33="",IF($B$4="(nonblank)",'Final Calculation Sheet'!$F$33&lt;&gt;"",ISNUMBER(SEARCH($B$4,'Final Calculation Sheet'!$F$33))))),IF($C$4="",TRUE,IF($C$4="(blank)",'Final Calculation Sheet'!$G$33="",IF($C$4="(nonblank)",'Final Calculation Sheet'!$G$33&lt;&gt;"",ISNUMBER(SEARCH($C$4,'Final Calculation Sheet'!$G$33))))),IF($D$4="",TRUE,IF($D$4="(blank)",'Final Calculation Sheet'!$B$33="",IF($D$4="(nonblank)",'Final Calculation Sheet'!$B$33&lt;&gt;"",ISNUMBER(SEARCH($D$4,'Final Calculation Sheet'!$B$33))))),IF($E$4="",TRUE,IF($E$4="(blank)",'Final Calculation Sheet'!$D$33="",IF($E$4="(nonblank)",'Final Calculation Sheet'!$D$33&lt;&gt;"",ISNUMBER(SEARCH($E$4,'Final Calculation Sheet'!$D$33))))),IF($F$4="",TRUE,IF($F$4="(blank)",'Final Calculation Sheet'!$A$33="",IF($F$4="(nonblank)",'Final Calculation Sheet'!$A$33&lt;&gt;"",ISNUMBER(SEARCH($F$4,'Final Calculation Sheet'!$A$33))))),IF($G$4="",TRUE,IF($G$4="(blank)",'Final Calculation Sheet'!$E$33="",IF($G$4="(nonblank)",'Final Calculation Sheet'!$E$33&lt;&gt;"",ISNUMBER(SEARCH($G$4,'Final Calculation Sheet'!$E$33))))),IF($H$4="",TRUE,IF($H$4="(blank)",'Final Calculation Sheet'!$C$33="",IF($H$4="(nonblank)",'Final Calculation Sheet'!$C$33&lt;&gt;"",ISNUMBER(SEARCH($H$4,'Final Calculation Sheet'!$C$33))))),IF($I$4="",TRUE,IF($I$4="(blank)",'Final Calculation Sheet'!$H$33="",IF($I$4="(nonblank)",'Final Calculation Sheet'!$H$33&lt;&gt;"",ISNUMBER(SEARCH($I$4,'Final Calculation Sheet'!$H$33))))),IF($J$4="",TRUE,IF($J$4="(blank)",'Final Calculation Sheet'!$I$33="",IF($J$4="(nonblank)",'Final Calculation Sheet'!$I$33&lt;&gt;"",ISNUMBER(SEARCH($J$4,'Final Calculation Sheet'!$I$33))))),IF($K$4="",TRUE,IF($K$4="(blank)",'Final Calculation Sheet'!$J$33="",IF($K$4="(nonblank)",'Final Calculation Sheet'!$J$33&lt;&gt;"",ISNUMBER(SEARCH($K$4,'Final Calculation Sheet'!$J$33))))),IF($L$4="",TRUE,IF($L$4="(blank)",'Final Calculation Sheet'!$K$33="",IF($L$4="(nonblank)",'Final Calculation Sheet'!$K$33&lt;&gt;"",ISNUMBER(SEARCH($L$4,'Final Calculation Sheet'!$K$33))))),IF($M$4="",TRUE,IF($M$4="(blank)",'Final Calculation Sheet'!$L$33="",IF($M$4="(nonblank)",'Final Calculation Sheet'!$L$33&lt;&gt;"",ISNUMBER(SEARCH($M$4,'Final Calculation Sheet'!$L$33))))),IF($N$4="",TRUE,IF($N$4="(blank)",'Final Calculation Sheet'!$M$33="",IF($N$4="(nonblank)",'Final Calculation Sheet'!$M$33&lt;&gt;"",ISNUMBER(SEARCH($N$4,'Final Calculation Sheet'!$M$33))))),IF($O$4="",TRUE,IF($O$4="(blank)",'Final Calculation Sheet'!$N$33="",IF($O$4="(nonblank)",'Final Calculation Sheet'!$N$33&lt;&gt;"",ISNUMBER(SEARCH($O$4,'Final Calculation Sheet'!$N$33))))),IF($P$4="",TRUE,IF($P$4="(blank)",'Final Calculation Sheet'!$O$33="",IF($P$4="(nonblank)",'Final Calculation Sheet'!$O$33&lt;&gt;"",ISNUMBER(SEARCH($P$4,'Final Calculation Sheet'!$O$33))))),IF($Q$4="",TRUE,IF($Q$4="(blank)",'Final Calculation Sheet'!$P$33="",IF($Q$4="(nonblank)",'Final Calculation Sheet'!$P$33&lt;&gt;"",ISNUMBER(SEARCH($Q$4,'Final Calculation Sheet'!$P$33))))),IF($R$4="",TRUE,IF($R$4="(blank)",'Final Calculation Sheet'!$Q$33="",IF($R$4="(nonblank)",'Final Calculation Sheet'!$Q$33&lt;&gt;"",ISNUMBER(SEARCH($R$4,'Final Calculation Sheet'!$Q$33))))),IF($S$4="",TRUE,IF($S$4="(blank)",'Final Calculation Sheet'!$R$33="",IF($S$4="(nonblank)",'Final Calculation Sheet'!$R$33&lt;&gt;"",ISNUMBER(SEARCH($S$4,'Final Calculation Sheet'!$R$33))))),IF($T$4="",TRUE,IF($T$4="(blank)",'Final Calculation Sheet'!$S$33="",IF($T$4="(nonblank)",'Final Calculation Sheet'!$S$33&lt;&gt;"",ISNUMBER(SEARCH($T$4,'Final Calculation Sheet'!$S$33))))),IF($U$4="",TRUE,IF($U$4="(blank)",'Final Calculation Sheet'!$T$33="",IF($U$4="(nonblank)",'Final Calculation Sheet'!$T$33&lt;&gt;"",ISNUMBER(SEARCH($U$4,'Final Calculation Sheet'!$T$33))))),IF($V$4="",TRUE,IF($V$4="(blank)",'Final Calculation Sheet'!$U$33="",IF($V$4="(nonblank)",'Final Calculation Sheet'!$U$33&lt;&gt;"",ISNUMBER(SEARCH($V$4,'Final Calculation Sheet'!$U$33))))),IF($W$4="",TRUE,IF($W$4="(blank)",'Final Calculation Sheet'!$V$33="",IF($W$4="(nonblank)",'Final Calculation Sheet'!$V$33&lt;&gt;"",ISNUMBER(SEARCH($W$4,'Final Calculation Sheet'!$V$33))))),IF($X$4="",TRUE,IF($X$4="(blank)",'Final Calculation Sheet'!$W$33="",IF($X$4="(nonblank)",'Final Calculation Sheet'!$W$33&lt;&gt;"",ISNUMBER(SEARCH($X$4,'Final Calculation Sheet'!$W$33))))),IF($Y$4="",TRUE,IF($Y$4="(blank)",'Final Calculation Sheet'!$X$33="",IF($Y$4="(nonblank)",'Final Calculation Sheet'!$X$33&lt;&gt;"",ISNUMBER(SEARCH($Y$4,'Final Calculation Sheet'!$X$33))))),IF($Z$4="",TRUE,IF($Z$4="(blank)",'Final Calculation Sheet'!$Y$33="",IF($Z$4="(nonblank)",'Final Calculation Sheet'!$Y$33&lt;&gt;"",ISNUMBER(SEARCH($Z$4,'Final Calculation Sheet'!$Y$33))))),IF($AA$4="",TRUE,IF($AA$4="(blank)",'Final Calculation Sheet'!$Z$33="",IF($AA$4="(nonblank)",'Final Calculation Sheet'!$Z$33&lt;&gt;"",ISNUMBER(SEARCH($AA$4,'Final Calculation Sheet'!$Z$33))))),IF($AB$4="",TRUE,IF($AB$4="(blank)",'Final Calculation Sheet'!$AA$33="",IF($AB$4="(nonblank)",'Final Calculation Sheet'!$AA$33&lt;&gt;"",ISNUMBER(SEARCH($AB$4,'Final Calculation Sheet'!$AA$33))))),IF($AC$4="",TRUE,IF($AC$4="(blank)",'Final Calculation Sheet'!$AB$33="",IF($AC$4="(nonblank)",'Final Calculation Sheet'!$AB$33&lt;&gt;"",ISNUMBER(SEARCH($AC$4,'Final Calculation Sheet'!$AB$33))))),IF($AD$4="",TRUE,IF($AD$4="(blank)",'Final Calculation Sheet'!$AC$33="",IF($AD$4="(nonblank)",'Final Calculation Sheet'!$AC$33&lt;&gt;"",ISNUMBER(SEARCH($AD$4,'Final Calculation Sheet'!$AC$33))))),IF($AE$4="",TRUE,IF($AE$4="(blank)",'Final Calculation Sheet'!$AD$33="",IF($AE$4="(nonblank)",'Final Calculation Sheet'!$AD$33&lt;&gt;"",ISNUMBER(SEARCH($AE$4,'Final Calculation Sheet'!$AD$33))))),IF($AF$4="",TRUE,IF($AF$4="(blank)",'Final Calculation Sheet'!$AE$33="",IF($AF$4="(nonblank)",'Final Calculation Sheet'!$AE$33&lt;&gt;"",ISNUMBER(SEARCH($AF$4,'Final Calculation Sheet'!$AE$33))))),IF($AG$4="",TRUE,IF($AG$4="(blank)",'Final Calculation Sheet'!$AF$33="",IF($AG$4="(nonblank)",'Final Calculation Sheet'!$AF$33&lt;&gt;"",ISNUMBER(SEARCH($AG$4,'Final Calculation Sheet'!$AF$33))))),IF($AH$4="",TRUE,IF($AH$4="(blank)",'Final Calculation Sheet'!$AG$33="",IF($AH$4="(nonblank)",'Final Calculation Sheet'!$AG$33&lt;&gt;"",ISNUMBER(SEARCH($AH$4,'Final Calculation Sheet'!$AG$33))))),IF($AI$4="",TRUE,IF($AI$4="(blank)",IF('Final Calculation Sheet'!$AD$33&lt;=5,"SETTLED","OUTSTANDING")="",IF($AI$4="(nonblank)",IF('Final Calculation Sheet'!$AD$33&lt;=5,"SETTLED","OUTSTANDING")&lt;&gt;"",ISNUMBER(SEARCH($AI$4,IF('Final Calculation Sheet'!$AD$33&lt;=5,"SETTLED","OUTSTANDING")))))))</f>
        <v/>
      </c>
      <c r="AK35">
        <f>IF(AJ35=1,COUNTIF(AJ$6:AJ35,1),"")</f>
        <v/>
      </c>
      <c r="AM35">
        <f>AM34+IF(AND('Lists'!$O$35&lt;&gt;"",ISNUMBER(SEARCH($B$4,'Lists'!$O$35))),1,0)</f>
        <v/>
      </c>
      <c r="AN35">
        <f>IF(ROW()-3&gt;MAX($AM$4:$AM$42),"",INDEX('Lists'!$O$4:$O$42,MATCH(ROW()-3,$AM$4:$AM$42,0)))</f>
        <v/>
      </c>
      <c r="AO35">
        <f>AO34+IF(AND('Lists'!$T$35&lt;&gt;"",ISNUMBER(SEARCH($C$4,'Lists'!$T$35))),1,0)</f>
        <v/>
      </c>
      <c r="AP35">
        <f>IF(ROW()-3&gt;MAX($AO$4:$AO$42),"",INDEX('Lists'!$T$4:$T$42,MATCH(ROW()-3,$AO$4:$AO$42,0)))</f>
        <v/>
      </c>
      <c r="AQ35">
        <f>AQ34+IF(AND('Lists'!$Y$35&lt;&gt;"",ISNUMBER(SEARCH($D$4,'Lists'!$Y$35))),1,0)</f>
        <v/>
      </c>
      <c r="AR35">
        <f>IF(ROW()-3&gt;MAX($AQ$4:$AQ$42),"",INDEX('Lists'!$Y$4:$Y$42,MATCH(ROW()-3,$AQ$4:$AQ$42,0)))</f>
        <v/>
      </c>
      <c r="AS35">
        <f>AS34+IF(AND('Lists'!$AD$35&lt;&gt;"",ISNUMBER(SEARCH($E$4,'Lists'!$AD$35))),1,0)</f>
        <v/>
      </c>
      <c r="AT35">
        <f>IF(ROW()-3&gt;MAX($AS$4:$AS$42),"",INDEX('Lists'!$AD$4:$AD$42,MATCH(ROW()-3,$AS$4:$AS$42,0)))</f>
        <v/>
      </c>
      <c r="AU35">
        <f>AU34+IF(AND('Lists'!$AI$35&lt;&gt;"",ISNUMBER(SEARCH($F$4,'Lists'!$AI$35))),1,0)</f>
        <v/>
      </c>
      <c r="AV35">
        <f>IF(ROW()-3&gt;MAX($AU$4:$AU$42),"",INDEX('Lists'!$AI$4:$AI$42,MATCH(ROW()-3,$AU$4:$AU$42,0)))</f>
        <v/>
      </c>
      <c r="AW35">
        <f>AW34+IF(AND('Lists'!$AN$35&lt;&gt;"",ISNUMBER(SEARCH($G$4,'Lists'!$AN$35))),1,0)</f>
        <v/>
      </c>
      <c r="AX35">
        <f>IF(ROW()-3&gt;MAX($AW$4:$AW$42),"",INDEX('Lists'!$AN$4:$AN$42,MATCH(ROW()-3,$AW$4:$AW$42,0)))</f>
        <v/>
      </c>
      <c r="AY35">
        <f>AY34+IF(AND('Lists'!$AS$35&lt;&gt;"",ISNUMBER(SEARCH($H$4,'Lists'!$AS$35))),1,0)</f>
        <v/>
      </c>
      <c r="AZ35">
        <f>IF(ROW()-3&gt;MAX($AY$4:$AY$42),"",INDEX('Lists'!$AS$4:$AS$42,MATCH(ROW()-3,$AY$4:$AY$42,0)))</f>
        <v/>
      </c>
      <c r="BA35">
        <f>BA34+IF(AND('Lists'!$AX$35&lt;&gt;"",ISNUMBER(SEARCH($I$4,'Lists'!$AX$35))),1,0)</f>
        <v/>
      </c>
      <c r="BB35">
        <f>IF(ROW()-3&gt;MAX($BA$4:$BA$42),"",INDEX('Lists'!$AX$4:$AX$42,MATCH(ROW()-3,$BA$4:$BA$42,0)))</f>
        <v/>
      </c>
      <c r="BC35">
        <f>BC34+IF(AND('Lists'!$BC$35&lt;&gt;"",ISNUMBER(SEARCH($J$4,'Lists'!$BC$35))),1,0)</f>
        <v/>
      </c>
      <c r="BD35">
        <f>IF(ROW()-3&gt;MAX($BC$4:$BC$42),"",INDEX('Lists'!$BC$4:$BC$42,MATCH(ROW()-3,$BC$4:$BC$42,0)))</f>
        <v/>
      </c>
      <c r="BE35">
        <f>BE34+IF(AND('Lists'!$BH$35&lt;&gt;"",ISNUMBER(SEARCH($K$4,'Lists'!$BH$35))),1,0)</f>
        <v/>
      </c>
      <c r="BF35">
        <f>IF(ROW()-3&gt;MAX($BE$4:$BE$42),"",INDEX('Lists'!$BH$4:$BH$42,MATCH(ROW()-3,$BE$4:$BE$42,0)))</f>
        <v/>
      </c>
      <c r="BG35">
        <f>BG34+IF(AND('Lists'!$BM$35&lt;&gt;"",ISNUMBER(SEARCH($L$4,'Lists'!$BM$35))),1,0)</f>
        <v/>
      </c>
      <c r="BH35">
        <f>IF(ROW()-3&gt;MAX($BG$4:$BG$42),"",INDEX('Lists'!$BM$4:$BM$42,MATCH(ROW()-3,$BG$4:$BG$42,0)))</f>
        <v/>
      </c>
      <c r="BI35">
        <f>BI34+IF(AND('Lists'!$BR$35&lt;&gt;"",ISNUMBER(SEARCH($M$4,'Lists'!$BR$35))),1,0)</f>
        <v/>
      </c>
      <c r="BJ35">
        <f>IF(ROW()-3&gt;MAX($BI$4:$BI$42),"",INDEX('Lists'!$BR$4:$BR$42,MATCH(ROW()-3,$BI$4:$BI$42,0)))</f>
        <v/>
      </c>
      <c r="BK35">
        <f>BK34+IF(AND('Lists'!$BW$35&lt;&gt;"",ISNUMBER(SEARCH($N$4,'Lists'!$BW$35))),1,0)</f>
        <v/>
      </c>
      <c r="BL35">
        <f>IF(ROW()-3&gt;MAX($BK$4:$BK$42),"",INDEX('Lists'!$BW$4:$BW$42,MATCH(ROW()-3,$BK$4:$BK$42,0)))</f>
        <v/>
      </c>
      <c r="BM35">
        <f>BM34+IF(AND('Lists'!$CB$35&lt;&gt;"",ISNUMBER(SEARCH($O$4,'Lists'!$CB$35))),1,0)</f>
        <v/>
      </c>
      <c r="BN35">
        <f>IF(ROW()-3&gt;MAX($BM$4:$BM$42),"",INDEX('Lists'!$CB$4:$CB$42,MATCH(ROW()-3,$BM$4:$BM$42,0)))</f>
        <v/>
      </c>
      <c r="BO35">
        <f>BO34+IF(AND('Lists'!$CG$35&lt;&gt;"",ISNUMBER(SEARCH($P$4,'Lists'!$CG$35))),1,0)</f>
        <v/>
      </c>
      <c r="BP35">
        <f>IF(ROW()-3&gt;MAX($BO$4:$BO$42),"",INDEX('Lists'!$CG$4:$CG$42,MATCH(ROW()-3,$BO$4:$BO$42,0)))</f>
        <v/>
      </c>
      <c r="BQ35">
        <f>BQ34+IF(AND('Lists'!$CL$35&lt;&gt;"",ISNUMBER(SEARCH($Q$4,'Lists'!$CL$35))),1,0)</f>
        <v/>
      </c>
      <c r="BR35">
        <f>IF(ROW()-3&gt;MAX($BQ$4:$BQ$42),"",INDEX('Lists'!$CL$4:$CL$42,MATCH(ROW()-3,$BQ$4:$BQ$42,0)))</f>
        <v/>
      </c>
      <c r="BS35">
        <f>BS34+IF(AND('Lists'!$CQ$35&lt;&gt;"",ISNUMBER(SEARCH($R$4,'Lists'!$CQ$35))),1,0)</f>
        <v/>
      </c>
      <c r="BT35">
        <f>IF(ROW()-3&gt;MAX($BS$4:$BS$42),"",INDEX('Lists'!$CQ$4:$CQ$42,MATCH(ROW()-3,$BS$4:$BS$42,0)))</f>
        <v/>
      </c>
      <c r="BU35">
        <f>BU34+IF(AND('Lists'!$CV$35&lt;&gt;"",ISNUMBER(SEARCH($S$4,'Lists'!$CV$35))),1,0)</f>
        <v/>
      </c>
      <c r="BV35">
        <f>IF(ROW()-3&gt;MAX($BU$4:$BU$42),"",INDEX('Lists'!$CV$4:$CV$42,MATCH(ROW()-3,$BU$4:$BU$42,0)))</f>
        <v/>
      </c>
      <c r="BW35">
        <f>BW34+IF(AND('Lists'!$DA$35&lt;&gt;"",ISNUMBER(SEARCH($T$4,'Lists'!$DA$35))),1,0)</f>
        <v/>
      </c>
      <c r="BX35">
        <f>IF(ROW()-3&gt;MAX($BW$4:$BW$42),"",INDEX('Lists'!$DA$4:$DA$42,MATCH(ROW()-3,$BW$4:$BW$42,0)))</f>
        <v/>
      </c>
      <c r="BY35">
        <f>BY34+IF(AND('Lists'!$DF$35&lt;&gt;"",ISNUMBER(SEARCH($U$4,'Lists'!$DF$35))),1,0)</f>
        <v/>
      </c>
      <c r="BZ35">
        <f>IF(ROW()-3&gt;MAX($BY$4:$BY$42),"",INDEX('Lists'!$DF$4:$DF$42,MATCH(ROW()-3,$BY$4:$BY$42,0)))</f>
        <v/>
      </c>
      <c r="CA35">
        <f>CA34+IF(AND('Lists'!$DK$35&lt;&gt;"",ISNUMBER(SEARCH($V$4,'Lists'!$DK$35))),1,0)</f>
        <v/>
      </c>
      <c r="CB35">
        <f>IF(ROW()-3&gt;MAX($CA$4:$CA$42),"",INDEX('Lists'!$DK$4:$DK$42,MATCH(ROW()-3,$CA$4:$CA$42,0)))</f>
        <v/>
      </c>
      <c r="CC35">
        <f>CC34+IF(AND('Lists'!$DP$35&lt;&gt;"",ISNUMBER(SEARCH($W$4,'Lists'!$DP$35))),1,0)</f>
        <v/>
      </c>
      <c r="CD35">
        <f>IF(ROW()-3&gt;MAX($CC$4:$CC$42),"",INDEX('Lists'!$DP$4:$DP$42,MATCH(ROW()-3,$CC$4:$CC$42,0)))</f>
        <v/>
      </c>
      <c r="CE35">
        <f>CE34+IF(AND('Lists'!$DU$35&lt;&gt;"",ISNUMBER(SEARCH($X$4,'Lists'!$DU$35))),1,0)</f>
        <v/>
      </c>
      <c r="CF35">
        <f>IF(ROW()-3&gt;MAX($CE$4:$CE$42),"",INDEX('Lists'!$DU$4:$DU$42,MATCH(ROW()-3,$CE$4:$CE$42,0)))</f>
        <v/>
      </c>
      <c r="CG35">
        <f>CG34+IF(AND('Lists'!$DZ$35&lt;&gt;"",ISNUMBER(SEARCH($Y$4,'Lists'!$DZ$35))),1,0)</f>
        <v/>
      </c>
      <c r="CH35">
        <f>IF(ROW()-3&gt;MAX($CG$4:$CG$42),"",INDEX('Lists'!$DZ$4:$DZ$42,MATCH(ROW()-3,$CG$4:$CG$42,0)))</f>
        <v/>
      </c>
      <c r="CI35">
        <f>CI34+IF(AND('Lists'!$EE$35&lt;&gt;"",ISNUMBER(SEARCH($Z$4,'Lists'!$EE$35))),1,0)</f>
        <v/>
      </c>
      <c r="CJ35">
        <f>IF(ROW()-3&gt;MAX($CI$4:$CI$42),"",INDEX('Lists'!$EE$4:$EE$42,MATCH(ROW()-3,$CI$4:$CI$42,0)))</f>
        <v/>
      </c>
      <c r="CK35">
        <f>CK34+IF(AND('Lists'!$EJ$35&lt;&gt;"",ISNUMBER(SEARCH($AA$4,'Lists'!$EJ$35))),1,0)</f>
        <v/>
      </c>
      <c r="CL35">
        <f>IF(ROW()-3&gt;MAX($CK$4:$CK$42),"",INDEX('Lists'!$EJ$4:$EJ$42,MATCH(ROW()-3,$CK$4:$CK$42,0)))</f>
        <v/>
      </c>
      <c r="CM35">
        <f>CM34+IF(AND('Lists'!$EO$35&lt;&gt;"",ISNUMBER(SEARCH($AB$4,'Lists'!$EO$35))),1,0)</f>
        <v/>
      </c>
      <c r="CN35">
        <f>IF(ROW()-3&gt;MAX($CM$4:$CM$42),"",INDEX('Lists'!$EO$4:$EO$42,MATCH(ROW()-3,$CM$4:$CM$42,0)))</f>
        <v/>
      </c>
      <c r="CO35">
        <f>CO34+IF(AND('Lists'!$ET$35&lt;&gt;"",ISNUMBER(SEARCH($AC$4,'Lists'!$ET$35))),1,0)</f>
        <v/>
      </c>
      <c r="CP35">
        <f>IF(ROW()-3&gt;MAX($CO$4:$CO$42),"",INDEX('Lists'!$ET$4:$ET$42,MATCH(ROW()-3,$CO$4:$CO$42,0)))</f>
        <v/>
      </c>
      <c r="CQ35">
        <f>CQ34+IF(AND('Lists'!$EY$35&lt;&gt;"",ISNUMBER(SEARCH($AD$4,'Lists'!$EY$35))),1,0)</f>
        <v/>
      </c>
      <c r="CR35">
        <f>IF(ROW()-3&gt;MAX($CQ$4:$CQ$42),"",INDEX('Lists'!$EY$4:$EY$42,MATCH(ROW()-3,$CQ$4:$CQ$42,0)))</f>
        <v/>
      </c>
      <c r="CS35">
        <f>CS34+IF(AND('Lists'!$FD$35&lt;&gt;"",ISNUMBER(SEARCH($AE$4,'Lists'!$FD$35))),1,0)</f>
        <v/>
      </c>
      <c r="CT35">
        <f>IF(ROW()-3&gt;MAX($CS$4:$CS$42),"",INDEX('Lists'!$FD$4:$FD$42,MATCH(ROW()-3,$CS$4:$CS$42,0)))</f>
        <v/>
      </c>
      <c r="CU35">
        <f>CU34+IF(AND('Lists'!$FI$35&lt;&gt;"",ISNUMBER(SEARCH($AF$4,'Lists'!$FI$35))),1,0)</f>
        <v/>
      </c>
      <c r="CV35">
        <f>IF(ROW()-3&gt;MAX($CU$4:$CU$42),"",INDEX('Lists'!$FI$4:$FI$42,MATCH(ROW()-3,$CU$4:$CU$42,0)))</f>
        <v/>
      </c>
      <c r="CW35">
        <f>CW34+IF(AND('Lists'!$FN$35&lt;&gt;"",ISNUMBER(SEARCH($AG$4,'Lists'!$FN$35))),1,0)</f>
        <v/>
      </c>
      <c r="CX35">
        <f>IF(ROW()-3&gt;MAX($CW$4:$CW$42),"",INDEX('Lists'!$FN$4:$FN$42,MATCH(ROW()-3,$CW$4:$CW$42,0)))</f>
        <v/>
      </c>
      <c r="CY35">
        <f>CY34+IF(AND('Lists'!$FS$35&lt;&gt;"",ISNUMBER(SEARCH($AH$4,'Lists'!$FS$35))),1,0)</f>
        <v/>
      </c>
      <c r="CZ35">
        <f>IF(ROW()-3&gt;MAX($CY$4:$CY$42),"",INDEX('Lists'!$FS$4:$FS$42,MATCH(ROW()-3,$CY$4:$CY$42,0)))</f>
        <v/>
      </c>
      <c r="DA35">
        <f>DA34+IF(AND('Lists'!$FX$35&lt;&gt;"",ISNUMBER(SEARCH($AI$4,'Lists'!$FX$35))),1,0)</f>
        <v/>
      </c>
      <c r="DB35">
        <f>IF(ROW()-3&gt;MAX($DA$4:$DA$42),"",INDEX('Lists'!$FX$4:$FX$42,MATCH(ROW()-3,$DA$4:$DA$42,0)))</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c r="AJ36">
        <f>AND(IF($B$4="",TRUE,IF($B$4="(blank)",'Final Calculation Sheet'!$F$34="",IF($B$4="(nonblank)",'Final Calculation Sheet'!$F$34&lt;&gt;"",ISNUMBER(SEARCH($B$4,'Final Calculation Sheet'!$F$34))))),IF($C$4="",TRUE,IF($C$4="(blank)",'Final Calculation Sheet'!$G$34="",IF($C$4="(nonblank)",'Final Calculation Sheet'!$G$34&lt;&gt;"",ISNUMBER(SEARCH($C$4,'Final Calculation Sheet'!$G$34))))),IF($D$4="",TRUE,IF($D$4="(blank)",'Final Calculation Sheet'!$B$34="",IF($D$4="(nonblank)",'Final Calculation Sheet'!$B$34&lt;&gt;"",ISNUMBER(SEARCH($D$4,'Final Calculation Sheet'!$B$34))))),IF($E$4="",TRUE,IF($E$4="(blank)",'Final Calculation Sheet'!$D$34="",IF($E$4="(nonblank)",'Final Calculation Sheet'!$D$34&lt;&gt;"",ISNUMBER(SEARCH($E$4,'Final Calculation Sheet'!$D$34))))),IF($F$4="",TRUE,IF($F$4="(blank)",'Final Calculation Sheet'!$A$34="",IF($F$4="(nonblank)",'Final Calculation Sheet'!$A$34&lt;&gt;"",ISNUMBER(SEARCH($F$4,'Final Calculation Sheet'!$A$34))))),IF($G$4="",TRUE,IF($G$4="(blank)",'Final Calculation Sheet'!$E$34="",IF($G$4="(nonblank)",'Final Calculation Sheet'!$E$34&lt;&gt;"",ISNUMBER(SEARCH($G$4,'Final Calculation Sheet'!$E$34))))),IF($H$4="",TRUE,IF($H$4="(blank)",'Final Calculation Sheet'!$C$34="",IF($H$4="(nonblank)",'Final Calculation Sheet'!$C$34&lt;&gt;"",ISNUMBER(SEARCH($H$4,'Final Calculation Sheet'!$C$34))))),IF($I$4="",TRUE,IF($I$4="(blank)",'Final Calculation Sheet'!$H$34="",IF($I$4="(nonblank)",'Final Calculation Sheet'!$H$34&lt;&gt;"",ISNUMBER(SEARCH($I$4,'Final Calculation Sheet'!$H$34))))),IF($J$4="",TRUE,IF($J$4="(blank)",'Final Calculation Sheet'!$I$34="",IF($J$4="(nonblank)",'Final Calculation Sheet'!$I$34&lt;&gt;"",ISNUMBER(SEARCH($J$4,'Final Calculation Sheet'!$I$34))))),IF($K$4="",TRUE,IF($K$4="(blank)",'Final Calculation Sheet'!$J$34="",IF($K$4="(nonblank)",'Final Calculation Sheet'!$J$34&lt;&gt;"",ISNUMBER(SEARCH($K$4,'Final Calculation Sheet'!$J$34))))),IF($L$4="",TRUE,IF($L$4="(blank)",'Final Calculation Sheet'!$K$34="",IF($L$4="(nonblank)",'Final Calculation Sheet'!$K$34&lt;&gt;"",ISNUMBER(SEARCH($L$4,'Final Calculation Sheet'!$K$34))))),IF($M$4="",TRUE,IF($M$4="(blank)",'Final Calculation Sheet'!$L$34="",IF($M$4="(nonblank)",'Final Calculation Sheet'!$L$34&lt;&gt;"",ISNUMBER(SEARCH($M$4,'Final Calculation Sheet'!$L$34))))),IF($N$4="",TRUE,IF($N$4="(blank)",'Final Calculation Sheet'!$M$34="",IF($N$4="(nonblank)",'Final Calculation Sheet'!$M$34&lt;&gt;"",ISNUMBER(SEARCH($N$4,'Final Calculation Sheet'!$M$34))))),IF($O$4="",TRUE,IF($O$4="(blank)",'Final Calculation Sheet'!$N$34="",IF($O$4="(nonblank)",'Final Calculation Sheet'!$N$34&lt;&gt;"",ISNUMBER(SEARCH($O$4,'Final Calculation Sheet'!$N$34))))),IF($P$4="",TRUE,IF($P$4="(blank)",'Final Calculation Sheet'!$O$34="",IF($P$4="(nonblank)",'Final Calculation Sheet'!$O$34&lt;&gt;"",ISNUMBER(SEARCH($P$4,'Final Calculation Sheet'!$O$34))))),IF($Q$4="",TRUE,IF($Q$4="(blank)",'Final Calculation Sheet'!$P$34="",IF($Q$4="(nonblank)",'Final Calculation Sheet'!$P$34&lt;&gt;"",ISNUMBER(SEARCH($Q$4,'Final Calculation Sheet'!$P$34))))),IF($R$4="",TRUE,IF($R$4="(blank)",'Final Calculation Sheet'!$Q$34="",IF($R$4="(nonblank)",'Final Calculation Sheet'!$Q$34&lt;&gt;"",ISNUMBER(SEARCH($R$4,'Final Calculation Sheet'!$Q$34))))),IF($S$4="",TRUE,IF($S$4="(blank)",'Final Calculation Sheet'!$R$34="",IF($S$4="(nonblank)",'Final Calculation Sheet'!$R$34&lt;&gt;"",ISNUMBER(SEARCH($S$4,'Final Calculation Sheet'!$R$34))))),IF($T$4="",TRUE,IF($T$4="(blank)",'Final Calculation Sheet'!$S$34="",IF($T$4="(nonblank)",'Final Calculation Sheet'!$S$34&lt;&gt;"",ISNUMBER(SEARCH($T$4,'Final Calculation Sheet'!$S$34))))),IF($U$4="",TRUE,IF($U$4="(blank)",'Final Calculation Sheet'!$T$34="",IF($U$4="(nonblank)",'Final Calculation Sheet'!$T$34&lt;&gt;"",ISNUMBER(SEARCH($U$4,'Final Calculation Sheet'!$T$34))))),IF($V$4="",TRUE,IF($V$4="(blank)",'Final Calculation Sheet'!$U$34="",IF($V$4="(nonblank)",'Final Calculation Sheet'!$U$34&lt;&gt;"",ISNUMBER(SEARCH($V$4,'Final Calculation Sheet'!$U$34))))),IF($W$4="",TRUE,IF($W$4="(blank)",'Final Calculation Sheet'!$V$34="",IF($W$4="(nonblank)",'Final Calculation Sheet'!$V$34&lt;&gt;"",ISNUMBER(SEARCH($W$4,'Final Calculation Sheet'!$V$34))))),IF($X$4="",TRUE,IF($X$4="(blank)",'Final Calculation Sheet'!$W$34="",IF($X$4="(nonblank)",'Final Calculation Sheet'!$W$34&lt;&gt;"",ISNUMBER(SEARCH($X$4,'Final Calculation Sheet'!$W$34))))),IF($Y$4="",TRUE,IF($Y$4="(blank)",'Final Calculation Sheet'!$X$34="",IF($Y$4="(nonblank)",'Final Calculation Sheet'!$X$34&lt;&gt;"",ISNUMBER(SEARCH($Y$4,'Final Calculation Sheet'!$X$34))))),IF($Z$4="",TRUE,IF($Z$4="(blank)",'Final Calculation Sheet'!$Y$34="",IF($Z$4="(nonblank)",'Final Calculation Sheet'!$Y$34&lt;&gt;"",ISNUMBER(SEARCH($Z$4,'Final Calculation Sheet'!$Y$34))))),IF($AA$4="",TRUE,IF($AA$4="(blank)",'Final Calculation Sheet'!$Z$34="",IF($AA$4="(nonblank)",'Final Calculation Sheet'!$Z$34&lt;&gt;"",ISNUMBER(SEARCH($AA$4,'Final Calculation Sheet'!$Z$34))))),IF($AB$4="",TRUE,IF($AB$4="(blank)",'Final Calculation Sheet'!$AA$34="",IF($AB$4="(nonblank)",'Final Calculation Sheet'!$AA$34&lt;&gt;"",ISNUMBER(SEARCH($AB$4,'Final Calculation Sheet'!$AA$34))))),IF($AC$4="",TRUE,IF($AC$4="(blank)",'Final Calculation Sheet'!$AB$34="",IF($AC$4="(nonblank)",'Final Calculation Sheet'!$AB$34&lt;&gt;"",ISNUMBER(SEARCH($AC$4,'Final Calculation Sheet'!$AB$34))))),IF($AD$4="",TRUE,IF($AD$4="(blank)",'Final Calculation Sheet'!$AC$34="",IF($AD$4="(nonblank)",'Final Calculation Sheet'!$AC$34&lt;&gt;"",ISNUMBER(SEARCH($AD$4,'Final Calculation Sheet'!$AC$34))))),IF($AE$4="",TRUE,IF($AE$4="(blank)",'Final Calculation Sheet'!$AD$34="",IF($AE$4="(nonblank)",'Final Calculation Sheet'!$AD$34&lt;&gt;"",ISNUMBER(SEARCH($AE$4,'Final Calculation Sheet'!$AD$34))))),IF($AF$4="",TRUE,IF($AF$4="(blank)",'Final Calculation Sheet'!$AE$34="",IF($AF$4="(nonblank)",'Final Calculation Sheet'!$AE$34&lt;&gt;"",ISNUMBER(SEARCH($AF$4,'Final Calculation Sheet'!$AE$34))))),IF($AG$4="",TRUE,IF($AG$4="(blank)",'Final Calculation Sheet'!$AF$34="",IF($AG$4="(nonblank)",'Final Calculation Sheet'!$AF$34&lt;&gt;"",ISNUMBER(SEARCH($AG$4,'Final Calculation Sheet'!$AF$34))))),IF($AH$4="",TRUE,IF($AH$4="(blank)",'Final Calculation Sheet'!$AG$34="",IF($AH$4="(nonblank)",'Final Calculation Sheet'!$AG$34&lt;&gt;"",ISNUMBER(SEARCH($AH$4,'Final Calculation Sheet'!$AG$34))))),IF($AI$4="",TRUE,IF($AI$4="(blank)",IF('Final Calculation Sheet'!$AD$34&lt;=5,"SETTLED","OUTSTANDING")="",IF($AI$4="(nonblank)",IF('Final Calculation Sheet'!$AD$34&lt;=5,"SETTLED","OUTSTANDING")&lt;&gt;"",ISNUMBER(SEARCH($AI$4,IF('Final Calculation Sheet'!$AD$34&lt;=5,"SETTLED","OUTSTANDING")))))))</f>
        <v/>
      </c>
      <c r="AK36">
        <f>IF(AJ36=1,COUNTIF(AJ$6:AJ36,1),"")</f>
        <v/>
      </c>
      <c r="AM36">
        <f>AM35+IF(AND('Lists'!$O$36&lt;&gt;"",ISNUMBER(SEARCH($B$4,'Lists'!$O$36))),1,0)</f>
        <v/>
      </c>
      <c r="AN36">
        <f>IF(ROW()-3&gt;MAX($AM$4:$AM$42),"",INDEX('Lists'!$O$4:$O$42,MATCH(ROW()-3,$AM$4:$AM$42,0)))</f>
        <v/>
      </c>
      <c r="AO36">
        <f>AO35+IF(AND('Lists'!$T$36&lt;&gt;"",ISNUMBER(SEARCH($C$4,'Lists'!$T$36))),1,0)</f>
        <v/>
      </c>
      <c r="AP36">
        <f>IF(ROW()-3&gt;MAX($AO$4:$AO$42),"",INDEX('Lists'!$T$4:$T$42,MATCH(ROW()-3,$AO$4:$AO$42,0)))</f>
        <v/>
      </c>
      <c r="AQ36">
        <f>AQ35+IF(AND('Lists'!$Y$36&lt;&gt;"",ISNUMBER(SEARCH($D$4,'Lists'!$Y$36))),1,0)</f>
        <v/>
      </c>
      <c r="AR36">
        <f>IF(ROW()-3&gt;MAX($AQ$4:$AQ$42),"",INDEX('Lists'!$Y$4:$Y$42,MATCH(ROW()-3,$AQ$4:$AQ$42,0)))</f>
        <v/>
      </c>
      <c r="AS36">
        <f>AS35+IF(AND('Lists'!$AD$36&lt;&gt;"",ISNUMBER(SEARCH($E$4,'Lists'!$AD$36))),1,0)</f>
        <v/>
      </c>
      <c r="AT36">
        <f>IF(ROW()-3&gt;MAX($AS$4:$AS$42),"",INDEX('Lists'!$AD$4:$AD$42,MATCH(ROW()-3,$AS$4:$AS$42,0)))</f>
        <v/>
      </c>
      <c r="AU36">
        <f>AU35+IF(AND('Lists'!$AI$36&lt;&gt;"",ISNUMBER(SEARCH($F$4,'Lists'!$AI$36))),1,0)</f>
        <v/>
      </c>
      <c r="AV36">
        <f>IF(ROW()-3&gt;MAX($AU$4:$AU$42),"",INDEX('Lists'!$AI$4:$AI$42,MATCH(ROW()-3,$AU$4:$AU$42,0)))</f>
        <v/>
      </c>
      <c r="AW36">
        <f>AW35+IF(AND('Lists'!$AN$36&lt;&gt;"",ISNUMBER(SEARCH($G$4,'Lists'!$AN$36))),1,0)</f>
        <v/>
      </c>
      <c r="AX36">
        <f>IF(ROW()-3&gt;MAX($AW$4:$AW$42),"",INDEX('Lists'!$AN$4:$AN$42,MATCH(ROW()-3,$AW$4:$AW$42,0)))</f>
        <v/>
      </c>
      <c r="AY36">
        <f>AY35+IF(AND('Lists'!$AS$36&lt;&gt;"",ISNUMBER(SEARCH($H$4,'Lists'!$AS$36))),1,0)</f>
        <v/>
      </c>
      <c r="AZ36">
        <f>IF(ROW()-3&gt;MAX($AY$4:$AY$42),"",INDEX('Lists'!$AS$4:$AS$42,MATCH(ROW()-3,$AY$4:$AY$42,0)))</f>
        <v/>
      </c>
      <c r="BA36">
        <f>BA35+IF(AND('Lists'!$AX$36&lt;&gt;"",ISNUMBER(SEARCH($I$4,'Lists'!$AX$36))),1,0)</f>
        <v/>
      </c>
      <c r="BB36">
        <f>IF(ROW()-3&gt;MAX($BA$4:$BA$42),"",INDEX('Lists'!$AX$4:$AX$42,MATCH(ROW()-3,$BA$4:$BA$42,0)))</f>
        <v/>
      </c>
      <c r="BC36">
        <f>BC35+IF(AND('Lists'!$BC$36&lt;&gt;"",ISNUMBER(SEARCH($J$4,'Lists'!$BC$36))),1,0)</f>
        <v/>
      </c>
      <c r="BD36">
        <f>IF(ROW()-3&gt;MAX($BC$4:$BC$42),"",INDEX('Lists'!$BC$4:$BC$42,MATCH(ROW()-3,$BC$4:$BC$42,0)))</f>
        <v/>
      </c>
      <c r="BE36">
        <f>BE35+IF(AND('Lists'!$BH$36&lt;&gt;"",ISNUMBER(SEARCH($K$4,'Lists'!$BH$36))),1,0)</f>
        <v/>
      </c>
      <c r="BF36">
        <f>IF(ROW()-3&gt;MAX($BE$4:$BE$42),"",INDEX('Lists'!$BH$4:$BH$42,MATCH(ROW()-3,$BE$4:$BE$42,0)))</f>
        <v/>
      </c>
      <c r="BG36">
        <f>BG35+IF(AND('Lists'!$BM$36&lt;&gt;"",ISNUMBER(SEARCH($L$4,'Lists'!$BM$36))),1,0)</f>
        <v/>
      </c>
      <c r="BH36">
        <f>IF(ROW()-3&gt;MAX($BG$4:$BG$42),"",INDEX('Lists'!$BM$4:$BM$42,MATCH(ROW()-3,$BG$4:$BG$42,0)))</f>
        <v/>
      </c>
      <c r="BI36">
        <f>BI35+IF(AND('Lists'!$BR$36&lt;&gt;"",ISNUMBER(SEARCH($M$4,'Lists'!$BR$36))),1,0)</f>
        <v/>
      </c>
      <c r="BJ36">
        <f>IF(ROW()-3&gt;MAX($BI$4:$BI$42),"",INDEX('Lists'!$BR$4:$BR$42,MATCH(ROW()-3,$BI$4:$BI$42,0)))</f>
        <v/>
      </c>
      <c r="BK36">
        <f>BK35+IF(AND('Lists'!$BW$36&lt;&gt;"",ISNUMBER(SEARCH($N$4,'Lists'!$BW$36))),1,0)</f>
        <v/>
      </c>
      <c r="BL36">
        <f>IF(ROW()-3&gt;MAX($BK$4:$BK$42),"",INDEX('Lists'!$BW$4:$BW$42,MATCH(ROW()-3,$BK$4:$BK$42,0)))</f>
        <v/>
      </c>
      <c r="BM36">
        <f>BM35+IF(AND('Lists'!$CB$36&lt;&gt;"",ISNUMBER(SEARCH($O$4,'Lists'!$CB$36))),1,0)</f>
        <v/>
      </c>
      <c r="BN36">
        <f>IF(ROW()-3&gt;MAX($BM$4:$BM$42),"",INDEX('Lists'!$CB$4:$CB$42,MATCH(ROW()-3,$BM$4:$BM$42,0)))</f>
        <v/>
      </c>
      <c r="BO36">
        <f>BO35+IF(AND('Lists'!$CG$36&lt;&gt;"",ISNUMBER(SEARCH($P$4,'Lists'!$CG$36))),1,0)</f>
        <v/>
      </c>
      <c r="BP36">
        <f>IF(ROW()-3&gt;MAX($BO$4:$BO$42),"",INDEX('Lists'!$CG$4:$CG$42,MATCH(ROW()-3,$BO$4:$BO$42,0)))</f>
        <v/>
      </c>
      <c r="BQ36">
        <f>BQ35+IF(AND('Lists'!$CL$36&lt;&gt;"",ISNUMBER(SEARCH($Q$4,'Lists'!$CL$36))),1,0)</f>
        <v/>
      </c>
      <c r="BR36">
        <f>IF(ROW()-3&gt;MAX($BQ$4:$BQ$42),"",INDEX('Lists'!$CL$4:$CL$42,MATCH(ROW()-3,$BQ$4:$BQ$42,0)))</f>
        <v/>
      </c>
      <c r="BS36">
        <f>BS35+IF(AND('Lists'!$CQ$36&lt;&gt;"",ISNUMBER(SEARCH($R$4,'Lists'!$CQ$36))),1,0)</f>
        <v/>
      </c>
      <c r="BT36">
        <f>IF(ROW()-3&gt;MAX($BS$4:$BS$42),"",INDEX('Lists'!$CQ$4:$CQ$42,MATCH(ROW()-3,$BS$4:$BS$42,0)))</f>
        <v/>
      </c>
      <c r="BU36">
        <f>BU35+IF(AND('Lists'!$CV$36&lt;&gt;"",ISNUMBER(SEARCH($S$4,'Lists'!$CV$36))),1,0)</f>
        <v/>
      </c>
      <c r="BV36">
        <f>IF(ROW()-3&gt;MAX($BU$4:$BU$42),"",INDEX('Lists'!$CV$4:$CV$42,MATCH(ROW()-3,$BU$4:$BU$42,0)))</f>
        <v/>
      </c>
      <c r="BW36">
        <f>BW35+IF(AND('Lists'!$DA$36&lt;&gt;"",ISNUMBER(SEARCH($T$4,'Lists'!$DA$36))),1,0)</f>
        <v/>
      </c>
      <c r="BX36">
        <f>IF(ROW()-3&gt;MAX($BW$4:$BW$42),"",INDEX('Lists'!$DA$4:$DA$42,MATCH(ROW()-3,$BW$4:$BW$42,0)))</f>
        <v/>
      </c>
      <c r="BY36">
        <f>BY35+IF(AND('Lists'!$DF$36&lt;&gt;"",ISNUMBER(SEARCH($U$4,'Lists'!$DF$36))),1,0)</f>
        <v/>
      </c>
      <c r="BZ36">
        <f>IF(ROW()-3&gt;MAX($BY$4:$BY$42),"",INDEX('Lists'!$DF$4:$DF$42,MATCH(ROW()-3,$BY$4:$BY$42,0)))</f>
        <v/>
      </c>
      <c r="CA36">
        <f>CA35+IF(AND('Lists'!$DK$36&lt;&gt;"",ISNUMBER(SEARCH($V$4,'Lists'!$DK$36))),1,0)</f>
        <v/>
      </c>
      <c r="CB36">
        <f>IF(ROW()-3&gt;MAX($CA$4:$CA$42),"",INDEX('Lists'!$DK$4:$DK$42,MATCH(ROW()-3,$CA$4:$CA$42,0)))</f>
        <v/>
      </c>
      <c r="CC36">
        <f>CC35+IF(AND('Lists'!$DP$36&lt;&gt;"",ISNUMBER(SEARCH($W$4,'Lists'!$DP$36))),1,0)</f>
        <v/>
      </c>
      <c r="CD36">
        <f>IF(ROW()-3&gt;MAX($CC$4:$CC$42),"",INDEX('Lists'!$DP$4:$DP$42,MATCH(ROW()-3,$CC$4:$CC$42,0)))</f>
        <v/>
      </c>
      <c r="CE36">
        <f>CE35+IF(AND('Lists'!$DU$36&lt;&gt;"",ISNUMBER(SEARCH($X$4,'Lists'!$DU$36))),1,0)</f>
        <v/>
      </c>
      <c r="CF36">
        <f>IF(ROW()-3&gt;MAX($CE$4:$CE$42),"",INDEX('Lists'!$DU$4:$DU$42,MATCH(ROW()-3,$CE$4:$CE$42,0)))</f>
        <v/>
      </c>
      <c r="CG36">
        <f>CG35+IF(AND('Lists'!$DZ$36&lt;&gt;"",ISNUMBER(SEARCH($Y$4,'Lists'!$DZ$36))),1,0)</f>
        <v/>
      </c>
      <c r="CH36">
        <f>IF(ROW()-3&gt;MAX($CG$4:$CG$42),"",INDEX('Lists'!$DZ$4:$DZ$42,MATCH(ROW()-3,$CG$4:$CG$42,0)))</f>
        <v/>
      </c>
      <c r="CI36">
        <f>CI35+IF(AND('Lists'!$EE$36&lt;&gt;"",ISNUMBER(SEARCH($Z$4,'Lists'!$EE$36))),1,0)</f>
        <v/>
      </c>
      <c r="CJ36">
        <f>IF(ROW()-3&gt;MAX($CI$4:$CI$42),"",INDEX('Lists'!$EE$4:$EE$42,MATCH(ROW()-3,$CI$4:$CI$42,0)))</f>
        <v/>
      </c>
      <c r="CK36">
        <f>CK35+IF(AND('Lists'!$EJ$36&lt;&gt;"",ISNUMBER(SEARCH($AA$4,'Lists'!$EJ$36))),1,0)</f>
        <v/>
      </c>
      <c r="CL36">
        <f>IF(ROW()-3&gt;MAX($CK$4:$CK$42),"",INDEX('Lists'!$EJ$4:$EJ$42,MATCH(ROW()-3,$CK$4:$CK$42,0)))</f>
        <v/>
      </c>
      <c r="CM36">
        <f>CM35+IF(AND('Lists'!$EO$36&lt;&gt;"",ISNUMBER(SEARCH($AB$4,'Lists'!$EO$36))),1,0)</f>
        <v/>
      </c>
      <c r="CN36">
        <f>IF(ROW()-3&gt;MAX($CM$4:$CM$42),"",INDEX('Lists'!$EO$4:$EO$42,MATCH(ROW()-3,$CM$4:$CM$42,0)))</f>
        <v/>
      </c>
      <c r="CO36">
        <f>CO35+IF(AND('Lists'!$ET$36&lt;&gt;"",ISNUMBER(SEARCH($AC$4,'Lists'!$ET$36))),1,0)</f>
        <v/>
      </c>
      <c r="CP36">
        <f>IF(ROW()-3&gt;MAX($CO$4:$CO$42),"",INDEX('Lists'!$ET$4:$ET$42,MATCH(ROW()-3,$CO$4:$CO$42,0)))</f>
        <v/>
      </c>
      <c r="CQ36">
        <f>CQ35+IF(AND('Lists'!$EY$36&lt;&gt;"",ISNUMBER(SEARCH($AD$4,'Lists'!$EY$36))),1,0)</f>
        <v/>
      </c>
      <c r="CR36">
        <f>IF(ROW()-3&gt;MAX($CQ$4:$CQ$42),"",INDEX('Lists'!$EY$4:$EY$42,MATCH(ROW()-3,$CQ$4:$CQ$42,0)))</f>
        <v/>
      </c>
      <c r="CS36">
        <f>CS35+IF(AND('Lists'!$FD$36&lt;&gt;"",ISNUMBER(SEARCH($AE$4,'Lists'!$FD$36))),1,0)</f>
        <v/>
      </c>
      <c r="CT36">
        <f>IF(ROW()-3&gt;MAX($CS$4:$CS$42),"",INDEX('Lists'!$FD$4:$FD$42,MATCH(ROW()-3,$CS$4:$CS$42,0)))</f>
        <v/>
      </c>
      <c r="CU36">
        <f>CU35+IF(AND('Lists'!$FI$36&lt;&gt;"",ISNUMBER(SEARCH($AF$4,'Lists'!$FI$36))),1,0)</f>
        <v/>
      </c>
      <c r="CV36">
        <f>IF(ROW()-3&gt;MAX($CU$4:$CU$42),"",INDEX('Lists'!$FI$4:$FI$42,MATCH(ROW()-3,$CU$4:$CU$42,0)))</f>
        <v/>
      </c>
      <c r="CW36">
        <f>CW35+IF(AND('Lists'!$FN$36&lt;&gt;"",ISNUMBER(SEARCH($AG$4,'Lists'!$FN$36))),1,0)</f>
        <v/>
      </c>
      <c r="CX36">
        <f>IF(ROW()-3&gt;MAX($CW$4:$CW$42),"",INDEX('Lists'!$FN$4:$FN$42,MATCH(ROW()-3,$CW$4:$CW$42,0)))</f>
        <v/>
      </c>
      <c r="CY36">
        <f>CY35+IF(AND('Lists'!$FS$36&lt;&gt;"",ISNUMBER(SEARCH($AH$4,'Lists'!$FS$36))),1,0)</f>
        <v/>
      </c>
      <c r="CZ36">
        <f>IF(ROW()-3&gt;MAX($CY$4:$CY$42),"",INDEX('Lists'!$FS$4:$FS$42,MATCH(ROW()-3,$CY$4:$CY$42,0)))</f>
        <v/>
      </c>
      <c r="DA36">
        <f>DA35+IF(AND('Lists'!$FX$36&lt;&gt;"",ISNUMBER(SEARCH($AI$4,'Lists'!$FX$36))),1,0)</f>
        <v/>
      </c>
      <c r="DB36">
        <f>IF(ROW()-3&gt;MAX($DA$4:$DA$42),"",INDEX('Lists'!$FX$4:$FX$42,MATCH(ROW()-3,$DA$4:$DA$42,0)))</f>
        <v/>
      </c>
    </row>
    <row r="37" outlineLevel="1" ht="15" customHeight="1" s="77">
      <c r="A37" s="118" t="n">
        <v>2</v>
      </c>
      <c r="B37" s="119">
        <f>IF('Final Calculation Sheet'!$F$40="","",'Final Calculation Sheet'!$F$40)</f>
        <v/>
      </c>
      <c r="C37" s="119">
        <f>IF('Final Calculation Sheet'!$G$40="","",'Final Calculation Sheet'!$G$40)</f>
        <v/>
      </c>
      <c r="D37" s="120">
        <f>IF('Final Calculation Sheet'!$B$40="","",'Final Calculation Sheet'!$B$40)</f>
        <v/>
      </c>
      <c r="E37" s="120">
        <f>IF('Final Calculation Sheet'!$D$40="","",'Final Calculation Sheet'!$D$40)</f>
        <v/>
      </c>
      <c r="F37" s="120">
        <f>IF('Final Calculation Sheet'!$A$40="","",'Final Calculation Sheet'!$A$40)</f>
        <v/>
      </c>
      <c r="G37" s="120">
        <f>IF('Final Calculation Sheet'!$E$40="","",'Final Calculation Sheet'!$E$40)</f>
        <v/>
      </c>
      <c r="H37" s="121">
        <f>IF('Final Calculation Sheet'!$C$40="","",'Final Calculation Sheet'!$C$40)</f>
        <v/>
      </c>
      <c r="I37" s="121">
        <f>IF('Final Calculation Sheet'!$H$40="","",'Final Calculation Sheet'!$H$40)</f>
        <v/>
      </c>
      <c r="J37" s="121">
        <f>IF('Final Calculation Sheet'!$I$40="","",'Final Calculation Sheet'!$I$40)</f>
        <v/>
      </c>
      <c r="K37" s="121">
        <f>IF('Final Calculation Sheet'!$J$40="","",'Final Calculation Sheet'!$J$40)</f>
        <v/>
      </c>
      <c r="L37" s="121">
        <f>IF('Final Calculation Sheet'!$K$40="","",'Final Calculation Sheet'!$K$40)</f>
        <v/>
      </c>
      <c r="M37" s="121">
        <f>IF('Final Calculation Sheet'!$L$40="","",'Final Calculation Sheet'!$L$40)</f>
        <v/>
      </c>
      <c r="N37" s="121">
        <f>IF('Final Calculation Sheet'!$M$40="","",'Final Calculation Sheet'!$M$40)</f>
        <v/>
      </c>
      <c r="O37" s="122">
        <f>IF('Final Calculation Sheet'!$N$40="","",'Final Calculation Sheet'!$N$40)</f>
        <v/>
      </c>
      <c r="P37" s="121">
        <f>IF('Final Calculation Sheet'!$O$40="","",'Final Calculation Sheet'!$O$40)</f>
        <v/>
      </c>
      <c r="Q37" s="121">
        <f>IF('Final Calculation Sheet'!$P$40="","",'Final Calculation Sheet'!$P$40)</f>
        <v/>
      </c>
      <c r="R37" s="123">
        <f>IF('Final Calculation Sheet'!$Q$40="","",'Final Calculation Sheet'!$Q$40)</f>
        <v/>
      </c>
      <c r="S37" s="121">
        <f>IF('Final Calculation Sheet'!$R$40="","",'Final Calculation Sheet'!$R$40)</f>
        <v/>
      </c>
      <c r="T37" s="121">
        <f>IF('Final Calculation Sheet'!$S$40="","",'Final Calculation Sheet'!$S$40)</f>
        <v/>
      </c>
      <c r="U37" s="121">
        <f>IF('Final Calculation Sheet'!$T$40="","",'Final Calculation Sheet'!$T$40)</f>
        <v/>
      </c>
      <c r="V37" s="124">
        <f>IF('Final Calculation Sheet'!$U$40="","",'Final Calculation Sheet'!$U$40)</f>
        <v/>
      </c>
      <c r="W37" s="121">
        <f>IF('Final Calculation Sheet'!$V$40="","",'Final Calculation Sheet'!$V$40)</f>
        <v/>
      </c>
      <c r="X37" s="121">
        <f>IF('Final Calculation Sheet'!$W$40="","",'Final Calculation Sheet'!$W$40)</f>
        <v/>
      </c>
      <c r="Y37" s="121">
        <f>IF('Final Calculation Sheet'!$X$40="","",'Final Calculation Sheet'!$X$40)</f>
        <v/>
      </c>
      <c r="Z37" s="121">
        <f>IF('Final Calculation Sheet'!$Y$40="","",'Final Calculation Sheet'!$Y$40)</f>
        <v/>
      </c>
      <c r="AA37" s="121">
        <f>IF('Final Calculation Sheet'!$Z$40="","",'Final Calculation Sheet'!$Z$40)</f>
        <v/>
      </c>
      <c r="AB37" s="121">
        <f>IF('Final Calculation Sheet'!$AA$40="","",'Final Calculation Sheet'!$AA$40)</f>
        <v/>
      </c>
      <c r="AC37" s="121">
        <f>IF('Final Calculation Sheet'!$AB$40="","",'Final Calculation Sheet'!$AB$40)</f>
        <v/>
      </c>
      <c r="AD37" s="121">
        <f>IF('Final Calculation Sheet'!$AC$40="","",'Final Calculation Sheet'!$AC$40)</f>
        <v/>
      </c>
      <c r="AE37" s="121">
        <f>IF('Final Calculation Sheet'!$AD$40="","",'Final Calculation Sheet'!$AD$40)</f>
        <v/>
      </c>
      <c r="AF37" s="121">
        <f>IF('Final Calculation Sheet'!$AE$40="","",'Final Calculation Sheet'!$AE$40)</f>
        <v/>
      </c>
      <c r="AG37" s="125">
        <f>IF('Final Calculation Sheet'!$AF$40="","",'Final Calculation Sheet'!$AF$40)</f>
        <v/>
      </c>
      <c r="AH37" s="121">
        <f>IF('Final Calculation Sheet'!$AG$40="","",'Final Calculation Sheet'!$AG$40)</f>
        <v/>
      </c>
      <c r="AI37" s="126">
        <f>IF('Final Calculation Sheet'!$AD$40="","",IF('Final Calculation Sheet'!$AD$40&lt;=5,"SETTLED","OUTSTANDING"))</f>
        <v/>
      </c>
      <c r="AJ37">
        <f>AND(IF($B$4="",TRUE,IF($B$4="(blank)",'Final Calculation Sheet'!$F$35="",IF($B$4="(nonblank)",'Final Calculation Sheet'!$F$35&lt;&gt;"",ISNUMBER(SEARCH($B$4,'Final Calculation Sheet'!$F$35))))),IF($C$4="",TRUE,IF($C$4="(blank)",'Final Calculation Sheet'!$G$35="",IF($C$4="(nonblank)",'Final Calculation Sheet'!$G$35&lt;&gt;"",ISNUMBER(SEARCH($C$4,'Final Calculation Sheet'!$G$35))))),IF($D$4="",TRUE,IF($D$4="(blank)",'Final Calculation Sheet'!$B$35="",IF($D$4="(nonblank)",'Final Calculation Sheet'!$B$35&lt;&gt;"",ISNUMBER(SEARCH($D$4,'Final Calculation Sheet'!$B$35))))),IF($E$4="",TRUE,IF($E$4="(blank)",'Final Calculation Sheet'!$D$35="",IF($E$4="(nonblank)",'Final Calculation Sheet'!$D$35&lt;&gt;"",ISNUMBER(SEARCH($E$4,'Final Calculation Sheet'!$D$35))))),IF($F$4="",TRUE,IF($F$4="(blank)",'Final Calculation Sheet'!$A$35="",IF($F$4="(nonblank)",'Final Calculation Sheet'!$A$35&lt;&gt;"",ISNUMBER(SEARCH($F$4,'Final Calculation Sheet'!$A$35))))),IF($G$4="",TRUE,IF($G$4="(blank)",'Final Calculation Sheet'!$E$35="",IF($G$4="(nonblank)",'Final Calculation Sheet'!$E$35&lt;&gt;"",ISNUMBER(SEARCH($G$4,'Final Calculation Sheet'!$E$35))))),IF($H$4="",TRUE,IF($H$4="(blank)",'Final Calculation Sheet'!$C$35="",IF($H$4="(nonblank)",'Final Calculation Sheet'!$C$35&lt;&gt;"",ISNUMBER(SEARCH($H$4,'Final Calculation Sheet'!$C$35))))),IF($I$4="",TRUE,IF($I$4="(blank)",'Final Calculation Sheet'!$H$35="",IF($I$4="(nonblank)",'Final Calculation Sheet'!$H$35&lt;&gt;"",ISNUMBER(SEARCH($I$4,'Final Calculation Sheet'!$H$35))))),IF($J$4="",TRUE,IF($J$4="(blank)",'Final Calculation Sheet'!$I$35="",IF($J$4="(nonblank)",'Final Calculation Sheet'!$I$35&lt;&gt;"",ISNUMBER(SEARCH($J$4,'Final Calculation Sheet'!$I$35))))),IF($K$4="",TRUE,IF($K$4="(blank)",'Final Calculation Sheet'!$J$35="",IF($K$4="(nonblank)",'Final Calculation Sheet'!$J$35&lt;&gt;"",ISNUMBER(SEARCH($K$4,'Final Calculation Sheet'!$J$35))))),IF($L$4="",TRUE,IF($L$4="(blank)",'Final Calculation Sheet'!$K$35="",IF($L$4="(nonblank)",'Final Calculation Sheet'!$K$35&lt;&gt;"",ISNUMBER(SEARCH($L$4,'Final Calculation Sheet'!$K$35))))),IF($M$4="",TRUE,IF($M$4="(blank)",'Final Calculation Sheet'!$L$35="",IF($M$4="(nonblank)",'Final Calculation Sheet'!$L$35&lt;&gt;"",ISNUMBER(SEARCH($M$4,'Final Calculation Sheet'!$L$35))))),IF($N$4="",TRUE,IF($N$4="(blank)",'Final Calculation Sheet'!$M$35="",IF($N$4="(nonblank)",'Final Calculation Sheet'!$M$35&lt;&gt;"",ISNUMBER(SEARCH($N$4,'Final Calculation Sheet'!$M$35))))),IF($O$4="",TRUE,IF($O$4="(blank)",'Final Calculation Sheet'!$N$35="",IF($O$4="(nonblank)",'Final Calculation Sheet'!$N$35&lt;&gt;"",ISNUMBER(SEARCH($O$4,'Final Calculation Sheet'!$N$35))))),IF($P$4="",TRUE,IF($P$4="(blank)",'Final Calculation Sheet'!$O$35="",IF($P$4="(nonblank)",'Final Calculation Sheet'!$O$35&lt;&gt;"",ISNUMBER(SEARCH($P$4,'Final Calculation Sheet'!$O$35))))),IF($Q$4="",TRUE,IF($Q$4="(blank)",'Final Calculation Sheet'!$P$35="",IF($Q$4="(nonblank)",'Final Calculation Sheet'!$P$35&lt;&gt;"",ISNUMBER(SEARCH($Q$4,'Final Calculation Sheet'!$P$35))))),IF($R$4="",TRUE,IF($R$4="(blank)",'Final Calculation Sheet'!$Q$35="",IF($R$4="(nonblank)",'Final Calculation Sheet'!$Q$35&lt;&gt;"",ISNUMBER(SEARCH($R$4,'Final Calculation Sheet'!$Q$35))))),IF($S$4="",TRUE,IF($S$4="(blank)",'Final Calculation Sheet'!$R$35="",IF($S$4="(nonblank)",'Final Calculation Sheet'!$R$35&lt;&gt;"",ISNUMBER(SEARCH($S$4,'Final Calculation Sheet'!$R$35))))),IF($T$4="",TRUE,IF($T$4="(blank)",'Final Calculation Sheet'!$S$35="",IF($T$4="(nonblank)",'Final Calculation Sheet'!$S$35&lt;&gt;"",ISNUMBER(SEARCH($T$4,'Final Calculation Sheet'!$S$35))))),IF($U$4="",TRUE,IF($U$4="(blank)",'Final Calculation Sheet'!$T$35="",IF($U$4="(nonblank)",'Final Calculation Sheet'!$T$35&lt;&gt;"",ISNUMBER(SEARCH($U$4,'Final Calculation Sheet'!$T$35))))),IF($V$4="",TRUE,IF($V$4="(blank)",'Final Calculation Sheet'!$U$35="",IF($V$4="(nonblank)",'Final Calculation Sheet'!$U$35&lt;&gt;"",ISNUMBER(SEARCH($V$4,'Final Calculation Sheet'!$U$35))))),IF($W$4="",TRUE,IF($W$4="(blank)",'Final Calculation Sheet'!$V$35="",IF($W$4="(nonblank)",'Final Calculation Sheet'!$V$35&lt;&gt;"",ISNUMBER(SEARCH($W$4,'Final Calculation Sheet'!$V$35))))),IF($X$4="",TRUE,IF($X$4="(blank)",'Final Calculation Sheet'!$W$35="",IF($X$4="(nonblank)",'Final Calculation Sheet'!$W$35&lt;&gt;"",ISNUMBER(SEARCH($X$4,'Final Calculation Sheet'!$W$35))))),IF($Y$4="",TRUE,IF($Y$4="(blank)",'Final Calculation Sheet'!$X$35="",IF($Y$4="(nonblank)",'Final Calculation Sheet'!$X$35&lt;&gt;"",ISNUMBER(SEARCH($Y$4,'Final Calculation Sheet'!$X$35))))),IF($Z$4="",TRUE,IF($Z$4="(blank)",'Final Calculation Sheet'!$Y$35="",IF($Z$4="(nonblank)",'Final Calculation Sheet'!$Y$35&lt;&gt;"",ISNUMBER(SEARCH($Z$4,'Final Calculation Sheet'!$Y$35))))),IF($AA$4="",TRUE,IF($AA$4="(blank)",'Final Calculation Sheet'!$Z$35="",IF($AA$4="(nonblank)",'Final Calculation Sheet'!$Z$35&lt;&gt;"",ISNUMBER(SEARCH($AA$4,'Final Calculation Sheet'!$Z$35))))),IF($AB$4="",TRUE,IF($AB$4="(blank)",'Final Calculation Sheet'!$AA$35="",IF($AB$4="(nonblank)",'Final Calculation Sheet'!$AA$35&lt;&gt;"",ISNUMBER(SEARCH($AB$4,'Final Calculation Sheet'!$AA$35))))),IF($AC$4="",TRUE,IF($AC$4="(blank)",'Final Calculation Sheet'!$AB$35="",IF($AC$4="(nonblank)",'Final Calculation Sheet'!$AB$35&lt;&gt;"",ISNUMBER(SEARCH($AC$4,'Final Calculation Sheet'!$AB$35))))),IF($AD$4="",TRUE,IF($AD$4="(blank)",'Final Calculation Sheet'!$AC$35="",IF($AD$4="(nonblank)",'Final Calculation Sheet'!$AC$35&lt;&gt;"",ISNUMBER(SEARCH($AD$4,'Final Calculation Sheet'!$AC$35))))),IF($AE$4="",TRUE,IF($AE$4="(blank)",'Final Calculation Sheet'!$AD$35="",IF($AE$4="(nonblank)",'Final Calculation Sheet'!$AD$35&lt;&gt;"",ISNUMBER(SEARCH($AE$4,'Final Calculation Sheet'!$AD$35))))),IF($AF$4="",TRUE,IF($AF$4="(blank)",'Final Calculation Sheet'!$AE$35="",IF($AF$4="(nonblank)",'Final Calculation Sheet'!$AE$35&lt;&gt;"",ISNUMBER(SEARCH($AF$4,'Final Calculation Sheet'!$AE$35))))),IF($AG$4="",TRUE,IF($AG$4="(blank)",'Final Calculation Sheet'!$AF$35="",IF($AG$4="(nonblank)",'Final Calculation Sheet'!$AF$35&lt;&gt;"",ISNUMBER(SEARCH($AG$4,'Final Calculation Sheet'!$AF$35))))),IF($AH$4="",TRUE,IF($AH$4="(blank)",'Final Calculation Sheet'!$AG$35="",IF($AH$4="(nonblank)",'Final Calculation Sheet'!$AG$35&lt;&gt;"",ISNUMBER(SEARCH($AH$4,'Final Calculation Sheet'!$AG$35))))),IF($AI$4="",TRUE,IF($AI$4="(blank)",IF('Final Calculation Sheet'!$AD$35&lt;=5,"SETTLED","OUTSTANDING")="",IF($AI$4="(nonblank)",IF('Final Calculation Sheet'!$AD$35&lt;=5,"SETTLED","OUTSTANDING")&lt;&gt;"",ISNUMBER(SEARCH($AI$4,IF('Final Calculation Sheet'!$AD$35&lt;=5,"SETTLED","OUTSTANDING")))))))</f>
        <v/>
      </c>
      <c r="AK37">
        <f>IF(AJ37=1,COUNTIF(AJ$6:AJ37,1),"")</f>
        <v/>
      </c>
      <c r="AM37">
        <f>AM36+IF(AND('Lists'!$O$37&lt;&gt;"",ISNUMBER(SEARCH($B$4,'Lists'!$O$37))),1,0)</f>
        <v/>
      </c>
      <c r="AN37">
        <f>IF(ROW()-3&gt;MAX($AM$4:$AM$42),"",INDEX('Lists'!$O$4:$O$42,MATCH(ROW()-3,$AM$4:$AM$42,0)))</f>
        <v/>
      </c>
      <c r="AO37">
        <f>AO36+IF(AND('Lists'!$T$37&lt;&gt;"",ISNUMBER(SEARCH($C$4,'Lists'!$T$37))),1,0)</f>
        <v/>
      </c>
      <c r="AP37">
        <f>IF(ROW()-3&gt;MAX($AO$4:$AO$42),"",INDEX('Lists'!$T$4:$T$42,MATCH(ROW()-3,$AO$4:$AO$42,0)))</f>
        <v/>
      </c>
      <c r="AQ37">
        <f>AQ36+IF(AND('Lists'!$Y$37&lt;&gt;"",ISNUMBER(SEARCH($D$4,'Lists'!$Y$37))),1,0)</f>
        <v/>
      </c>
      <c r="AR37">
        <f>IF(ROW()-3&gt;MAX($AQ$4:$AQ$42),"",INDEX('Lists'!$Y$4:$Y$42,MATCH(ROW()-3,$AQ$4:$AQ$42,0)))</f>
        <v/>
      </c>
      <c r="AS37">
        <f>AS36+IF(AND('Lists'!$AD$37&lt;&gt;"",ISNUMBER(SEARCH($E$4,'Lists'!$AD$37))),1,0)</f>
        <v/>
      </c>
      <c r="AT37">
        <f>IF(ROW()-3&gt;MAX($AS$4:$AS$42),"",INDEX('Lists'!$AD$4:$AD$42,MATCH(ROW()-3,$AS$4:$AS$42,0)))</f>
        <v/>
      </c>
      <c r="AU37">
        <f>AU36+IF(AND('Lists'!$AI$37&lt;&gt;"",ISNUMBER(SEARCH($F$4,'Lists'!$AI$37))),1,0)</f>
        <v/>
      </c>
      <c r="AV37">
        <f>IF(ROW()-3&gt;MAX($AU$4:$AU$42),"",INDEX('Lists'!$AI$4:$AI$42,MATCH(ROW()-3,$AU$4:$AU$42,0)))</f>
        <v/>
      </c>
      <c r="AW37">
        <f>AW36+IF(AND('Lists'!$AN$37&lt;&gt;"",ISNUMBER(SEARCH($G$4,'Lists'!$AN$37))),1,0)</f>
        <v/>
      </c>
      <c r="AX37">
        <f>IF(ROW()-3&gt;MAX($AW$4:$AW$42),"",INDEX('Lists'!$AN$4:$AN$42,MATCH(ROW()-3,$AW$4:$AW$42,0)))</f>
        <v/>
      </c>
      <c r="AY37">
        <f>AY36+IF(AND('Lists'!$AS$37&lt;&gt;"",ISNUMBER(SEARCH($H$4,'Lists'!$AS$37))),1,0)</f>
        <v/>
      </c>
      <c r="AZ37">
        <f>IF(ROW()-3&gt;MAX($AY$4:$AY$42),"",INDEX('Lists'!$AS$4:$AS$42,MATCH(ROW()-3,$AY$4:$AY$42,0)))</f>
        <v/>
      </c>
      <c r="BA37">
        <f>BA36+IF(AND('Lists'!$AX$37&lt;&gt;"",ISNUMBER(SEARCH($I$4,'Lists'!$AX$37))),1,0)</f>
        <v/>
      </c>
      <c r="BB37">
        <f>IF(ROW()-3&gt;MAX($BA$4:$BA$42),"",INDEX('Lists'!$AX$4:$AX$42,MATCH(ROW()-3,$BA$4:$BA$42,0)))</f>
        <v/>
      </c>
      <c r="BC37">
        <f>BC36+IF(AND('Lists'!$BC$37&lt;&gt;"",ISNUMBER(SEARCH($J$4,'Lists'!$BC$37))),1,0)</f>
        <v/>
      </c>
      <c r="BD37">
        <f>IF(ROW()-3&gt;MAX($BC$4:$BC$42),"",INDEX('Lists'!$BC$4:$BC$42,MATCH(ROW()-3,$BC$4:$BC$42,0)))</f>
        <v/>
      </c>
      <c r="BE37">
        <f>BE36+IF(AND('Lists'!$BH$37&lt;&gt;"",ISNUMBER(SEARCH($K$4,'Lists'!$BH$37))),1,0)</f>
        <v/>
      </c>
      <c r="BF37">
        <f>IF(ROW()-3&gt;MAX($BE$4:$BE$42),"",INDEX('Lists'!$BH$4:$BH$42,MATCH(ROW()-3,$BE$4:$BE$42,0)))</f>
        <v/>
      </c>
      <c r="BG37">
        <f>BG36+IF(AND('Lists'!$BM$37&lt;&gt;"",ISNUMBER(SEARCH($L$4,'Lists'!$BM$37))),1,0)</f>
        <v/>
      </c>
      <c r="BH37">
        <f>IF(ROW()-3&gt;MAX($BG$4:$BG$42),"",INDEX('Lists'!$BM$4:$BM$42,MATCH(ROW()-3,$BG$4:$BG$42,0)))</f>
        <v/>
      </c>
      <c r="BI37">
        <f>BI36+IF(AND('Lists'!$BR$37&lt;&gt;"",ISNUMBER(SEARCH($M$4,'Lists'!$BR$37))),1,0)</f>
        <v/>
      </c>
      <c r="BJ37">
        <f>IF(ROW()-3&gt;MAX($BI$4:$BI$42),"",INDEX('Lists'!$BR$4:$BR$42,MATCH(ROW()-3,$BI$4:$BI$42,0)))</f>
        <v/>
      </c>
      <c r="BK37">
        <f>BK36+IF(AND('Lists'!$BW$37&lt;&gt;"",ISNUMBER(SEARCH($N$4,'Lists'!$BW$37))),1,0)</f>
        <v/>
      </c>
      <c r="BL37">
        <f>IF(ROW()-3&gt;MAX($BK$4:$BK$42),"",INDEX('Lists'!$BW$4:$BW$42,MATCH(ROW()-3,$BK$4:$BK$42,0)))</f>
        <v/>
      </c>
      <c r="BM37">
        <f>BM36+IF(AND('Lists'!$CB$37&lt;&gt;"",ISNUMBER(SEARCH($O$4,'Lists'!$CB$37))),1,0)</f>
        <v/>
      </c>
      <c r="BN37">
        <f>IF(ROW()-3&gt;MAX($BM$4:$BM$42),"",INDEX('Lists'!$CB$4:$CB$42,MATCH(ROW()-3,$BM$4:$BM$42,0)))</f>
        <v/>
      </c>
      <c r="BO37">
        <f>BO36+IF(AND('Lists'!$CG$37&lt;&gt;"",ISNUMBER(SEARCH($P$4,'Lists'!$CG$37))),1,0)</f>
        <v/>
      </c>
      <c r="BP37">
        <f>IF(ROW()-3&gt;MAX($BO$4:$BO$42),"",INDEX('Lists'!$CG$4:$CG$42,MATCH(ROW()-3,$BO$4:$BO$42,0)))</f>
        <v/>
      </c>
      <c r="BQ37">
        <f>BQ36+IF(AND('Lists'!$CL$37&lt;&gt;"",ISNUMBER(SEARCH($Q$4,'Lists'!$CL$37))),1,0)</f>
        <v/>
      </c>
      <c r="BR37">
        <f>IF(ROW()-3&gt;MAX($BQ$4:$BQ$42),"",INDEX('Lists'!$CL$4:$CL$42,MATCH(ROW()-3,$BQ$4:$BQ$42,0)))</f>
        <v/>
      </c>
      <c r="BS37">
        <f>BS36+IF(AND('Lists'!$CQ$37&lt;&gt;"",ISNUMBER(SEARCH($R$4,'Lists'!$CQ$37))),1,0)</f>
        <v/>
      </c>
      <c r="BT37">
        <f>IF(ROW()-3&gt;MAX($BS$4:$BS$42),"",INDEX('Lists'!$CQ$4:$CQ$42,MATCH(ROW()-3,$BS$4:$BS$42,0)))</f>
        <v/>
      </c>
      <c r="BU37">
        <f>BU36+IF(AND('Lists'!$CV$37&lt;&gt;"",ISNUMBER(SEARCH($S$4,'Lists'!$CV$37))),1,0)</f>
        <v/>
      </c>
      <c r="BV37">
        <f>IF(ROW()-3&gt;MAX($BU$4:$BU$42),"",INDEX('Lists'!$CV$4:$CV$42,MATCH(ROW()-3,$BU$4:$BU$42,0)))</f>
        <v/>
      </c>
      <c r="BW37">
        <f>BW36+IF(AND('Lists'!$DA$37&lt;&gt;"",ISNUMBER(SEARCH($T$4,'Lists'!$DA$37))),1,0)</f>
        <v/>
      </c>
      <c r="BX37">
        <f>IF(ROW()-3&gt;MAX($BW$4:$BW$42),"",INDEX('Lists'!$DA$4:$DA$42,MATCH(ROW()-3,$BW$4:$BW$42,0)))</f>
        <v/>
      </c>
      <c r="BY37">
        <f>BY36+IF(AND('Lists'!$DF$37&lt;&gt;"",ISNUMBER(SEARCH($U$4,'Lists'!$DF$37))),1,0)</f>
        <v/>
      </c>
      <c r="BZ37">
        <f>IF(ROW()-3&gt;MAX($BY$4:$BY$42),"",INDEX('Lists'!$DF$4:$DF$42,MATCH(ROW()-3,$BY$4:$BY$42,0)))</f>
        <v/>
      </c>
      <c r="CA37">
        <f>CA36+IF(AND('Lists'!$DK$37&lt;&gt;"",ISNUMBER(SEARCH($V$4,'Lists'!$DK$37))),1,0)</f>
        <v/>
      </c>
      <c r="CB37">
        <f>IF(ROW()-3&gt;MAX($CA$4:$CA$42),"",INDEX('Lists'!$DK$4:$DK$42,MATCH(ROW()-3,$CA$4:$CA$42,0)))</f>
        <v/>
      </c>
      <c r="CC37">
        <f>CC36+IF(AND('Lists'!$DP$37&lt;&gt;"",ISNUMBER(SEARCH($W$4,'Lists'!$DP$37))),1,0)</f>
        <v/>
      </c>
      <c r="CD37">
        <f>IF(ROW()-3&gt;MAX($CC$4:$CC$42),"",INDEX('Lists'!$DP$4:$DP$42,MATCH(ROW()-3,$CC$4:$CC$42,0)))</f>
        <v/>
      </c>
      <c r="CE37">
        <f>CE36+IF(AND('Lists'!$DU$37&lt;&gt;"",ISNUMBER(SEARCH($X$4,'Lists'!$DU$37))),1,0)</f>
        <v/>
      </c>
      <c r="CF37">
        <f>IF(ROW()-3&gt;MAX($CE$4:$CE$42),"",INDEX('Lists'!$DU$4:$DU$42,MATCH(ROW()-3,$CE$4:$CE$42,0)))</f>
        <v/>
      </c>
      <c r="CG37">
        <f>CG36+IF(AND('Lists'!$DZ$37&lt;&gt;"",ISNUMBER(SEARCH($Y$4,'Lists'!$DZ$37))),1,0)</f>
        <v/>
      </c>
      <c r="CH37">
        <f>IF(ROW()-3&gt;MAX($CG$4:$CG$42),"",INDEX('Lists'!$DZ$4:$DZ$42,MATCH(ROW()-3,$CG$4:$CG$42,0)))</f>
        <v/>
      </c>
      <c r="CI37">
        <f>CI36+IF(AND('Lists'!$EE$37&lt;&gt;"",ISNUMBER(SEARCH($Z$4,'Lists'!$EE$37))),1,0)</f>
        <v/>
      </c>
      <c r="CJ37">
        <f>IF(ROW()-3&gt;MAX($CI$4:$CI$42),"",INDEX('Lists'!$EE$4:$EE$42,MATCH(ROW()-3,$CI$4:$CI$42,0)))</f>
        <v/>
      </c>
      <c r="CK37">
        <f>CK36+IF(AND('Lists'!$EJ$37&lt;&gt;"",ISNUMBER(SEARCH($AA$4,'Lists'!$EJ$37))),1,0)</f>
        <v/>
      </c>
      <c r="CL37">
        <f>IF(ROW()-3&gt;MAX($CK$4:$CK$42),"",INDEX('Lists'!$EJ$4:$EJ$42,MATCH(ROW()-3,$CK$4:$CK$42,0)))</f>
        <v/>
      </c>
      <c r="CM37">
        <f>CM36+IF(AND('Lists'!$EO$37&lt;&gt;"",ISNUMBER(SEARCH($AB$4,'Lists'!$EO$37))),1,0)</f>
        <v/>
      </c>
      <c r="CN37">
        <f>IF(ROW()-3&gt;MAX($CM$4:$CM$42),"",INDEX('Lists'!$EO$4:$EO$42,MATCH(ROW()-3,$CM$4:$CM$42,0)))</f>
        <v/>
      </c>
      <c r="CO37">
        <f>CO36+IF(AND('Lists'!$ET$37&lt;&gt;"",ISNUMBER(SEARCH($AC$4,'Lists'!$ET$37))),1,0)</f>
        <v/>
      </c>
      <c r="CP37">
        <f>IF(ROW()-3&gt;MAX($CO$4:$CO$42),"",INDEX('Lists'!$ET$4:$ET$42,MATCH(ROW()-3,$CO$4:$CO$42,0)))</f>
        <v/>
      </c>
      <c r="CQ37">
        <f>CQ36+IF(AND('Lists'!$EY$37&lt;&gt;"",ISNUMBER(SEARCH($AD$4,'Lists'!$EY$37))),1,0)</f>
        <v/>
      </c>
      <c r="CR37">
        <f>IF(ROW()-3&gt;MAX($CQ$4:$CQ$42),"",INDEX('Lists'!$EY$4:$EY$42,MATCH(ROW()-3,$CQ$4:$CQ$42,0)))</f>
        <v/>
      </c>
      <c r="CS37">
        <f>CS36+IF(AND('Lists'!$FD$37&lt;&gt;"",ISNUMBER(SEARCH($AE$4,'Lists'!$FD$37))),1,0)</f>
        <v/>
      </c>
      <c r="CT37">
        <f>IF(ROW()-3&gt;MAX($CS$4:$CS$42),"",INDEX('Lists'!$FD$4:$FD$42,MATCH(ROW()-3,$CS$4:$CS$42,0)))</f>
        <v/>
      </c>
      <c r="CU37">
        <f>CU36+IF(AND('Lists'!$FI$37&lt;&gt;"",ISNUMBER(SEARCH($AF$4,'Lists'!$FI$37))),1,0)</f>
        <v/>
      </c>
      <c r="CV37">
        <f>IF(ROW()-3&gt;MAX($CU$4:$CU$42),"",INDEX('Lists'!$FI$4:$FI$42,MATCH(ROW()-3,$CU$4:$CU$42,0)))</f>
        <v/>
      </c>
      <c r="CW37">
        <f>CW36+IF(AND('Lists'!$FN$37&lt;&gt;"",ISNUMBER(SEARCH($AG$4,'Lists'!$FN$37))),1,0)</f>
        <v/>
      </c>
      <c r="CX37">
        <f>IF(ROW()-3&gt;MAX($CW$4:$CW$42),"",INDEX('Lists'!$FN$4:$FN$42,MATCH(ROW()-3,$CW$4:$CW$42,0)))</f>
        <v/>
      </c>
      <c r="CY37">
        <f>CY36+IF(AND('Lists'!$FS$37&lt;&gt;"",ISNUMBER(SEARCH($AH$4,'Lists'!$FS$37))),1,0)</f>
        <v/>
      </c>
      <c r="CZ37">
        <f>IF(ROW()-3&gt;MAX($CY$4:$CY$42),"",INDEX('Lists'!$FS$4:$FS$42,MATCH(ROW()-3,$CY$4:$CY$42,0)))</f>
        <v/>
      </c>
      <c r="DA37">
        <f>DA36+IF(AND('Lists'!$FX$37&lt;&gt;"",ISNUMBER(SEARCH($AI$4,'Lists'!$FX$37))),1,0)</f>
        <v/>
      </c>
      <c r="DB37">
        <f>IF(ROW()-3&gt;MAX($DA$4:$DA$42),"",INDEX('Lists'!$FX$4:$FX$42,MATCH(ROW()-3,$DA$4:$DA$42,0)))</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c r="AJ38">
        <f>AND(IF($B$4="",TRUE,IF($B$4="(blank)",'Final Calculation Sheet'!$F$36="",IF($B$4="(nonblank)",'Final Calculation Sheet'!$F$36&lt;&gt;"",ISNUMBER(SEARCH($B$4,'Final Calculation Sheet'!$F$36))))),IF($C$4="",TRUE,IF($C$4="(blank)",'Final Calculation Sheet'!$G$36="",IF($C$4="(nonblank)",'Final Calculation Sheet'!$G$36&lt;&gt;"",ISNUMBER(SEARCH($C$4,'Final Calculation Sheet'!$G$36))))),IF($D$4="",TRUE,IF($D$4="(blank)",'Final Calculation Sheet'!$B$36="",IF($D$4="(nonblank)",'Final Calculation Sheet'!$B$36&lt;&gt;"",ISNUMBER(SEARCH($D$4,'Final Calculation Sheet'!$B$36))))),IF($E$4="",TRUE,IF($E$4="(blank)",'Final Calculation Sheet'!$D$36="",IF($E$4="(nonblank)",'Final Calculation Sheet'!$D$36&lt;&gt;"",ISNUMBER(SEARCH($E$4,'Final Calculation Sheet'!$D$36))))),IF($F$4="",TRUE,IF($F$4="(blank)",'Final Calculation Sheet'!$A$36="",IF($F$4="(nonblank)",'Final Calculation Sheet'!$A$36&lt;&gt;"",ISNUMBER(SEARCH($F$4,'Final Calculation Sheet'!$A$36))))),IF($G$4="",TRUE,IF($G$4="(blank)",'Final Calculation Sheet'!$E$36="",IF($G$4="(nonblank)",'Final Calculation Sheet'!$E$36&lt;&gt;"",ISNUMBER(SEARCH($G$4,'Final Calculation Sheet'!$E$36))))),IF($H$4="",TRUE,IF($H$4="(blank)",'Final Calculation Sheet'!$C$36="",IF($H$4="(nonblank)",'Final Calculation Sheet'!$C$36&lt;&gt;"",ISNUMBER(SEARCH($H$4,'Final Calculation Sheet'!$C$36))))),IF($I$4="",TRUE,IF($I$4="(blank)",'Final Calculation Sheet'!$H$36="",IF($I$4="(nonblank)",'Final Calculation Sheet'!$H$36&lt;&gt;"",ISNUMBER(SEARCH($I$4,'Final Calculation Sheet'!$H$36))))),IF($J$4="",TRUE,IF($J$4="(blank)",'Final Calculation Sheet'!$I$36="",IF($J$4="(nonblank)",'Final Calculation Sheet'!$I$36&lt;&gt;"",ISNUMBER(SEARCH($J$4,'Final Calculation Sheet'!$I$36))))),IF($K$4="",TRUE,IF($K$4="(blank)",'Final Calculation Sheet'!$J$36="",IF($K$4="(nonblank)",'Final Calculation Sheet'!$J$36&lt;&gt;"",ISNUMBER(SEARCH($K$4,'Final Calculation Sheet'!$J$36))))),IF($L$4="",TRUE,IF($L$4="(blank)",'Final Calculation Sheet'!$K$36="",IF($L$4="(nonblank)",'Final Calculation Sheet'!$K$36&lt;&gt;"",ISNUMBER(SEARCH($L$4,'Final Calculation Sheet'!$K$36))))),IF($M$4="",TRUE,IF($M$4="(blank)",'Final Calculation Sheet'!$L$36="",IF($M$4="(nonblank)",'Final Calculation Sheet'!$L$36&lt;&gt;"",ISNUMBER(SEARCH($M$4,'Final Calculation Sheet'!$L$36))))),IF($N$4="",TRUE,IF($N$4="(blank)",'Final Calculation Sheet'!$M$36="",IF($N$4="(nonblank)",'Final Calculation Sheet'!$M$36&lt;&gt;"",ISNUMBER(SEARCH($N$4,'Final Calculation Sheet'!$M$36))))),IF($O$4="",TRUE,IF($O$4="(blank)",'Final Calculation Sheet'!$N$36="",IF($O$4="(nonblank)",'Final Calculation Sheet'!$N$36&lt;&gt;"",ISNUMBER(SEARCH($O$4,'Final Calculation Sheet'!$N$36))))),IF($P$4="",TRUE,IF($P$4="(blank)",'Final Calculation Sheet'!$O$36="",IF($P$4="(nonblank)",'Final Calculation Sheet'!$O$36&lt;&gt;"",ISNUMBER(SEARCH($P$4,'Final Calculation Sheet'!$O$36))))),IF($Q$4="",TRUE,IF($Q$4="(blank)",'Final Calculation Sheet'!$P$36="",IF($Q$4="(nonblank)",'Final Calculation Sheet'!$P$36&lt;&gt;"",ISNUMBER(SEARCH($Q$4,'Final Calculation Sheet'!$P$36))))),IF($R$4="",TRUE,IF($R$4="(blank)",'Final Calculation Sheet'!$Q$36="",IF($R$4="(nonblank)",'Final Calculation Sheet'!$Q$36&lt;&gt;"",ISNUMBER(SEARCH($R$4,'Final Calculation Sheet'!$Q$36))))),IF($S$4="",TRUE,IF($S$4="(blank)",'Final Calculation Sheet'!$R$36="",IF($S$4="(nonblank)",'Final Calculation Sheet'!$R$36&lt;&gt;"",ISNUMBER(SEARCH($S$4,'Final Calculation Sheet'!$R$36))))),IF($T$4="",TRUE,IF($T$4="(blank)",'Final Calculation Sheet'!$S$36="",IF($T$4="(nonblank)",'Final Calculation Sheet'!$S$36&lt;&gt;"",ISNUMBER(SEARCH($T$4,'Final Calculation Sheet'!$S$36))))),IF($U$4="",TRUE,IF($U$4="(blank)",'Final Calculation Sheet'!$T$36="",IF($U$4="(nonblank)",'Final Calculation Sheet'!$T$36&lt;&gt;"",ISNUMBER(SEARCH($U$4,'Final Calculation Sheet'!$T$36))))),IF($V$4="",TRUE,IF($V$4="(blank)",'Final Calculation Sheet'!$U$36="",IF($V$4="(nonblank)",'Final Calculation Sheet'!$U$36&lt;&gt;"",ISNUMBER(SEARCH($V$4,'Final Calculation Sheet'!$U$36))))),IF($W$4="",TRUE,IF($W$4="(blank)",'Final Calculation Sheet'!$V$36="",IF($W$4="(nonblank)",'Final Calculation Sheet'!$V$36&lt;&gt;"",ISNUMBER(SEARCH($W$4,'Final Calculation Sheet'!$V$36))))),IF($X$4="",TRUE,IF($X$4="(blank)",'Final Calculation Sheet'!$W$36="",IF($X$4="(nonblank)",'Final Calculation Sheet'!$W$36&lt;&gt;"",ISNUMBER(SEARCH($X$4,'Final Calculation Sheet'!$W$36))))),IF($Y$4="",TRUE,IF($Y$4="(blank)",'Final Calculation Sheet'!$X$36="",IF($Y$4="(nonblank)",'Final Calculation Sheet'!$X$36&lt;&gt;"",ISNUMBER(SEARCH($Y$4,'Final Calculation Sheet'!$X$36))))),IF($Z$4="",TRUE,IF($Z$4="(blank)",'Final Calculation Sheet'!$Y$36="",IF($Z$4="(nonblank)",'Final Calculation Sheet'!$Y$36&lt;&gt;"",ISNUMBER(SEARCH($Z$4,'Final Calculation Sheet'!$Y$36))))),IF($AA$4="",TRUE,IF($AA$4="(blank)",'Final Calculation Sheet'!$Z$36="",IF($AA$4="(nonblank)",'Final Calculation Sheet'!$Z$36&lt;&gt;"",ISNUMBER(SEARCH($AA$4,'Final Calculation Sheet'!$Z$36))))),IF($AB$4="",TRUE,IF($AB$4="(blank)",'Final Calculation Sheet'!$AA$36="",IF($AB$4="(nonblank)",'Final Calculation Sheet'!$AA$36&lt;&gt;"",ISNUMBER(SEARCH($AB$4,'Final Calculation Sheet'!$AA$36))))),IF($AC$4="",TRUE,IF($AC$4="(blank)",'Final Calculation Sheet'!$AB$36="",IF($AC$4="(nonblank)",'Final Calculation Sheet'!$AB$36&lt;&gt;"",ISNUMBER(SEARCH($AC$4,'Final Calculation Sheet'!$AB$36))))),IF($AD$4="",TRUE,IF($AD$4="(blank)",'Final Calculation Sheet'!$AC$36="",IF($AD$4="(nonblank)",'Final Calculation Sheet'!$AC$36&lt;&gt;"",ISNUMBER(SEARCH($AD$4,'Final Calculation Sheet'!$AC$36))))),IF($AE$4="",TRUE,IF($AE$4="(blank)",'Final Calculation Sheet'!$AD$36="",IF($AE$4="(nonblank)",'Final Calculation Sheet'!$AD$36&lt;&gt;"",ISNUMBER(SEARCH($AE$4,'Final Calculation Sheet'!$AD$36))))),IF($AF$4="",TRUE,IF($AF$4="(blank)",'Final Calculation Sheet'!$AE$36="",IF($AF$4="(nonblank)",'Final Calculation Sheet'!$AE$36&lt;&gt;"",ISNUMBER(SEARCH($AF$4,'Final Calculation Sheet'!$AE$36))))),IF($AG$4="",TRUE,IF($AG$4="(blank)",'Final Calculation Sheet'!$AF$36="",IF($AG$4="(nonblank)",'Final Calculation Sheet'!$AF$36&lt;&gt;"",ISNUMBER(SEARCH($AG$4,'Final Calculation Sheet'!$AF$36))))),IF($AH$4="",TRUE,IF($AH$4="(blank)",'Final Calculation Sheet'!$AG$36="",IF($AH$4="(nonblank)",'Final Calculation Sheet'!$AG$36&lt;&gt;"",ISNUMBER(SEARCH($AH$4,'Final Calculation Sheet'!$AG$36))))),IF($AI$4="",TRUE,IF($AI$4="(blank)",IF('Final Calculation Sheet'!$AD$36&lt;=5,"SETTLED","OUTSTANDING")="",IF($AI$4="(nonblank)",IF('Final Calculation Sheet'!$AD$36&lt;=5,"SETTLED","OUTSTANDING")&lt;&gt;"",ISNUMBER(SEARCH($AI$4,IF('Final Calculation Sheet'!$AD$36&lt;=5,"SETTLED","OUTSTANDING")))))))</f>
        <v/>
      </c>
      <c r="AK38">
        <f>IF(AJ38=1,COUNTIF(AJ$6:AJ38,1),"")</f>
        <v/>
      </c>
      <c r="AM38">
        <f>AM37+IF(AND('Lists'!$O$38&lt;&gt;"",ISNUMBER(SEARCH($B$4,'Lists'!$O$38))),1,0)</f>
        <v/>
      </c>
      <c r="AN38">
        <f>IF(ROW()-3&gt;MAX($AM$4:$AM$42),"",INDEX('Lists'!$O$4:$O$42,MATCH(ROW()-3,$AM$4:$AM$42,0)))</f>
        <v/>
      </c>
      <c r="AO38">
        <f>AO37+IF(AND('Lists'!$T$38&lt;&gt;"",ISNUMBER(SEARCH($C$4,'Lists'!$T$38))),1,0)</f>
        <v/>
      </c>
      <c r="AP38">
        <f>IF(ROW()-3&gt;MAX($AO$4:$AO$42),"",INDEX('Lists'!$T$4:$T$42,MATCH(ROW()-3,$AO$4:$AO$42,0)))</f>
        <v/>
      </c>
      <c r="AQ38">
        <f>AQ37+IF(AND('Lists'!$Y$38&lt;&gt;"",ISNUMBER(SEARCH($D$4,'Lists'!$Y$38))),1,0)</f>
        <v/>
      </c>
      <c r="AR38">
        <f>IF(ROW()-3&gt;MAX($AQ$4:$AQ$42),"",INDEX('Lists'!$Y$4:$Y$42,MATCH(ROW()-3,$AQ$4:$AQ$42,0)))</f>
        <v/>
      </c>
      <c r="AS38">
        <f>AS37+IF(AND('Lists'!$AD$38&lt;&gt;"",ISNUMBER(SEARCH($E$4,'Lists'!$AD$38))),1,0)</f>
        <v/>
      </c>
      <c r="AT38">
        <f>IF(ROW()-3&gt;MAX($AS$4:$AS$42),"",INDEX('Lists'!$AD$4:$AD$42,MATCH(ROW()-3,$AS$4:$AS$42,0)))</f>
        <v/>
      </c>
      <c r="AU38">
        <f>AU37+IF(AND('Lists'!$AI$38&lt;&gt;"",ISNUMBER(SEARCH($F$4,'Lists'!$AI$38))),1,0)</f>
        <v/>
      </c>
      <c r="AV38">
        <f>IF(ROW()-3&gt;MAX($AU$4:$AU$42),"",INDEX('Lists'!$AI$4:$AI$42,MATCH(ROW()-3,$AU$4:$AU$42,0)))</f>
        <v/>
      </c>
      <c r="AW38">
        <f>AW37+IF(AND('Lists'!$AN$38&lt;&gt;"",ISNUMBER(SEARCH($G$4,'Lists'!$AN$38))),1,0)</f>
        <v/>
      </c>
      <c r="AX38">
        <f>IF(ROW()-3&gt;MAX($AW$4:$AW$42),"",INDEX('Lists'!$AN$4:$AN$42,MATCH(ROW()-3,$AW$4:$AW$42,0)))</f>
        <v/>
      </c>
      <c r="AY38">
        <f>AY37+IF(AND('Lists'!$AS$38&lt;&gt;"",ISNUMBER(SEARCH($H$4,'Lists'!$AS$38))),1,0)</f>
        <v/>
      </c>
      <c r="AZ38">
        <f>IF(ROW()-3&gt;MAX($AY$4:$AY$42),"",INDEX('Lists'!$AS$4:$AS$42,MATCH(ROW()-3,$AY$4:$AY$42,0)))</f>
        <v/>
      </c>
      <c r="BA38">
        <f>BA37+IF(AND('Lists'!$AX$38&lt;&gt;"",ISNUMBER(SEARCH($I$4,'Lists'!$AX$38))),1,0)</f>
        <v/>
      </c>
      <c r="BB38">
        <f>IF(ROW()-3&gt;MAX($BA$4:$BA$42),"",INDEX('Lists'!$AX$4:$AX$42,MATCH(ROW()-3,$BA$4:$BA$42,0)))</f>
        <v/>
      </c>
      <c r="BC38">
        <f>BC37+IF(AND('Lists'!$BC$38&lt;&gt;"",ISNUMBER(SEARCH($J$4,'Lists'!$BC$38))),1,0)</f>
        <v/>
      </c>
      <c r="BD38">
        <f>IF(ROW()-3&gt;MAX($BC$4:$BC$42),"",INDEX('Lists'!$BC$4:$BC$42,MATCH(ROW()-3,$BC$4:$BC$42,0)))</f>
        <v/>
      </c>
      <c r="BE38">
        <f>BE37+IF(AND('Lists'!$BH$38&lt;&gt;"",ISNUMBER(SEARCH($K$4,'Lists'!$BH$38))),1,0)</f>
        <v/>
      </c>
      <c r="BF38">
        <f>IF(ROW()-3&gt;MAX($BE$4:$BE$42),"",INDEX('Lists'!$BH$4:$BH$42,MATCH(ROW()-3,$BE$4:$BE$42,0)))</f>
        <v/>
      </c>
      <c r="BG38">
        <f>BG37+IF(AND('Lists'!$BM$38&lt;&gt;"",ISNUMBER(SEARCH($L$4,'Lists'!$BM$38))),1,0)</f>
        <v/>
      </c>
      <c r="BH38">
        <f>IF(ROW()-3&gt;MAX($BG$4:$BG$42),"",INDEX('Lists'!$BM$4:$BM$42,MATCH(ROW()-3,$BG$4:$BG$42,0)))</f>
        <v/>
      </c>
      <c r="BI38">
        <f>BI37+IF(AND('Lists'!$BR$38&lt;&gt;"",ISNUMBER(SEARCH($M$4,'Lists'!$BR$38))),1,0)</f>
        <v/>
      </c>
      <c r="BJ38">
        <f>IF(ROW()-3&gt;MAX($BI$4:$BI$42),"",INDEX('Lists'!$BR$4:$BR$42,MATCH(ROW()-3,$BI$4:$BI$42,0)))</f>
        <v/>
      </c>
      <c r="BK38">
        <f>BK37+IF(AND('Lists'!$BW$38&lt;&gt;"",ISNUMBER(SEARCH($N$4,'Lists'!$BW$38))),1,0)</f>
        <v/>
      </c>
      <c r="BL38">
        <f>IF(ROW()-3&gt;MAX($BK$4:$BK$42),"",INDEX('Lists'!$BW$4:$BW$42,MATCH(ROW()-3,$BK$4:$BK$42,0)))</f>
        <v/>
      </c>
      <c r="BM38">
        <f>BM37+IF(AND('Lists'!$CB$38&lt;&gt;"",ISNUMBER(SEARCH($O$4,'Lists'!$CB$38))),1,0)</f>
        <v/>
      </c>
      <c r="BN38">
        <f>IF(ROW()-3&gt;MAX($BM$4:$BM$42),"",INDEX('Lists'!$CB$4:$CB$42,MATCH(ROW()-3,$BM$4:$BM$42,0)))</f>
        <v/>
      </c>
      <c r="BO38">
        <f>BO37+IF(AND('Lists'!$CG$38&lt;&gt;"",ISNUMBER(SEARCH($P$4,'Lists'!$CG$38))),1,0)</f>
        <v/>
      </c>
      <c r="BP38">
        <f>IF(ROW()-3&gt;MAX($BO$4:$BO$42),"",INDEX('Lists'!$CG$4:$CG$42,MATCH(ROW()-3,$BO$4:$BO$42,0)))</f>
        <v/>
      </c>
      <c r="BQ38">
        <f>BQ37+IF(AND('Lists'!$CL$38&lt;&gt;"",ISNUMBER(SEARCH($Q$4,'Lists'!$CL$38))),1,0)</f>
        <v/>
      </c>
      <c r="BR38">
        <f>IF(ROW()-3&gt;MAX($BQ$4:$BQ$42),"",INDEX('Lists'!$CL$4:$CL$42,MATCH(ROW()-3,$BQ$4:$BQ$42,0)))</f>
        <v/>
      </c>
      <c r="BS38">
        <f>BS37+IF(AND('Lists'!$CQ$38&lt;&gt;"",ISNUMBER(SEARCH($R$4,'Lists'!$CQ$38))),1,0)</f>
        <v/>
      </c>
      <c r="BT38">
        <f>IF(ROW()-3&gt;MAX($BS$4:$BS$42),"",INDEX('Lists'!$CQ$4:$CQ$42,MATCH(ROW()-3,$BS$4:$BS$42,0)))</f>
        <v/>
      </c>
      <c r="BU38">
        <f>BU37+IF(AND('Lists'!$CV$38&lt;&gt;"",ISNUMBER(SEARCH($S$4,'Lists'!$CV$38))),1,0)</f>
        <v/>
      </c>
      <c r="BV38">
        <f>IF(ROW()-3&gt;MAX($BU$4:$BU$42),"",INDEX('Lists'!$CV$4:$CV$42,MATCH(ROW()-3,$BU$4:$BU$42,0)))</f>
        <v/>
      </c>
      <c r="BW38">
        <f>BW37+IF(AND('Lists'!$DA$38&lt;&gt;"",ISNUMBER(SEARCH($T$4,'Lists'!$DA$38))),1,0)</f>
        <v/>
      </c>
      <c r="BX38">
        <f>IF(ROW()-3&gt;MAX($BW$4:$BW$42),"",INDEX('Lists'!$DA$4:$DA$42,MATCH(ROW()-3,$BW$4:$BW$42,0)))</f>
        <v/>
      </c>
      <c r="BY38">
        <f>BY37+IF(AND('Lists'!$DF$38&lt;&gt;"",ISNUMBER(SEARCH($U$4,'Lists'!$DF$38))),1,0)</f>
        <v/>
      </c>
      <c r="BZ38">
        <f>IF(ROW()-3&gt;MAX($BY$4:$BY$42),"",INDEX('Lists'!$DF$4:$DF$42,MATCH(ROW()-3,$BY$4:$BY$42,0)))</f>
        <v/>
      </c>
      <c r="CA38">
        <f>CA37+IF(AND('Lists'!$DK$38&lt;&gt;"",ISNUMBER(SEARCH($V$4,'Lists'!$DK$38))),1,0)</f>
        <v/>
      </c>
      <c r="CB38">
        <f>IF(ROW()-3&gt;MAX($CA$4:$CA$42),"",INDEX('Lists'!$DK$4:$DK$42,MATCH(ROW()-3,$CA$4:$CA$42,0)))</f>
        <v/>
      </c>
      <c r="CC38">
        <f>CC37+IF(AND('Lists'!$DP$38&lt;&gt;"",ISNUMBER(SEARCH($W$4,'Lists'!$DP$38))),1,0)</f>
        <v/>
      </c>
      <c r="CD38">
        <f>IF(ROW()-3&gt;MAX($CC$4:$CC$42),"",INDEX('Lists'!$DP$4:$DP$42,MATCH(ROW()-3,$CC$4:$CC$42,0)))</f>
        <v/>
      </c>
      <c r="CE38">
        <f>CE37+IF(AND('Lists'!$DU$38&lt;&gt;"",ISNUMBER(SEARCH($X$4,'Lists'!$DU$38))),1,0)</f>
        <v/>
      </c>
      <c r="CF38">
        <f>IF(ROW()-3&gt;MAX($CE$4:$CE$42),"",INDEX('Lists'!$DU$4:$DU$42,MATCH(ROW()-3,$CE$4:$CE$42,0)))</f>
        <v/>
      </c>
      <c r="CG38">
        <f>CG37+IF(AND('Lists'!$DZ$38&lt;&gt;"",ISNUMBER(SEARCH($Y$4,'Lists'!$DZ$38))),1,0)</f>
        <v/>
      </c>
      <c r="CH38">
        <f>IF(ROW()-3&gt;MAX($CG$4:$CG$42),"",INDEX('Lists'!$DZ$4:$DZ$42,MATCH(ROW()-3,$CG$4:$CG$42,0)))</f>
        <v/>
      </c>
      <c r="CI38">
        <f>CI37+IF(AND('Lists'!$EE$38&lt;&gt;"",ISNUMBER(SEARCH($Z$4,'Lists'!$EE$38))),1,0)</f>
        <v/>
      </c>
      <c r="CJ38">
        <f>IF(ROW()-3&gt;MAX($CI$4:$CI$42),"",INDEX('Lists'!$EE$4:$EE$42,MATCH(ROW()-3,$CI$4:$CI$42,0)))</f>
        <v/>
      </c>
      <c r="CK38">
        <f>CK37+IF(AND('Lists'!$EJ$38&lt;&gt;"",ISNUMBER(SEARCH($AA$4,'Lists'!$EJ$38))),1,0)</f>
        <v/>
      </c>
      <c r="CL38">
        <f>IF(ROW()-3&gt;MAX($CK$4:$CK$42),"",INDEX('Lists'!$EJ$4:$EJ$42,MATCH(ROW()-3,$CK$4:$CK$42,0)))</f>
        <v/>
      </c>
      <c r="CM38">
        <f>CM37+IF(AND('Lists'!$EO$38&lt;&gt;"",ISNUMBER(SEARCH($AB$4,'Lists'!$EO$38))),1,0)</f>
        <v/>
      </c>
      <c r="CN38">
        <f>IF(ROW()-3&gt;MAX($CM$4:$CM$42),"",INDEX('Lists'!$EO$4:$EO$42,MATCH(ROW()-3,$CM$4:$CM$42,0)))</f>
        <v/>
      </c>
      <c r="CO38">
        <f>CO37+IF(AND('Lists'!$ET$38&lt;&gt;"",ISNUMBER(SEARCH($AC$4,'Lists'!$ET$38))),1,0)</f>
        <v/>
      </c>
      <c r="CP38">
        <f>IF(ROW()-3&gt;MAX($CO$4:$CO$42),"",INDEX('Lists'!$ET$4:$ET$42,MATCH(ROW()-3,$CO$4:$CO$42,0)))</f>
        <v/>
      </c>
      <c r="CQ38">
        <f>CQ37+IF(AND('Lists'!$EY$38&lt;&gt;"",ISNUMBER(SEARCH($AD$4,'Lists'!$EY$38))),1,0)</f>
        <v/>
      </c>
      <c r="CR38">
        <f>IF(ROW()-3&gt;MAX($CQ$4:$CQ$42),"",INDEX('Lists'!$EY$4:$EY$42,MATCH(ROW()-3,$CQ$4:$CQ$42,0)))</f>
        <v/>
      </c>
      <c r="CS38">
        <f>CS37+IF(AND('Lists'!$FD$38&lt;&gt;"",ISNUMBER(SEARCH($AE$4,'Lists'!$FD$38))),1,0)</f>
        <v/>
      </c>
      <c r="CT38">
        <f>IF(ROW()-3&gt;MAX($CS$4:$CS$42),"",INDEX('Lists'!$FD$4:$FD$42,MATCH(ROW()-3,$CS$4:$CS$42,0)))</f>
        <v/>
      </c>
      <c r="CU38">
        <f>CU37+IF(AND('Lists'!$FI$38&lt;&gt;"",ISNUMBER(SEARCH($AF$4,'Lists'!$FI$38))),1,0)</f>
        <v/>
      </c>
      <c r="CV38">
        <f>IF(ROW()-3&gt;MAX($CU$4:$CU$42),"",INDEX('Lists'!$FI$4:$FI$42,MATCH(ROW()-3,$CU$4:$CU$42,0)))</f>
        <v/>
      </c>
      <c r="CW38">
        <f>CW37+IF(AND('Lists'!$FN$38&lt;&gt;"",ISNUMBER(SEARCH($AG$4,'Lists'!$FN$38))),1,0)</f>
        <v/>
      </c>
      <c r="CX38">
        <f>IF(ROW()-3&gt;MAX($CW$4:$CW$42),"",INDEX('Lists'!$FN$4:$FN$42,MATCH(ROW()-3,$CW$4:$CW$42,0)))</f>
        <v/>
      </c>
      <c r="CY38">
        <f>CY37+IF(AND('Lists'!$FS$38&lt;&gt;"",ISNUMBER(SEARCH($AH$4,'Lists'!$FS$38))),1,0)</f>
        <v/>
      </c>
      <c r="CZ38">
        <f>IF(ROW()-3&gt;MAX($CY$4:$CY$42),"",INDEX('Lists'!$FS$4:$FS$42,MATCH(ROW()-3,$CY$4:$CY$42,0)))</f>
        <v/>
      </c>
      <c r="DA38">
        <f>DA37+IF(AND('Lists'!$FX$38&lt;&gt;"",ISNUMBER(SEARCH($AI$4,'Lists'!$FX$38))),1,0)</f>
        <v/>
      </c>
      <c r="DB38">
        <f>IF(ROW()-3&gt;MAX($DA$4:$DA$42),"",INDEX('Lists'!$FX$4:$FX$42,MATCH(ROW()-3,$DA$4:$DA$42,0)))</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c r="AJ39">
        <f>AND(IF($B$4="",TRUE,IF($B$4="(blank)",'Final Calculation Sheet'!$F$37="",IF($B$4="(nonblank)",'Final Calculation Sheet'!$F$37&lt;&gt;"",ISNUMBER(SEARCH($B$4,'Final Calculation Sheet'!$F$37))))),IF($C$4="",TRUE,IF($C$4="(blank)",'Final Calculation Sheet'!$G$37="",IF($C$4="(nonblank)",'Final Calculation Sheet'!$G$37&lt;&gt;"",ISNUMBER(SEARCH($C$4,'Final Calculation Sheet'!$G$37))))),IF($D$4="",TRUE,IF($D$4="(blank)",'Final Calculation Sheet'!$B$37="",IF($D$4="(nonblank)",'Final Calculation Sheet'!$B$37&lt;&gt;"",ISNUMBER(SEARCH($D$4,'Final Calculation Sheet'!$B$37))))),IF($E$4="",TRUE,IF($E$4="(blank)",'Final Calculation Sheet'!$D$37="",IF($E$4="(nonblank)",'Final Calculation Sheet'!$D$37&lt;&gt;"",ISNUMBER(SEARCH($E$4,'Final Calculation Sheet'!$D$37))))),IF($F$4="",TRUE,IF($F$4="(blank)",'Final Calculation Sheet'!$A$37="",IF($F$4="(nonblank)",'Final Calculation Sheet'!$A$37&lt;&gt;"",ISNUMBER(SEARCH($F$4,'Final Calculation Sheet'!$A$37))))),IF($G$4="",TRUE,IF($G$4="(blank)",'Final Calculation Sheet'!$E$37="",IF($G$4="(nonblank)",'Final Calculation Sheet'!$E$37&lt;&gt;"",ISNUMBER(SEARCH($G$4,'Final Calculation Sheet'!$E$37))))),IF($H$4="",TRUE,IF($H$4="(blank)",'Final Calculation Sheet'!$C$37="",IF($H$4="(nonblank)",'Final Calculation Sheet'!$C$37&lt;&gt;"",ISNUMBER(SEARCH($H$4,'Final Calculation Sheet'!$C$37))))),IF($I$4="",TRUE,IF($I$4="(blank)",'Final Calculation Sheet'!$H$37="",IF($I$4="(nonblank)",'Final Calculation Sheet'!$H$37&lt;&gt;"",ISNUMBER(SEARCH($I$4,'Final Calculation Sheet'!$H$37))))),IF($J$4="",TRUE,IF($J$4="(blank)",'Final Calculation Sheet'!$I$37="",IF($J$4="(nonblank)",'Final Calculation Sheet'!$I$37&lt;&gt;"",ISNUMBER(SEARCH($J$4,'Final Calculation Sheet'!$I$37))))),IF($K$4="",TRUE,IF($K$4="(blank)",'Final Calculation Sheet'!$J$37="",IF($K$4="(nonblank)",'Final Calculation Sheet'!$J$37&lt;&gt;"",ISNUMBER(SEARCH($K$4,'Final Calculation Sheet'!$J$37))))),IF($L$4="",TRUE,IF($L$4="(blank)",'Final Calculation Sheet'!$K$37="",IF($L$4="(nonblank)",'Final Calculation Sheet'!$K$37&lt;&gt;"",ISNUMBER(SEARCH($L$4,'Final Calculation Sheet'!$K$37))))),IF($M$4="",TRUE,IF($M$4="(blank)",'Final Calculation Sheet'!$L$37="",IF($M$4="(nonblank)",'Final Calculation Sheet'!$L$37&lt;&gt;"",ISNUMBER(SEARCH($M$4,'Final Calculation Sheet'!$L$37))))),IF($N$4="",TRUE,IF($N$4="(blank)",'Final Calculation Sheet'!$M$37="",IF($N$4="(nonblank)",'Final Calculation Sheet'!$M$37&lt;&gt;"",ISNUMBER(SEARCH($N$4,'Final Calculation Sheet'!$M$37))))),IF($O$4="",TRUE,IF($O$4="(blank)",'Final Calculation Sheet'!$N$37="",IF($O$4="(nonblank)",'Final Calculation Sheet'!$N$37&lt;&gt;"",ISNUMBER(SEARCH($O$4,'Final Calculation Sheet'!$N$37))))),IF($P$4="",TRUE,IF($P$4="(blank)",'Final Calculation Sheet'!$O$37="",IF($P$4="(nonblank)",'Final Calculation Sheet'!$O$37&lt;&gt;"",ISNUMBER(SEARCH($P$4,'Final Calculation Sheet'!$O$37))))),IF($Q$4="",TRUE,IF($Q$4="(blank)",'Final Calculation Sheet'!$P$37="",IF($Q$4="(nonblank)",'Final Calculation Sheet'!$P$37&lt;&gt;"",ISNUMBER(SEARCH($Q$4,'Final Calculation Sheet'!$P$37))))),IF($R$4="",TRUE,IF($R$4="(blank)",'Final Calculation Sheet'!$Q$37="",IF($R$4="(nonblank)",'Final Calculation Sheet'!$Q$37&lt;&gt;"",ISNUMBER(SEARCH($R$4,'Final Calculation Sheet'!$Q$37))))),IF($S$4="",TRUE,IF($S$4="(blank)",'Final Calculation Sheet'!$R$37="",IF($S$4="(nonblank)",'Final Calculation Sheet'!$R$37&lt;&gt;"",ISNUMBER(SEARCH($S$4,'Final Calculation Sheet'!$R$37))))),IF($T$4="",TRUE,IF($T$4="(blank)",'Final Calculation Sheet'!$S$37="",IF($T$4="(nonblank)",'Final Calculation Sheet'!$S$37&lt;&gt;"",ISNUMBER(SEARCH($T$4,'Final Calculation Sheet'!$S$37))))),IF($U$4="",TRUE,IF($U$4="(blank)",'Final Calculation Sheet'!$T$37="",IF($U$4="(nonblank)",'Final Calculation Sheet'!$T$37&lt;&gt;"",ISNUMBER(SEARCH($U$4,'Final Calculation Sheet'!$T$37))))),IF($V$4="",TRUE,IF($V$4="(blank)",'Final Calculation Sheet'!$U$37="",IF($V$4="(nonblank)",'Final Calculation Sheet'!$U$37&lt;&gt;"",ISNUMBER(SEARCH($V$4,'Final Calculation Sheet'!$U$37))))),IF($W$4="",TRUE,IF($W$4="(blank)",'Final Calculation Sheet'!$V$37="",IF($W$4="(nonblank)",'Final Calculation Sheet'!$V$37&lt;&gt;"",ISNUMBER(SEARCH($W$4,'Final Calculation Sheet'!$V$37))))),IF($X$4="",TRUE,IF($X$4="(blank)",'Final Calculation Sheet'!$W$37="",IF($X$4="(nonblank)",'Final Calculation Sheet'!$W$37&lt;&gt;"",ISNUMBER(SEARCH($X$4,'Final Calculation Sheet'!$W$37))))),IF($Y$4="",TRUE,IF($Y$4="(blank)",'Final Calculation Sheet'!$X$37="",IF($Y$4="(nonblank)",'Final Calculation Sheet'!$X$37&lt;&gt;"",ISNUMBER(SEARCH($Y$4,'Final Calculation Sheet'!$X$37))))),IF($Z$4="",TRUE,IF($Z$4="(blank)",'Final Calculation Sheet'!$Y$37="",IF($Z$4="(nonblank)",'Final Calculation Sheet'!$Y$37&lt;&gt;"",ISNUMBER(SEARCH($Z$4,'Final Calculation Sheet'!$Y$37))))),IF($AA$4="",TRUE,IF($AA$4="(blank)",'Final Calculation Sheet'!$Z$37="",IF($AA$4="(nonblank)",'Final Calculation Sheet'!$Z$37&lt;&gt;"",ISNUMBER(SEARCH($AA$4,'Final Calculation Sheet'!$Z$37))))),IF($AB$4="",TRUE,IF($AB$4="(blank)",'Final Calculation Sheet'!$AA$37="",IF($AB$4="(nonblank)",'Final Calculation Sheet'!$AA$37&lt;&gt;"",ISNUMBER(SEARCH($AB$4,'Final Calculation Sheet'!$AA$37))))),IF($AC$4="",TRUE,IF($AC$4="(blank)",'Final Calculation Sheet'!$AB$37="",IF($AC$4="(nonblank)",'Final Calculation Sheet'!$AB$37&lt;&gt;"",ISNUMBER(SEARCH($AC$4,'Final Calculation Sheet'!$AB$37))))),IF($AD$4="",TRUE,IF($AD$4="(blank)",'Final Calculation Sheet'!$AC$37="",IF($AD$4="(nonblank)",'Final Calculation Sheet'!$AC$37&lt;&gt;"",ISNUMBER(SEARCH($AD$4,'Final Calculation Sheet'!$AC$37))))),IF($AE$4="",TRUE,IF($AE$4="(blank)",'Final Calculation Sheet'!$AD$37="",IF($AE$4="(nonblank)",'Final Calculation Sheet'!$AD$37&lt;&gt;"",ISNUMBER(SEARCH($AE$4,'Final Calculation Sheet'!$AD$37))))),IF($AF$4="",TRUE,IF($AF$4="(blank)",'Final Calculation Sheet'!$AE$37="",IF($AF$4="(nonblank)",'Final Calculation Sheet'!$AE$37&lt;&gt;"",ISNUMBER(SEARCH($AF$4,'Final Calculation Sheet'!$AE$37))))),IF($AG$4="",TRUE,IF($AG$4="(blank)",'Final Calculation Sheet'!$AF$37="",IF($AG$4="(nonblank)",'Final Calculation Sheet'!$AF$37&lt;&gt;"",ISNUMBER(SEARCH($AG$4,'Final Calculation Sheet'!$AF$37))))),IF($AH$4="",TRUE,IF($AH$4="(blank)",'Final Calculation Sheet'!$AG$37="",IF($AH$4="(nonblank)",'Final Calculation Sheet'!$AG$37&lt;&gt;"",ISNUMBER(SEARCH($AH$4,'Final Calculation Sheet'!$AG$37))))),IF($AI$4="",TRUE,IF($AI$4="(blank)",IF('Final Calculation Sheet'!$AD$37&lt;=5,"SETTLED","OUTSTANDING")="",IF($AI$4="(nonblank)",IF('Final Calculation Sheet'!$AD$37&lt;=5,"SETTLED","OUTSTANDING")&lt;&gt;"",ISNUMBER(SEARCH($AI$4,IF('Final Calculation Sheet'!$AD$37&lt;=5,"SETTLED","OUTSTANDING")))))))</f>
        <v/>
      </c>
      <c r="AK39">
        <f>IF(AJ39=1,COUNTIF(AJ$6:AJ39,1),"")</f>
        <v/>
      </c>
      <c r="AM39">
        <f>AM38+IF(AND('Lists'!$O$39&lt;&gt;"",ISNUMBER(SEARCH($B$4,'Lists'!$O$39))),1,0)</f>
        <v/>
      </c>
      <c r="AN39">
        <f>IF(ROW()-3&gt;MAX($AM$4:$AM$42),"",INDEX('Lists'!$O$4:$O$42,MATCH(ROW()-3,$AM$4:$AM$42,0)))</f>
        <v/>
      </c>
      <c r="AO39">
        <f>AO38+IF(AND('Lists'!$T$39&lt;&gt;"",ISNUMBER(SEARCH($C$4,'Lists'!$T$39))),1,0)</f>
        <v/>
      </c>
      <c r="AP39">
        <f>IF(ROW()-3&gt;MAX($AO$4:$AO$42),"",INDEX('Lists'!$T$4:$T$42,MATCH(ROW()-3,$AO$4:$AO$42,0)))</f>
        <v/>
      </c>
      <c r="AQ39">
        <f>AQ38+IF(AND('Lists'!$Y$39&lt;&gt;"",ISNUMBER(SEARCH($D$4,'Lists'!$Y$39))),1,0)</f>
        <v/>
      </c>
      <c r="AR39">
        <f>IF(ROW()-3&gt;MAX($AQ$4:$AQ$42),"",INDEX('Lists'!$Y$4:$Y$42,MATCH(ROW()-3,$AQ$4:$AQ$42,0)))</f>
        <v/>
      </c>
      <c r="AS39">
        <f>AS38+IF(AND('Lists'!$AD$39&lt;&gt;"",ISNUMBER(SEARCH($E$4,'Lists'!$AD$39))),1,0)</f>
        <v/>
      </c>
      <c r="AT39">
        <f>IF(ROW()-3&gt;MAX($AS$4:$AS$42),"",INDEX('Lists'!$AD$4:$AD$42,MATCH(ROW()-3,$AS$4:$AS$42,0)))</f>
        <v/>
      </c>
      <c r="AU39">
        <f>AU38+IF(AND('Lists'!$AI$39&lt;&gt;"",ISNUMBER(SEARCH($F$4,'Lists'!$AI$39))),1,0)</f>
        <v/>
      </c>
      <c r="AV39">
        <f>IF(ROW()-3&gt;MAX($AU$4:$AU$42),"",INDEX('Lists'!$AI$4:$AI$42,MATCH(ROW()-3,$AU$4:$AU$42,0)))</f>
        <v/>
      </c>
      <c r="AW39">
        <f>AW38+IF(AND('Lists'!$AN$39&lt;&gt;"",ISNUMBER(SEARCH($G$4,'Lists'!$AN$39))),1,0)</f>
        <v/>
      </c>
      <c r="AX39">
        <f>IF(ROW()-3&gt;MAX($AW$4:$AW$42),"",INDEX('Lists'!$AN$4:$AN$42,MATCH(ROW()-3,$AW$4:$AW$42,0)))</f>
        <v/>
      </c>
      <c r="AY39">
        <f>AY38+IF(AND('Lists'!$AS$39&lt;&gt;"",ISNUMBER(SEARCH($H$4,'Lists'!$AS$39))),1,0)</f>
        <v/>
      </c>
      <c r="AZ39">
        <f>IF(ROW()-3&gt;MAX($AY$4:$AY$42),"",INDEX('Lists'!$AS$4:$AS$42,MATCH(ROW()-3,$AY$4:$AY$42,0)))</f>
        <v/>
      </c>
      <c r="BA39">
        <f>BA38+IF(AND('Lists'!$AX$39&lt;&gt;"",ISNUMBER(SEARCH($I$4,'Lists'!$AX$39))),1,0)</f>
        <v/>
      </c>
      <c r="BB39">
        <f>IF(ROW()-3&gt;MAX($BA$4:$BA$42),"",INDEX('Lists'!$AX$4:$AX$42,MATCH(ROW()-3,$BA$4:$BA$42,0)))</f>
        <v/>
      </c>
      <c r="BC39">
        <f>BC38+IF(AND('Lists'!$BC$39&lt;&gt;"",ISNUMBER(SEARCH($J$4,'Lists'!$BC$39))),1,0)</f>
        <v/>
      </c>
      <c r="BD39">
        <f>IF(ROW()-3&gt;MAX($BC$4:$BC$42),"",INDEX('Lists'!$BC$4:$BC$42,MATCH(ROW()-3,$BC$4:$BC$42,0)))</f>
        <v/>
      </c>
      <c r="BE39">
        <f>BE38+IF(AND('Lists'!$BH$39&lt;&gt;"",ISNUMBER(SEARCH($K$4,'Lists'!$BH$39))),1,0)</f>
        <v/>
      </c>
      <c r="BF39">
        <f>IF(ROW()-3&gt;MAX($BE$4:$BE$42),"",INDEX('Lists'!$BH$4:$BH$42,MATCH(ROW()-3,$BE$4:$BE$42,0)))</f>
        <v/>
      </c>
      <c r="BG39">
        <f>BG38+IF(AND('Lists'!$BM$39&lt;&gt;"",ISNUMBER(SEARCH($L$4,'Lists'!$BM$39))),1,0)</f>
        <v/>
      </c>
      <c r="BH39">
        <f>IF(ROW()-3&gt;MAX($BG$4:$BG$42),"",INDEX('Lists'!$BM$4:$BM$42,MATCH(ROW()-3,$BG$4:$BG$42,0)))</f>
        <v/>
      </c>
      <c r="BI39">
        <f>BI38+IF(AND('Lists'!$BR$39&lt;&gt;"",ISNUMBER(SEARCH($M$4,'Lists'!$BR$39))),1,0)</f>
        <v/>
      </c>
      <c r="BJ39">
        <f>IF(ROW()-3&gt;MAX($BI$4:$BI$42),"",INDEX('Lists'!$BR$4:$BR$42,MATCH(ROW()-3,$BI$4:$BI$42,0)))</f>
        <v/>
      </c>
      <c r="BK39">
        <f>BK38+IF(AND('Lists'!$BW$39&lt;&gt;"",ISNUMBER(SEARCH($N$4,'Lists'!$BW$39))),1,0)</f>
        <v/>
      </c>
      <c r="BL39">
        <f>IF(ROW()-3&gt;MAX($BK$4:$BK$42),"",INDEX('Lists'!$BW$4:$BW$42,MATCH(ROW()-3,$BK$4:$BK$42,0)))</f>
        <v/>
      </c>
      <c r="BM39">
        <f>BM38+IF(AND('Lists'!$CB$39&lt;&gt;"",ISNUMBER(SEARCH($O$4,'Lists'!$CB$39))),1,0)</f>
        <v/>
      </c>
      <c r="BN39">
        <f>IF(ROW()-3&gt;MAX($BM$4:$BM$42),"",INDEX('Lists'!$CB$4:$CB$42,MATCH(ROW()-3,$BM$4:$BM$42,0)))</f>
        <v/>
      </c>
      <c r="BO39">
        <f>BO38+IF(AND('Lists'!$CG$39&lt;&gt;"",ISNUMBER(SEARCH($P$4,'Lists'!$CG$39))),1,0)</f>
        <v/>
      </c>
      <c r="BP39">
        <f>IF(ROW()-3&gt;MAX($BO$4:$BO$42),"",INDEX('Lists'!$CG$4:$CG$42,MATCH(ROW()-3,$BO$4:$BO$42,0)))</f>
        <v/>
      </c>
      <c r="BQ39">
        <f>BQ38+IF(AND('Lists'!$CL$39&lt;&gt;"",ISNUMBER(SEARCH($Q$4,'Lists'!$CL$39))),1,0)</f>
        <v/>
      </c>
      <c r="BR39">
        <f>IF(ROW()-3&gt;MAX($BQ$4:$BQ$42),"",INDEX('Lists'!$CL$4:$CL$42,MATCH(ROW()-3,$BQ$4:$BQ$42,0)))</f>
        <v/>
      </c>
      <c r="BS39">
        <f>BS38+IF(AND('Lists'!$CQ$39&lt;&gt;"",ISNUMBER(SEARCH($R$4,'Lists'!$CQ$39))),1,0)</f>
        <v/>
      </c>
      <c r="BT39">
        <f>IF(ROW()-3&gt;MAX($BS$4:$BS$42),"",INDEX('Lists'!$CQ$4:$CQ$42,MATCH(ROW()-3,$BS$4:$BS$42,0)))</f>
        <v/>
      </c>
      <c r="BU39">
        <f>BU38+IF(AND('Lists'!$CV$39&lt;&gt;"",ISNUMBER(SEARCH($S$4,'Lists'!$CV$39))),1,0)</f>
        <v/>
      </c>
      <c r="BV39">
        <f>IF(ROW()-3&gt;MAX($BU$4:$BU$42),"",INDEX('Lists'!$CV$4:$CV$42,MATCH(ROW()-3,$BU$4:$BU$42,0)))</f>
        <v/>
      </c>
      <c r="BW39">
        <f>BW38+IF(AND('Lists'!$DA$39&lt;&gt;"",ISNUMBER(SEARCH($T$4,'Lists'!$DA$39))),1,0)</f>
        <v/>
      </c>
      <c r="BX39">
        <f>IF(ROW()-3&gt;MAX($BW$4:$BW$42),"",INDEX('Lists'!$DA$4:$DA$42,MATCH(ROW()-3,$BW$4:$BW$42,0)))</f>
        <v/>
      </c>
      <c r="BY39">
        <f>BY38+IF(AND('Lists'!$DF$39&lt;&gt;"",ISNUMBER(SEARCH($U$4,'Lists'!$DF$39))),1,0)</f>
        <v/>
      </c>
      <c r="BZ39">
        <f>IF(ROW()-3&gt;MAX($BY$4:$BY$42),"",INDEX('Lists'!$DF$4:$DF$42,MATCH(ROW()-3,$BY$4:$BY$42,0)))</f>
        <v/>
      </c>
      <c r="CA39">
        <f>CA38+IF(AND('Lists'!$DK$39&lt;&gt;"",ISNUMBER(SEARCH($V$4,'Lists'!$DK$39))),1,0)</f>
        <v/>
      </c>
      <c r="CB39">
        <f>IF(ROW()-3&gt;MAX($CA$4:$CA$42),"",INDEX('Lists'!$DK$4:$DK$42,MATCH(ROW()-3,$CA$4:$CA$42,0)))</f>
        <v/>
      </c>
      <c r="CC39">
        <f>CC38+IF(AND('Lists'!$DP$39&lt;&gt;"",ISNUMBER(SEARCH($W$4,'Lists'!$DP$39))),1,0)</f>
        <v/>
      </c>
      <c r="CD39">
        <f>IF(ROW()-3&gt;MAX($CC$4:$CC$42),"",INDEX('Lists'!$DP$4:$DP$42,MATCH(ROW()-3,$CC$4:$CC$42,0)))</f>
        <v/>
      </c>
      <c r="CE39">
        <f>CE38+IF(AND('Lists'!$DU$39&lt;&gt;"",ISNUMBER(SEARCH($X$4,'Lists'!$DU$39))),1,0)</f>
        <v/>
      </c>
      <c r="CF39">
        <f>IF(ROW()-3&gt;MAX($CE$4:$CE$42),"",INDEX('Lists'!$DU$4:$DU$42,MATCH(ROW()-3,$CE$4:$CE$42,0)))</f>
        <v/>
      </c>
      <c r="CG39">
        <f>CG38+IF(AND('Lists'!$DZ$39&lt;&gt;"",ISNUMBER(SEARCH($Y$4,'Lists'!$DZ$39))),1,0)</f>
        <v/>
      </c>
      <c r="CH39">
        <f>IF(ROW()-3&gt;MAX($CG$4:$CG$42),"",INDEX('Lists'!$DZ$4:$DZ$42,MATCH(ROW()-3,$CG$4:$CG$42,0)))</f>
        <v/>
      </c>
      <c r="CI39">
        <f>CI38+IF(AND('Lists'!$EE$39&lt;&gt;"",ISNUMBER(SEARCH($Z$4,'Lists'!$EE$39))),1,0)</f>
        <v/>
      </c>
      <c r="CJ39">
        <f>IF(ROW()-3&gt;MAX($CI$4:$CI$42),"",INDEX('Lists'!$EE$4:$EE$42,MATCH(ROW()-3,$CI$4:$CI$42,0)))</f>
        <v/>
      </c>
      <c r="CK39">
        <f>CK38+IF(AND('Lists'!$EJ$39&lt;&gt;"",ISNUMBER(SEARCH($AA$4,'Lists'!$EJ$39))),1,0)</f>
        <v/>
      </c>
      <c r="CL39">
        <f>IF(ROW()-3&gt;MAX($CK$4:$CK$42),"",INDEX('Lists'!$EJ$4:$EJ$42,MATCH(ROW()-3,$CK$4:$CK$42,0)))</f>
        <v/>
      </c>
      <c r="CM39">
        <f>CM38+IF(AND('Lists'!$EO$39&lt;&gt;"",ISNUMBER(SEARCH($AB$4,'Lists'!$EO$39))),1,0)</f>
        <v/>
      </c>
      <c r="CN39">
        <f>IF(ROW()-3&gt;MAX($CM$4:$CM$42),"",INDEX('Lists'!$EO$4:$EO$42,MATCH(ROW()-3,$CM$4:$CM$42,0)))</f>
        <v/>
      </c>
      <c r="CO39">
        <f>CO38+IF(AND('Lists'!$ET$39&lt;&gt;"",ISNUMBER(SEARCH($AC$4,'Lists'!$ET$39))),1,0)</f>
        <v/>
      </c>
      <c r="CP39">
        <f>IF(ROW()-3&gt;MAX($CO$4:$CO$42),"",INDEX('Lists'!$ET$4:$ET$42,MATCH(ROW()-3,$CO$4:$CO$42,0)))</f>
        <v/>
      </c>
      <c r="CQ39">
        <f>CQ38+IF(AND('Lists'!$EY$39&lt;&gt;"",ISNUMBER(SEARCH($AD$4,'Lists'!$EY$39))),1,0)</f>
        <v/>
      </c>
      <c r="CR39">
        <f>IF(ROW()-3&gt;MAX($CQ$4:$CQ$42),"",INDEX('Lists'!$EY$4:$EY$42,MATCH(ROW()-3,$CQ$4:$CQ$42,0)))</f>
        <v/>
      </c>
      <c r="CS39">
        <f>CS38+IF(AND('Lists'!$FD$39&lt;&gt;"",ISNUMBER(SEARCH($AE$4,'Lists'!$FD$39))),1,0)</f>
        <v/>
      </c>
      <c r="CT39">
        <f>IF(ROW()-3&gt;MAX($CS$4:$CS$42),"",INDEX('Lists'!$FD$4:$FD$42,MATCH(ROW()-3,$CS$4:$CS$42,0)))</f>
        <v/>
      </c>
      <c r="CU39">
        <f>CU38+IF(AND('Lists'!$FI$39&lt;&gt;"",ISNUMBER(SEARCH($AF$4,'Lists'!$FI$39))),1,0)</f>
        <v/>
      </c>
      <c r="CV39">
        <f>IF(ROW()-3&gt;MAX($CU$4:$CU$42),"",INDEX('Lists'!$FI$4:$FI$42,MATCH(ROW()-3,$CU$4:$CU$42,0)))</f>
        <v/>
      </c>
      <c r="CW39">
        <f>CW38+IF(AND('Lists'!$FN$39&lt;&gt;"",ISNUMBER(SEARCH($AG$4,'Lists'!$FN$39))),1,0)</f>
        <v/>
      </c>
      <c r="CX39">
        <f>IF(ROW()-3&gt;MAX($CW$4:$CW$42),"",INDEX('Lists'!$FN$4:$FN$42,MATCH(ROW()-3,$CW$4:$CW$42,0)))</f>
        <v/>
      </c>
      <c r="CY39">
        <f>CY38+IF(AND('Lists'!$FS$39&lt;&gt;"",ISNUMBER(SEARCH($AH$4,'Lists'!$FS$39))),1,0)</f>
        <v/>
      </c>
      <c r="CZ39">
        <f>IF(ROW()-3&gt;MAX($CY$4:$CY$42),"",INDEX('Lists'!$FS$4:$FS$42,MATCH(ROW()-3,$CY$4:$CY$42,0)))</f>
        <v/>
      </c>
      <c r="DA39">
        <f>DA38+IF(AND('Lists'!$FX$39&lt;&gt;"",ISNUMBER(SEARCH($AI$4,'Lists'!$FX$39))),1,0)</f>
        <v/>
      </c>
      <c r="DB39">
        <f>IF(ROW()-3&gt;MAX($DA$4:$DA$42),"",INDEX('Lists'!$FX$4:$FX$42,MATCH(ROW()-3,$DA$4:$DA$42,0)))</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c r="AJ40">
        <f>AND(IF($B$4="",TRUE,IF($B$4="(blank)",'Final Calculation Sheet'!$F$38="",IF($B$4="(nonblank)",'Final Calculation Sheet'!$F$38&lt;&gt;"",ISNUMBER(SEARCH($B$4,'Final Calculation Sheet'!$F$38))))),IF($C$4="",TRUE,IF($C$4="(blank)",'Final Calculation Sheet'!$G$38="",IF($C$4="(nonblank)",'Final Calculation Sheet'!$G$38&lt;&gt;"",ISNUMBER(SEARCH($C$4,'Final Calculation Sheet'!$G$38))))),IF($D$4="",TRUE,IF($D$4="(blank)",'Final Calculation Sheet'!$B$38="",IF($D$4="(nonblank)",'Final Calculation Sheet'!$B$38&lt;&gt;"",ISNUMBER(SEARCH($D$4,'Final Calculation Sheet'!$B$38))))),IF($E$4="",TRUE,IF($E$4="(blank)",'Final Calculation Sheet'!$D$38="",IF($E$4="(nonblank)",'Final Calculation Sheet'!$D$38&lt;&gt;"",ISNUMBER(SEARCH($E$4,'Final Calculation Sheet'!$D$38))))),IF($F$4="",TRUE,IF($F$4="(blank)",'Final Calculation Sheet'!$A$38="",IF($F$4="(nonblank)",'Final Calculation Sheet'!$A$38&lt;&gt;"",ISNUMBER(SEARCH($F$4,'Final Calculation Sheet'!$A$38))))),IF($G$4="",TRUE,IF($G$4="(blank)",'Final Calculation Sheet'!$E$38="",IF($G$4="(nonblank)",'Final Calculation Sheet'!$E$38&lt;&gt;"",ISNUMBER(SEARCH($G$4,'Final Calculation Sheet'!$E$38))))),IF($H$4="",TRUE,IF($H$4="(blank)",'Final Calculation Sheet'!$C$38="",IF($H$4="(nonblank)",'Final Calculation Sheet'!$C$38&lt;&gt;"",ISNUMBER(SEARCH($H$4,'Final Calculation Sheet'!$C$38))))),IF($I$4="",TRUE,IF($I$4="(blank)",'Final Calculation Sheet'!$H$38="",IF($I$4="(nonblank)",'Final Calculation Sheet'!$H$38&lt;&gt;"",ISNUMBER(SEARCH($I$4,'Final Calculation Sheet'!$H$38))))),IF($J$4="",TRUE,IF($J$4="(blank)",'Final Calculation Sheet'!$I$38="",IF($J$4="(nonblank)",'Final Calculation Sheet'!$I$38&lt;&gt;"",ISNUMBER(SEARCH($J$4,'Final Calculation Sheet'!$I$38))))),IF($K$4="",TRUE,IF($K$4="(blank)",'Final Calculation Sheet'!$J$38="",IF($K$4="(nonblank)",'Final Calculation Sheet'!$J$38&lt;&gt;"",ISNUMBER(SEARCH($K$4,'Final Calculation Sheet'!$J$38))))),IF($L$4="",TRUE,IF($L$4="(blank)",'Final Calculation Sheet'!$K$38="",IF($L$4="(nonblank)",'Final Calculation Sheet'!$K$38&lt;&gt;"",ISNUMBER(SEARCH($L$4,'Final Calculation Sheet'!$K$38))))),IF($M$4="",TRUE,IF($M$4="(blank)",'Final Calculation Sheet'!$L$38="",IF($M$4="(nonblank)",'Final Calculation Sheet'!$L$38&lt;&gt;"",ISNUMBER(SEARCH($M$4,'Final Calculation Sheet'!$L$38))))),IF($N$4="",TRUE,IF($N$4="(blank)",'Final Calculation Sheet'!$M$38="",IF($N$4="(nonblank)",'Final Calculation Sheet'!$M$38&lt;&gt;"",ISNUMBER(SEARCH($N$4,'Final Calculation Sheet'!$M$38))))),IF($O$4="",TRUE,IF($O$4="(blank)",'Final Calculation Sheet'!$N$38="",IF($O$4="(nonblank)",'Final Calculation Sheet'!$N$38&lt;&gt;"",ISNUMBER(SEARCH($O$4,'Final Calculation Sheet'!$N$38))))),IF($P$4="",TRUE,IF($P$4="(blank)",'Final Calculation Sheet'!$O$38="",IF($P$4="(nonblank)",'Final Calculation Sheet'!$O$38&lt;&gt;"",ISNUMBER(SEARCH($P$4,'Final Calculation Sheet'!$O$38))))),IF($Q$4="",TRUE,IF($Q$4="(blank)",'Final Calculation Sheet'!$P$38="",IF($Q$4="(nonblank)",'Final Calculation Sheet'!$P$38&lt;&gt;"",ISNUMBER(SEARCH($Q$4,'Final Calculation Sheet'!$P$38))))),IF($R$4="",TRUE,IF($R$4="(blank)",'Final Calculation Sheet'!$Q$38="",IF($R$4="(nonblank)",'Final Calculation Sheet'!$Q$38&lt;&gt;"",ISNUMBER(SEARCH($R$4,'Final Calculation Sheet'!$Q$38))))),IF($S$4="",TRUE,IF($S$4="(blank)",'Final Calculation Sheet'!$R$38="",IF($S$4="(nonblank)",'Final Calculation Sheet'!$R$38&lt;&gt;"",ISNUMBER(SEARCH($S$4,'Final Calculation Sheet'!$R$38))))),IF($T$4="",TRUE,IF($T$4="(blank)",'Final Calculation Sheet'!$S$38="",IF($T$4="(nonblank)",'Final Calculation Sheet'!$S$38&lt;&gt;"",ISNUMBER(SEARCH($T$4,'Final Calculation Sheet'!$S$38))))),IF($U$4="",TRUE,IF($U$4="(blank)",'Final Calculation Sheet'!$T$38="",IF($U$4="(nonblank)",'Final Calculation Sheet'!$T$38&lt;&gt;"",ISNUMBER(SEARCH($U$4,'Final Calculation Sheet'!$T$38))))),IF($V$4="",TRUE,IF($V$4="(blank)",'Final Calculation Sheet'!$U$38="",IF($V$4="(nonblank)",'Final Calculation Sheet'!$U$38&lt;&gt;"",ISNUMBER(SEARCH($V$4,'Final Calculation Sheet'!$U$38))))),IF($W$4="",TRUE,IF($W$4="(blank)",'Final Calculation Sheet'!$V$38="",IF($W$4="(nonblank)",'Final Calculation Sheet'!$V$38&lt;&gt;"",ISNUMBER(SEARCH($W$4,'Final Calculation Sheet'!$V$38))))),IF($X$4="",TRUE,IF($X$4="(blank)",'Final Calculation Sheet'!$W$38="",IF($X$4="(nonblank)",'Final Calculation Sheet'!$W$38&lt;&gt;"",ISNUMBER(SEARCH($X$4,'Final Calculation Sheet'!$W$38))))),IF($Y$4="",TRUE,IF($Y$4="(blank)",'Final Calculation Sheet'!$X$38="",IF($Y$4="(nonblank)",'Final Calculation Sheet'!$X$38&lt;&gt;"",ISNUMBER(SEARCH($Y$4,'Final Calculation Sheet'!$X$38))))),IF($Z$4="",TRUE,IF($Z$4="(blank)",'Final Calculation Sheet'!$Y$38="",IF($Z$4="(nonblank)",'Final Calculation Sheet'!$Y$38&lt;&gt;"",ISNUMBER(SEARCH($Z$4,'Final Calculation Sheet'!$Y$38))))),IF($AA$4="",TRUE,IF($AA$4="(blank)",'Final Calculation Sheet'!$Z$38="",IF($AA$4="(nonblank)",'Final Calculation Sheet'!$Z$38&lt;&gt;"",ISNUMBER(SEARCH($AA$4,'Final Calculation Sheet'!$Z$38))))),IF($AB$4="",TRUE,IF($AB$4="(blank)",'Final Calculation Sheet'!$AA$38="",IF($AB$4="(nonblank)",'Final Calculation Sheet'!$AA$38&lt;&gt;"",ISNUMBER(SEARCH($AB$4,'Final Calculation Sheet'!$AA$38))))),IF($AC$4="",TRUE,IF($AC$4="(blank)",'Final Calculation Sheet'!$AB$38="",IF($AC$4="(nonblank)",'Final Calculation Sheet'!$AB$38&lt;&gt;"",ISNUMBER(SEARCH($AC$4,'Final Calculation Sheet'!$AB$38))))),IF($AD$4="",TRUE,IF($AD$4="(blank)",'Final Calculation Sheet'!$AC$38="",IF($AD$4="(nonblank)",'Final Calculation Sheet'!$AC$38&lt;&gt;"",ISNUMBER(SEARCH($AD$4,'Final Calculation Sheet'!$AC$38))))),IF($AE$4="",TRUE,IF($AE$4="(blank)",'Final Calculation Sheet'!$AD$38="",IF($AE$4="(nonblank)",'Final Calculation Sheet'!$AD$38&lt;&gt;"",ISNUMBER(SEARCH($AE$4,'Final Calculation Sheet'!$AD$38))))),IF($AF$4="",TRUE,IF($AF$4="(blank)",'Final Calculation Sheet'!$AE$38="",IF($AF$4="(nonblank)",'Final Calculation Sheet'!$AE$38&lt;&gt;"",ISNUMBER(SEARCH($AF$4,'Final Calculation Sheet'!$AE$38))))),IF($AG$4="",TRUE,IF($AG$4="(blank)",'Final Calculation Sheet'!$AF$38="",IF($AG$4="(nonblank)",'Final Calculation Sheet'!$AF$38&lt;&gt;"",ISNUMBER(SEARCH($AG$4,'Final Calculation Sheet'!$AF$38))))),IF($AH$4="",TRUE,IF($AH$4="(blank)",'Final Calculation Sheet'!$AG$38="",IF($AH$4="(nonblank)",'Final Calculation Sheet'!$AG$38&lt;&gt;"",ISNUMBER(SEARCH($AH$4,'Final Calculation Sheet'!$AG$38))))),IF($AI$4="",TRUE,IF($AI$4="(blank)",IF('Final Calculation Sheet'!$AD$38&lt;=5,"SETTLED","OUTSTANDING")="",IF($AI$4="(nonblank)",IF('Final Calculation Sheet'!$AD$38&lt;=5,"SETTLED","OUTSTANDING")&lt;&gt;"",ISNUMBER(SEARCH($AI$4,IF('Final Calculation Sheet'!$AD$38&lt;=5,"SETTLED","OUTSTANDING")))))))</f>
        <v/>
      </c>
      <c r="AK40">
        <f>IF(AJ40=1,COUNTIF(AJ$6:AJ40,1),"")</f>
        <v/>
      </c>
      <c r="AM40">
        <f>AM39+IF(AND('Lists'!$O$40&lt;&gt;"",ISNUMBER(SEARCH($B$4,'Lists'!$O$40))),1,0)</f>
        <v/>
      </c>
      <c r="AN40">
        <f>IF(ROW()-3&gt;MAX($AM$4:$AM$42),"",INDEX('Lists'!$O$4:$O$42,MATCH(ROW()-3,$AM$4:$AM$42,0)))</f>
        <v/>
      </c>
      <c r="AO40">
        <f>AO39+IF(AND('Lists'!$T$40&lt;&gt;"",ISNUMBER(SEARCH($C$4,'Lists'!$T$40))),1,0)</f>
        <v/>
      </c>
      <c r="AP40">
        <f>IF(ROW()-3&gt;MAX($AO$4:$AO$42),"",INDEX('Lists'!$T$4:$T$42,MATCH(ROW()-3,$AO$4:$AO$42,0)))</f>
        <v/>
      </c>
      <c r="AQ40">
        <f>AQ39+IF(AND('Lists'!$Y$40&lt;&gt;"",ISNUMBER(SEARCH($D$4,'Lists'!$Y$40))),1,0)</f>
        <v/>
      </c>
      <c r="AR40">
        <f>IF(ROW()-3&gt;MAX($AQ$4:$AQ$42),"",INDEX('Lists'!$Y$4:$Y$42,MATCH(ROW()-3,$AQ$4:$AQ$42,0)))</f>
        <v/>
      </c>
      <c r="AS40">
        <f>AS39+IF(AND('Lists'!$AD$40&lt;&gt;"",ISNUMBER(SEARCH($E$4,'Lists'!$AD$40))),1,0)</f>
        <v/>
      </c>
      <c r="AT40">
        <f>IF(ROW()-3&gt;MAX($AS$4:$AS$42),"",INDEX('Lists'!$AD$4:$AD$42,MATCH(ROW()-3,$AS$4:$AS$42,0)))</f>
        <v/>
      </c>
      <c r="AU40">
        <f>AU39+IF(AND('Lists'!$AI$40&lt;&gt;"",ISNUMBER(SEARCH($F$4,'Lists'!$AI$40))),1,0)</f>
        <v/>
      </c>
      <c r="AV40">
        <f>IF(ROW()-3&gt;MAX($AU$4:$AU$42),"",INDEX('Lists'!$AI$4:$AI$42,MATCH(ROW()-3,$AU$4:$AU$42,0)))</f>
        <v/>
      </c>
      <c r="AW40">
        <f>AW39+IF(AND('Lists'!$AN$40&lt;&gt;"",ISNUMBER(SEARCH($G$4,'Lists'!$AN$40))),1,0)</f>
        <v/>
      </c>
      <c r="AX40">
        <f>IF(ROW()-3&gt;MAX($AW$4:$AW$42),"",INDEX('Lists'!$AN$4:$AN$42,MATCH(ROW()-3,$AW$4:$AW$42,0)))</f>
        <v/>
      </c>
      <c r="AY40">
        <f>AY39+IF(AND('Lists'!$AS$40&lt;&gt;"",ISNUMBER(SEARCH($H$4,'Lists'!$AS$40))),1,0)</f>
        <v/>
      </c>
      <c r="AZ40">
        <f>IF(ROW()-3&gt;MAX($AY$4:$AY$42),"",INDEX('Lists'!$AS$4:$AS$42,MATCH(ROW()-3,$AY$4:$AY$42,0)))</f>
        <v/>
      </c>
      <c r="BA40">
        <f>BA39+IF(AND('Lists'!$AX$40&lt;&gt;"",ISNUMBER(SEARCH($I$4,'Lists'!$AX$40))),1,0)</f>
        <v/>
      </c>
      <c r="BB40">
        <f>IF(ROW()-3&gt;MAX($BA$4:$BA$42),"",INDEX('Lists'!$AX$4:$AX$42,MATCH(ROW()-3,$BA$4:$BA$42,0)))</f>
        <v/>
      </c>
      <c r="BC40">
        <f>BC39+IF(AND('Lists'!$BC$40&lt;&gt;"",ISNUMBER(SEARCH($J$4,'Lists'!$BC$40))),1,0)</f>
        <v/>
      </c>
      <c r="BD40">
        <f>IF(ROW()-3&gt;MAX($BC$4:$BC$42),"",INDEX('Lists'!$BC$4:$BC$42,MATCH(ROW()-3,$BC$4:$BC$42,0)))</f>
        <v/>
      </c>
      <c r="BE40">
        <f>BE39+IF(AND('Lists'!$BH$40&lt;&gt;"",ISNUMBER(SEARCH($K$4,'Lists'!$BH$40))),1,0)</f>
        <v/>
      </c>
      <c r="BF40">
        <f>IF(ROW()-3&gt;MAX($BE$4:$BE$42),"",INDEX('Lists'!$BH$4:$BH$42,MATCH(ROW()-3,$BE$4:$BE$42,0)))</f>
        <v/>
      </c>
      <c r="BG40">
        <f>BG39+IF(AND('Lists'!$BM$40&lt;&gt;"",ISNUMBER(SEARCH($L$4,'Lists'!$BM$40))),1,0)</f>
        <v/>
      </c>
      <c r="BH40">
        <f>IF(ROW()-3&gt;MAX($BG$4:$BG$42),"",INDEX('Lists'!$BM$4:$BM$42,MATCH(ROW()-3,$BG$4:$BG$42,0)))</f>
        <v/>
      </c>
      <c r="BI40">
        <f>BI39+IF(AND('Lists'!$BR$40&lt;&gt;"",ISNUMBER(SEARCH($M$4,'Lists'!$BR$40))),1,0)</f>
        <v/>
      </c>
      <c r="BJ40">
        <f>IF(ROW()-3&gt;MAX($BI$4:$BI$42),"",INDEX('Lists'!$BR$4:$BR$42,MATCH(ROW()-3,$BI$4:$BI$42,0)))</f>
        <v/>
      </c>
      <c r="BK40">
        <f>BK39+IF(AND('Lists'!$BW$40&lt;&gt;"",ISNUMBER(SEARCH($N$4,'Lists'!$BW$40))),1,0)</f>
        <v/>
      </c>
      <c r="BL40">
        <f>IF(ROW()-3&gt;MAX($BK$4:$BK$42),"",INDEX('Lists'!$BW$4:$BW$42,MATCH(ROW()-3,$BK$4:$BK$42,0)))</f>
        <v/>
      </c>
      <c r="BM40">
        <f>BM39+IF(AND('Lists'!$CB$40&lt;&gt;"",ISNUMBER(SEARCH($O$4,'Lists'!$CB$40))),1,0)</f>
        <v/>
      </c>
      <c r="BN40">
        <f>IF(ROW()-3&gt;MAX($BM$4:$BM$42),"",INDEX('Lists'!$CB$4:$CB$42,MATCH(ROW()-3,$BM$4:$BM$42,0)))</f>
        <v/>
      </c>
      <c r="BO40">
        <f>BO39+IF(AND('Lists'!$CG$40&lt;&gt;"",ISNUMBER(SEARCH($P$4,'Lists'!$CG$40))),1,0)</f>
        <v/>
      </c>
      <c r="BP40">
        <f>IF(ROW()-3&gt;MAX($BO$4:$BO$42),"",INDEX('Lists'!$CG$4:$CG$42,MATCH(ROW()-3,$BO$4:$BO$42,0)))</f>
        <v/>
      </c>
      <c r="BQ40">
        <f>BQ39+IF(AND('Lists'!$CL$40&lt;&gt;"",ISNUMBER(SEARCH($Q$4,'Lists'!$CL$40))),1,0)</f>
        <v/>
      </c>
      <c r="BR40">
        <f>IF(ROW()-3&gt;MAX($BQ$4:$BQ$42),"",INDEX('Lists'!$CL$4:$CL$42,MATCH(ROW()-3,$BQ$4:$BQ$42,0)))</f>
        <v/>
      </c>
      <c r="BS40">
        <f>BS39+IF(AND('Lists'!$CQ$40&lt;&gt;"",ISNUMBER(SEARCH($R$4,'Lists'!$CQ$40))),1,0)</f>
        <v/>
      </c>
      <c r="BT40">
        <f>IF(ROW()-3&gt;MAX($BS$4:$BS$42),"",INDEX('Lists'!$CQ$4:$CQ$42,MATCH(ROW()-3,$BS$4:$BS$42,0)))</f>
        <v/>
      </c>
      <c r="BU40">
        <f>BU39+IF(AND('Lists'!$CV$40&lt;&gt;"",ISNUMBER(SEARCH($S$4,'Lists'!$CV$40))),1,0)</f>
        <v/>
      </c>
      <c r="BV40">
        <f>IF(ROW()-3&gt;MAX($BU$4:$BU$42),"",INDEX('Lists'!$CV$4:$CV$42,MATCH(ROW()-3,$BU$4:$BU$42,0)))</f>
        <v/>
      </c>
      <c r="BW40">
        <f>BW39+IF(AND('Lists'!$DA$40&lt;&gt;"",ISNUMBER(SEARCH($T$4,'Lists'!$DA$40))),1,0)</f>
        <v/>
      </c>
      <c r="BX40">
        <f>IF(ROW()-3&gt;MAX($BW$4:$BW$42),"",INDEX('Lists'!$DA$4:$DA$42,MATCH(ROW()-3,$BW$4:$BW$42,0)))</f>
        <v/>
      </c>
      <c r="BY40">
        <f>BY39+IF(AND('Lists'!$DF$40&lt;&gt;"",ISNUMBER(SEARCH($U$4,'Lists'!$DF$40))),1,0)</f>
        <v/>
      </c>
      <c r="BZ40">
        <f>IF(ROW()-3&gt;MAX($BY$4:$BY$42),"",INDEX('Lists'!$DF$4:$DF$42,MATCH(ROW()-3,$BY$4:$BY$42,0)))</f>
        <v/>
      </c>
      <c r="CA40">
        <f>CA39+IF(AND('Lists'!$DK$40&lt;&gt;"",ISNUMBER(SEARCH($V$4,'Lists'!$DK$40))),1,0)</f>
        <v/>
      </c>
      <c r="CB40">
        <f>IF(ROW()-3&gt;MAX($CA$4:$CA$42),"",INDEX('Lists'!$DK$4:$DK$42,MATCH(ROW()-3,$CA$4:$CA$42,0)))</f>
        <v/>
      </c>
      <c r="CC40">
        <f>CC39+IF(AND('Lists'!$DP$40&lt;&gt;"",ISNUMBER(SEARCH($W$4,'Lists'!$DP$40))),1,0)</f>
        <v/>
      </c>
      <c r="CD40">
        <f>IF(ROW()-3&gt;MAX($CC$4:$CC$42),"",INDEX('Lists'!$DP$4:$DP$42,MATCH(ROW()-3,$CC$4:$CC$42,0)))</f>
        <v/>
      </c>
      <c r="CE40">
        <f>CE39+IF(AND('Lists'!$DU$40&lt;&gt;"",ISNUMBER(SEARCH($X$4,'Lists'!$DU$40))),1,0)</f>
        <v/>
      </c>
      <c r="CF40">
        <f>IF(ROW()-3&gt;MAX($CE$4:$CE$42),"",INDEX('Lists'!$DU$4:$DU$42,MATCH(ROW()-3,$CE$4:$CE$42,0)))</f>
        <v/>
      </c>
      <c r="CG40">
        <f>CG39+IF(AND('Lists'!$DZ$40&lt;&gt;"",ISNUMBER(SEARCH($Y$4,'Lists'!$DZ$40))),1,0)</f>
        <v/>
      </c>
      <c r="CH40">
        <f>IF(ROW()-3&gt;MAX($CG$4:$CG$42),"",INDEX('Lists'!$DZ$4:$DZ$42,MATCH(ROW()-3,$CG$4:$CG$42,0)))</f>
        <v/>
      </c>
      <c r="CI40">
        <f>CI39+IF(AND('Lists'!$EE$40&lt;&gt;"",ISNUMBER(SEARCH($Z$4,'Lists'!$EE$40))),1,0)</f>
        <v/>
      </c>
      <c r="CJ40">
        <f>IF(ROW()-3&gt;MAX($CI$4:$CI$42),"",INDEX('Lists'!$EE$4:$EE$42,MATCH(ROW()-3,$CI$4:$CI$42,0)))</f>
        <v/>
      </c>
      <c r="CK40">
        <f>CK39+IF(AND('Lists'!$EJ$40&lt;&gt;"",ISNUMBER(SEARCH($AA$4,'Lists'!$EJ$40))),1,0)</f>
        <v/>
      </c>
      <c r="CL40">
        <f>IF(ROW()-3&gt;MAX($CK$4:$CK$42),"",INDEX('Lists'!$EJ$4:$EJ$42,MATCH(ROW()-3,$CK$4:$CK$42,0)))</f>
        <v/>
      </c>
      <c r="CM40">
        <f>CM39+IF(AND('Lists'!$EO$40&lt;&gt;"",ISNUMBER(SEARCH($AB$4,'Lists'!$EO$40))),1,0)</f>
        <v/>
      </c>
      <c r="CN40">
        <f>IF(ROW()-3&gt;MAX($CM$4:$CM$42),"",INDEX('Lists'!$EO$4:$EO$42,MATCH(ROW()-3,$CM$4:$CM$42,0)))</f>
        <v/>
      </c>
      <c r="CO40">
        <f>CO39+IF(AND('Lists'!$ET$40&lt;&gt;"",ISNUMBER(SEARCH($AC$4,'Lists'!$ET$40))),1,0)</f>
        <v/>
      </c>
      <c r="CP40">
        <f>IF(ROW()-3&gt;MAX($CO$4:$CO$42),"",INDEX('Lists'!$ET$4:$ET$42,MATCH(ROW()-3,$CO$4:$CO$42,0)))</f>
        <v/>
      </c>
      <c r="CQ40">
        <f>CQ39+IF(AND('Lists'!$EY$40&lt;&gt;"",ISNUMBER(SEARCH($AD$4,'Lists'!$EY$40))),1,0)</f>
        <v/>
      </c>
      <c r="CR40">
        <f>IF(ROW()-3&gt;MAX($CQ$4:$CQ$42),"",INDEX('Lists'!$EY$4:$EY$42,MATCH(ROW()-3,$CQ$4:$CQ$42,0)))</f>
        <v/>
      </c>
      <c r="CS40">
        <f>CS39+IF(AND('Lists'!$FD$40&lt;&gt;"",ISNUMBER(SEARCH($AE$4,'Lists'!$FD$40))),1,0)</f>
        <v/>
      </c>
      <c r="CT40">
        <f>IF(ROW()-3&gt;MAX($CS$4:$CS$42),"",INDEX('Lists'!$FD$4:$FD$42,MATCH(ROW()-3,$CS$4:$CS$42,0)))</f>
        <v/>
      </c>
      <c r="CU40">
        <f>CU39+IF(AND('Lists'!$FI$40&lt;&gt;"",ISNUMBER(SEARCH($AF$4,'Lists'!$FI$40))),1,0)</f>
        <v/>
      </c>
      <c r="CV40">
        <f>IF(ROW()-3&gt;MAX($CU$4:$CU$42),"",INDEX('Lists'!$FI$4:$FI$42,MATCH(ROW()-3,$CU$4:$CU$42,0)))</f>
        <v/>
      </c>
      <c r="CW40">
        <f>CW39+IF(AND('Lists'!$FN$40&lt;&gt;"",ISNUMBER(SEARCH($AG$4,'Lists'!$FN$40))),1,0)</f>
        <v/>
      </c>
      <c r="CX40">
        <f>IF(ROW()-3&gt;MAX($CW$4:$CW$42),"",INDEX('Lists'!$FN$4:$FN$42,MATCH(ROW()-3,$CW$4:$CW$42,0)))</f>
        <v/>
      </c>
      <c r="CY40">
        <f>CY39+IF(AND('Lists'!$FS$40&lt;&gt;"",ISNUMBER(SEARCH($AH$4,'Lists'!$FS$40))),1,0)</f>
        <v/>
      </c>
      <c r="CZ40">
        <f>IF(ROW()-3&gt;MAX($CY$4:$CY$42),"",INDEX('Lists'!$FS$4:$FS$42,MATCH(ROW()-3,$CY$4:$CY$42,0)))</f>
        <v/>
      </c>
      <c r="DA40">
        <f>DA39+IF(AND('Lists'!$FX$40&lt;&gt;"",ISNUMBER(SEARCH($AI$4,'Lists'!$FX$40))),1,0)</f>
        <v/>
      </c>
      <c r="DB40">
        <f>IF(ROW()-3&gt;MAX($DA$4:$DA$42),"",INDEX('Lists'!$FX$4:$FX$42,MATCH(ROW()-3,$DA$4:$DA$42,0)))</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c r="AJ41">
        <f>AND(IF($B$4="",TRUE,IF($B$4="(blank)",'Final Calculation Sheet'!$F$39="",IF($B$4="(nonblank)",'Final Calculation Sheet'!$F$39&lt;&gt;"",ISNUMBER(SEARCH($B$4,'Final Calculation Sheet'!$F$39))))),IF($C$4="",TRUE,IF($C$4="(blank)",'Final Calculation Sheet'!$G$39="",IF($C$4="(nonblank)",'Final Calculation Sheet'!$G$39&lt;&gt;"",ISNUMBER(SEARCH($C$4,'Final Calculation Sheet'!$G$39))))),IF($D$4="",TRUE,IF($D$4="(blank)",'Final Calculation Sheet'!$B$39="",IF($D$4="(nonblank)",'Final Calculation Sheet'!$B$39&lt;&gt;"",ISNUMBER(SEARCH($D$4,'Final Calculation Sheet'!$B$39))))),IF($E$4="",TRUE,IF($E$4="(blank)",'Final Calculation Sheet'!$D$39="",IF($E$4="(nonblank)",'Final Calculation Sheet'!$D$39&lt;&gt;"",ISNUMBER(SEARCH($E$4,'Final Calculation Sheet'!$D$39))))),IF($F$4="",TRUE,IF($F$4="(blank)",'Final Calculation Sheet'!$A$39="",IF($F$4="(nonblank)",'Final Calculation Sheet'!$A$39&lt;&gt;"",ISNUMBER(SEARCH($F$4,'Final Calculation Sheet'!$A$39))))),IF($G$4="",TRUE,IF($G$4="(blank)",'Final Calculation Sheet'!$E$39="",IF($G$4="(nonblank)",'Final Calculation Sheet'!$E$39&lt;&gt;"",ISNUMBER(SEARCH($G$4,'Final Calculation Sheet'!$E$39))))),IF($H$4="",TRUE,IF($H$4="(blank)",'Final Calculation Sheet'!$C$39="",IF($H$4="(nonblank)",'Final Calculation Sheet'!$C$39&lt;&gt;"",ISNUMBER(SEARCH($H$4,'Final Calculation Sheet'!$C$39))))),IF($I$4="",TRUE,IF($I$4="(blank)",'Final Calculation Sheet'!$H$39="",IF($I$4="(nonblank)",'Final Calculation Sheet'!$H$39&lt;&gt;"",ISNUMBER(SEARCH($I$4,'Final Calculation Sheet'!$H$39))))),IF($J$4="",TRUE,IF($J$4="(blank)",'Final Calculation Sheet'!$I$39="",IF($J$4="(nonblank)",'Final Calculation Sheet'!$I$39&lt;&gt;"",ISNUMBER(SEARCH($J$4,'Final Calculation Sheet'!$I$39))))),IF($K$4="",TRUE,IF($K$4="(blank)",'Final Calculation Sheet'!$J$39="",IF($K$4="(nonblank)",'Final Calculation Sheet'!$J$39&lt;&gt;"",ISNUMBER(SEARCH($K$4,'Final Calculation Sheet'!$J$39))))),IF($L$4="",TRUE,IF($L$4="(blank)",'Final Calculation Sheet'!$K$39="",IF($L$4="(nonblank)",'Final Calculation Sheet'!$K$39&lt;&gt;"",ISNUMBER(SEARCH($L$4,'Final Calculation Sheet'!$K$39))))),IF($M$4="",TRUE,IF($M$4="(blank)",'Final Calculation Sheet'!$L$39="",IF($M$4="(nonblank)",'Final Calculation Sheet'!$L$39&lt;&gt;"",ISNUMBER(SEARCH($M$4,'Final Calculation Sheet'!$L$39))))),IF($N$4="",TRUE,IF($N$4="(blank)",'Final Calculation Sheet'!$M$39="",IF($N$4="(nonblank)",'Final Calculation Sheet'!$M$39&lt;&gt;"",ISNUMBER(SEARCH($N$4,'Final Calculation Sheet'!$M$39))))),IF($O$4="",TRUE,IF($O$4="(blank)",'Final Calculation Sheet'!$N$39="",IF($O$4="(nonblank)",'Final Calculation Sheet'!$N$39&lt;&gt;"",ISNUMBER(SEARCH($O$4,'Final Calculation Sheet'!$N$39))))),IF($P$4="",TRUE,IF($P$4="(blank)",'Final Calculation Sheet'!$O$39="",IF($P$4="(nonblank)",'Final Calculation Sheet'!$O$39&lt;&gt;"",ISNUMBER(SEARCH($P$4,'Final Calculation Sheet'!$O$39))))),IF($Q$4="",TRUE,IF($Q$4="(blank)",'Final Calculation Sheet'!$P$39="",IF($Q$4="(nonblank)",'Final Calculation Sheet'!$P$39&lt;&gt;"",ISNUMBER(SEARCH($Q$4,'Final Calculation Sheet'!$P$39))))),IF($R$4="",TRUE,IF($R$4="(blank)",'Final Calculation Sheet'!$Q$39="",IF($R$4="(nonblank)",'Final Calculation Sheet'!$Q$39&lt;&gt;"",ISNUMBER(SEARCH($R$4,'Final Calculation Sheet'!$Q$39))))),IF($S$4="",TRUE,IF($S$4="(blank)",'Final Calculation Sheet'!$R$39="",IF($S$4="(nonblank)",'Final Calculation Sheet'!$R$39&lt;&gt;"",ISNUMBER(SEARCH($S$4,'Final Calculation Sheet'!$R$39))))),IF($T$4="",TRUE,IF($T$4="(blank)",'Final Calculation Sheet'!$S$39="",IF($T$4="(nonblank)",'Final Calculation Sheet'!$S$39&lt;&gt;"",ISNUMBER(SEARCH($T$4,'Final Calculation Sheet'!$S$39))))),IF($U$4="",TRUE,IF($U$4="(blank)",'Final Calculation Sheet'!$T$39="",IF($U$4="(nonblank)",'Final Calculation Sheet'!$T$39&lt;&gt;"",ISNUMBER(SEARCH($U$4,'Final Calculation Sheet'!$T$39))))),IF($V$4="",TRUE,IF($V$4="(blank)",'Final Calculation Sheet'!$U$39="",IF($V$4="(nonblank)",'Final Calculation Sheet'!$U$39&lt;&gt;"",ISNUMBER(SEARCH($V$4,'Final Calculation Sheet'!$U$39))))),IF($W$4="",TRUE,IF($W$4="(blank)",'Final Calculation Sheet'!$V$39="",IF($W$4="(nonblank)",'Final Calculation Sheet'!$V$39&lt;&gt;"",ISNUMBER(SEARCH($W$4,'Final Calculation Sheet'!$V$39))))),IF($X$4="",TRUE,IF($X$4="(blank)",'Final Calculation Sheet'!$W$39="",IF($X$4="(nonblank)",'Final Calculation Sheet'!$W$39&lt;&gt;"",ISNUMBER(SEARCH($X$4,'Final Calculation Sheet'!$W$39))))),IF($Y$4="",TRUE,IF($Y$4="(blank)",'Final Calculation Sheet'!$X$39="",IF($Y$4="(nonblank)",'Final Calculation Sheet'!$X$39&lt;&gt;"",ISNUMBER(SEARCH($Y$4,'Final Calculation Sheet'!$X$39))))),IF($Z$4="",TRUE,IF($Z$4="(blank)",'Final Calculation Sheet'!$Y$39="",IF($Z$4="(nonblank)",'Final Calculation Sheet'!$Y$39&lt;&gt;"",ISNUMBER(SEARCH($Z$4,'Final Calculation Sheet'!$Y$39))))),IF($AA$4="",TRUE,IF($AA$4="(blank)",'Final Calculation Sheet'!$Z$39="",IF($AA$4="(nonblank)",'Final Calculation Sheet'!$Z$39&lt;&gt;"",ISNUMBER(SEARCH($AA$4,'Final Calculation Sheet'!$Z$39))))),IF($AB$4="",TRUE,IF($AB$4="(blank)",'Final Calculation Sheet'!$AA$39="",IF($AB$4="(nonblank)",'Final Calculation Sheet'!$AA$39&lt;&gt;"",ISNUMBER(SEARCH($AB$4,'Final Calculation Sheet'!$AA$39))))),IF($AC$4="",TRUE,IF($AC$4="(blank)",'Final Calculation Sheet'!$AB$39="",IF($AC$4="(nonblank)",'Final Calculation Sheet'!$AB$39&lt;&gt;"",ISNUMBER(SEARCH($AC$4,'Final Calculation Sheet'!$AB$39))))),IF($AD$4="",TRUE,IF($AD$4="(blank)",'Final Calculation Sheet'!$AC$39="",IF($AD$4="(nonblank)",'Final Calculation Sheet'!$AC$39&lt;&gt;"",ISNUMBER(SEARCH($AD$4,'Final Calculation Sheet'!$AC$39))))),IF($AE$4="",TRUE,IF($AE$4="(blank)",'Final Calculation Sheet'!$AD$39="",IF($AE$4="(nonblank)",'Final Calculation Sheet'!$AD$39&lt;&gt;"",ISNUMBER(SEARCH($AE$4,'Final Calculation Sheet'!$AD$39))))),IF($AF$4="",TRUE,IF($AF$4="(blank)",'Final Calculation Sheet'!$AE$39="",IF($AF$4="(nonblank)",'Final Calculation Sheet'!$AE$39&lt;&gt;"",ISNUMBER(SEARCH($AF$4,'Final Calculation Sheet'!$AE$39))))),IF($AG$4="",TRUE,IF($AG$4="(blank)",'Final Calculation Sheet'!$AF$39="",IF($AG$4="(nonblank)",'Final Calculation Sheet'!$AF$39&lt;&gt;"",ISNUMBER(SEARCH($AG$4,'Final Calculation Sheet'!$AF$39))))),IF($AH$4="",TRUE,IF($AH$4="(blank)",'Final Calculation Sheet'!$AG$39="",IF($AH$4="(nonblank)",'Final Calculation Sheet'!$AG$39&lt;&gt;"",ISNUMBER(SEARCH($AH$4,'Final Calculation Sheet'!$AG$39))))),IF($AI$4="",TRUE,IF($AI$4="(blank)",IF('Final Calculation Sheet'!$AD$39&lt;=5,"SETTLED","OUTSTANDING")="",IF($AI$4="(nonblank)",IF('Final Calculation Sheet'!$AD$39&lt;=5,"SETTLED","OUTSTANDING")&lt;&gt;"",ISNUMBER(SEARCH($AI$4,IF('Final Calculation Sheet'!$AD$39&lt;=5,"SETTLED","OUTSTANDING")))))))</f>
        <v/>
      </c>
      <c r="AK41">
        <f>IF(AJ41=1,COUNTIF(AJ$6:AJ41,1),"")</f>
        <v/>
      </c>
      <c r="AM41">
        <f>AM40+IF(AND('Lists'!$O$41&lt;&gt;"",ISNUMBER(SEARCH($B$4,'Lists'!$O$41))),1,0)</f>
        <v/>
      </c>
      <c r="AN41">
        <f>IF(ROW()-3&gt;MAX($AM$4:$AM$42),"",INDEX('Lists'!$O$4:$O$42,MATCH(ROW()-3,$AM$4:$AM$42,0)))</f>
        <v/>
      </c>
      <c r="AO41">
        <f>AO40+IF(AND('Lists'!$T$41&lt;&gt;"",ISNUMBER(SEARCH($C$4,'Lists'!$T$41))),1,0)</f>
        <v/>
      </c>
      <c r="AP41">
        <f>IF(ROW()-3&gt;MAX($AO$4:$AO$42),"",INDEX('Lists'!$T$4:$T$42,MATCH(ROW()-3,$AO$4:$AO$42,0)))</f>
        <v/>
      </c>
      <c r="AQ41">
        <f>AQ40+IF(AND('Lists'!$Y$41&lt;&gt;"",ISNUMBER(SEARCH($D$4,'Lists'!$Y$41))),1,0)</f>
        <v/>
      </c>
      <c r="AR41">
        <f>IF(ROW()-3&gt;MAX($AQ$4:$AQ$42),"",INDEX('Lists'!$Y$4:$Y$42,MATCH(ROW()-3,$AQ$4:$AQ$42,0)))</f>
        <v/>
      </c>
      <c r="AS41">
        <f>AS40+IF(AND('Lists'!$AD$41&lt;&gt;"",ISNUMBER(SEARCH($E$4,'Lists'!$AD$41))),1,0)</f>
        <v/>
      </c>
      <c r="AT41">
        <f>IF(ROW()-3&gt;MAX($AS$4:$AS$42),"",INDEX('Lists'!$AD$4:$AD$42,MATCH(ROW()-3,$AS$4:$AS$42,0)))</f>
        <v/>
      </c>
      <c r="AU41">
        <f>AU40+IF(AND('Lists'!$AI$41&lt;&gt;"",ISNUMBER(SEARCH($F$4,'Lists'!$AI$41))),1,0)</f>
        <v/>
      </c>
      <c r="AV41">
        <f>IF(ROW()-3&gt;MAX($AU$4:$AU$42),"",INDEX('Lists'!$AI$4:$AI$42,MATCH(ROW()-3,$AU$4:$AU$42,0)))</f>
        <v/>
      </c>
      <c r="AW41">
        <f>AW40+IF(AND('Lists'!$AN$41&lt;&gt;"",ISNUMBER(SEARCH($G$4,'Lists'!$AN$41))),1,0)</f>
        <v/>
      </c>
      <c r="AX41">
        <f>IF(ROW()-3&gt;MAX($AW$4:$AW$42),"",INDEX('Lists'!$AN$4:$AN$42,MATCH(ROW()-3,$AW$4:$AW$42,0)))</f>
        <v/>
      </c>
      <c r="AY41">
        <f>AY40+IF(AND('Lists'!$AS$41&lt;&gt;"",ISNUMBER(SEARCH($H$4,'Lists'!$AS$41))),1,0)</f>
        <v/>
      </c>
      <c r="AZ41">
        <f>IF(ROW()-3&gt;MAX($AY$4:$AY$42),"",INDEX('Lists'!$AS$4:$AS$42,MATCH(ROW()-3,$AY$4:$AY$42,0)))</f>
        <v/>
      </c>
      <c r="BA41">
        <f>BA40+IF(AND('Lists'!$AX$41&lt;&gt;"",ISNUMBER(SEARCH($I$4,'Lists'!$AX$41))),1,0)</f>
        <v/>
      </c>
      <c r="BB41">
        <f>IF(ROW()-3&gt;MAX($BA$4:$BA$42),"",INDEX('Lists'!$AX$4:$AX$42,MATCH(ROW()-3,$BA$4:$BA$42,0)))</f>
        <v/>
      </c>
      <c r="BC41">
        <f>BC40+IF(AND('Lists'!$BC$41&lt;&gt;"",ISNUMBER(SEARCH($J$4,'Lists'!$BC$41))),1,0)</f>
        <v/>
      </c>
      <c r="BD41">
        <f>IF(ROW()-3&gt;MAX($BC$4:$BC$42),"",INDEX('Lists'!$BC$4:$BC$42,MATCH(ROW()-3,$BC$4:$BC$42,0)))</f>
        <v/>
      </c>
      <c r="BE41">
        <f>BE40+IF(AND('Lists'!$BH$41&lt;&gt;"",ISNUMBER(SEARCH($K$4,'Lists'!$BH$41))),1,0)</f>
        <v/>
      </c>
      <c r="BF41">
        <f>IF(ROW()-3&gt;MAX($BE$4:$BE$42),"",INDEX('Lists'!$BH$4:$BH$42,MATCH(ROW()-3,$BE$4:$BE$42,0)))</f>
        <v/>
      </c>
      <c r="BG41">
        <f>BG40+IF(AND('Lists'!$BM$41&lt;&gt;"",ISNUMBER(SEARCH($L$4,'Lists'!$BM$41))),1,0)</f>
        <v/>
      </c>
      <c r="BH41">
        <f>IF(ROW()-3&gt;MAX($BG$4:$BG$42),"",INDEX('Lists'!$BM$4:$BM$42,MATCH(ROW()-3,$BG$4:$BG$42,0)))</f>
        <v/>
      </c>
      <c r="BI41">
        <f>BI40+IF(AND('Lists'!$BR$41&lt;&gt;"",ISNUMBER(SEARCH($M$4,'Lists'!$BR$41))),1,0)</f>
        <v/>
      </c>
      <c r="BJ41">
        <f>IF(ROW()-3&gt;MAX($BI$4:$BI$42),"",INDEX('Lists'!$BR$4:$BR$42,MATCH(ROW()-3,$BI$4:$BI$42,0)))</f>
        <v/>
      </c>
      <c r="BK41">
        <f>BK40+IF(AND('Lists'!$BW$41&lt;&gt;"",ISNUMBER(SEARCH($N$4,'Lists'!$BW$41))),1,0)</f>
        <v/>
      </c>
      <c r="BL41">
        <f>IF(ROW()-3&gt;MAX($BK$4:$BK$42),"",INDEX('Lists'!$BW$4:$BW$42,MATCH(ROW()-3,$BK$4:$BK$42,0)))</f>
        <v/>
      </c>
      <c r="BM41">
        <f>BM40+IF(AND('Lists'!$CB$41&lt;&gt;"",ISNUMBER(SEARCH($O$4,'Lists'!$CB$41))),1,0)</f>
        <v/>
      </c>
      <c r="BN41">
        <f>IF(ROW()-3&gt;MAX($BM$4:$BM$42),"",INDEX('Lists'!$CB$4:$CB$42,MATCH(ROW()-3,$BM$4:$BM$42,0)))</f>
        <v/>
      </c>
      <c r="BO41">
        <f>BO40+IF(AND('Lists'!$CG$41&lt;&gt;"",ISNUMBER(SEARCH($P$4,'Lists'!$CG$41))),1,0)</f>
        <v/>
      </c>
      <c r="BP41">
        <f>IF(ROW()-3&gt;MAX($BO$4:$BO$42),"",INDEX('Lists'!$CG$4:$CG$42,MATCH(ROW()-3,$BO$4:$BO$42,0)))</f>
        <v/>
      </c>
      <c r="BQ41">
        <f>BQ40+IF(AND('Lists'!$CL$41&lt;&gt;"",ISNUMBER(SEARCH($Q$4,'Lists'!$CL$41))),1,0)</f>
        <v/>
      </c>
      <c r="BR41">
        <f>IF(ROW()-3&gt;MAX($BQ$4:$BQ$42),"",INDEX('Lists'!$CL$4:$CL$42,MATCH(ROW()-3,$BQ$4:$BQ$42,0)))</f>
        <v/>
      </c>
      <c r="BS41">
        <f>BS40+IF(AND('Lists'!$CQ$41&lt;&gt;"",ISNUMBER(SEARCH($R$4,'Lists'!$CQ$41))),1,0)</f>
        <v/>
      </c>
      <c r="BT41">
        <f>IF(ROW()-3&gt;MAX($BS$4:$BS$42),"",INDEX('Lists'!$CQ$4:$CQ$42,MATCH(ROW()-3,$BS$4:$BS$42,0)))</f>
        <v/>
      </c>
      <c r="BU41">
        <f>BU40+IF(AND('Lists'!$CV$41&lt;&gt;"",ISNUMBER(SEARCH($S$4,'Lists'!$CV$41))),1,0)</f>
        <v/>
      </c>
      <c r="BV41">
        <f>IF(ROW()-3&gt;MAX($BU$4:$BU$42),"",INDEX('Lists'!$CV$4:$CV$42,MATCH(ROW()-3,$BU$4:$BU$42,0)))</f>
        <v/>
      </c>
      <c r="BW41">
        <f>BW40+IF(AND('Lists'!$DA$41&lt;&gt;"",ISNUMBER(SEARCH($T$4,'Lists'!$DA$41))),1,0)</f>
        <v/>
      </c>
      <c r="BX41">
        <f>IF(ROW()-3&gt;MAX($BW$4:$BW$42),"",INDEX('Lists'!$DA$4:$DA$42,MATCH(ROW()-3,$BW$4:$BW$42,0)))</f>
        <v/>
      </c>
      <c r="BY41">
        <f>BY40+IF(AND('Lists'!$DF$41&lt;&gt;"",ISNUMBER(SEARCH($U$4,'Lists'!$DF$41))),1,0)</f>
        <v/>
      </c>
      <c r="BZ41">
        <f>IF(ROW()-3&gt;MAX($BY$4:$BY$42),"",INDEX('Lists'!$DF$4:$DF$42,MATCH(ROW()-3,$BY$4:$BY$42,0)))</f>
        <v/>
      </c>
      <c r="CA41">
        <f>CA40+IF(AND('Lists'!$DK$41&lt;&gt;"",ISNUMBER(SEARCH($V$4,'Lists'!$DK$41))),1,0)</f>
        <v/>
      </c>
      <c r="CB41">
        <f>IF(ROW()-3&gt;MAX($CA$4:$CA$42),"",INDEX('Lists'!$DK$4:$DK$42,MATCH(ROW()-3,$CA$4:$CA$42,0)))</f>
        <v/>
      </c>
      <c r="CC41">
        <f>CC40+IF(AND('Lists'!$DP$41&lt;&gt;"",ISNUMBER(SEARCH($W$4,'Lists'!$DP$41))),1,0)</f>
        <v/>
      </c>
      <c r="CD41">
        <f>IF(ROW()-3&gt;MAX($CC$4:$CC$42),"",INDEX('Lists'!$DP$4:$DP$42,MATCH(ROW()-3,$CC$4:$CC$42,0)))</f>
        <v/>
      </c>
      <c r="CE41">
        <f>CE40+IF(AND('Lists'!$DU$41&lt;&gt;"",ISNUMBER(SEARCH($X$4,'Lists'!$DU$41))),1,0)</f>
        <v/>
      </c>
      <c r="CF41">
        <f>IF(ROW()-3&gt;MAX($CE$4:$CE$42),"",INDEX('Lists'!$DU$4:$DU$42,MATCH(ROW()-3,$CE$4:$CE$42,0)))</f>
        <v/>
      </c>
      <c r="CG41">
        <f>CG40+IF(AND('Lists'!$DZ$41&lt;&gt;"",ISNUMBER(SEARCH($Y$4,'Lists'!$DZ$41))),1,0)</f>
        <v/>
      </c>
      <c r="CH41">
        <f>IF(ROW()-3&gt;MAX($CG$4:$CG$42),"",INDEX('Lists'!$DZ$4:$DZ$42,MATCH(ROW()-3,$CG$4:$CG$42,0)))</f>
        <v/>
      </c>
      <c r="CI41">
        <f>CI40+IF(AND('Lists'!$EE$41&lt;&gt;"",ISNUMBER(SEARCH($Z$4,'Lists'!$EE$41))),1,0)</f>
        <v/>
      </c>
      <c r="CJ41">
        <f>IF(ROW()-3&gt;MAX($CI$4:$CI$42),"",INDEX('Lists'!$EE$4:$EE$42,MATCH(ROW()-3,$CI$4:$CI$42,0)))</f>
        <v/>
      </c>
      <c r="CK41">
        <f>CK40+IF(AND('Lists'!$EJ$41&lt;&gt;"",ISNUMBER(SEARCH($AA$4,'Lists'!$EJ$41))),1,0)</f>
        <v/>
      </c>
      <c r="CL41">
        <f>IF(ROW()-3&gt;MAX($CK$4:$CK$42),"",INDEX('Lists'!$EJ$4:$EJ$42,MATCH(ROW()-3,$CK$4:$CK$42,0)))</f>
        <v/>
      </c>
      <c r="CM41">
        <f>CM40+IF(AND('Lists'!$EO$41&lt;&gt;"",ISNUMBER(SEARCH($AB$4,'Lists'!$EO$41))),1,0)</f>
        <v/>
      </c>
      <c r="CN41">
        <f>IF(ROW()-3&gt;MAX($CM$4:$CM$42),"",INDEX('Lists'!$EO$4:$EO$42,MATCH(ROW()-3,$CM$4:$CM$42,0)))</f>
        <v/>
      </c>
      <c r="CO41">
        <f>CO40+IF(AND('Lists'!$ET$41&lt;&gt;"",ISNUMBER(SEARCH($AC$4,'Lists'!$ET$41))),1,0)</f>
        <v/>
      </c>
      <c r="CP41">
        <f>IF(ROW()-3&gt;MAX($CO$4:$CO$42),"",INDEX('Lists'!$ET$4:$ET$42,MATCH(ROW()-3,$CO$4:$CO$42,0)))</f>
        <v/>
      </c>
      <c r="CQ41">
        <f>CQ40+IF(AND('Lists'!$EY$41&lt;&gt;"",ISNUMBER(SEARCH($AD$4,'Lists'!$EY$41))),1,0)</f>
        <v/>
      </c>
      <c r="CR41">
        <f>IF(ROW()-3&gt;MAX($CQ$4:$CQ$42),"",INDEX('Lists'!$EY$4:$EY$42,MATCH(ROW()-3,$CQ$4:$CQ$42,0)))</f>
        <v/>
      </c>
      <c r="CS41">
        <f>CS40+IF(AND('Lists'!$FD$41&lt;&gt;"",ISNUMBER(SEARCH($AE$4,'Lists'!$FD$41))),1,0)</f>
        <v/>
      </c>
      <c r="CT41">
        <f>IF(ROW()-3&gt;MAX($CS$4:$CS$42),"",INDEX('Lists'!$FD$4:$FD$42,MATCH(ROW()-3,$CS$4:$CS$42,0)))</f>
        <v/>
      </c>
      <c r="CU41">
        <f>CU40+IF(AND('Lists'!$FI$41&lt;&gt;"",ISNUMBER(SEARCH($AF$4,'Lists'!$FI$41))),1,0)</f>
        <v/>
      </c>
      <c r="CV41">
        <f>IF(ROW()-3&gt;MAX($CU$4:$CU$42),"",INDEX('Lists'!$FI$4:$FI$42,MATCH(ROW()-3,$CU$4:$CU$42,0)))</f>
        <v/>
      </c>
      <c r="CW41">
        <f>CW40+IF(AND('Lists'!$FN$41&lt;&gt;"",ISNUMBER(SEARCH($AG$4,'Lists'!$FN$41))),1,0)</f>
        <v/>
      </c>
      <c r="CX41">
        <f>IF(ROW()-3&gt;MAX($CW$4:$CW$42),"",INDEX('Lists'!$FN$4:$FN$42,MATCH(ROW()-3,$CW$4:$CW$42,0)))</f>
        <v/>
      </c>
      <c r="CY41">
        <f>CY40+IF(AND('Lists'!$FS$41&lt;&gt;"",ISNUMBER(SEARCH($AH$4,'Lists'!$FS$41))),1,0)</f>
        <v/>
      </c>
      <c r="CZ41">
        <f>IF(ROW()-3&gt;MAX($CY$4:$CY$42),"",INDEX('Lists'!$FS$4:$FS$42,MATCH(ROW()-3,$CY$4:$CY$42,0)))</f>
        <v/>
      </c>
      <c r="DA41">
        <f>DA40+IF(AND('Lists'!$FX$41&lt;&gt;"",ISNUMBER(SEARCH($AI$4,'Lists'!$FX$41))),1,0)</f>
        <v/>
      </c>
      <c r="DB41">
        <f>IF(ROW()-3&gt;MAX($DA$4:$DA$42),"",INDEX('Lists'!$FX$4:$FX$42,MATCH(ROW()-3,$DA$4:$DA$42,0)))</f>
        <v/>
      </c>
    </row>
    <row r="42" outlineLevel="1" ht="15" customHeight="1" s="77">
      <c r="A42" s="118" t="n">
        <v>2</v>
      </c>
      <c r="B42" s="119">
        <f>IF('Final Calculation Sheet'!$F$14="","",'Final Calculation Sheet'!$F$14)</f>
        <v/>
      </c>
      <c r="C42" s="119">
        <f>IF('Final Calculation Sheet'!$G$14="","",'Final Calculation Sheet'!$G$14)</f>
        <v/>
      </c>
      <c r="D42" s="120">
        <f>IF('Final Calculation Sheet'!$B$14="","",'Final Calculation Sheet'!$B$14)</f>
        <v/>
      </c>
      <c r="E42" s="120">
        <f>IF('Final Calculation Sheet'!$D$14="","",'Final Calculation Sheet'!$D$14)</f>
        <v/>
      </c>
      <c r="F42" s="120">
        <f>IF('Final Calculation Sheet'!$A$14="","",'Final Calculation Sheet'!$A$14)</f>
        <v/>
      </c>
      <c r="G42" s="120">
        <f>IF('Final Calculation Sheet'!$E$14="","",'Final Calculation Sheet'!$E$14)</f>
        <v/>
      </c>
      <c r="H42" s="121">
        <f>IF('Final Calculation Sheet'!$C$14="","",'Final Calculation Sheet'!$C$14)</f>
        <v/>
      </c>
      <c r="I42" s="121">
        <f>IF('Final Calculation Sheet'!$H$14="","",'Final Calculation Sheet'!$H$14)</f>
        <v/>
      </c>
      <c r="J42" s="121">
        <f>IF('Final Calculation Sheet'!$I$14="","",'Final Calculation Sheet'!$I$14)</f>
        <v/>
      </c>
      <c r="K42" s="121">
        <f>IF('Final Calculation Sheet'!$J$14="","",'Final Calculation Sheet'!$J$14)</f>
        <v/>
      </c>
      <c r="L42" s="121">
        <f>IF('Final Calculation Sheet'!$K$14="","",'Final Calculation Sheet'!$K$14)</f>
        <v/>
      </c>
      <c r="M42" s="121">
        <f>IF('Final Calculation Sheet'!$L$14="","",'Final Calculation Sheet'!$L$14)</f>
        <v/>
      </c>
      <c r="N42" s="121">
        <f>IF('Final Calculation Sheet'!$M$14="","",'Final Calculation Sheet'!$M$14)</f>
        <v/>
      </c>
      <c r="O42" s="122">
        <f>IF('Final Calculation Sheet'!$N$14="","",'Final Calculation Sheet'!$N$14)</f>
        <v/>
      </c>
      <c r="P42" s="121">
        <f>IF('Final Calculation Sheet'!$O$14="","",'Final Calculation Sheet'!$O$14)</f>
        <v/>
      </c>
      <c r="Q42" s="121">
        <f>IF('Final Calculation Sheet'!$P$14="","",'Final Calculation Sheet'!$P$14)</f>
        <v/>
      </c>
      <c r="R42" s="123">
        <f>IF('Final Calculation Sheet'!$Q$14="","",'Final Calculation Sheet'!$Q$14)</f>
        <v/>
      </c>
      <c r="S42" s="121">
        <f>IF('Final Calculation Sheet'!$R$14="","",'Final Calculation Sheet'!$R$14)</f>
        <v/>
      </c>
      <c r="T42" s="121">
        <f>IF('Final Calculation Sheet'!$S$14="","",'Final Calculation Sheet'!$S$14)</f>
        <v/>
      </c>
      <c r="U42" s="121">
        <f>IF('Final Calculation Sheet'!$T$14="","",'Final Calculation Sheet'!$T$14)</f>
        <v/>
      </c>
      <c r="V42" s="124">
        <f>IF('Final Calculation Sheet'!$U$14="","",'Final Calculation Sheet'!$U$14)</f>
        <v/>
      </c>
      <c r="W42" s="121">
        <f>IF('Final Calculation Sheet'!$V$14="","",'Final Calculation Sheet'!$V$14)</f>
        <v/>
      </c>
      <c r="X42" s="121">
        <f>IF('Final Calculation Sheet'!$W$14="","",'Final Calculation Sheet'!$W$14)</f>
        <v/>
      </c>
      <c r="Y42" s="121">
        <f>IF('Final Calculation Sheet'!$X$14="","",'Final Calculation Sheet'!$X$14)</f>
        <v/>
      </c>
      <c r="Z42" s="121">
        <f>IF('Final Calculation Sheet'!$Y$14="","",'Final Calculation Sheet'!$Y$14)</f>
        <v/>
      </c>
      <c r="AA42" s="121">
        <f>IF('Final Calculation Sheet'!$Z$14="","",'Final Calculation Sheet'!$Z$14)</f>
        <v/>
      </c>
      <c r="AB42" s="121">
        <f>IF('Final Calculation Sheet'!$AA$14="","",'Final Calculation Sheet'!$AA$14)</f>
        <v/>
      </c>
      <c r="AC42" s="121">
        <f>IF('Final Calculation Sheet'!$AB$14="","",'Final Calculation Sheet'!$AB$14)</f>
        <v/>
      </c>
      <c r="AD42" s="121">
        <f>IF('Final Calculation Sheet'!$AC$14="","",'Final Calculation Sheet'!$AC$14)</f>
        <v/>
      </c>
      <c r="AE42" s="121">
        <f>IF('Final Calculation Sheet'!$AD$14="","",'Final Calculation Sheet'!$AD$14)</f>
        <v/>
      </c>
      <c r="AF42" s="121">
        <f>IF('Final Calculation Sheet'!$AE$14="","",'Final Calculation Sheet'!$AE$14)</f>
        <v/>
      </c>
      <c r="AG42" s="125">
        <f>IF('Final Calculation Sheet'!$AF$14="","",'Final Calculation Sheet'!$AF$14)</f>
        <v/>
      </c>
      <c r="AH42" s="121">
        <f>IF('Final Calculation Sheet'!$AG$14="","",'Final Calculation Sheet'!$AG$14)</f>
        <v/>
      </c>
      <c r="AI42" s="126">
        <f>IF('Final Calculation Sheet'!$AD$14="","",IF('Final Calculation Sheet'!$AD$14&lt;=5,"SETTLED","OUTSTANDING"))</f>
        <v/>
      </c>
      <c r="AJ42">
        <f>AND(IF($B$4="",TRUE,IF($B$4="(blank)",'Final Calculation Sheet'!$F$40="",IF($B$4="(nonblank)",'Final Calculation Sheet'!$F$40&lt;&gt;"",ISNUMBER(SEARCH($B$4,'Final Calculation Sheet'!$F$40))))),IF($C$4="",TRUE,IF($C$4="(blank)",'Final Calculation Sheet'!$G$40="",IF($C$4="(nonblank)",'Final Calculation Sheet'!$G$40&lt;&gt;"",ISNUMBER(SEARCH($C$4,'Final Calculation Sheet'!$G$40))))),IF($D$4="",TRUE,IF($D$4="(blank)",'Final Calculation Sheet'!$B$40="",IF($D$4="(nonblank)",'Final Calculation Sheet'!$B$40&lt;&gt;"",ISNUMBER(SEARCH($D$4,'Final Calculation Sheet'!$B$40))))),IF($E$4="",TRUE,IF($E$4="(blank)",'Final Calculation Sheet'!$D$40="",IF($E$4="(nonblank)",'Final Calculation Sheet'!$D$40&lt;&gt;"",ISNUMBER(SEARCH($E$4,'Final Calculation Sheet'!$D$40))))),IF($F$4="",TRUE,IF($F$4="(blank)",'Final Calculation Sheet'!$A$40="",IF($F$4="(nonblank)",'Final Calculation Sheet'!$A$40&lt;&gt;"",ISNUMBER(SEARCH($F$4,'Final Calculation Sheet'!$A$40))))),IF($G$4="",TRUE,IF($G$4="(blank)",'Final Calculation Sheet'!$E$40="",IF($G$4="(nonblank)",'Final Calculation Sheet'!$E$40&lt;&gt;"",ISNUMBER(SEARCH($G$4,'Final Calculation Sheet'!$E$40))))),IF($H$4="",TRUE,IF($H$4="(blank)",'Final Calculation Sheet'!$C$40="",IF($H$4="(nonblank)",'Final Calculation Sheet'!$C$40&lt;&gt;"",ISNUMBER(SEARCH($H$4,'Final Calculation Sheet'!$C$40))))),IF($I$4="",TRUE,IF($I$4="(blank)",'Final Calculation Sheet'!$H$40="",IF($I$4="(nonblank)",'Final Calculation Sheet'!$H$40&lt;&gt;"",ISNUMBER(SEARCH($I$4,'Final Calculation Sheet'!$H$40))))),IF($J$4="",TRUE,IF($J$4="(blank)",'Final Calculation Sheet'!$I$40="",IF($J$4="(nonblank)",'Final Calculation Sheet'!$I$40&lt;&gt;"",ISNUMBER(SEARCH($J$4,'Final Calculation Sheet'!$I$40))))),IF($K$4="",TRUE,IF($K$4="(blank)",'Final Calculation Sheet'!$J$40="",IF($K$4="(nonblank)",'Final Calculation Sheet'!$J$40&lt;&gt;"",ISNUMBER(SEARCH($K$4,'Final Calculation Sheet'!$J$40))))),IF($L$4="",TRUE,IF($L$4="(blank)",'Final Calculation Sheet'!$K$40="",IF($L$4="(nonblank)",'Final Calculation Sheet'!$K$40&lt;&gt;"",ISNUMBER(SEARCH($L$4,'Final Calculation Sheet'!$K$40))))),IF($M$4="",TRUE,IF($M$4="(blank)",'Final Calculation Sheet'!$L$40="",IF($M$4="(nonblank)",'Final Calculation Sheet'!$L$40&lt;&gt;"",ISNUMBER(SEARCH($M$4,'Final Calculation Sheet'!$L$40))))),IF($N$4="",TRUE,IF($N$4="(blank)",'Final Calculation Sheet'!$M$40="",IF($N$4="(nonblank)",'Final Calculation Sheet'!$M$40&lt;&gt;"",ISNUMBER(SEARCH($N$4,'Final Calculation Sheet'!$M$40))))),IF($O$4="",TRUE,IF($O$4="(blank)",'Final Calculation Sheet'!$N$40="",IF($O$4="(nonblank)",'Final Calculation Sheet'!$N$40&lt;&gt;"",ISNUMBER(SEARCH($O$4,'Final Calculation Sheet'!$N$40))))),IF($P$4="",TRUE,IF($P$4="(blank)",'Final Calculation Sheet'!$O$40="",IF($P$4="(nonblank)",'Final Calculation Sheet'!$O$40&lt;&gt;"",ISNUMBER(SEARCH($P$4,'Final Calculation Sheet'!$O$40))))),IF($Q$4="",TRUE,IF($Q$4="(blank)",'Final Calculation Sheet'!$P$40="",IF($Q$4="(nonblank)",'Final Calculation Sheet'!$P$40&lt;&gt;"",ISNUMBER(SEARCH($Q$4,'Final Calculation Sheet'!$P$40))))),IF($R$4="",TRUE,IF($R$4="(blank)",'Final Calculation Sheet'!$Q$40="",IF($R$4="(nonblank)",'Final Calculation Sheet'!$Q$40&lt;&gt;"",ISNUMBER(SEARCH($R$4,'Final Calculation Sheet'!$Q$40))))),IF($S$4="",TRUE,IF($S$4="(blank)",'Final Calculation Sheet'!$R$40="",IF($S$4="(nonblank)",'Final Calculation Sheet'!$R$40&lt;&gt;"",ISNUMBER(SEARCH($S$4,'Final Calculation Sheet'!$R$40))))),IF($T$4="",TRUE,IF($T$4="(blank)",'Final Calculation Sheet'!$S$40="",IF($T$4="(nonblank)",'Final Calculation Sheet'!$S$40&lt;&gt;"",ISNUMBER(SEARCH($T$4,'Final Calculation Sheet'!$S$40))))),IF($U$4="",TRUE,IF($U$4="(blank)",'Final Calculation Sheet'!$T$40="",IF($U$4="(nonblank)",'Final Calculation Sheet'!$T$40&lt;&gt;"",ISNUMBER(SEARCH($U$4,'Final Calculation Sheet'!$T$40))))),IF($V$4="",TRUE,IF($V$4="(blank)",'Final Calculation Sheet'!$U$40="",IF($V$4="(nonblank)",'Final Calculation Sheet'!$U$40&lt;&gt;"",ISNUMBER(SEARCH($V$4,'Final Calculation Sheet'!$U$40))))),IF($W$4="",TRUE,IF($W$4="(blank)",'Final Calculation Sheet'!$V$40="",IF($W$4="(nonblank)",'Final Calculation Sheet'!$V$40&lt;&gt;"",ISNUMBER(SEARCH($W$4,'Final Calculation Sheet'!$V$40))))),IF($X$4="",TRUE,IF($X$4="(blank)",'Final Calculation Sheet'!$W$40="",IF($X$4="(nonblank)",'Final Calculation Sheet'!$W$40&lt;&gt;"",ISNUMBER(SEARCH($X$4,'Final Calculation Sheet'!$W$40))))),IF($Y$4="",TRUE,IF($Y$4="(blank)",'Final Calculation Sheet'!$X$40="",IF($Y$4="(nonblank)",'Final Calculation Sheet'!$X$40&lt;&gt;"",ISNUMBER(SEARCH($Y$4,'Final Calculation Sheet'!$X$40))))),IF($Z$4="",TRUE,IF($Z$4="(blank)",'Final Calculation Sheet'!$Y$40="",IF($Z$4="(nonblank)",'Final Calculation Sheet'!$Y$40&lt;&gt;"",ISNUMBER(SEARCH($Z$4,'Final Calculation Sheet'!$Y$40))))),IF($AA$4="",TRUE,IF($AA$4="(blank)",'Final Calculation Sheet'!$Z$40="",IF($AA$4="(nonblank)",'Final Calculation Sheet'!$Z$40&lt;&gt;"",ISNUMBER(SEARCH($AA$4,'Final Calculation Sheet'!$Z$40))))),IF($AB$4="",TRUE,IF($AB$4="(blank)",'Final Calculation Sheet'!$AA$40="",IF($AB$4="(nonblank)",'Final Calculation Sheet'!$AA$40&lt;&gt;"",ISNUMBER(SEARCH($AB$4,'Final Calculation Sheet'!$AA$40))))),IF($AC$4="",TRUE,IF($AC$4="(blank)",'Final Calculation Sheet'!$AB$40="",IF($AC$4="(nonblank)",'Final Calculation Sheet'!$AB$40&lt;&gt;"",ISNUMBER(SEARCH($AC$4,'Final Calculation Sheet'!$AB$40))))),IF($AD$4="",TRUE,IF($AD$4="(blank)",'Final Calculation Sheet'!$AC$40="",IF($AD$4="(nonblank)",'Final Calculation Sheet'!$AC$40&lt;&gt;"",ISNUMBER(SEARCH($AD$4,'Final Calculation Sheet'!$AC$40))))),IF($AE$4="",TRUE,IF($AE$4="(blank)",'Final Calculation Sheet'!$AD$40="",IF($AE$4="(nonblank)",'Final Calculation Sheet'!$AD$40&lt;&gt;"",ISNUMBER(SEARCH($AE$4,'Final Calculation Sheet'!$AD$40))))),IF($AF$4="",TRUE,IF($AF$4="(blank)",'Final Calculation Sheet'!$AE$40="",IF($AF$4="(nonblank)",'Final Calculation Sheet'!$AE$40&lt;&gt;"",ISNUMBER(SEARCH($AF$4,'Final Calculation Sheet'!$AE$40))))),IF($AG$4="",TRUE,IF($AG$4="(blank)",'Final Calculation Sheet'!$AF$40="",IF($AG$4="(nonblank)",'Final Calculation Sheet'!$AF$40&lt;&gt;"",ISNUMBER(SEARCH($AG$4,'Final Calculation Sheet'!$AF$40))))),IF($AH$4="",TRUE,IF($AH$4="(blank)",'Final Calculation Sheet'!$AG$40="",IF($AH$4="(nonblank)",'Final Calculation Sheet'!$AG$40&lt;&gt;"",ISNUMBER(SEARCH($AH$4,'Final Calculation Sheet'!$AG$40))))),IF($AI$4="",TRUE,IF($AI$4="(blank)",IF('Final Calculation Sheet'!$AD$40&lt;=5,"SETTLED","OUTSTANDING")="",IF($AI$4="(nonblank)",IF('Final Calculation Sheet'!$AD$40&lt;=5,"SETTLED","OUTSTANDING")&lt;&gt;"",ISNUMBER(SEARCH($AI$4,IF('Final Calculation Sheet'!$AD$40&lt;=5,"SETTLED","OUTSTANDING")))))))</f>
        <v/>
      </c>
      <c r="AK42">
        <f>IF(AJ42=1,COUNTIF(AJ$6:AJ42,1),"")</f>
        <v/>
      </c>
      <c r="AM42">
        <f>AM41+IF(AND('Lists'!$O$42&lt;&gt;"",ISNUMBER(SEARCH($B$4,'Lists'!$O$42))),1,0)</f>
        <v/>
      </c>
      <c r="AN42">
        <f>IF(ROW()-3&gt;MAX($AM$4:$AM$42),"",INDEX('Lists'!$O$4:$O$42,MATCH(ROW()-3,$AM$4:$AM$42,0)))</f>
        <v/>
      </c>
      <c r="AO42">
        <f>AO41+IF(AND('Lists'!$T$42&lt;&gt;"",ISNUMBER(SEARCH($C$4,'Lists'!$T$42))),1,0)</f>
        <v/>
      </c>
      <c r="AP42">
        <f>IF(ROW()-3&gt;MAX($AO$4:$AO$42),"",INDEX('Lists'!$T$4:$T$42,MATCH(ROW()-3,$AO$4:$AO$42,0)))</f>
        <v/>
      </c>
      <c r="AQ42">
        <f>AQ41+IF(AND('Lists'!$Y$42&lt;&gt;"",ISNUMBER(SEARCH($D$4,'Lists'!$Y$42))),1,0)</f>
        <v/>
      </c>
      <c r="AR42">
        <f>IF(ROW()-3&gt;MAX($AQ$4:$AQ$42),"",INDEX('Lists'!$Y$4:$Y$42,MATCH(ROW()-3,$AQ$4:$AQ$42,0)))</f>
        <v/>
      </c>
      <c r="AS42">
        <f>AS41+IF(AND('Lists'!$AD$42&lt;&gt;"",ISNUMBER(SEARCH($E$4,'Lists'!$AD$42))),1,0)</f>
        <v/>
      </c>
      <c r="AT42">
        <f>IF(ROW()-3&gt;MAX($AS$4:$AS$42),"",INDEX('Lists'!$AD$4:$AD$42,MATCH(ROW()-3,$AS$4:$AS$42,0)))</f>
        <v/>
      </c>
      <c r="AU42">
        <f>AU41+IF(AND('Lists'!$AI$42&lt;&gt;"",ISNUMBER(SEARCH($F$4,'Lists'!$AI$42))),1,0)</f>
        <v/>
      </c>
      <c r="AV42">
        <f>IF(ROW()-3&gt;MAX($AU$4:$AU$42),"",INDEX('Lists'!$AI$4:$AI$42,MATCH(ROW()-3,$AU$4:$AU$42,0)))</f>
        <v/>
      </c>
      <c r="AW42">
        <f>AW41+IF(AND('Lists'!$AN$42&lt;&gt;"",ISNUMBER(SEARCH($G$4,'Lists'!$AN$42))),1,0)</f>
        <v/>
      </c>
      <c r="AX42">
        <f>IF(ROW()-3&gt;MAX($AW$4:$AW$42),"",INDEX('Lists'!$AN$4:$AN$42,MATCH(ROW()-3,$AW$4:$AW$42,0)))</f>
        <v/>
      </c>
      <c r="AY42">
        <f>AY41+IF(AND('Lists'!$AS$42&lt;&gt;"",ISNUMBER(SEARCH($H$4,'Lists'!$AS$42))),1,0)</f>
        <v/>
      </c>
      <c r="AZ42">
        <f>IF(ROW()-3&gt;MAX($AY$4:$AY$42),"",INDEX('Lists'!$AS$4:$AS$42,MATCH(ROW()-3,$AY$4:$AY$42,0)))</f>
        <v/>
      </c>
      <c r="BA42">
        <f>BA41+IF(AND('Lists'!$AX$42&lt;&gt;"",ISNUMBER(SEARCH($I$4,'Lists'!$AX$42))),1,0)</f>
        <v/>
      </c>
      <c r="BB42">
        <f>IF(ROW()-3&gt;MAX($BA$4:$BA$42),"",INDEX('Lists'!$AX$4:$AX$42,MATCH(ROW()-3,$BA$4:$BA$42,0)))</f>
        <v/>
      </c>
      <c r="BC42">
        <f>BC41+IF(AND('Lists'!$BC$42&lt;&gt;"",ISNUMBER(SEARCH($J$4,'Lists'!$BC$42))),1,0)</f>
        <v/>
      </c>
      <c r="BD42">
        <f>IF(ROW()-3&gt;MAX($BC$4:$BC$42),"",INDEX('Lists'!$BC$4:$BC$42,MATCH(ROW()-3,$BC$4:$BC$42,0)))</f>
        <v/>
      </c>
      <c r="BE42">
        <f>BE41+IF(AND('Lists'!$BH$42&lt;&gt;"",ISNUMBER(SEARCH($K$4,'Lists'!$BH$42))),1,0)</f>
        <v/>
      </c>
      <c r="BF42">
        <f>IF(ROW()-3&gt;MAX($BE$4:$BE$42),"",INDEX('Lists'!$BH$4:$BH$42,MATCH(ROW()-3,$BE$4:$BE$42,0)))</f>
        <v/>
      </c>
      <c r="BG42">
        <f>BG41+IF(AND('Lists'!$BM$42&lt;&gt;"",ISNUMBER(SEARCH($L$4,'Lists'!$BM$42))),1,0)</f>
        <v/>
      </c>
      <c r="BH42">
        <f>IF(ROW()-3&gt;MAX($BG$4:$BG$42),"",INDEX('Lists'!$BM$4:$BM$42,MATCH(ROW()-3,$BG$4:$BG$42,0)))</f>
        <v/>
      </c>
      <c r="BI42">
        <f>BI41+IF(AND('Lists'!$BR$42&lt;&gt;"",ISNUMBER(SEARCH($M$4,'Lists'!$BR$42))),1,0)</f>
        <v/>
      </c>
      <c r="BJ42">
        <f>IF(ROW()-3&gt;MAX($BI$4:$BI$42),"",INDEX('Lists'!$BR$4:$BR$42,MATCH(ROW()-3,$BI$4:$BI$42,0)))</f>
        <v/>
      </c>
      <c r="BK42">
        <f>BK41+IF(AND('Lists'!$BW$42&lt;&gt;"",ISNUMBER(SEARCH($N$4,'Lists'!$BW$42))),1,0)</f>
        <v/>
      </c>
      <c r="BL42">
        <f>IF(ROW()-3&gt;MAX($BK$4:$BK$42),"",INDEX('Lists'!$BW$4:$BW$42,MATCH(ROW()-3,$BK$4:$BK$42,0)))</f>
        <v/>
      </c>
      <c r="BM42">
        <f>BM41+IF(AND('Lists'!$CB$42&lt;&gt;"",ISNUMBER(SEARCH($O$4,'Lists'!$CB$42))),1,0)</f>
        <v/>
      </c>
      <c r="BN42">
        <f>IF(ROW()-3&gt;MAX($BM$4:$BM$42),"",INDEX('Lists'!$CB$4:$CB$42,MATCH(ROW()-3,$BM$4:$BM$42,0)))</f>
        <v/>
      </c>
      <c r="BO42">
        <f>BO41+IF(AND('Lists'!$CG$42&lt;&gt;"",ISNUMBER(SEARCH($P$4,'Lists'!$CG$42))),1,0)</f>
        <v/>
      </c>
      <c r="BP42">
        <f>IF(ROW()-3&gt;MAX($BO$4:$BO$42),"",INDEX('Lists'!$CG$4:$CG$42,MATCH(ROW()-3,$BO$4:$BO$42,0)))</f>
        <v/>
      </c>
      <c r="BQ42">
        <f>BQ41+IF(AND('Lists'!$CL$42&lt;&gt;"",ISNUMBER(SEARCH($Q$4,'Lists'!$CL$42))),1,0)</f>
        <v/>
      </c>
      <c r="BR42">
        <f>IF(ROW()-3&gt;MAX($BQ$4:$BQ$42),"",INDEX('Lists'!$CL$4:$CL$42,MATCH(ROW()-3,$BQ$4:$BQ$42,0)))</f>
        <v/>
      </c>
      <c r="BS42">
        <f>BS41+IF(AND('Lists'!$CQ$42&lt;&gt;"",ISNUMBER(SEARCH($R$4,'Lists'!$CQ$42))),1,0)</f>
        <v/>
      </c>
      <c r="BT42">
        <f>IF(ROW()-3&gt;MAX($BS$4:$BS$42),"",INDEX('Lists'!$CQ$4:$CQ$42,MATCH(ROW()-3,$BS$4:$BS$42,0)))</f>
        <v/>
      </c>
      <c r="BU42">
        <f>BU41+IF(AND('Lists'!$CV$42&lt;&gt;"",ISNUMBER(SEARCH($S$4,'Lists'!$CV$42))),1,0)</f>
        <v/>
      </c>
      <c r="BV42">
        <f>IF(ROW()-3&gt;MAX($BU$4:$BU$42),"",INDEX('Lists'!$CV$4:$CV$42,MATCH(ROW()-3,$BU$4:$BU$42,0)))</f>
        <v/>
      </c>
      <c r="BW42">
        <f>BW41+IF(AND('Lists'!$DA$42&lt;&gt;"",ISNUMBER(SEARCH($T$4,'Lists'!$DA$42))),1,0)</f>
        <v/>
      </c>
      <c r="BX42">
        <f>IF(ROW()-3&gt;MAX($BW$4:$BW$42),"",INDEX('Lists'!$DA$4:$DA$42,MATCH(ROW()-3,$BW$4:$BW$42,0)))</f>
        <v/>
      </c>
      <c r="BY42">
        <f>BY41+IF(AND('Lists'!$DF$42&lt;&gt;"",ISNUMBER(SEARCH($U$4,'Lists'!$DF$42))),1,0)</f>
        <v/>
      </c>
      <c r="BZ42">
        <f>IF(ROW()-3&gt;MAX($BY$4:$BY$42),"",INDEX('Lists'!$DF$4:$DF$42,MATCH(ROW()-3,$BY$4:$BY$42,0)))</f>
        <v/>
      </c>
      <c r="CA42">
        <f>CA41+IF(AND('Lists'!$DK$42&lt;&gt;"",ISNUMBER(SEARCH($V$4,'Lists'!$DK$42))),1,0)</f>
        <v/>
      </c>
      <c r="CB42">
        <f>IF(ROW()-3&gt;MAX($CA$4:$CA$42),"",INDEX('Lists'!$DK$4:$DK$42,MATCH(ROW()-3,$CA$4:$CA$42,0)))</f>
        <v/>
      </c>
      <c r="CC42">
        <f>CC41+IF(AND('Lists'!$DP$42&lt;&gt;"",ISNUMBER(SEARCH($W$4,'Lists'!$DP$42))),1,0)</f>
        <v/>
      </c>
      <c r="CD42">
        <f>IF(ROW()-3&gt;MAX($CC$4:$CC$42),"",INDEX('Lists'!$DP$4:$DP$42,MATCH(ROW()-3,$CC$4:$CC$42,0)))</f>
        <v/>
      </c>
      <c r="CE42">
        <f>CE41+IF(AND('Lists'!$DU$42&lt;&gt;"",ISNUMBER(SEARCH($X$4,'Lists'!$DU$42))),1,0)</f>
        <v/>
      </c>
      <c r="CF42">
        <f>IF(ROW()-3&gt;MAX($CE$4:$CE$42),"",INDEX('Lists'!$DU$4:$DU$42,MATCH(ROW()-3,$CE$4:$CE$42,0)))</f>
        <v/>
      </c>
      <c r="CG42">
        <f>CG41+IF(AND('Lists'!$DZ$42&lt;&gt;"",ISNUMBER(SEARCH($Y$4,'Lists'!$DZ$42))),1,0)</f>
        <v/>
      </c>
      <c r="CH42">
        <f>IF(ROW()-3&gt;MAX($CG$4:$CG$42),"",INDEX('Lists'!$DZ$4:$DZ$42,MATCH(ROW()-3,$CG$4:$CG$42,0)))</f>
        <v/>
      </c>
      <c r="CI42">
        <f>CI41+IF(AND('Lists'!$EE$42&lt;&gt;"",ISNUMBER(SEARCH($Z$4,'Lists'!$EE$42))),1,0)</f>
        <v/>
      </c>
      <c r="CJ42">
        <f>IF(ROW()-3&gt;MAX($CI$4:$CI$42),"",INDEX('Lists'!$EE$4:$EE$42,MATCH(ROW()-3,$CI$4:$CI$42,0)))</f>
        <v/>
      </c>
      <c r="CK42">
        <f>CK41+IF(AND('Lists'!$EJ$42&lt;&gt;"",ISNUMBER(SEARCH($AA$4,'Lists'!$EJ$42))),1,0)</f>
        <v/>
      </c>
      <c r="CL42">
        <f>IF(ROW()-3&gt;MAX($CK$4:$CK$42),"",INDEX('Lists'!$EJ$4:$EJ$42,MATCH(ROW()-3,$CK$4:$CK$42,0)))</f>
        <v/>
      </c>
      <c r="CM42">
        <f>CM41+IF(AND('Lists'!$EO$42&lt;&gt;"",ISNUMBER(SEARCH($AB$4,'Lists'!$EO$42))),1,0)</f>
        <v/>
      </c>
      <c r="CN42">
        <f>IF(ROW()-3&gt;MAX($CM$4:$CM$42),"",INDEX('Lists'!$EO$4:$EO$42,MATCH(ROW()-3,$CM$4:$CM$42,0)))</f>
        <v/>
      </c>
      <c r="CO42">
        <f>CO41+IF(AND('Lists'!$ET$42&lt;&gt;"",ISNUMBER(SEARCH($AC$4,'Lists'!$ET$42))),1,0)</f>
        <v/>
      </c>
      <c r="CP42">
        <f>IF(ROW()-3&gt;MAX($CO$4:$CO$42),"",INDEX('Lists'!$ET$4:$ET$42,MATCH(ROW()-3,$CO$4:$CO$42,0)))</f>
        <v/>
      </c>
      <c r="CQ42">
        <f>CQ41+IF(AND('Lists'!$EY$42&lt;&gt;"",ISNUMBER(SEARCH($AD$4,'Lists'!$EY$42))),1,0)</f>
        <v/>
      </c>
      <c r="CR42">
        <f>IF(ROW()-3&gt;MAX($CQ$4:$CQ$42),"",INDEX('Lists'!$EY$4:$EY$42,MATCH(ROW()-3,$CQ$4:$CQ$42,0)))</f>
        <v/>
      </c>
      <c r="CS42">
        <f>CS41+IF(AND('Lists'!$FD$42&lt;&gt;"",ISNUMBER(SEARCH($AE$4,'Lists'!$FD$42))),1,0)</f>
        <v/>
      </c>
      <c r="CT42">
        <f>IF(ROW()-3&gt;MAX($CS$4:$CS$42),"",INDEX('Lists'!$FD$4:$FD$42,MATCH(ROW()-3,$CS$4:$CS$42,0)))</f>
        <v/>
      </c>
      <c r="CU42">
        <f>CU41+IF(AND('Lists'!$FI$42&lt;&gt;"",ISNUMBER(SEARCH($AF$4,'Lists'!$FI$42))),1,0)</f>
        <v/>
      </c>
      <c r="CV42">
        <f>IF(ROW()-3&gt;MAX($CU$4:$CU$42),"",INDEX('Lists'!$FI$4:$FI$42,MATCH(ROW()-3,$CU$4:$CU$42,0)))</f>
        <v/>
      </c>
      <c r="CW42">
        <f>CW41+IF(AND('Lists'!$FN$42&lt;&gt;"",ISNUMBER(SEARCH($AG$4,'Lists'!$FN$42))),1,0)</f>
        <v/>
      </c>
      <c r="CX42">
        <f>IF(ROW()-3&gt;MAX($CW$4:$CW$42),"",INDEX('Lists'!$FN$4:$FN$42,MATCH(ROW()-3,$CW$4:$CW$42,0)))</f>
        <v/>
      </c>
      <c r="CY42">
        <f>CY41+IF(AND('Lists'!$FS$42&lt;&gt;"",ISNUMBER(SEARCH($AH$4,'Lists'!$FS$42))),1,0)</f>
        <v/>
      </c>
      <c r="CZ42">
        <f>IF(ROW()-3&gt;MAX($CY$4:$CY$42),"",INDEX('Lists'!$FS$4:$FS$42,MATCH(ROW()-3,$CY$4:$CY$42,0)))</f>
        <v/>
      </c>
      <c r="DA42">
        <f>DA41+IF(AND('Lists'!$FX$42&lt;&gt;"",ISNUMBER(SEARCH($AI$4,'Lists'!$FX$42))),1,0)</f>
        <v/>
      </c>
      <c r="DB42">
        <f>IF(ROW()-3&gt;MAX($DA$4:$DA$42),"",INDEX('Lists'!$FX$4:$FX$42,MATCH(ROW()-3,$DA$4:$DA$42,0)))</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118" t="n">
        <v>2</v>
      </c>
      <c r="B45" s="119">
        <f>IF('Final Calculation Sheet'!$F$16="","",'Final Calculation Sheet'!$F$16)</f>
        <v/>
      </c>
      <c r="C45" s="119">
        <f>IF('Final Calculation Sheet'!$G$16="","",'Final Calculation Sheet'!$G$16)</f>
        <v/>
      </c>
      <c r="D45" s="120">
        <f>IF('Final Calculation Sheet'!$B$16="","",'Final Calculation Sheet'!$B$16)</f>
        <v/>
      </c>
      <c r="E45" s="120">
        <f>IF('Final Calculation Sheet'!$D$16="","",'Final Calculation Sheet'!$D$16)</f>
        <v/>
      </c>
      <c r="F45" s="120">
        <f>IF('Final Calculation Sheet'!$A$16="","",'Final Calculation Sheet'!$A$16)</f>
        <v/>
      </c>
      <c r="G45" s="120">
        <f>IF('Final Calculation Sheet'!$E$16="","",'Final Calculation Sheet'!$E$16)</f>
        <v/>
      </c>
      <c r="H45" s="121">
        <f>IF('Final Calculation Sheet'!$C$16="","",'Final Calculation Sheet'!$C$16)</f>
        <v/>
      </c>
      <c r="I45" s="121">
        <f>IF('Final Calculation Sheet'!$H$16="","",'Final Calculation Sheet'!$H$16)</f>
        <v/>
      </c>
      <c r="J45" s="121">
        <f>IF('Final Calculation Sheet'!$I$16="","",'Final Calculation Sheet'!$I$16)</f>
        <v/>
      </c>
      <c r="K45" s="121">
        <f>IF('Final Calculation Sheet'!$J$16="","",'Final Calculation Sheet'!$J$16)</f>
        <v/>
      </c>
      <c r="L45" s="121">
        <f>IF('Final Calculation Sheet'!$K$16="","",'Final Calculation Sheet'!$K$16)</f>
        <v/>
      </c>
      <c r="M45" s="121">
        <f>IF('Final Calculation Sheet'!$L$16="","",'Final Calculation Sheet'!$L$16)</f>
        <v/>
      </c>
      <c r="N45" s="121">
        <f>IF('Final Calculation Sheet'!$M$16="","",'Final Calculation Sheet'!$M$16)</f>
        <v/>
      </c>
      <c r="O45" s="122">
        <f>IF('Final Calculation Sheet'!$N$16="","",'Final Calculation Sheet'!$N$16)</f>
        <v/>
      </c>
      <c r="P45" s="121">
        <f>IF('Final Calculation Sheet'!$O$16="","",'Final Calculation Sheet'!$O$16)</f>
        <v/>
      </c>
      <c r="Q45" s="121">
        <f>IF('Final Calculation Sheet'!$P$16="","",'Final Calculation Sheet'!$P$16)</f>
        <v/>
      </c>
      <c r="R45" s="123">
        <f>IF('Final Calculation Sheet'!$Q$16="","",'Final Calculation Sheet'!$Q$16)</f>
        <v/>
      </c>
      <c r="S45" s="121">
        <f>IF('Final Calculation Sheet'!$R$16="","",'Final Calculation Sheet'!$R$16)</f>
        <v/>
      </c>
      <c r="T45" s="121">
        <f>IF('Final Calculation Sheet'!$S$16="","",'Final Calculation Sheet'!$S$16)</f>
        <v/>
      </c>
      <c r="U45" s="121">
        <f>IF('Final Calculation Sheet'!$T$16="","",'Final Calculation Sheet'!$T$16)</f>
        <v/>
      </c>
      <c r="V45" s="124">
        <f>IF('Final Calculation Sheet'!$U$16="","",'Final Calculation Sheet'!$U$16)</f>
        <v/>
      </c>
      <c r="W45" s="121">
        <f>IF('Final Calculation Sheet'!$V$16="","",'Final Calculation Sheet'!$V$16)</f>
        <v/>
      </c>
      <c r="X45" s="121">
        <f>IF('Final Calculation Sheet'!$W$16="","",'Final Calculation Sheet'!$W$16)</f>
        <v/>
      </c>
      <c r="Y45" s="121">
        <f>IF('Final Calculation Sheet'!$X$16="","",'Final Calculation Sheet'!$X$16)</f>
        <v/>
      </c>
      <c r="Z45" s="121">
        <f>IF('Final Calculation Sheet'!$Y$16="","",'Final Calculation Sheet'!$Y$16)</f>
        <v/>
      </c>
      <c r="AA45" s="121">
        <f>IF('Final Calculation Sheet'!$Z$16="","",'Final Calculation Sheet'!$Z$16)</f>
        <v/>
      </c>
      <c r="AB45" s="121">
        <f>IF('Final Calculation Sheet'!$AA$16="","",'Final Calculation Sheet'!$AA$16)</f>
        <v/>
      </c>
      <c r="AC45" s="121">
        <f>IF('Final Calculation Sheet'!$AB$16="","",'Final Calculation Sheet'!$AB$16)</f>
        <v/>
      </c>
      <c r="AD45" s="121">
        <f>IF('Final Calculation Sheet'!$AC$16="","",'Final Calculation Sheet'!$AC$16)</f>
        <v/>
      </c>
      <c r="AE45" s="121">
        <f>IF('Final Calculation Sheet'!$AD$16="","",'Final Calculation Sheet'!$AD$16)</f>
        <v/>
      </c>
      <c r="AF45" s="121">
        <f>IF('Final Calculation Sheet'!$AE$16="","",'Final Calculation Sheet'!$AE$16)</f>
        <v/>
      </c>
      <c r="AG45" s="125">
        <f>IF('Final Calculation Sheet'!$AF$16="","",'Final Calculation Sheet'!$AF$16)</f>
        <v/>
      </c>
      <c r="AH45" s="121">
        <f>IF('Final Calculation Sheet'!$AG$16="","",'Final Calculation Sheet'!$AG$16)</f>
        <v/>
      </c>
      <c r="AI45" s="126">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118" t="n">
        <v>4</v>
      </c>
      <c r="B47" s="119">
        <f>IF('Final Calculation Sheet'!$F$23="","",'Final Calculation Sheet'!$F$23)</f>
        <v/>
      </c>
      <c r="C47" s="119">
        <f>IF('Final Calculation Sheet'!$G$23="","",'Final Calculation Sheet'!$G$23)</f>
        <v/>
      </c>
      <c r="D47" s="120">
        <f>IF('Final Calculation Sheet'!$B$23="","",'Final Calculation Sheet'!$B$23)</f>
        <v/>
      </c>
      <c r="E47" s="120">
        <f>IF('Final Calculation Sheet'!$D$23="","",'Final Calculation Sheet'!$D$23)</f>
        <v/>
      </c>
      <c r="F47" s="120">
        <f>IF('Final Calculation Sheet'!$A$23="","",'Final Calculation Sheet'!$A$23)</f>
        <v/>
      </c>
      <c r="G47" s="120">
        <f>IF('Final Calculation Sheet'!$E$23="","",'Final Calculation Sheet'!$E$23)</f>
        <v/>
      </c>
      <c r="H47" s="121">
        <f>IF('Final Calculation Sheet'!$C$23="","",'Final Calculation Sheet'!$C$23)</f>
        <v/>
      </c>
      <c r="I47" s="121">
        <f>IF('Final Calculation Sheet'!$H$23="","",'Final Calculation Sheet'!$H$23)</f>
        <v/>
      </c>
      <c r="J47" s="121">
        <f>IF('Final Calculation Sheet'!$I$23="","",'Final Calculation Sheet'!$I$23)</f>
        <v/>
      </c>
      <c r="K47" s="121">
        <f>IF('Final Calculation Sheet'!$J$23="","",'Final Calculation Sheet'!$J$23)</f>
        <v/>
      </c>
      <c r="L47" s="121">
        <f>IF('Final Calculation Sheet'!$K$23="","",'Final Calculation Sheet'!$K$23)</f>
        <v/>
      </c>
      <c r="M47" s="121">
        <f>IF('Final Calculation Sheet'!$L$23="","",'Final Calculation Sheet'!$L$23)</f>
        <v/>
      </c>
      <c r="N47" s="121">
        <f>IF('Final Calculation Sheet'!$M$23="","",'Final Calculation Sheet'!$M$23)</f>
        <v/>
      </c>
      <c r="O47" s="122">
        <f>IF('Final Calculation Sheet'!$N$23="","",'Final Calculation Sheet'!$N$23)</f>
        <v/>
      </c>
      <c r="P47" s="121">
        <f>IF('Final Calculation Sheet'!$O$23="","",'Final Calculation Sheet'!$O$23)</f>
        <v/>
      </c>
      <c r="Q47" s="121">
        <f>IF('Final Calculation Sheet'!$P$23="","",'Final Calculation Sheet'!$P$23)</f>
        <v/>
      </c>
      <c r="R47" s="123">
        <f>IF('Final Calculation Sheet'!$Q$23="","",'Final Calculation Sheet'!$Q$23)</f>
        <v/>
      </c>
      <c r="S47" s="121">
        <f>IF('Final Calculation Sheet'!$R$23="","",'Final Calculation Sheet'!$R$23)</f>
        <v/>
      </c>
      <c r="T47" s="121">
        <f>IF('Final Calculation Sheet'!$S$23="","",'Final Calculation Sheet'!$S$23)</f>
        <v/>
      </c>
      <c r="U47" s="121">
        <f>IF('Final Calculation Sheet'!$T$23="","",'Final Calculation Sheet'!$T$23)</f>
        <v/>
      </c>
      <c r="V47" s="124">
        <f>IF('Final Calculation Sheet'!$U$23="","",'Final Calculation Sheet'!$U$23)</f>
        <v/>
      </c>
      <c r="W47" s="121">
        <f>IF('Final Calculation Sheet'!$V$23="","",'Final Calculation Sheet'!$V$23)</f>
        <v/>
      </c>
      <c r="X47" s="121">
        <f>IF('Final Calculation Sheet'!$W$23="","",'Final Calculation Sheet'!$W$23)</f>
        <v/>
      </c>
      <c r="Y47" s="121">
        <f>IF('Final Calculation Sheet'!$X$23="","",'Final Calculation Sheet'!$X$23)</f>
        <v/>
      </c>
      <c r="Z47" s="121">
        <f>IF('Final Calculation Sheet'!$Y$23="","",'Final Calculation Sheet'!$Y$23)</f>
        <v/>
      </c>
      <c r="AA47" s="121">
        <f>IF('Final Calculation Sheet'!$Z$23="","",'Final Calculation Sheet'!$Z$23)</f>
        <v/>
      </c>
      <c r="AB47" s="121">
        <f>IF('Final Calculation Sheet'!$AA$23="","",'Final Calculation Sheet'!$AA$23)</f>
        <v/>
      </c>
      <c r="AC47" s="121">
        <f>IF('Final Calculation Sheet'!$AB$23="","",'Final Calculation Sheet'!$AB$23)</f>
        <v/>
      </c>
      <c r="AD47" s="121">
        <f>IF('Final Calculation Sheet'!$AC$23="","",'Final Calculation Sheet'!$AC$23)</f>
        <v/>
      </c>
      <c r="AE47" s="121">
        <f>IF('Final Calculation Sheet'!$AD$23="","",'Final Calculation Sheet'!$AD$23)</f>
        <v/>
      </c>
      <c r="AF47" s="121">
        <f>IF('Final Calculation Sheet'!$AE$23="","",'Final Calculation Sheet'!$AE$23)</f>
        <v/>
      </c>
      <c r="AG47" s="125">
        <f>IF('Final Calculation Sheet'!$AF$23="","",'Final Calculation Sheet'!$AF$23)</f>
        <v/>
      </c>
      <c r="AH47" s="121">
        <f>IF('Final Calculation Sheet'!$AG$23="","",'Final Calculation Sheet'!$AG$23)</f>
        <v/>
      </c>
      <c r="AI47" s="126">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118" t="n">
        <v>6</v>
      </c>
      <c r="B49" s="119">
        <f>IF('Final Calculation Sheet'!$F$34="","",'Final Calculation Sheet'!$F$34)</f>
        <v/>
      </c>
      <c r="C49" s="119">
        <f>IF('Final Calculation Sheet'!$G$34="","",'Final Calculation Sheet'!$G$34)</f>
        <v/>
      </c>
      <c r="D49" s="120">
        <f>IF('Final Calculation Sheet'!$B$34="","",'Final Calculation Sheet'!$B$34)</f>
        <v/>
      </c>
      <c r="E49" s="120">
        <f>IF('Final Calculation Sheet'!$D$34="","",'Final Calculation Sheet'!$D$34)</f>
        <v/>
      </c>
      <c r="F49" s="120">
        <f>IF('Final Calculation Sheet'!$A$34="","",'Final Calculation Sheet'!$A$34)</f>
        <v/>
      </c>
      <c r="G49" s="120">
        <f>IF('Final Calculation Sheet'!$E$34="","",'Final Calculation Sheet'!$E$34)</f>
        <v/>
      </c>
      <c r="H49" s="121">
        <f>IF('Final Calculation Sheet'!$C$34="","",'Final Calculation Sheet'!$C$34)</f>
        <v/>
      </c>
      <c r="I49" s="121">
        <f>IF('Final Calculation Sheet'!$H$34="","",'Final Calculation Sheet'!$H$34)</f>
        <v/>
      </c>
      <c r="J49" s="121">
        <f>IF('Final Calculation Sheet'!$I$34="","",'Final Calculation Sheet'!$I$34)</f>
        <v/>
      </c>
      <c r="K49" s="121">
        <f>IF('Final Calculation Sheet'!$J$34="","",'Final Calculation Sheet'!$J$34)</f>
        <v/>
      </c>
      <c r="L49" s="121">
        <f>IF('Final Calculation Sheet'!$K$34="","",'Final Calculation Sheet'!$K$34)</f>
        <v/>
      </c>
      <c r="M49" s="121">
        <f>IF('Final Calculation Sheet'!$L$34="","",'Final Calculation Sheet'!$L$34)</f>
        <v/>
      </c>
      <c r="N49" s="121">
        <f>IF('Final Calculation Sheet'!$M$34="","",'Final Calculation Sheet'!$M$34)</f>
        <v/>
      </c>
      <c r="O49" s="122">
        <f>IF('Final Calculation Sheet'!$N$34="","",'Final Calculation Sheet'!$N$34)</f>
        <v/>
      </c>
      <c r="P49" s="121">
        <f>IF('Final Calculation Sheet'!$O$34="","",'Final Calculation Sheet'!$O$34)</f>
        <v/>
      </c>
      <c r="Q49" s="121">
        <f>IF('Final Calculation Sheet'!$P$34="","",'Final Calculation Sheet'!$P$34)</f>
        <v/>
      </c>
      <c r="R49" s="123">
        <f>IF('Final Calculation Sheet'!$Q$34="","",'Final Calculation Sheet'!$Q$34)</f>
        <v/>
      </c>
      <c r="S49" s="121">
        <f>IF('Final Calculation Sheet'!$R$34="","",'Final Calculation Sheet'!$R$34)</f>
        <v/>
      </c>
      <c r="T49" s="121">
        <f>IF('Final Calculation Sheet'!$S$34="","",'Final Calculation Sheet'!$S$34)</f>
        <v/>
      </c>
      <c r="U49" s="121">
        <f>IF('Final Calculation Sheet'!$T$34="","",'Final Calculation Sheet'!$T$34)</f>
        <v/>
      </c>
      <c r="V49" s="124">
        <f>IF('Final Calculation Sheet'!$U$34="","",'Final Calculation Sheet'!$U$34)</f>
        <v/>
      </c>
      <c r="W49" s="121">
        <f>IF('Final Calculation Sheet'!$V$34="","",'Final Calculation Sheet'!$V$34)</f>
        <v/>
      </c>
      <c r="X49" s="121">
        <f>IF('Final Calculation Sheet'!$W$34="","",'Final Calculation Sheet'!$W$34)</f>
        <v/>
      </c>
      <c r="Y49" s="121">
        <f>IF('Final Calculation Sheet'!$X$34="","",'Final Calculation Sheet'!$X$34)</f>
        <v/>
      </c>
      <c r="Z49" s="121">
        <f>IF('Final Calculation Sheet'!$Y$34="","",'Final Calculation Sheet'!$Y$34)</f>
        <v/>
      </c>
      <c r="AA49" s="121">
        <f>IF('Final Calculation Sheet'!$Z$34="","",'Final Calculation Sheet'!$Z$34)</f>
        <v/>
      </c>
      <c r="AB49" s="121">
        <f>IF('Final Calculation Sheet'!$AA$34="","",'Final Calculation Sheet'!$AA$34)</f>
        <v/>
      </c>
      <c r="AC49" s="121">
        <f>IF('Final Calculation Sheet'!$AB$34="","",'Final Calculation Sheet'!$AB$34)</f>
        <v/>
      </c>
      <c r="AD49" s="121">
        <f>IF('Final Calculation Sheet'!$AC$34="","",'Final Calculation Sheet'!$AC$34)</f>
        <v/>
      </c>
      <c r="AE49" s="121">
        <f>IF('Final Calculation Sheet'!$AD$34="","",'Final Calculation Sheet'!$AD$34)</f>
        <v/>
      </c>
      <c r="AF49" s="121">
        <f>IF('Final Calculation Sheet'!$AE$34="","",'Final Calculation Sheet'!$AE$34)</f>
        <v/>
      </c>
      <c r="AG49" s="125">
        <f>IF('Final Calculation Sheet'!$AF$34="","",'Final Calculation Sheet'!$AF$34)</f>
        <v/>
      </c>
      <c r="AH49" s="121">
        <f>IF('Final Calculation Sheet'!$AG$34="","",'Final Calculation Sheet'!$AG$34)</f>
        <v/>
      </c>
      <c r="AI49" s="126">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118" t="n">
        <v>2</v>
      </c>
      <c r="B53" s="119">
        <f>IF('Final Calculation Sheet'!$F$28="","",'Final Calculation Sheet'!$F$28)</f>
        <v/>
      </c>
      <c r="C53" s="119">
        <f>IF('Final Calculation Sheet'!$G$28="","",'Final Calculation Sheet'!$G$28)</f>
        <v/>
      </c>
      <c r="D53" s="120">
        <f>IF('Final Calculation Sheet'!$B$28="","",'Final Calculation Sheet'!$B$28)</f>
        <v/>
      </c>
      <c r="E53" s="120">
        <f>IF('Final Calculation Sheet'!$D$28="","",'Final Calculation Sheet'!$D$28)</f>
        <v/>
      </c>
      <c r="F53" s="120">
        <f>IF('Final Calculation Sheet'!$A$28="","",'Final Calculation Sheet'!$A$28)</f>
        <v/>
      </c>
      <c r="G53" s="120">
        <f>IF('Final Calculation Sheet'!$E$28="","",'Final Calculation Sheet'!$E$28)</f>
        <v/>
      </c>
      <c r="H53" s="121">
        <f>IF('Final Calculation Sheet'!$C$28="","",'Final Calculation Sheet'!$C$28)</f>
        <v/>
      </c>
      <c r="I53" s="121">
        <f>IF('Final Calculation Sheet'!$H$28="","",'Final Calculation Sheet'!$H$28)</f>
        <v/>
      </c>
      <c r="J53" s="121">
        <f>IF('Final Calculation Sheet'!$I$28="","",'Final Calculation Sheet'!$I$28)</f>
        <v/>
      </c>
      <c r="K53" s="121">
        <f>IF('Final Calculation Sheet'!$J$28="","",'Final Calculation Sheet'!$J$28)</f>
        <v/>
      </c>
      <c r="L53" s="121">
        <f>IF('Final Calculation Sheet'!$K$28="","",'Final Calculation Sheet'!$K$28)</f>
        <v/>
      </c>
      <c r="M53" s="121">
        <f>IF('Final Calculation Sheet'!$L$28="","",'Final Calculation Sheet'!$L$28)</f>
        <v/>
      </c>
      <c r="N53" s="121">
        <f>IF('Final Calculation Sheet'!$M$28="","",'Final Calculation Sheet'!$M$28)</f>
        <v/>
      </c>
      <c r="O53" s="122">
        <f>IF('Final Calculation Sheet'!$N$28="","",'Final Calculation Sheet'!$N$28)</f>
        <v/>
      </c>
      <c r="P53" s="121">
        <f>IF('Final Calculation Sheet'!$O$28="","",'Final Calculation Sheet'!$O$28)</f>
        <v/>
      </c>
      <c r="Q53" s="121">
        <f>IF('Final Calculation Sheet'!$P$28="","",'Final Calculation Sheet'!$P$28)</f>
        <v/>
      </c>
      <c r="R53" s="123">
        <f>IF('Final Calculation Sheet'!$Q$28="","",'Final Calculation Sheet'!$Q$28)</f>
        <v/>
      </c>
      <c r="S53" s="121">
        <f>IF('Final Calculation Sheet'!$R$28="","",'Final Calculation Sheet'!$R$28)</f>
        <v/>
      </c>
      <c r="T53" s="121">
        <f>IF('Final Calculation Sheet'!$S$28="","",'Final Calculation Sheet'!$S$28)</f>
        <v/>
      </c>
      <c r="U53" s="121">
        <f>IF('Final Calculation Sheet'!$T$28="","",'Final Calculation Sheet'!$T$28)</f>
        <v/>
      </c>
      <c r="V53" s="124">
        <f>IF('Final Calculation Sheet'!$U$28="","",'Final Calculation Sheet'!$U$28)</f>
        <v/>
      </c>
      <c r="W53" s="121">
        <f>IF('Final Calculation Sheet'!$V$28="","",'Final Calculation Sheet'!$V$28)</f>
        <v/>
      </c>
      <c r="X53" s="121">
        <f>IF('Final Calculation Sheet'!$W$28="","",'Final Calculation Sheet'!$W$28)</f>
        <v/>
      </c>
      <c r="Y53" s="121">
        <f>IF('Final Calculation Sheet'!$X$28="","",'Final Calculation Sheet'!$X$28)</f>
        <v/>
      </c>
      <c r="Z53" s="121">
        <f>IF('Final Calculation Sheet'!$Y$28="","",'Final Calculation Sheet'!$Y$28)</f>
        <v/>
      </c>
      <c r="AA53" s="121">
        <f>IF('Final Calculation Sheet'!$Z$28="","",'Final Calculation Sheet'!$Z$28)</f>
        <v/>
      </c>
      <c r="AB53" s="121">
        <f>IF('Final Calculation Sheet'!$AA$28="","",'Final Calculation Sheet'!$AA$28)</f>
        <v/>
      </c>
      <c r="AC53" s="121">
        <f>IF('Final Calculation Sheet'!$AB$28="","",'Final Calculation Sheet'!$AB$28)</f>
        <v/>
      </c>
      <c r="AD53" s="121">
        <f>IF('Final Calculation Sheet'!$AC$28="","",'Final Calculation Sheet'!$AC$28)</f>
        <v/>
      </c>
      <c r="AE53" s="121">
        <f>IF('Final Calculation Sheet'!$AD$28="","",'Final Calculation Sheet'!$AD$28)</f>
        <v/>
      </c>
      <c r="AF53" s="121">
        <f>IF('Final Calculation Sheet'!$AE$28="","",'Final Calculation Sheet'!$AE$28)</f>
        <v/>
      </c>
      <c r="AG53" s="125">
        <f>IF('Final Calculation Sheet'!$AF$28="","",'Final Calculation Sheet'!$AF$28)</f>
        <v/>
      </c>
      <c r="AH53" s="121">
        <f>IF('Final Calculation Sheet'!$AG$28="","",'Final Calculation Sheet'!$AG$28)</f>
        <v/>
      </c>
      <c r="AI53" s="126">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127" t="inlineStr">
        <is>
          <t>∑</t>
        </is>
      </c>
      <c r="B56" s="128" t="n"/>
      <c r="C56" s="128">
        <f>COUNTA('Final Calculation Sheet'!$G$4:$G$40)&amp;" lot(s)"</f>
        <v/>
      </c>
      <c r="D56" s="128" t="inlineStr">
        <is>
          <t>TOTAL — every buyer together</t>
        </is>
      </c>
      <c r="E56" s="128" t="inlineStr">
        <is>
          <t>–</t>
        </is>
      </c>
      <c r="F56" s="128">
        <f>SUM(F7,F10,F12,F14,F16,F30,F32,F35,F38,F40,F43,F51,F55)</f>
        <v/>
      </c>
      <c r="G56" s="128" t="inlineStr">
        <is>
          <t>–</t>
        </is>
      </c>
      <c r="H56" s="129" t="inlineStr">
        <is>
          <t>–</t>
        </is>
      </c>
      <c r="I56" s="129">
        <f>SUM(I7,I10,I12,I14,I16,I30,I32,I35,I38,I40,I43,I51,I55)</f>
        <v/>
      </c>
      <c r="J56" s="129">
        <f>SUM(J7,J10,J12,J14,J16,J30,J32,J35,J38,J40,J43,J51,J55)</f>
        <v/>
      </c>
      <c r="K56" s="129">
        <f>SUM(K7,K10,K12,K14,K16,K30,K32,K35,K38,K40,K43,K51,K55)</f>
        <v/>
      </c>
      <c r="L56" s="129">
        <f>SUM(L7,L10,L12,L14,L16,L30,L32,L35,L38,L40,L43,L51,L55)</f>
        <v/>
      </c>
      <c r="M56" s="129">
        <f>SUM(M7,M10,M12,M14,M16,M30,M32,M35,M38,M40,M43,M51,M55)</f>
        <v/>
      </c>
      <c r="N56" s="129">
        <f>SUM(N7,N10,N12,N14,N16,N30,N32,N35,N38,N40,N43,N51,N55)</f>
        <v/>
      </c>
      <c r="O56" s="130">
        <f>SUM(O7,O10,O12,O14,O16,O30,O32,O35,O38,O40,O43,O51,O55)</f>
        <v/>
      </c>
      <c r="P56" s="129">
        <f>SUM(P7,P10,P12,P14,P16,P30,P32,P35,P38,P40,P43,P51,P55)</f>
        <v/>
      </c>
      <c r="Q56" s="129">
        <f>SUM(Q7,Q10,Q12,Q14,Q16,Q30,Q32,Q35,Q38,Q40,Q43,Q51,Q55)</f>
        <v/>
      </c>
      <c r="R56" s="131" t="inlineStr">
        <is>
          <t>–</t>
        </is>
      </c>
      <c r="S56" s="129">
        <f>SUM(S7,S10,S12,S14,S16,S30,S32,S35,S38,S40,S43,S51,S55)</f>
        <v/>
      </c>
      <c r="T56" s="129">
        <f>SUM(T7,T10,T12,T14,T16,T30,T32,T35,T38,T40,T43,T51,T55)</f>
        <v/>
      </c>
      <c r="U56" s="129">
        <f>SUM(U7,U10,U12,U14,U16,U30,U32,U35,U38,U40,U43,U51,U55)</f>
        <v/>
      </c>
      <c r="V56" s="132">
        <f>SUM(V7,V10,V12,V14,V16,V30,V32,V35,V38,V40,V43,V51,V55)</f>
        <v/>
      </c>
      <c r="W56" s="129" t="inlineStr">
        <is>
          <t>–</t>
        </is>
      </c>
      <c r="X56" s="129">
        <f>SUM(X7,X10,X12,X14,X16,X30,X32,X35,X38,X40,X43,X51,X55)</f>
        <v/>
      </c>
      <c r="Y56" s="129">
        <f>SUM(Y7,Y10,Y12,Y14,Y16,Y30,Y32,Y35,Y38,Y40,Y43,Y51,Y55)</f>
        <v/>
      </c>
      <c r="Z56" s="129" t="inlineStr">
        <is>
          <t>–</t>
        </is>
      </c>
      <c r="AA56" s="129">
        <f>SUM(AA7,AA10,AA12,AA14,AA16,AA30,AA32,AA35,AA38,AA40,AA43,AA51,AA55)</f>
        <v/>
      </c>
      <c r="AB56" s="129">
        <f>SUM(AB7,AB10,AB12,AB14,AB16,AB30,AB32,AB35,AB38,AB40,AB43,AB51,AB55)</f>
        <v/>
      </c>
      <c r="AC56" s="129" t="inlineStr">
        <is>
          <t>–</t>
        </is>
      </c>
      <c r="AD56" s="129">
        <f>SUM(AD7,AD10,AD12,AD14,AD16,AD30,AD32,AD35,AD38,AD40,AD43,AD51,AD55)</f>
        <v/>
      </c>
      <c r="AE56" s="129">
        <f>SUM(AE7,AE10,AE12,AE14,AE16,AE30,AE32,AE35,AE38,AE40,AE43,AE51,AE55)</f>
        <v/>
      </c>
      <c r="AF56" s="129" t="inlineStr">
        <is>
          <t>–</t>
        </is>
      </c>
      <c r="AG56" s="133" t="inlineStr">
        <is>
          <t>–</t>
        </is>
      </c>
      <c r="AH56" s="129" t="inlineStr">
        <is>
          <t>–</t>
        </is>
      </c>
      <c r="AI56" s="134">
        <f>IF(AE56&lt;=5,"SETTLED","OUTSTANDING")</f>
        <v/>
      </c>
    </row>
    <row r="57" ht="15" customHeight="1" s="77">
      <c r="A57" s="135" t="inlineStr">
        <is>
          <t>∑</t>
        </is>
      </c>
      <c r="B57" s="136" t="n"/>
      <c r="C57" s="136">
        <f>COUNTA('Final Calculation Sheet'!$G$4:$G$40)&amp;" lot(s)"</f>
        <v/>
      </c>
      <c r="D57" s="136" t="inlineStr">
        <is>
          <t>GRAND TOTAL — cross-checked to source</t>
        </is>
      </c>
      <c r="E57" s="136" t="inlineStr">
        <is>
          <t>–</t>
        </is>
      </c>
      <c r="F57" s="136">
        <f>SUM('Final Calculation Sheet'!$A$4:$A$40)</f>
        <v/>
      </c>
      <c r="G57" s="136" t="inlineStr">
        <is>
          <t>–</t>
        </is>
      </c>
      <c r="H57" s="137" t="inlineStr">
        <is>
          <t>–</t>
        </is>
      </c>
      <c r="I57" s="137">
        <f>SUM('Final Calculation Sheet'!$H$4:$H$40)</f>
        <v/>
      </c>
      <c r="J57" s="137">
        <f>SUM('Final Calculation Sheet'!$I$4:$I$40)</f>
        <v/>
      </c>
      <c r="K57" s="137">
        <f>SUM('Final Calculation Sheet'!$J$4:$J$40)</f>
        <v/>
      </c>
      <c r="L57" s="137">
        <f>SUM('Final Calculation Sheet'!$K$4:$K$40)</f>
        <v/>
      </c>
      <c r="M57" s="137">
        <f>SUM('Final Calculation Sheet'!$L$4:$L$40)</f>
        <v/>
      </c>
      <c r="N57" s="137">
        <f>SUM('Final Calculation Sheet'!$M$4:$M$40)</f>
        <v/>
      </c>
      <c r="O57" s="138">
        <f>SUM('Final Calculation Sheet'!$N$4:$N$40)</f>
        <v/>
      </c>
      <c r="P57" s="137">
        <f>SUM('Final Calculation Sheet'!$O$4:$O$40)</f>
        <v/>
      </c>
      <c r="Q57" s="137">
        <f>SUM('Final Calculation Sheet'!$P$4:$P$40)</f>
        <v/>
      </c>
      <c r="R57" s="139" t="inlineStr">
        <is>
          <t>–</t>
        </is>
      </c>
      <c r="S57" s="137">
        <f>SUM('Final Calculation Sheet'!$R$4:$R$40)</f>
        <v/>
      </c>
      <c r="T57" s="137">
        <f>SUM('Final Calculation Sheet'!$S$4:$S$40)</f>
        <v/>
      </c>
      <c r="U57" s="137">
        <f>SUM('Final Calculation Sheet'!$T$4:$T$40)</f>
        <v/>
      </c>
      <c r="V57" s="140">
        <f>SUM('Final Calculation Sheet'!$U$4:$U$40)</f>
        <v/>
      </c>
      <c r="W57" s="137" t="inlineStr">
        <is>
          <t>–</t>
        </is>
      </c>
      <c r="X57" s="137">
        <f>SUM('Final Calculation Sheet'!$W$4:$W$40)</f>
        <v/>
      </c>
      <c r="Y57" s="137">
        <f>SUM('Final Calculation Sheet'!$X$4:$X$40)</f>
        <v/>
      </c>
      <c r="Z57" s="137" t="inlineStr">
        <is>
          <t>–</t>
        </is>
      </c>
      <c r="AA57" s="137">
        <f>SUM('Final Calculation Sheet'!$Z$4:$Z$40)</f>
        <v/>
      </c>
      <c r="AB57" s="137">
        <f>SUM('Final Calculation Sheet'!$AA$4:$AA$40)</f>
        <v/>
      </c>
      <c r="AC57" s="137" t="inlineStr">
        <is>
          <t>–</t>
        </is>
      </c>
      <c r="AD57" s="137">
        <f>SUM('Final Calculation Sheet'!$AC$4:$AC$40)</f>
        <v/>
      </c>
      <c r="AE57" s="137">
        <f>SUM('Final Calculation Sheet'!$AD$4:$AD$40)</f>
        <v/>
      </c>
      <c r="AF57" s="137" t="inlineStr">
        <is>
          <t>–</t>
        </is>
      </c>
      <c r="AG57" s="141" t="inlineStr">
        <is>
          <t>–</t>
        </is>
      </c>
      <c r="AH57" s="137" t="inlineStr">
        <is>
          <t>–</t>
        </is>
      </c>
      <c r="AI57" s="142">
        <f>IF(AE57&lt;=5,"SETTLED","OUTSTANDING")</f>
        <v/>
      </c>
    </row>
    <row r="59">
      <c r="A59" s="145" t="inlineStr">
        <is>
          <t>▸ MATCHED LOTS</t>
        </is>
      </c>
      <c r="B59" s="145" t="n"/>
      <c r="C59" s="145">
        <f>IF(COUNTIF($B$4:$AI$4,"&lt;&gt;")=0,"—",SUM($AJ$6:$AJ$42)&amp;" of 37")</f>
        <v/>
      </c>
      <c r="D59" s="145" t="n"/>
      <c r="E59" s="145" t="inlineStr">
        <is>
          <t>live from SEARCH row ↑</t>
        </is>
      </c>
      <c r="F59" s="145" t="n"/>
      <c r="G59" s="145" t="n"/>
      <c r="H59" s="145" t="n"/>
      <c r="I59" s="145" t="n"/>
      <c r="J59" s="145" t="n"/>
      <c r="K59" s="145" t="n"/>
      <c r="L59" s="145" t="n"/>
      <c r="M59" s="145" t="n"/>
      <c r="N59" s="145" t="n"/>
      <c r="O59" s="145" t="n"/>
      <c r="P59" s="14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row>
    <row r="60">
      <c r="A60" s="146">
        <f>IF($AL$60="","",1)</f>
        <v/>
      </c>
      <c r="B60" s="147">
        <f>IF($AL$60="","",IF(INDEX('Final Calculation Sheet'!$F$4:$F$40,$AL$60)="","",INDEX('Final Calculation Sheet'!$F$4:$F$40,$AL$60)))</f>
        <v/>
      </c>
      <c r="C60" s="147">
        <f>IF($AL$60="","",IF(INDEX('Final Calculation Sheet'!$G$4:$G$40,$AL$60)="","",INDEX('Final Calculation Sheet'!$G$4:$G$40,$AL$60)))</f>
        <v/>
      </c>
      <c r="D60" s="148">
        <f>IF(COUNTIF($B$4:$AI$4,"&lt;&gt;")=0,"↑ Pick a value from any SEARCH dropdown (or type) — matching lots will list here",IF($AL60="","",IF(INDEX('Final Calculation Sheet'!$B$4:$B$40,$AL60)="","",INDEX('Final Calculation Sheet'!$B$4:$B$40,$AL60))))</f>
        <v/>
      </c>
      <c r="E60" s="149">
        <f>IF($AL$60="","",IF(INDEX('Final Calculation Sheet'!$D$4:$D$40,$AL$60)="","",INDEX('Final Calculation Sheet'!$D$4:$D$40,$AL$60)))</f>
        <v/>
      </c>
      <c r="F60" s="149">
        <f>IF($AL$60="","",IF(INDEX('Final Calculation Sheet'!$A$4:$A$40,$AL$60)="","",INDEX('Final Calculation Sheet'!$A$4:$A$40,$AL$60)))</f>
        <v/>
      </c>
      <c r="G60" s="149">
        <f>IF($AL$60="","",IF(INDEX('Final Calculation Sheet'!$E$4:$E$40,$AL$60)="","",INDEX('Final Calculation Sheet'!$E$4:$E$40,$AL$60)))</f>
        <v/>
      </c>
      <c r="H60" s="150">
        <f>IF($AL$60="","",IF(INDEX('Final Calculation Sheet'!$C$4:$C$40,$AL$60)="","",INDEX('Final Calculation Sheet'!$C$4:$C$40,$AL$60)))</f>
        <v/>
      </c>
      <c r="I60" s="150">
        <f>IF($AL$60="","",IF(INDEX('Final Calculation Sheet'!$H$4:$H$40,$AL$60)="","",INDEX('Final Calculation Sheet'!$H$4:$H$40,$AL$60)))</f>
        <v/>
      </c>
      <c r="J60" s="150">
        <f>IF($AL$60="","",IF(INDEX('Final Calculation Sheet'!$I$4:$I$40,$AL$60)="","",INDEX('Final Calculation Sheet'!$I$4:$I$40,$AL$60)))</f>
        <v/>
      </c>
      <c r="K60" s="150">
        <f>IF($AL$60="","",IF(INDEX('Final Calculation Sheet'!$J$4:$J$40,$AL$60)="","",INDEX('Final Calculation Sheet'!$J$4:$J$40,$AL$60)))</f>
        <v/>
      </c>
      <c r="L60" s="150">
        <f>IF($AL$60="","",IF(INDEX('Final Calculation Sheet'!$K$4:$K$40,$AL$60)="","",INDEX('Final Calculation Sheet'!$K$4:$K$40,$AL$60)))</f>
        <v/>
      </c>
      <c r="M60" s="150">
        <f>IF($AL$60="","",IF(INDEX('Final Calculation Sheet'!$L$4:$L$40,$AL$60)="","",INDEX('Final Calculation Sheet'!$L$4:$L$40,$AL$60)))</f>
        <v/>
      </c>
      <c r="N60" s="150">
        <f>IF($AL$60="","",IF(INDEX('Final Calculation Sheet'!$M$4:$M$40,$AL$60)="","",INDEX('Final Calculation Sheet'!$M$4:$M$40,$AL$60)))</f>
        <v/>
      </c>
      <c r="O60" s="151">
        <f>IF($AL$60="","",IF(INDEX('Final Calculation Sheet'!$N$4:$N$40,$AL$60)="","",INDEX('Final Calculation Sheet'!$N$4:$N$40,$AL$60)))</f>
        <v/>
      </c>
      <c r="P60" s="150">
        <f>IF($AL$60="","",IF(INDEX('Final Calculation Sheet'!$O$4:$O$40,$AL$60)="","",INDEX('Final Calculation Sheet'!$O$4:$O$40,$AL$60)))</f>
        <v/>
      </c>
      <c r="Q60" s="150">
        <f>IF($AL$60="","",IF(INDEX('Final Calculation Sheet'!$P$4:$P$40,$AL$60)="","",INDEX('Final Calculation Sheet'!$P$4:$P$40,$AL$60)))</f>
        <v/>
      </c>
      <c r="R60" s="152">
        <f>IF($AL$60="","",IF(INDEX('Final Calculation Sheet'!$Q$4:$Q$40,$AL$60)="","",INDEX('Final Calculation Sheet'!$Q$4:$Q$40,$AL$60)))</f>
        <v/>
      </c>
      <c r="S60" s="150">
        <f>IF($AL$60="","",IF(INDEX('Final Calculation Sheet'!$R$4:$R$40,$AL$60)="","",INDEX('Final Calculation Sheet'!$R$4:$R$40,$AL$60)))</f>
        <v/>
      </c>
      <c r="T60" s="150">
        <f>IF($AL$60="","",IF(INDEX('Final Calculation Sheet'!$S$4:$S$40,$AL$60)="","",INDEX('Final Calculation Sheet'!$S$4:$S$40,$AL$60)))</f>
        <v/>
      </c>
      <c r="U60" s="150">
        <f>IF($AL$60="","",IF(INDEX('Final Calculation Sheet'!$T$4:$T$40,$AL$60)="","",INDEX('Final Calculation Sheet'!$T$4:$T$40,$AL$60)))</f>
        <v/>
      </c>
      <c r="V60" s="153">
        <f>IF($AL$60="","",IF(INDEX('Final Calculation Sheet'!$U$4:$U$40,$AL$60)="","",INDEX('Final Calculation Sheet'!$U$4:$U$40,$AL$60)))</f>
        <v/>
      </c>
      <c r="W60" s="150">
        <f>IF($AL$60="","",IF(INDEX('Final Calculation Sheet'!$V$4:$V$40,$AL$60)="","",INDEX('Final Calculation Sheet'!$V$4:$V$40,$AL$60)))</f>
        <v/>
      </c>
      <c r="X60" s="150">
        <f>IF($AL$60="","",IF(INDEX('Final Calculation Sheet'!$W$4:$W$40,$AL$60)="","",INDEX('Final Calculation Sheet'!$W$4:$W$40,$AL$60)))</f>
        <v/>
      </c>
      <c r="Y60" s="150">
        <f>IF($AL$60="","",IF(INDEX('Final Calculation Sheet'!$X$4:$X$40,$AL$60)="","",INDEX('Final Calculation Sheet'!$X$4:$X$40,$AL$60)))</f>
        <v/>
      </c>
      <c r="Z60" s="150">
        <f>IF($AL$60="","",IF(INDEX('Final Calculation Sheet'!$Y$4:$Y$40,$AL$60)="","",INDEX('Final Calculation Sheet'!$Y$4:$Y$40,$AL$60)))</f>
        <v/>
      </c>
      <c r="AA60" s="150">
        <f>IF($AL$60="","",IF(INDEX('Final Calculation Sheet'!$Z$4:$Z$40,$AL$60)="","",INDEX('Final Calculation Sheet'!$Z$4:$Z$40,$AL$60)))</f>
        <v/>
      </c>
      <c r="AB60" s="150">
        <f>IF($AL$60="","",IF(INDEX('Final Calculation Sheet'!$AA$4:$AA$40,$AL$60)="","",INDEX('Final Calculation Sheet'!$AA$4:$AA$40,$AL$60)))</f>
        <v/>
      </c>
      <c r="AC60" s="150">
        <f>IF($AL$60="","",IF(INDEX('Final Calculation Sheet'!$AB$4:$AB$40,$AL$60)="","",INDEX('Final Calculation Sheet'!$AB$4:$AB$40,$AL$60)))</f>
        <v/>
      </c>
      <c r="AD60" s="150">
        <f>IF($AL$60="","",IF(INDEX('Final Calculation Sheet'!$AC$4:$AC$40,$AL$60)="","",INDEX('Final Calculation Sheet'!$AC$4:$AC$40,$AL$60)))</f>
        <v/>
      </c>
      <c r="AE60" s="150">
        <f>IF($AL$60="","",IF(INDEX('Final Calculation Sheet'!$AD$4:$AD$40,$AL$60)="","",INDEX('Final Calculation Sheet'!$AD$4:$AD$40,$AL$60)))</f>
        <v/>
      </c>
      <c r="AF60" s="150">
        <f>IF($AL$60="","",IF(INDEX('Final Calculation Sheet'!$AE$4:$AE$40,$AL$60)="","",INDEX('Final Calculation Sheet'!$AE$4:$AE$40,$AL$60)))</f>
        <v/>
      </c>
      <c r="AG60" s="154">
        <f>IF($AL$60="","",IF(INDEX('Final Calculation Sheet'!$AF$4:$AF$40,$AL$60)="","",INDEX('Final Calculation Sheet'!$AF$4:$AF$40,$AL$60)))</f>
        <v/>
      </c>
      <c r="AH60" s="150">
        <f>IF($AL$60="","",IF(INDEX('Final Calculation Sheet'!$AG$4:$AG$40,$AL$60)="","",INDEX('Final Calculation Sheet'!$AG$4:$AG$40,$AL$60)))</f>
        <v/>
      </c>
      <c r="AI60" s="155">
        <f>IF($AL$60="","",IF(INDEX('Final Calculation Sheet'!$AD$4:$AD$40,$AL$60)&lt;=5,"SETTLED","OUTSTANDING"))</f>
        <v/>
      </c>
      <c r="AL60">
        <f>IF(COUNTIF($B$4:$AI$4,"&lt;&gt;")=0,"",IFERROR(MATCH(1,$AK$6:$AK$42,0),""))</f>
        <v/>
      </c>
    </row>
    <row r="61">
      <c r="A61" s="156">
        <f>IF($AL$61="","",2)</f>
        <v/>
      </c>
      <c r="B61" s="157">
        <f>IF($AL$61="","",IF(INDEX('Final Calculation Sheet'!$F$4:$F$40,$AL$61)="","",INDEX('Final Calculation Sheet'!$F$4:$F$40,$AL$61)))</f>
        <v/>
      </c>
      <c r="C61" s="157">
        <f>IF($AL$61="","",IF(INDEX('Final Calculation Sheet'!$G$4:$G$40,$AL$61)="","",INDEX('Final Calculation Sheet'!$G$4:$G$40,$AL$61)))</f>
        <v/>
      </c>
      <c r="D61" s="158">
        <f>IF($AL$61="","",IF(INDEX('Final Calculation Sheet'!$B$4:$B$40,$AL$61)="","",INDEX('Final Calculation Sheet'!$B$4:$B$40,$AL$61)))</f>
        <v/>
      </c>
      <c r="E61" s="158">
        <f>IF($AL$61="","",IF(INDEX('Final Calculation Sheet'!$D$4:$D$40,$AL$61)="","",INDEX('Final Calculation Sheet'!$D$4:$D$40,$AL$61)))</f>
        <v/>
      </c>
      <c r="F61" s="158">
        <f>IF($AL$61="","",IF(INDEX('Final Calculation Sheet'!$A$4:$A$40,$AL$61)="","",INDEX('Final Calculation Sheet'!$A$4:$A$40,$AL$61)))</f>
        <v/>
      </c>
      <c r="G61" s="158">
        <f>IF($AL$61="","",IF(INDEX('Final Calculation Sheet'!$E$4:$E$40,$AL$61)="","",INDEX('Final Calculation Sheet'!$E$4:$E$40,$AL$61)))</f>
        <v/>
      </c>
      <c r="H61" s="159">
        <f>IF($AL$61="","",IF(INDEX('Final Calculation Sheet'!$C$4:$C$40,$AL$61)="","",INDEX('Final Calculation Sheet'!$C$4:$C$40,$AL$61)))</f>
        <v/>
      </c>
      <c r="I61" s="159">
        <f>IF($AL$61="","",IF(INDEX('Final Calculation Sheet'!$H$4:$H$40,$AL$61)="","",INDEX('Final Calculation Sheet'!$H$4:$H$40,$AL$61)))</f>
        <v/>
      </c>
      <c r="J61" s="159">
        <f>IF($AL$61="","",IF(INDEX('Final Calculation Sheet'!$I$4:$I$40,$AL$61)="","",INDEX('Final Calculation Sheet'!$I$4:$I$40,$AL$61)))</f>
        <v/>
      </c>
      <c r="K61" s="159">
        <f>IF($AL$61="","",IF(INDEX('Final Calculation Sheet'!$J$4:$J$40,$AL$61)="","",INDEX('Final Calculation Sheet'!$J$4:$J$40,$AL$61)))</f>
        <v/>
      </c>
      <c r="L61" s="159">
        <f>IF($AL$61="","",IF(INDEX('Final Calculation Sheet'!$K$4:$K$40,$AL$61)="","",INDEX('Final Calculation Sheet'!$K$4:$K$40,$AL$61)))</f>
        <v/>
      </c>
      <c r="M61" s="159">
        <f>IF($AL$61="","",IF(INDEX('Final Calculation Sheet'!$L$4:$L$40,$AL$61)="","",INDEX('Final Calculation Sheet'!$L$4:$L$40,$AL$61)))</f>
        <v/>
      </c>
      <c r="N61" s="159">
        <f>IF($AL$61="","",IF(INDEX('Final Calculation Sheet'!$M$4:$M$40,$AL$61)="","",INDEX('Final Calculation Sheet'!$M$4:$M$40,$AL$61)))</f>
        <v/>
      </c>
      <c r="O61" s="160">
        <f>IF($AL$61="","",IF(INDEX('Final Calculation Sheet'!$N$4:$N$40,$AL$61)="","",INDEX('Final Calculation Sheet'!$N$4:$N$40,$AL$61)))</f>
        <v/>
      </c>
      <c r="P61" s="159">
        <f>IF($AL$61="","",IF(INDEX('Final Calculation Sheet'!$O$4:$O$40,$AL$61)="","",INDEX('Final Calculation Sheet'!$O$4:$O$40,$AL$61)))</f>
        <v/>
      </c>
      <c r="Q61" s="159">
        <f>IF($AL$61="","",IF(INDEX('Final Calculation Sheet'!$P$4:$P$40,$AL$61)="","",INDEX('Final Calculation Sheet'!$P$4:$P$40,$AL$61)))</f>
        <v/>
      </c>
      <c r="R61" s="161">
        <f>IF($AL$61="","",IF(INDEX('Final Calculation Sheet'!$Q$4:$Q$40,$AL$61)="","",INDEX('Final Calculation Sheet'!$Q$4:$Q$40,$AL$61)))</f>
        <v/>
      </c>
      <c r="S61" s="159">
        <f>IF($AL$61="","",IF(INDEX('Final Calculation Sheet'!$R$4:$R$40,$AL$61)="","",INDEX('Final Calculation Sheet'!$R$4:$R$40,$AL$61)))</f>
        <v/>
      </c>
      <c r="T61" s="159">
        <f>IF($AL$61="","",IF(INDEX('Final Calculation Sheet'!$S$4:$S$40,$AL$61)="","",INDEX('Final Calculation Sheet'!$S$4:$S$40,$AL$61)))</f>
        <v/>
      </c>
      <c r="U61" s="159">
        <f>IF($AL$61="","",IF(INDEX('Final Calculation Sheet'!$T$4:$T$40,$AL$61)="","",INDEX('Final Calculation Sheet'!$T$4:$T$40,$AL$61)))</f>
        <v/>
      </c>
      <c r="V61" s="162">
        <f>IF($AL$61="","",IF(INDEX('Final Calculation Sheet'!$U$4:$U$40,$AL$61)="","",INDEX('Final Calculation Sheet'!$U$4:$U$40,$AL$61)))</f>
        <v/>
      </c>
      <c r="W61" s="159">
        <f>IF($AL$61="","",IF(INDEX('Final Calculation Sheet'!$V$4:$V$40,$AL$61)="","",INDEX('Final Calculation Sheet'!$V$4:$V$40,$AL$61)))</f>
        <v/>
      </c>
      <c r="X61" s="159">
        <f>IF($AL$61="","",IF(INDEX('Final Calculation Sheet'!$W$4:$W$40,$AL$61)="","",INDEX('Final Calculation Sheet'!$W$4:$W$40,$AL$61)))</f>
        <v/>
      </c>
      <c r="Y61" s="159">
        <f>IF($AL$61="","",IF(INDEX('Final Calculation Sheet'!$X$4:$X$40,$AL$61)="","",INDEX('Final Calculation Sheet'!$X$4:$X$40,$AL$61)))</f>
        <v/>
      </c>
      <c r="Z61" s="159">
        <f>IF($AL$61="","",IF(INDEX('Final Calculation Sheet'!$Y$4:$Y$40,$AL$61)="","",INDEX('Final Calculation Sheet'!$Y$4:$Y$40,$AL$61)))</f>
        <v/>
      </c>
      <c r="AA61" s="159">
        <f>IF($AL$61="","",IF(INDEX('Final Calculation Sheet'!$Z$4:$Z$40,$AL$61)="","",INDEX('Final Calculation Sheet'!$Z$4:$Z$40,$AL$61)))</f>
        <v/>
      </c>
      <c r="AB61" s="159">
        <f>IF($AL$61="","",IF(INDEX('Final Calculation Sheet'!$AA$4:$AA$40,$AL$61)="","",INDEX('Final Calculation Sheet'!$AA$4:$AA$40,$AL$61)))</f>
        <v/>
      </c>
      <c r="AC61" s="159">
        <f>IF($AL$61="","",IF(INDEX('Final Calculation Sheet'!$AB$4:$AB$40,$AL$61)="","",INDEX('Final Calculation Sheet'!$AB$4:$AB$40,$AL$61)))</f>
        <v/>
      </c>
      <c r="AD61" s="159">
        <f>IF($AL$61="","",IF(INDEX('Final Calculation Sheet'!$AC$4:$AC$40,$AL$61)="","",INDEX('Final Calculation Sheet'!$AC$4:$AC$40,$AL$61)))</f>
        <v/>
      </c>
      <c r="AE61" s="159">
        <f>IF($AL$61="","",IF(INDEX('Final Calculation Sheet'!$AD$4:$AD$40,$AL$61)="","",INDEX('Final Calculation Sheet'!$AD$4:$AD$40,$AL$61)))</f>
        <v/>
      </c>
      <c r="AF61" s="159">
        <f>IF($AL$61="","",IF(INDEX('Final Calculation Sheet'!$AE$4:$AE$40,$AL$61)="","",INDEX('Final Calculation Sheet'!$AE$4:$AE$40,$AL$61)))</f>
        <v/>
      </c>
      <c r="AG61" s="163">
        <f>IF($AL$61="","",IF(INDEX('Final Calculation Sheet'!$AF$4:$AF$40,$AL$61)="","",INDEX('Final Calculation Sheet'!$AF$4:$AF$40,$AL$61)))</f>
        <v/>
      </c>
      <c r="AH61" s="159">
        <f>IF($AL$61="","",IF(INDEX('Final Calculation Sheet'!$AG$4:$AG$40,$AL$61)="","",INDEX('Final Calculation Sheet'!$AG$4:$AG$40,$AL$61)))</f>
        <v/>
      </c>
      <c r="AI61" s="164">
        <f>IF($AL$61="","",IF(INDEX('Final Calculation Sheet'!$AD$4:$AD$40,$AL$61)&lt;=5,"SETTLED","OUTSTANDING"))</f>
        <v/>
      </c>
      <c r="AL61">
        <f>IF(COUNTIF($B$4:$AI$4,"&lt;&gt;")=0,"",IFERROR(MATCH(2,$AK$6:$AK$42,0),""))</f>
        <v/>
      </c>
    </row>
    <row r="62">
      <c r="A62" s="146">
        <f>IF($AL$62="","",3)</f>
        <v/>
      </c>
      <c r="B62" s="147">
        <f>IF($AL$62="","",IF(INDEX('Final Calculation Sheet'!$F$4:$F$40,$AL$62)="","",INDEX('Final Calculation Sheet'!$F$4:$F$40,$AL$62)))</f>
        <v/>
      </c>
      <c r="C62" s="147">
        <f>IF($AL$62="","",IF(INDEX('Final Calculation Sheet'!$G$4:$G$40,$AL$62)="","",INDEX('Final Calculation Sheet'!$G$4:$G$40,$AL$62)))</f>
        <v/>
      </c>
      <c r="D62" s="149">
        <f>IF($AL$62="","",IF(INDEX('Final Calculation Sheet'!$B$4:$B$40,$AL$62)="","",INDEX('Final Calculation Sheet'!$B$4:$B$40,$AL$62)))</f>
        <v/>
      </c>
      <c r="E62" s="149">
        <f>IF($AL$62="","",IF(INDEX('Final Calculation Sheet'!$D$4:$D$40,$AL$62)="","",INDEX('Final Calculation Sheet'!$D$4:$D$40,$AL$62)))</f>
        <v/>
      </c>
      <c r="F62" s="149">
        <f>IF($AL$62="","",IF(INDEX('Final Calculation Sheet'!$A$4:$A$40,$AL$62)="","",INDEX('Final Calculation Sheet'!$A$4:$A$40,$AL$62)))</f>
        <v/>
      </c>
      <c r="G62" s="149">
        <f>IF($AL$62="","",IF(INDEX('Final Calculation Sheet'!$E$4:$E$40,$AL$62)="","",INDEX('Final Calculation Sheet'!$E$4:$E$40,$AL$62)))</f>
        <v/>
      </c>
      <c r="H62" s="150">
        <f>IF($AL$62="","",IF(INDEX('Final Calculation Sheet'!$C$4:$C$40,$AL$62)="","",INDEX('Final Calculation Sheet'!$C$4:$C$40,$AL$62)))</f>
        <v/>
      </c>
      <c r="I62" s="150">
        <f>IF($AL$62="","",IF(INDEX('Final Calculation Sheet'!$H$4:$H$40,$AL$62)="","",INDEX('Final Calculation Sheet'!$H$4:$H$40,$AL$62)))</f>
        <v/>
      </c>
      <c r="J62" s="150">
        <f>IF($AL$62="","",IF(INDEX('Final Calculation Sheet'!$I$4:$I$40,$AL$62)="","",INDEX('Final Calculation Sheet'!$I$4:$I$40,$AL$62)))</f>
        <v/>
      </c>
      <c r="K62" s="150">
        <f>IF($AL$62="","",IF(INDEX('Final Calculation Sheet'!$J$4:$J$40,$AL$62)="","",INDEX('Final Calculation Sheet'!$J$4:$J$40,$AL$62)))</f>
        <v/>
      </c>
      <c r="L62" s="150">
        <f>IF($AL$62="","",IF(INDEX('Final Calculation Sheet'!$K$4:$K$40,$AL$62)="","",INDEX('Final Calculation Sheet'!$K$4:$K$40,$AL$62)))</f>
        <v/>
      </c>
      <c r="M62" s="150">
        <f>IF($AL$62="","",IF(INDEX('Final Calculation Sheet'!$L$4:$L$40,$AL$62)="","",INDEX('Final Calculation Sheet'!$L$4:$L$40,$AL$62)))</f>
        <v/>
      </c>
      <c r="N62" s="150">
        <f>IF($AL$62="","",IF(INDEX('Final Calculation Sheet'!$M$4:$M$40,$AL$62)="","",INDEX('Final Calculation Sheet'!$M$4:$M$40,$AL$62)))</f>
        <v/>
      </c>
      <c r="O62" s="151">
        <f>IF($AL$62="","",IF(INDEX('Final Calculation Sheet'!$N$4:$N$40,$AL$62)="","",INDEX('Final Calculation Sheet'!$N$4:$N$40,$AL$62)))</f>
        <v/>
      </c>
      <c r="P62" s="150">
        <f>IF($AL$62="","",IF(INDEX('Final Calculation Sheet'!$O$4:$O$40,$AL$62)="","",INDEX('Final Calculation Sheet'!$O$4:$O$40,$AL$62)))</f>
        <v/>
      </c>
      <c r="Q62" s="150">
        <f>IF($AL$62="","",IF(INDEX('Final Calculation Sheet'!$P$4:$P$40,$AL$62)="","",INDEX('Final Calculation Sheet'!$P$4:$P$40,$AL$62)))</f>
        <v/>
      </c>
      <c r="R62" s="152">
        <f>IF($AL$62="","",IF(INDEX('Final Calculation Sheet'!$Q$4:$Q$40,$AL$62)="","",INDEX('Final Calculation Sheet'!$Q$4:$Q$40,$AL$62)))</f>
        <v/>
      </c>
      <c r="S62" s="150">
        <f>IF($AL$62="","",IF(INDEX('Final Calculation Sheet'!$R$4:$R$40,$AL$62)="","",INDEX('Final Calculation Sheet'!$R$4:$R$40,$AL$62)))</f>
        <v/>
      </c>
      <c r="T62" s="150">
        <f>IF($AL$62="","",IF(INDEX('Final Calculation Sheet'!$S$4:$S$40,$AL$62)="","",INDEX('Final Calculation Sheet'!$S$4:$S$40,$AL$62)))</f>
        <v/>
      </c>
      <c r="U62" s="150">
        <f>IF($AL$62="","",IF(INDEX('Final Calculation Sheet'!$T$4:$T$40,$AL$62)="","",INDEX('Final Calculation Sheet'!$T$4:$T$40,$AL$62)))</f>
        <v/>
      </c>
      <c r="V62" s="153">
        <f>IF($AL$62="","",IF(INDEX('Final Calculation Sheet'!$U$4:$U$40,$AL$62)="","",INDEX('Final Calculation Sheet'!$U$4:$U$40,$AL$62)))</f>
        <v/>
      </c>
      <c r="W62" s="150">
        <f>IF($AL$62="","",IF(INDEX('Final Calculation Sheet'!$V$4:$V$40,$AL$62)="","",INDEX('Final Calculation Sheet'!$V$4:$V$40,$AL$62)))</f>
        <v/>
      </c>
      <c r="X62" s="150">
        <f>IF($AL$62="","",IF(INDEX('Final Calculation Sheet'!$W$4:$W$40,$AL$62)="","",INDEX('Final Calculation Sheet'!$W$4:$W$40,$AL$62)))</f>
        <v/>
      </c>
      <c r="Y62" s="150">
        <f>IF($AL$62="","",IF(INDEX('Final Calculation Sheet'!$X$4:$X$40,$AL$62)="","",INDEX('Final Calculation Sheet'!$X$4:$X$40,$AL$62)))</f>
        <v/>
      </c>
      <c r="Z62" s="150">
        <f>IF($AL$62="","",IF(INDEX('Final Calculation Sheet'!$Y$4:$Y$40,$AL$62)="","",INDEX('Final Calculation Sheet'!$Y$4:$Y$40,$AL$62)))</f>
        <v/>
      </c>
      <c r="AA62" s="150">
        <f>IF($AL$62="","",IF(INDEX('Final Calculation Sheet'!$Z$4:$Z$40,$AL$62)="","",INDEX('Final Calculation Sheet'!$Z$4:$Z$40,$AL$62)))</f>
        <v/>
      </c>
      <c r="AB62" s="150">
        <f>IF($AL$62="","",IF(INDEX('Final Calculation Sheet'!$AA$4:$AA$40,$AL$62)="","",INDEX('Final Calculation Sheet'!$AA$4:$AA$40,$AL$62)))</f>
        <v/>
      </c>
      <c r="AC62" s="150">
        <f>IF($AL$62="","",IF(INDEX('Final Calculation Sheet'!$AB$4:$AB$40,$AL$62)="","",INDEX('Final Calculation Sheet'!$AB$4:$AB$40,$AL$62)))</f>
        <v/>
      </c>
      <c r="AD62" s="150">
        <f>IF($AL$62="","",IF(INDEX('Final Calculation Sheet'!$AC$4:$AC$40,$AL$62)="","",INDEX('Final Calculation Sheet'!$AC$4:$AC$40,$AL$62)))</f>
        <v/>
      </c>
      <c r="AE62" s="150">
        <f>IF($AL$62="","",IF(INDEX('Final Calculation Sheet'!$AD$4:$AD$40,$AL$62)="","",INDEX('Final Calculation Sheet'!$AD$4:$AD$40,$AL$62)))</f>
        <v/>
      </c>
      <c r="AF62" s="150">
        <f>IF($AL$62="","",IF(INDEX('Final Calculation Sheet'!$AE$4:$AE$40,$AL$62)="","",INDEX('Final Calculation Sheet'!$AE$4:$AE$40,$AL$62)))</f>
        <v/>
      </c>
      <c r="AG62" s="154">
        <f>IF($AL$62="","",IF(INDEX('Final Calculation Sheet'!$AF$4:$AF$40,$AL$62)="","",INDEX('Final Calculation Sheet'!$AF$4:$AF$40,$AL$62)))</f>
        <v/>
      </c>
      <c r="AH62" s="150">
        <f>IF($AL$62="","",IF(INDEX('Final Calculation Sheet'!$AG$4:$AG$40,$AL$62)="","",INDEX('Final Calculation Sheet'!$AG$4:$AG$40,$AL$62)))</f>
        <v/>
      </c>
      <c r="AI62" s="155">
        <f>IF($AL$62="","",IF(INDEX('Final Calculation Sheet'!$AD$4:$AD$40,$AL$62)&lt;=5,"SETTLED","OUTSTANDING"))</f>
        <v/>
      </c>
      <c r="AL62">
        <f>IF(COUNTIF($B$4:$AI$4,"&lt;&gt;")=0,"",IFERROR(MATCH(3,$AK$6:$AK$42,0),""))</f>
        <v/>
      </c>
    </row>
    <row r="63">
      <c r="A63" s="156">
        <f>IF($AL$63="","",4)</f>
        <v/>
      </c>
      <c r="B63" s="157">
        <f>IF($AL$63="","",IF(INDEX('Final Calculation Sheet'!$F$4:$F$40,$AL$63)="","",INDEX('Final Calculation Sheet'!$F$4:$F$40,$AL$63)))</f>
        <v/>
      </c>
      <c r="C63" s="157">
        <f>IF($AL$63="","",IF(INDEX('Final Calculation Sheet'!$G$4:$G$40,$AL$63)="","",INDEX('Final Calculation Sheet'!$G$4:$G$40,$AL$63)))</f>
        <v/>
      </c>
      <c r="D63" s="158">
        <f>IF($AL$63="","",IF(INDEX('Final Calculation Sheet'!$B$4:$B$40,$AL$63)="","",INDEX('Final Calculation Sheet'!$B$4:$B$40,$AL$63)))</f>
        <v/>
      </c>
      <c r="E63" s="158">
        <f>IF($AL$63="","",IF(INDEX('Final Calculation Sheet'!$D$4:$D$40,$AL$63)="","",INDEX('Final Calculation Sheet'!$D$4:$D$40,$AL$63)))</f>
        <v/>
      </c>
      <c r="F63" s="158">
        <f>IF($AL$63="","",IF(INDEX('Final Calculation Sheet'!$A$4:$A$40,$AL$63)="","",INDEX('Final Calculation Sheet'!$A$4:$A$40,$AL$63)))</f>
        <v/>
      </c>
      <c r="G63" s="158">
        <f>IF($AL$63="","",IF(INDEX('Final Calculation Sheet'!$E$4:$E$40,$AL$63)="","",INDEX('Final Calculation Sheet'!$E$4:$E$40,$AL$63)))</f>
        <v/>
      </c>
      <c r="H63" s="159">
        <f>IF($AL$63="","",IF(INDEX('Final Calculation Sheet'!$C$4:$C$40,$AL$63)="","",INDEX('Final Calculation Sheet'!$C$4:$C$40,$AL$63)))</f>
        <v/>
      </c>
      <c r="I63" s="159">
        <f>IF($AL$63="","",IF(INDEX('Final Calculation Sheet'!$H$4:$H$40,$AL$63)="","",INDEX('Final Calculation Sheet'!$H$4:$H$40,$AL$63)))</f>
        <v/>
      </c>
      <c r="J63" s="159">
        <f>IF($AL$63="","",IF(INDEX('Final Calculation Sheet'!$I$4:$I$40,$AL$63)="","",INDEX('Final Calculation Sheet'!$I$4:$I$40,$AL$63)))</f>
        <v/>
      </c>
      <c r="K63" s="159">
        <f>IF($AL$63="","",IF(INDEX('Final Calculation Sheet'!$J$4:$J$40,$AL$63)="","",INDEX('Final Calculation Sheet'!$J$4:$J$40,$AL$63)))</f>
        <v/>
      </c>
      <c r="L63" s="159">
        <f>IF($AL$63="","",IF(INDEX('Final Calculation Sheet'!$K$4:$K$40,$AL$63)="","",INDEX('Final Calculation Sheet'!$K$4:$K$40,$AL$63)))</f>
        <v/>
      </c>
      <c r="M63" s="159">
        <f>IF($AL$63="","",IF(INDEX('Final Calculation Sheet'!$L$4:$L$40,$AL$63)="","",INDEX('Final Calculation Sheet'!$L$4:$L$40,$AL$63)))</f>
        <v/>
      </c>
      <c r="N63" s="159">
        <f>IF($AL$63="","",IF(INDEX('Final Calculation Sheet'!$M$4:$M$40,$AL$63)="","",INDEX('Final Calculation Sheet'!$M$4:$M$40,$AL$63)))</f>
        <v/>
      </c>
      <c r="O63" s="160">
        <f>IF($AL$63="","",IF(INDEX('Final Calculation Sheet'!$N$4:$N$40,$AL$63)="","",INDEX('Final Calculation Sheet'!$N$4:$N$40,$AL$63)))</f>
        <v/>
      </c>
      <c r="P63" s="159">
        <f>IF($AL$63="","",IF(INDEX('Final Calculation Sheet'!$O$4:$O$40,$AL$63)="","",INDEX('Final Calculation Sheet'!$O$4:$O$40,$AL$63)))</f>
        <v/>
      </c>
      <c r="Q63" s="159">
        <f>IF($AL$63="","",IF(INDEX('Final Calculation Sheet'!$P$4:$P$40,$AL$63)="","",INDEX('Final Calculation Sheet'!$P$4:$P$40,$AL$63)))</f>
        <v/>
      </c>
      <c r="R63" s="161">
        <f>IF($AL$63="","",IF(INDEX('Final Calculation Sheet'!$Q$4:$Q$40,$AL$63)="","",INDEX('Final Calculation Sheet'!$Q$4:$Q$40,$AL$63)))</f>
        <v/>
      </c>
      <c r="S63" s="159">
        <f>IF($AL$63="","",IF(INDEX('Final Calculation Sheet'!$R$4:$R$40,$AL$63)="","",INDEX('Final Calculation Sheet'!$R$4:$R$40,$AL$63)))</f>
        <v/>
      </c>
      <c r="T63" s="159">
        <f>IF($AL$63="","",IF(INDEX('Final Calculation Sheet'!$S$4:$S$40,$AL$63)="","",INDEX('Final Calculation Sheet'!$S$4:$S$40,$AL$63)))</f>
        <v/>
      </c>
      <c r="U63" s="159">
        <f>IF($AL$63="","",IF(INDEX('Final Calculation Sheet'!$T$4:$T$40,$AL$63)="","",INDEX('Final Calculation Sheet'!$T$4:$T$40,$AL$63)))</f>
        <v/>
      </c>
      <c r="V63" s="162">
        <f>IF($AL$63="","",IF(INDEX('Final Calculation Sheet'!$U$4:$U$40,$AL$63)="","",INDEX('Final Calculation Sheet'!$U$4:$U$40,$AL$63)))</f>
        <v/>
      </c>
      <c r="W63" s="159">
        <f>IF($AL$63="","",IF(INDEX('Final Calculation Sheet'!$V$4:$V$40,$AL$63)="","",INDEX('Final Calculation Sheet'!$V$4:$V$40,$AL$63)))</f>
        <v/>
      </c>
      <c r="X63" s="159">
        <f>IF($AL$63="","",IF(INDEX('Final Calculation Sheet'!$W$4:$W$40,$AL$63)="","",INDEX('Final Calculation Sheet'!$W$4:$W$40,$AL$63)))</f>
        <v/>
      </c>
      <c r="Y63" s="159">
        <f>IF($AL$63="","",IF(INDEX('Final Calculation Sheet'!$X$4:$X$40,$AL$63)="","",INDEX('Final Calculation Sheet'!$X$4:$X$40,$AL$63)))</f>
        <v/>
      </c>
      <c r="Z63" s="159">
        <f>IF($AL$63="","",IF(INDEX('Final Calculation Sheet'!$Y$4:$Y$40,$AL$63)="","",INDEX('Final Calculation Sheet'!$Y$4:$Y$40,$AL$63)))</f>
        <v/>
      </c>
      <c r="AA63" s="159">
        <f>IF($AL$63="","",IF(INDEX('Final Calculation Sheet'!$Z$4:$Z$40,$AL$63)="","",INDEX('Final Calculation Sheet'!$Z$4:$Z$40,$AL$63)))</f>
        <v/>
      </c>
      <c r="AB63" s="159">
        <f>IF($AL$63="","",IF(INDEX('Final Calculation Sheet'!$AA$4:$AA$40,$AL$63)="","",INDEX('Final Calculation Sheet'!$AA$4:$AA$40,$AL$63)))</f>
        <v/>
      </c>
      <c r="AC63" s="159">
        <f>IF($AL$63="","",IF(INDEX('Final Calculation Sheet'!$AB$4:$AB$40,$AL$63)="","",INDEX('Final Calculation Sheet'!$AB$4:$AB$40,$AL$63)))</f>
        <v/>
      </c>
      <c r="AD63" s="159">
        <f>IF($AL$63="","",IF(INDEX('Final Calculation Sheet'!$AC$4:$AC$40,$AL$63)="","",INDEX('Final Calculation Sheet'!$AC$4:$AC$40,$AL$63)))</f>
        <v/>
      </c>
      <c r="AE63" s="159">
        <f>IF($AL$63="","",IF(INDEX('Final Calculation Sheet'!$AD$4:$AD$40,$AL$63)="","",INDEX('Final Calculation Sheet'!$AD$4:$AD$40,$AL$63)))</f>
        <v/>
      </c>
      <c r="AF63" s="159">
        <f>IF($AL$63="","",IF(INDEX('Final Calculation Sheet'!$AE$4:$AE$40,$AL$63)="","",INDEX('Final Calculation Sheet'!$AE$4:$AE$40,$AL$63)))</f>
        <v/>
      </c>
      <c r="AG63" s="163">
        <f>IF($AL$63="","",IF(INDEX('Final Calculation Sheet'!$AF$4:$AF$40,$AL$63)="","",INDEX('Final Calculation Sheet'!$AF$4:$AF$40,$AL$63)))</f>
        <v/>
      </c>
      <c r="AH63" s="159">
        <f>IF($AL$63="","",IF(INDEX('Final Calculation Sheet'!$AG$4:$AG$40,$AL$63)="","",INDEX('Final Calculation Sheet'!$AG$4:$AG$40,$AL$63)))</f>
        <v/>
      </c>
      <c r="AI63" s="164">
        <f>IF($AL$63="","",IF(INDEX('Final Calculation Sheet'!$AD$4:$AD$40,$AL$63)&lt;=5,"SETTLED","OUTSTANDING"))</f>
        <v/>
      </c>
      <c r="AL63">
        <f>IF(COUNTIF($B$4:$AI$4,"&lt;&gt;")=0,"",IFERROR(MATCH(4,$AK$6:$AK$42,0),""))</f>
        <v/>
      </c>
    </row>
    <row r="64">
      <c r="A64" s="146">
        <f>IF($AL$64="","",5)</f>
        <v/>
      </c>
      <c r="B64" s="147">
        <f>IF($AL$64="","",IF(INDEX('Final Calculation Sheet'!$F$4:$F$40,$AL$64)="","",INDEX('Final Calculation Sheet'!$F$4:$F$40,$AL$64)))</f>
        <v/>
      </c>
      <c r="C64" s="147">
        <f>IF($AL$64="","",IF(INDEX('Final Calculation Sheet'!$G$4:$G$40,$AL$64)="","",INDEX('Final Calculation Sheet'!$G$4:$G$40,$AL$64)))</f>
        <v/>
      </c>
      <c r="D64" s="149">
        <f>IF($AL$64="","",IF(INDEX('Final Calculation Sheet'!$B$4:$B$40,$AL$64)="","",INDEX('Final Calculation Sheet'!$B$4:$B$40,$AL$64)))</f>
        <v/>
      </c>
      <c r="E64" s="149">
        <f>IF($AL$64="","",IF(INDEX('Final Calculation Sheet'!$D$4:$D$40,$AL$64)="","",INDEX('Final Calculation Sheet'!$D$4:$D$40,$AL$64)))</f>
        <v/>
      </c>
      <c r="F64" s="149">
        <f>IF($AL$64="","",IF(INDEX('Final Calculation Sheet'!$A$4:$A$40,$AL$64)="","",INDEX('Final Calculation Sheet'!$A$4:$A$40,$AL$64)))</f>
        <v/>
      </c>
      <c r="G64" s="149">
        <f>IF($AL$64="","",IF(INDEX('Final Calculation Sheet'!$E$4:$E$40,$AL$64)="","",INDEX('Final Calculation Sheet'!$E$4:$E$40,$AL$64)))</f>
        <v/>
      </c>
      <c r="H64" s="150">
        <f>IF($AL$64="","",IF(INDEX('Final Calculation Sheet'!$C$4:$C$40,$AL$64)="","",INDEX('Final Calculation Sheet'!$C$4:$C$40,$AL$64)))</f>
        <v/>
      </c>
      <c r="I64" s="150">
        <f>IF($AL$64="","",IF(INDEX('Final Calculation Sheet'!$H$4:$H$40,$AL$64)="","",INDEX('Final Calculation Sheet'!$H$4:$H$40,$AL$64)))</f>
        <v/>
      </c>
      <c r="J64" s="150">
        <f>IF($AL$64="","",IF(INDEX('Final Calculation Sheet'!$I$4:$I$40,$AL$64)="","",INDEX('Final Calculation Sheet'!$I$4:$I$40,$AL$64)))</f>
        <v/>
      </c>
      <c r="K64" s="150">
        <f>IF($AL$64="","",IF(INDEX('Final Calculation Sheet'!$J$4:$J$40,$AL$64)="","",INDEX('Final Calculation Sheet'!$J$4:$J$40,$AL$64)))</f>
        <v/>
      </c>
      <c r="L64" s="150">
        <f>IF($AL$64="","",IF(INDEX('Final Calculation Sheet'!$K$4:$K$40,$AL$64)="","",INDEX('Final Calculation Sheet'!$K$4:$K$40,$AL$64)))</f>
        <v/>
      </c>
      <c r="M64" s="150">
        <f>IF($AL$64="","",IF(INDEX('Final Calculation Sheet'!$L$4:$L$40,$AL$64)="","",INDEX('Final Calculation Sheet'!$L$4:$L$40,$AL$64)))</f>
        <v/>
      </c>
      <c r="N64" s="150">
        <f>IF($AL$64="","",IF(INDEX('Final Calculation Sheet'!$M$4:$M$40,$AL$64)="","",INDEX('Final Calculation Sheet'!$M$4:$M$40,$AL$64)))</f>
        <v/>
      </c>
      <c r="O64" s="151">
        <f>IF($AL$64="","",IF(INDEX('Final Calculation Sheet'!$N$4:$N$40,$AL$64)="","",INDEX('Final Calculation Sheet'!$N$4:$N$40,$AL$64)))</f>
        <v/>
      </c>
      <c r="P64" s="150">
        <f>IF($AL$64="","",IF(INDEX('Final Calculation Sheet'!$O$4:$O$40,$AL$64)="","",INDEX('Final Calculation Sheet'!$O$4:$O$40,$AL$64)))</f>
        <v/>
      </c>
      <c r="Q64" s="150">
        <f>IF($AL$64="","",IF(INDEX('Final Calculation Sheet'!$P$4:$P$40,$AL$64)="","",INDEX('Final Calculation Sheet'!$P$4:$P$40,$AL$64)))</f>
        <v/>
      </c>
      <c r="R64" s="152">
        <f>IF($AL$64="","",IF(INDEX('Final Calculation Sheet'!$Q$4:$Q$40,$AL$64)="","",INDEX('Final Calculation Sheet'!$Q$4:$Q$40,$AL$64)))</f>
        <v/>
      </c>
      <c r="S64" s="150">
        <f>IF($AL$64="","",IF(INDEX('Final Calculation Sheet'!$R$4:$R$40,$AL$64)="","",INDEX('Final Calculation Sheet'!$R$4:$R$40,$AL$64)))</f>
        <v/>
      </c>
      <c r="T64" s="150">
        <f>IF($AL$64="","",IF(INDEX('Final Calculation Sheet'!$S$4:$S$40,$AL$64)="","",INDEX('Final Calculation Sheet'!$S$4:$S$40,$AL$64)))</f>
        <v/>
      </c>
      <c r="U64" s="150">
        <f>IF($AL$64="","",IF(INDEX('Final Calculation Sheet'!$T$4:$T$40,$AL$64)="","",INDEX('Final Calculation Sheet'!$T$4:$T$40,$AL$64)))</f>
        <v/>
      </c>
      <c r="V64" s="153">
        <f>IF($AL$64="","",IF(INDEX('Final Calculation Sheet'!$U$4:$U$40,$AL$64)="","",INDEX('Final Calculation Sheet'!$U$4:$U$40,$AL$64)))</f>
        <v/>
      </c>
      <c r="W64" s="150">
        <f>IF($AL$64="","",IF(INDEX('Final Calculation Sheet'!$V$4:$V$40,$AL$64)="","",INDEX('Final Calculation Sheet'!$V$4:$V$40,$AL$64)))</f>
        <v/>
      </c>
      <c r="X64" s="150">
        <f>IF($AL$64="","",IF(INDEX('Final Calculation Sheet'!$W$4:$W$40,$AL$64)="","",INDEX('Final Calculation Sheet'!$W$4:$W$40,$AL$64)))</f>
        <v/>
      </c>
      <c r="Y64" s="150">
        <f>IF($AL$64="","",IF(INDEX('Final Calculation Sheet'!$X$4:$X$40,$AL$64)="","",INDEX('Final Calculation Sheet'!$X$4:$X$40,$AL$64)))</f>
        <v/>
      </c>
      <c r="Z64" s="150">
        <f>IF($AL$64="","",IF(INDEX('Final Calculation Sheet'!$Y$4:$Y$40,$AL$64)="","",INDEX('Final Calculation Sheet'!$Y$4:$Y$40,$AL$64)))</f>
        <v/>
      </c>
      <c r="AA64" s="150">
        <f>IF($AL$64="","",IF(INDEX('Final Calculation Sheet'!$Z$4:$Z$40,$AL$64)="","",INDEX('Final Calculation Sheet'!$Z$4:$Z$40,$AL$64)))</f>
        <v/>
      </c>
      <c r="AB64" s="150">
        <f>IF($AL$64="","",IF(INDEX('Final Calculation Sheet'!$AA$4:$AA$40,$AL$64)="","",INDEX('Final Calculation Sheet'!$AA$4:$AA$40,$AL$64)))</f>
        <v/>
      </c>
      <c r="AC64" s="150">
        <f>IF($AL$64="","",IF(INDEX('Final Calculation Sheet'!$AB$4:$AB$40,$AL$64)="","",INDEX('Final Calculation Sheet'!$AB$4:$AB$40,$AL$64)))</f>
        <v/>
      </c>
      <c r="AD64" s="150">
        <f>IF($AL$64="","",IF(INDEX('Final Calculation Sheet'!$AC$4:$AC$40,$AL$64)="","",INDEX('Final Calculation Sheet'!$AC$4:$AC$40,$AL$64)))</f>
        <v/>
      </c>
      <c r="AE64" s="150">
        <f>IF($AL$64="","",IF(INDEX('Final Calculation Sheet'!$AD$4:$AD$40,$AL$64)="","",INDEX('Final Calculation Sheet'!$AD$4:$AD$40,$AL$64)))</f>
        <v/>
      </c>
      <c r="AF64" s="150">
        <f>IF($AL$64="","",IF(INDEX('Final Calculation Sheet'!$AE$4:$AE$40,$AL$64)="","",INDEX('Final Calculation Sheet'!$AE$4:$AE$40,$AL$64)))</f>
        <v/>
      </c>
      <c r="AG64" s="154">
        <f>IF($AL$64="","",IF(INDEX('Final Calculation Sheet'!$AF$4:$AF$40,$AL$64)="","",INDEX('Final Calculation Sheet'!$AF$4:$AF$40,$AL$64)))</f>
        <v/>
      </c>
      <c r="AH64" s="150">
        <f>IF($AL$64="","",IF(INDEX('Final Calculation Sheet'!$AG$4:$AG$40,$AL$64)="","",INDEX('Final Calculation Sheet'!$AG$4:$AG$40,$AL$64)))</f>
        <v/>
      </c>
      <c r="AI64" s="155">
        <f>IF($AL$64="","",IF(INDEX('Final Calculation Sheet'!$AD$4:$AD$40,$AL$64)&lt;=5,"SETTLED","OUTSTANDING"))</f>
        <v/>
      </c>
      <c r="AL64">
        <f>IF(COUNTIF($B$4:$AI$4,"&lt;&gt;")=0,"",IFERROR(MATCH(5,$AK$6:$AK$42,0),""))</f>
        <v/>
      </c>
    </row>
    <row r="65">
      <c r="A65" s="156">
        <f>IF($AL$65="","",6)</f>
        <v/>
      </c>
      <c r="B65" s="157">
        <f>IF($AL$65="","",IF(INDEX('Final Calculation Sheet'!$F$4:$F$40,$AL$65)="","",INDEX('Final Calculation Sheet'!$F$4:$F$40,$AL$65)))</f>
        <v/>
      </c>
      <c r="C65" s="157">
        <f>IF($AL$65="","",IF(INDEX('Final Calculation Sheet'!$G$4:$G$40,$AL$65)="","",INDEX('Final Calculation Sheet'!$G$4:$G$40,$AL$65)))</f>
        <v/>
      </c>
      <c r="D65" s="158">
        <f>IF($AL$65="","",IF(INDEX('Final Calculation Sheet'!$B$4:$B$40,$AL$65)="","",INDEX('Final Calculation Sheet'!$B$4:$B$40,$AL$65)))</f>
        <v/>
      </c>
      <c r="E65" s="158">
        <f>IF($AL$65="","",IF(INDEX('Final Calculation Sheet'!$D$4:$D$40,$AL$65)="","",INDEX('Final Calculation Sheet'!$D$4:$D$40,$AL$65)))</f>
        <v/>
      </c>
      <c r="F65" s="158">
        <f>IF($AL$65="","",IF(INDEX('Final Calculation Sheet'!$A$4:$A$40,$AL$65)="","",INDEX('Final Calculation Sheet'!$A$4:$A$40,$AL$65)))</f>
        <v/>
      </c>
      <c r="G65" s="158">
        <f>IF($AL$65="","",IF(INDEX('Final Calculation Sheet'!$E$4:$E$40,$AL$65)="","",INDEX('Final Calculation Sheet'!$E$4:$E$40,$AL$65)))</f>
        <v/>
      </c>
      <c r="H65" s="159">
        <f>IF($AL$65="","",IF(INDEX('Final Calculation Sheet'!$C$4:$C$40,$AL$65)="","",INDEX('Final Calculation Sheet'!$C$4:$C$40,$AL$65)))</f>
        <v/>
      </c>
      <c r="I65" s="159">
        <f>IF($AL$65="","",IF(INDEX('Final Calculation Sheet'!$H$4:$H$40,$AL$65)="","",INDEX('Final Calculation Sheet'!$H$4:$H$40,$AL$65)))</f>
        <v/>
      </c>
      <c r="J65" s="159">
        <f>IF($AL$65="","",IF(INDEX('Final Calculation Sheet'!$I$4:$I$40,$AL$65)="","",INDEX('Final Calculation Sheet'!$I$4:$I$40,$AL$65)))</f>
        <v/>
      </c>
      <c r="K65" s="159">
        <f>IF($AL$65="","",IF(INDEX('Final Calculation Sheet'!$J$4:$J$40,$AL$65)="","",INDEX('Final Calculation Sheet'!$J$4:$J$40,$AL$65)))</f>
        <v/>
      </c>
      <c r="L65" s="159">
        <f>IF($AL$65="","",IF(INDEX('Final Calculation Sheet'!$K$4:$K$40,$AL$65)="","",INDEX('Final Calculation Sheet'!$K$4:$K$40,$AL$65)))</f>
        <v/>
      </c>
      <c r="M65" s="159">
        <f>IF($AL$65="","",IF(INDEX('Final Calculation Sheet'!$L$4:$L$40,$AL$65)="","",INDEX('Final Calculation Sheet'!$L$4:$L$40,$AL$65)))</f>
        <v/>
      </c>
      <c r="N65" s="159">
        <f>IF($AL$65="","",IF(INDEX('Final Calculation Sheet'!$M$4:$M$40,$AL$65)="","",INDEX('Final Calculation Sheet'!$M$4:$M$40,$AL$65)))</f>
        <v/>
      </c>
      <c r="O65" s="160">
        <f>IF($AL$65="","",IF(INDEX('Final Calculation Sheet'!$N$4:$N$40,$AL$65)="","",INDEX('Final Calculation Sheet'!$N$4:$N$40,$AL$65)))</f>
        <v/>
      </c>
      <c r="P65" s="159">
        <f>IF($AL$65="","",IF(INDEX('Final Calculation Sheet'!$O$4:$O$40,$AL$65)="","",INDEX('Final Calculation Sheet'!$O$4:$O$40,$AL$65)))</f>
        <v/>
      </c>
      <c r="Q65" s="159">
        <f>IF($AL$65="","",IF(INDEX('Final Calculation Sheet'!$P$4:$P$40,$AL$65)="","",INDEX('Final Calculation Sheet'!$P$4:$P$40,$AL$65)))</f>
        <v/>
      </c>
      <c r="R65" s="161">
        <f>IF($AL$65="","",IF(INDEX('Final Calculation Sheet'!$Q$4:$Q$40,$AL$65)="","",INDEX('Final Calculation Sheet'!$Q$4:$Q$40,$AL$65)))</f>
        <v/>
      </c>
      <c r="S65" s="159">
        <f>IF($AL$65="","",IF(INDEX('Final Calculation Sheet'!$R$4:$R$40,$AL$65)="","",INDEX('Final Calculation Sheet'!$R$4:$R$40,$AL$65)))</f>
        <v/>
      </c>
      <c r="T65" s="159">
        <f>IF($AL$65="","",IF(INDEX('Final Calculation Sheet'!$S$4:$S$40,$AL$65)="","",INDEX('Final Calculation Sheet'!$S$4:$S$40,$AL$65)))</f>
        <v/>
      </c>
      <c r="U65" s="159">
        <f>IF($AL$65="","",IF(INDEX('Final Calculation Sheet'!$T$4:$T$40,$AL$65)="","",INDEX('Final Calculation Sheet'!$T$4:$T$40,$AL$65)))</f>
        <v/>
      </c>
      <c r="V65" s="162">
        <f>IF($AL$65="","",IF(INDEX('Final Calculation Sheet'!$U$4:$U$40,$AL$65)="","",INDEX('Final Calculation Sheet'!$U$4:$U$40,$AL$65)))</f>
        <v/>
      </c>
      <c r="W65" s="159">
        <f>IF($AL$65="","",IF(INDEX('Final Calculation Sheet'!$V$4:$V$40,$AL$65)="","",INDEX('Final Calculation Sheet'!$V$4:$V$40,$AL$65)))</f>
        <v/>
      </c>
      <c r="X65" s="159">
        <f>IF($AL$65="","",IF(INDEX('Final Calculation Sheet'!$W$4:$W$40,$AL$65)="","",INDEX('Final Calculation Sheet'!$W$4:$W$40,$AL$65)))</f>
        <v/>
      </c>
      <c r="Y65" s="159">
        <f>IF($AL$65="","",IF(INDEX('Final Calculation Sheet'!$X$4:$X$40,$AL$65)="","",INDEX('Final Calculation Sheet'!$X$4:$X$40,$AL$65)))</f>
        <v/>
      </c>
      <c r="Z65" s="159">
        <f>IF($AL$65="","",IF(INDEX('Final Calculation Sheet'!$Y$4:$Y$40,$AL$65)="","",INDEX('Final Calculation Sheet'!$Y$4:$Y$40,$AL$65)))</f>
        <v/>
      </c>
      <c r="AA65" s="159">
        <f>IF($AL$65="","",IF(INDEX('Final Calculation Sheet'!$Z$4:$Z$40,$AL$65)="","",INDEX('Final Calculation Sheet'!$Z$4:$Z$40,$AL$65)))</f>
        <v/>
      </c>
      <c r="AB65" s="159">
        <f>IF($AL$65="","",IF(INDEX('Final Calculation Sheet'!$AA$4:$AA$40,$AL$65)="","",INDEX('Final Calculation Sheet'!$AA$4:$AA$40,$AL$65)))</f>
        <v/>
      </c>
      <c r="AC65" s="159">
        <f>IF($AL$65="","",IF(INDEX('Final Calculation Sheet'!$AB$4:$AB$40,$AL$65)="","",INDEX('Final Calculation Sheet'!$AB$4:$AB$40,$AL$65)))</f>
        <v/>
      </c>
      <c r="AD65" s="159">
        <f>IF($AL$65="","",IF(INDEX('Final Calculation Sheet'!$AC$4:$AC$40,$AL$65)="","",INDEX('Final Calculation Sheet'!$AC$4:$AC$40,$AL$65)))</f>
        <v/>
      </c>
      <c r="AE65" s="159">
        <f>IF($AL$65="","",IF(INDEX('Final Calculation Sheet'!$AD$4:$AD$40,$AL$65)="","",INDEX('Final Calculation Sheet'!$AD$4:$AD$40,$AL$65)))</f>
        <v/>
      </c>
      <c r="AF65" s="159">
        <f>IF($AL$65="","",IF(INDEX('Final Calculation Sheet'!$AE$4:$AE$40,$AL$65)="","",INDEX('Final Calculation Sheet'!$AE$4:$AE$40,$AL$65)))</f>
        <v/>
      </c>
      <c r="AG65" s="163">
        <f>IF($AL$65="","",IF(INDEX('Final Calculation Sheet'!$AF$4:$AF$40,$AL$65)="","",INDEX('Final Calculation Sheet'!$AF$4:$AF$40,$AL$65)))</f>
        <v/>
      </c>
      <c r="AH65" s="159">
        <f>IF($AL$65="","",IF(INDEX('Final Calculation Sheet'!$AG$4:$AG$40,$AL$65)="","",INDEX('Final Calculation Sheet'!$AG$4:$AG$40,$AL$65)))</f>
        <v/>
      </c>
      <c r="AI65" s="164">
        <f>IF($AL$65="","",IF(INDEX('Final Calculation Sheet'!$AD$4:$AD$40,$AL$65)&lt;=5,"SETTLED","OUTSTANDING"))</f>
        <v/>
      </c>
      <c r="AL65">
        <f>IF(COUNTIF($B$4:$AI$4,"&lt;&gt;")=0,"",IFERROR(MATCH(6,$AK$6:$AK$42,0),""))</f>
        <v/>
      </c>
    </row>
    <row r="66">
      <c r="A66" s="146">
        <f>IF($AL$66="","",7)</f>
        <v/>
      </c>
      <c r="B66" s="147">
        <f>IF($AL$66="","",IF(INDEX('Final Calculation Sheet'!$F$4:$F$40,$AL$66)="","",INDEX('Final Calculation Sheet'!$F$4:$F$40,$AL$66)))</f>
        <v/>
      </c>
      <c r="C66" s="147">
        <f>IF($AL$66="","",IF(INDEX('Final Calculation Sheet'!$G$4:$G$40,$AL$66)="","",INDEX('Final Calculation Sheet'!$G$4:$G$40,$AL$66)))</f>
        <v/>
      </c>
      <c r="D66" s="149">
        <f>IF($AL$66="","",IF(INDEX('Final Calculation Sheet'!$B$4:$B$40,$AL$66)="","",INDEX('Final Calculation Sheet'!$B$4:$B$40,$AL$66)))</f>
        <v/>
      </c>
      <c r="E66" s="149">
        <f>IF($AL$66="","",IF(INDEX('Final Calculation Sheet'!$D$4:$D$40,$AL$66)="","",INDEX('Final Calculation Sheet'!$D$4:$D$40,$AL$66)))</f>
        <v/>
      </c>
      <c r="F66" s="149">
        <f>IF($AL$66="","",IF(INDEX('Final Calculation Sheet'!$A$4:$A$40,$AL$66)="","",INDEX('Final Calculation Sheet'!$A$4:$A$40,$AL$66)))</f>
        <v/>
      </c>
      <c r="G66" s="149">
        <f>IF($AL$66="","",IF(INDEX('Final Calculation Sheet'!$E$4:$E$40,$AL$66)="","",INDEX('Final Calculation Sheet'!$E$4:$E$40,$AL$66)))</f>
        <v/>
      </c>
      <c r="H66" s="150">
        <f>IF($AL$66="","",IF(INDEX('Final Calculation Sheet'!$C$4:$C$40,$AL$66)="","",INDEX('Final Calculation Sheet'!$C$4:$C$40,$AL$66)))</f>
        <v/>
      </c>
      <c r="I66" s="150">
        <f>IF($AL$66="","",IF(INDEX('Final Calculation Sheet'!$H$4:$H$40,$AL$66)="","",INDEX('Final Calculation Sheet'!$H$4:$H$40,$AL$66)))</f>
        <v/>
      </c>
      <c r="J66" s="150">
        <f>IF($AL$66="","",IF(INDEX('Final Calculation Sheet'!$I$4:$I$40,$AL$66)="","",INDEX('Final Calculation Sheet'!$I$4:$I$40,$AL$66)))</f>
        <v/>
      </c>
      <c r="K66" s="150">
        <f>IF($AL$66="","",IF(INDEX('Final Calculation Sheet'!$J$4:$J$40,$AL$66)="","",INDEX('Final Calculation Sheet'!$J$4:$J$40,$AL$66)))</f>
        <v/>
      </c>
      <c r="L66" s="150">
        <f>IF($AL$66="","",IF(INDEX('Final Calculation Sheet'!$K$4:$K$40,$AL$66)="","",INDEX('Final Calculation Sheet'!$K$4:$K$40,$AL$66)))</f>
        <v/>
      </c>
      <c r="M66" s="150">
        <f>IF($AL$66="","",IF(INDEX('Final Calculation Sheet'!$L$4:$L$40,$AL$66)="","",INDEX('Final Calculation Sheet'!$L$4:$L$40,$AL$66)))</f>
        <v/>
      </c>
      <c r="N66" s="150">
        <f>IF($AL$66="","",IF(INDEX('Final Calculation Sheet'!$M$4:$M$40,$AL$66)="","",INDEX('Final Calculation Sheet'!$M$4:$M$40,$AL$66)))</f>
        <v/>
      </c>
      <c r="O66" s="151">
        <f>IF($AL$66="","",IF(INDEX('Final Calculation Sheet'!$N$4:$N$40,$AL$66)="","",INDEX('Final Calculation Sheet'!$N$4:$N$40,$AL$66)))</f>
        <v/>
      </c>
      <c r="P66" s="150">
        <f>IF($AL$66="","",IF(INDEX('Final Calculation Sheet'!$O$4:$O$40,$AL$66)="","",INDEX('Final Calculation Sheet'!$O$4:$O$40,$AL$66)))</f>
        <v/>
      </c>
      <c r="Q66" s="150">
        <f>IF($AL$66="","",IF(INDEX('Final Calculation Sheet'!$P$4:$P$40,$AL$66)="","",INDEX('Final Calculation Sheet'!$P$4:$P$40,$AL$66)))</f>
        <v/>
      </c>
      <c r="R66" s="152">
        <f>IF($AL$66="","",IF(INDEX('Final Calculation Sheet'!$Q$4:$Q$40,$AL$66)="","",INDEX('Final Calculation Sheet'!$Q$4:$Q$40,$AL$66)))</f>
        <v/>
      </c>
      <c r="S66" s="150">
        <f>IF($AL$66="","",IF(INDEX('Final Calculation Sheet'!$R$4:$R$40,$AL$66)="","",INDEX('Final Calculation Sheet'!$R$4:$R$40,$AL$66)))</f>
        <v/>
      </c>
      <c r="T66" s="150">
        <f>IF($AL$66="","",IF(INDEX('Final Calculation Sheet'!$S$4:$S$40,$AL$66)="","",INDEX('Final Calculation Sheet'!$S$4:$S$40,$AL$66)))</f>
        <v/>
      </c>
      <c r="U66" s="150">
        <f>IF($AL$66="","",IF(INDEX('Final Calculation Sheet'!$T$4:$T$40,$AL$66)="","",INDEX('Final Calculation Sheet'!$T$4:$T$40,$AL$66)))</f>
        <v/>
      </c>
      <c r="V66" s="153">
        <f>IF($AL$66="","",IF(INDEX('Final Calculation Sheet'!$U$4:$U$40,$AL$66)="","",INDEX('Final Calculation Sheet'!$U$4:$U$40,$AL$66)))</f>
        <v/>
      </c>
      <c r="W66" s="150">
        <f>IF($AL$66="","",IF(INDEX('Final Calculation Sheet'!$V$4:$V$40,$AL$66)="","",INDEX('Final Calculation Sheet'!$V$4:$V$40,$AL$66)))</f>
        <v/>
      </c>
      <c r="X66" s="150">
        <f>IF($AL$66="","",IF(INDEX('Final Calculation Sheet'!$W$4:$W$40,$AL$66)="","",INDEX('Final Calculation Sheet'!$W$4:$W$40,$AL$66)))</f>
        <v/>
      </c>
      <c r="Y66" s="150">
        <f>IF($AL$66="","",IF(INDEX('Final Calculation Sheet'!$X$4:$X$40,$AL$66)="","",INDEX('Final Calculation Sheet'!$X$4:$X$40,$AL$66)))</f>
        <v/>
      </c>
      <c r="Z66" s="150">
        <f>IF($AL$66="","",IF(INDEX('Final Calculation Sheet'!$Y$4:$Y$40,$AL$66)="","",INDEX('Final Calculation Sheet'!$Y$4:$Y$40,$AL$66)))</f>
        <v/>
      </c>
      <c r="AA66" s="150">
        <f>IF($AL$66="","",IF(INDEX('Final Calculation Sheet'!$Z$4:$Z$40,$AL$66)="","",INDEX('Final Calculation Sheet'!$Z$4:$Z$40,$AL$66)))</f>
        <v/>
      </c>
      <c r="AB66" s="150">
        <f>IF($AL$66="","",IF(INDEX('Final Calculation Sheet'!$AA$4:$AA$40,$AL$66)="","",INDEX('Final Calculation Sheet'!$AA$4:$AA$40,$AL$66)))</f>
        <v/>
      </c>
      <c r="AC66" s="150">
        <f>IF($AL$66="","",IF(INDEX('Final Calculation Sheet'!$AB$4:$AB$40,$AL$66)="","",INDEX('Final Calculation Sheet'!$AB$4:$AB$40,$AL$66)))</f>
        <v/>
      </c>
      <c r="AD66" s="150">
        <f>IF($AL$66="","",IF(INDEX('Final Calculation Sheet'!$AC$4:$AC$40,$AL$66)="","",INDEX('Final Calculation Sheet'!$AC$4:$AC$40,$AL$66)))</f>
        <v/>
      </c>
      <c r="AE66" s="150">
        <f>IF($AL$66="","",IF(INDEX('Final Calculation Sheet'!$AD$4:$AD$40,$AL$66)="","",INDEX('Final Calculation Sheet'!$AD$4:$AD$40,$AL$66)))</f>
        <v/>
      </c>
      <c r="AF66" s="150">
        <f>IF($AL$66="","",IF(INDEX('Final Calculation Sheet'!$AE$4:$AE$40,$AL$66)="","",INDEX('Final Calculation Sheet'!$AE$4:$AE$40,$AL$66)))</f>
        <v/>
      </c>
      <c r="AG66" s="154">
        <f>IF($AL$66="","",IF(INDEX('Final Calculation Sheet'!$AF$4:$AF$40,$AL$66)="","",INDEX('Final Calculation Sheet'!$AF$4:$AF$40,$AL$66)))</f>
        <v/>
      </c>
      <c r="AH66" s="150">
        <f>IF($AL$66="","",IF(INDEX('Final Calculation Sheet'!$AG$4:$AG$40,$AL$66)="","",INDEX('Final Calculation Sheet'!$AG$4:$AG$40,$AL$66)))</f>
        <v/>
      </c>
      <c r="AI66" s="155">
        <f>IF($AL$66="","",IF(INDEX('Final Calculation Sheet'!$AD$4:$AD$40,$AL$66)&lt;=5,"SETTLED","OUTSTANDING"))</f>
        <v/>
      </c>
      <c r="AL66">
        <f>IF(COUNTIF($B$4:$AI$4,"&lt;&gt;")=0,"",IFERROR(MATCH(7,$AK$6:$AK$42,0),""))</f>
        <v/>
      </c>
    </row>
    <row r="67">
      <c r="A67" s="156">
        <f>IF($AL$67="","",8)</f>
        <v/>
      </c>
      <c r="B67" s="157">
        <f>IF($AL$67="","",IF(INDEX('Final Calculation Sheet'!$F$4:$F$40,$AL$67)="","",INDEX('Final Calculation Sheet'!$F$4:$F$40,$AL$67)))</f>
        <v/>
      </c>
      <c r="C67" s="157">
        <f>IF($AL$67="","",IF(INDEX('Final Calculation Sheet'!$G$4:$G$40,$AL$67)="","",INDEX('Final Calculation Sheet'!$G$4:$G$40,$AL$67)))</f>
        <v/>
      </c>
      <c r="D67" s="158">
        <f>IF($AL$67="","",IF(INDEX('Final Calculation Sheet'!$B$4:$B$40,$AL$67)="","",INDEX('Final Calculation Sheet'!$B$4:$B$40,$AL$67)))</f>
        <v/>
      </c>
      <c r="E67" s="158">
        <f>IF($AL$67="","",IF(INDEX('Final Calculation Sheet'!$D$4:$D$40,$AL$67)="","",INDEX('Final Calculation Sheet'!$D$4:$D$40,$AL$67)))</f>
        <v/>
      </c>
      <c r="F67" s="158">
        <f>IF($AL$67="","",IF(INDEX('Final Calculation Sheet'!$A$4:$A$40,$AL$67)="","",INDEX('Final Calculation Sheet'!$A$4:$A$40,$AL$67)))</f>
        <v/>
      </c>
      <c r="G67" s="158">
        <f>IF($AL$67="","",IF(INDEX('Final Calculation Sheet'!$E$4:$E$40,$AL$67)="","",INDEX('Final Calculation Sheet'!$E$4:$E$40,$AL$67)))</f>
        <v/>
      </c>
      <c r="H67" s="159">
        <f>IF($AL$67="","",IF(INDEX('Final Calculation Sheet'!$C$4:$C$40,$AL$67)="","",INDEX('Final Calculation Sheet'!$C$4:$C$40,$AL$67)))</f>
        <v/>
      </c>
      <c r="I67" s="159">
        <f>IF($AL$67="","",IF(INDEX('Final Calculation Sheet'!$H$4:$H$40,$AL$67)="","",INDEX('Final Calculation Sheet'!$H$4:$H$40,$AL$67)))</f>
        <v/>
      </c>
      <c r="J67" s="159">
        <f>IF($AL$67="","",IF(INDEX('Final Calculation Sheet'!$I$4:$I$40,$AL$67)="","",INDEX('Final Calculation Sheet'!$I$4:$I$40,$AL$67)))</f>
        <v/>
      </c>
      <c r="K67" s="159">
        <f>IF($AL$67="","",IF(INDEX('Final Calculation Sheet'!$J$4:$J$40,$AL$67)="","",INDEX('Final Calculation Sheet'!$J$4:$J$40,$AL$67)))</f>
        <v/>
      </c>
      <c r="L67" s="159">
        <f>IF($AL$67="","",IF(INDEX('Final Calculation Sheet'!$K$4:$K$40,$AL$67)="","",INDEX('Final Calculation Sheet'!$K$4:$K$40,$AL$67)))</f>
        <v/>
      </c>
      <c r="M67" s="159">
        <f>IF($AL$67="","",IF(INDEX('Final Calculation Sheet'!$L$4:$L$40,$AL$67)="","",INDEX('Final Calculation Sheet'!$L$4:$L$40,$AL$67)))</f>
        <v/>
      </c>
      <c r="N67" s="159">
        <f>IF($AL$67="","",IF(INDEX('Final Calculation Sheet'!$M$4:$M$40,$AL$67)="","",INDEX('Final Calculation Sheet'!$M$4:$M$40,$AL$67)))</f>
        <v/>
      </c>
      <c r="O67" s="160">
        <f>IF($AL$67="","",IF(INDEX('Final Calculation Sheet'!$N$4:$N$40,$AL$67)="","",INDEX('Final Calculation Sheet'!$N$4:$N$40,$AL$67)))</f>
        <v/>
      </c>
      <c r="P67" s="159">
        <f>IF($AL$67="","",IF(INDEX('Final Calculation Sheet'!$O$4:$O$40,$AL$67)="","",INDEX('Final Calculation Sheet'!$O$4:$O$40,$AL$67)))</f>
        <v/>
      </c>
      <c r="Q67" s="159">
        <f>IF($AL$67="","",IF(INDEX('Final Calculation Sheet'!$P$4:$P$40,$AL$67)="","",INDEX('Final Calculation Sheet'!$P$4:$P$40,$AL$67)))</f>
        <v/>
      </c>
      <c r="R67" s="161">
        <f>IF($AL$67="","",IF(INDEX('Final Calculation Sheet'!$Q$4:$Q$40,$AL$67)="","",INDEX('Final Calculation Sheet'!$Q$4:$Q$40,$AL$67)))</f>
        <v/>
      </c>
      <c r="S67" s="159">
        <f>IF($AL$67="","",IF(INDEX('Final Calculation Sheet'!$R$4:$R$40,$AL$67)="","",INDEX('Final Calculation Sheet'!$R$4:$R$40,$AL$67)))</f>
        <v/>
      </c>
      <c r="T67" s="159">
        <f>IF($AL$67="","",IF(INDEX('Final Calculation Sheet'!$S$4:$S$40,$AL$67)="","",INDEX('Final Calculation Sheet'!$S$4:$S$40,$AL$67)))</f>
        <v/>
      </c>
      <c r="U67" s="159">
        <f>IF($AL$67="","",IF(INDEX('Final Calculation Sheet'!$T$4:$T$40,$AL$67)="","",INDEX('Final Calculation Sheet'!$T$4:$T$40,$AL$67)))</f>
        <v/>
      </c>
      <c r="V67" s="162">
        <f>IF($AL$67="","",IF(INDEX('Final Calculation Sheet'!$U$4:$U$40,$AL$67)="","",INDEX('Final Calculation Sheet'!$U$4:$U$40,$AL$67)))</f>
        <v/>
      </c>
      <c r="W67" s="159">
        <f>IF($AL$67="","",IF(INDEX('Final Calculation Sheet'!$V$4:$V$40,$AL$67)="","",INDEX('Final Calculation Sheet'!$V$4:$V$40,$AL$67)))</f>
        <v/>
      </c>
      <c r="X67" s="159">
        <f>IF($AL$67="","",IF(INDEX('Final Calculation Sheet'!$W$4:$W$40,$AL$67)="","",INDEX('Final Calculation Sheet'!$W$4:$W$40,$AL$67)))</f>
        <v/>
      </c>
      <c r="Y67" s="159">
        <f>IF($AL$67="","",IF(INDEX('Final Calculation Sheet'!$X$4:$X$40,$AL$67)="","",INDEX('Final Calculation Sheet'!$X$4:$X$40,$AL$67)))</f>
        <v/>
      </c>
      <c r="Z67" s="159">
        <f>IF($AL$67="","",IF(INDEX('Final Calculation Sheet'!$Y$4:$Y$40,$AL$67)="","",INDEX('Final Calculation Sheet'!$Y$4:$Y$40,$AL$67)))</f>
        <v/>
      </c>
      <c r="AA67" s="159">
        <f>IF($AL$67="","",IF(INDEX('Final Calculation Sheet'!$Z$4:$Z$40,$AL$67)="","",INDEX('Final Calculation Sheet'!$Z$4:$Z$40,$AL$67)))</f>
        <v/>
      </c>
      <c r="AB67" s="159">
        <f>IF($AL$67="","",IF(INDEX('Final Calculation Sheet'!$AA$4:$AA$40,$AL$67)="","",INDEX('Final Calculation Sheet'!$AA$4:$AA$40,$AL$67)))</f>
        <v/>
      </c>
      <c r="AC67" s="159">
        <f>IF($AL$67="","",IF(INDEX('Final Calculation Sheet'!$AB$4:$AB$40,$AL$67)="","",INDEX('Final Calculation Sheet'!$AB$4:$AB$40,$AL$67)))</f>
        <v/>
      </c>
      <c r="AD67" s="159">
        <f>IF($AL$67="","",IF(INDEX('Final Calculation Sheet'!$AC$4:$AC$40,$AL$67)="","",INDEX('Final Calculation Sheet'!$AC$4:$AC$40,$AL$67)))</f>
        <v/>
      </c>
      <c r="AE67" s="159">
        <f>IF($AL$67="","",IF(INDEX('Final Calculation Sheet'!$AD$4:$AD$40,$AL$67)="","",INDEX('Final Calculation Sheet'!$AD$4:$AD$40,$AL$67)))</f>
        <v/>
      </c>
      <c r="AF67" s="159">
        <f>IF($AL$67="","",IF(INDEX('Final Calculation Sheet'!$AE$4:$AE$40,$AL$67)="","",INDEX('Final Calculation Sheet'!$AE$4:$AE$40,$AL$67)))</f>
        <v/>
      </c>
      <c r="AG67" s="163">
        <f>IF($AL$67="","",IF(INDEX('Final Calculation Sheet'!$AF$4:$AF$40,$AL$67)="","",INDEX('Final Calculation Sheet'!$AF$4:$AF$40,$AL$67)))</f>
        <v/>
      </c>
      <c r="AH67" s="159">
        <f>IF($AL$67="","",IF(INDEX('Final Calculation Sheet'!$AG$4:$AG$40,$AL$67)="","",INDEX('Final Calculation Sheet'!$AG$4:$AG$40,$AL$67)))</f>
        <v/>
      </c>
      <c r="AI67" s="164">
        <f>IF($AL$67="","",IF(INDEX('Final Calculation Sheet'!$AD$4:$AD$40,$AL$67)&lt;=5,"SETTLED","OUTSTANDING"))</f>
        <v/>
      </c>
      <c r="AL67">
        <f>IF(COUNTIF($B$4:$AI$4,"&lt;&gt;")=0,"",IFERROR(MATCH(8,$AK$6:$AK$42,0),""))</f>
        <v/>
      </c>
    </row>
    <row r="68">
      <c r="A68" s="146">
        <f>IF($AL$68="","",9)</f>
        <v/>
      </c>
      <c r="B68" s="147">
        <f>IF($AL$68="","",IF(INDEX('Final Calculation Sheet'!$F$4:$F$40,$AL$68)="","",INDEX('Final Calculation Sheet'!$F$4:$F$40,$AL$68)))</f>
        <v/>
      </c>
      <c r="C68" s="147">
        <f>IF($AL$68="","",IF(INDEX('Final Calculation Sheet'!$G$4:$G$40,$AL$68)="","",INDEX('Final Calculation Sheet'!$G$4:$G$40,$AL$68)))</f>
        <v/>
      </c>
      <c r="D68" s="149">
        <f>IF($AL$68="","",IF(INDEX('Final Calculation Sheet'!$B$4:$B$40,$AL$68)="","",INDEX('Final Calculation Sheet'!$B$4:$B$40,$AL$68)))</f>
        <v/>
      </c>
      <c r="E68" s="149">
        <f>IF($AL$68="","",IF(INDEX('Final Calculation Sheet'!$D$4:$D$40,$AL$68)="","",INDEX('Final Calculation Sheet'!$D$4:$D$40,$AL$68)))</f>
        <v/>
      </c>
      <c r="F68" s="149">
        <f>IF($AL$68="","",IF(INDEX('Final Calculation Sheet'!$A$4:$A$40,$AL$68)="","",INDEX('Final Calculation Sheet'!$A$4:$A$40,$AL$68)))</f>
        <v/>
      </c>
      <c r="G68" s="149">
        <f>IF($AL$68="","",IF(INDEX('Final Calculation Sheet'!$E$4:$E$40,$AL$68)="","",INDEX('Final Calculation Sheet'!$E$4:$E$40,$AL$68)))</f>
        <v/>
      </c>
      <c r="H68" s="150">
        <f>IF($AL$68="","",IF(INDEX('Final Calculation Sheet'!$C$4:$C$40,$AL$68)="","",INDEX('Final Calculation Sheet'!$C$4:$C$40,$AL$68)))</f>
        <v/>
      </c>
      <c r="I68" s="150">
        <f>IF($AL$68="","",IF(INDEX('Final Calculation Sheet'!$H$4:$H$40,$AL$68)="","",INDEX('Final Calculation Sheet'!$H$4:$H$40,$AL$68)))</f>
        <v/>
      </c>
      <c r="J68" s="150">
        <f>IF($AL$68="","",IF(INDEX('Final Calculation Sheet'!$I$4:$I$40,$AL$68)="","",INDEX('Final Calculation Sheet'!$I$4:$I$40,$AL$68)))</f>
        <v/>
      </c>
      <c r="K68" s="150">
        <f>IF($AL$68="","",IF(INDEX('Final Calculation Sheet'!$J$4:$J$40,$AL$68)="","",INDEX('Final Calculation Sheet'!$J$4:$J$40,$AL$68)))</f>
        <v/>
      </c>
      <c r="L68" s="150">
        <f>IF($AL$68="","",IF(INDEX('Final Calculation Sheet'!$K$4:$K$40,$AL$68)="","",INDEX('Final Calculation Sheet'!$K$4:$K$40,$AL$68)))</f>
        <v/>
      </c>
      <c r="M68" s="150">
        <f>IF($AL$68="","",IF(INDEX('Final Calculation Sheet'!$L$4:$L$40,$AL$68)="","",INDEX('Final Calculation Sheet'!$L$4:$L$40,$AL$68)))</f>
        <v/>
      </c>
      <c r="N68" s="150">
        <f>IF($AL$68="","",IF(INDEX('Final Calculation Sheet'!$M$4:$M$40,$AL$68)="","",INDEX('Final Calculation Sheet'!$M$4:$M$40,$AL$68)))</f>
        <v/>
      </c>
      <c r="O68" s="151">
        <f>IF($AL$68="","",IF(INDEX('Final Calculation Sheet'!$N$4:$N$40,$AL$68)="","",INDEX('Final Calculation Sheet'!$N$4:$N$40,$AL$68)))</f>
        <v/>
      </c>
      <c r="P68" s="150">
        <f>IF($AL$68="","",IF(INDEX('Final Calculation Sheet'!$O$4:$O$40,$AL$68)="","",INDEX('Final Calculation Sheet'!$O$4:$O$40,$AL$68)))</f>
        <v/>
      </c>
      <c r="Q68" s="150">
        <f>IF($AL$68="","",IF(INDEX('Final Calculation Sheet'!$P$4:$P$40,$AL$68)="","",INDEX('Final Calculation Sheet'!$P$4:$P$40,$AL$68)))</f>
        <v/>
      </c>
      <c r="R68" s="152">
        <f>IF($AL$68="","",IF(INDEX('Final Calculation Sheet'!$Q$4:$Q$40,$AL$68)="","",INDEX('Final Calculation Sheet'!$Q$4:$Q$40,$AL$68)))</f>
        <v/>
      </c>
      <c r="S68" s="150">
        <f>IF($AL$68="","",IF(INDEX('Final Calculation Sheet'!$R$4:$R$40,$AL$68)="","",INDEX('Final Calculation Sheet'!$R$4:$R$40,$AL$68)))</f>
        <v/>
      </c>
      <c r="T68" s="150">
        <f>IF($AL$68="","",IF(INDEX('Final Calculation Sheet'!$S$4:$S$40,$AL$68)="","",INDEX('Final Calculation Sheet'!$S$4:$S$40,$AL$68)))</f>
        <v/>
      </c>
      <c r="U68" s="150">
        <f>IF($AL$68="","",IF(INDEX('Final Calculation Sheet'!$T$4:$T$40,$AL$68)="","",INDEX('Final Calculation Sheet'!$T$4:$T$40,$AL$68)))</f>
        <v/>
      </c>
      <c r="V68" s="153">
        <f>IF($AL$68="","",IF(INDEX('Final Calculation Sheet'!$U$4:$U$40,$AL$68)="","",INDEX('Final Calculation Sheet'!$U$4:$U$40,$AL$68)))</f>
        <v/>
      </c>
      <c r="W68" s="150">
        <f>IF($AL$68="","",IF(INDEX('Final Calculation Sheet'!$V$4:$V$40,$AL$68)="","",INDEX('Final Calculation Sheet'!$V$4:$V$40,$AL$68)))</f>
        <v/>
      </c>
      <c r="X68" s="150">
        <f>IF($AL$68="","",IF(INDEX('Final Calculation Sheet'!$W$4:$W$40,$AL$68)="","",INDEX('Final Calculation Sheet'!$W$4:$W$40,$AL$68)))</f>
        <v/>
      </c>
      <c r="Y68" s="150">
        <f>IF($AL$68="","",IF(INDEX('Final Calculation Sheet'!$X$4:$X$40,$AL$68)="","",INDEX('Final Calculation Sheet'!$X$4:$X$40,$AL$68)))</f>
        <v/>
      </c>
      <c r="Z68" s="150">
        <f>IF($AL$68="","",IF(INDEX('Final Calculation Sheet'!$Y$4:$Y$40,$AL$68)="","",INDEX('Final Calculation Sheet'!$Y$4:$Y$40,$AL$68)))</f>
        <v/>
      </c>
      <c r="AA68" s="150">
        <f>IF($AL$68="","",IF(INDEX('Final Calculation Sheet'!$Z$4:$Z$40,$AL$68)="","",INDEX('Final Calculation Sheet'!$Z$4:$Z$40,$AL$68)))</f>
        <v/>
      </c>
      <c r="AB68" s="150">
        <f>IF($AL$68="","",IF(INDEX('Final Calculation Sheet'!$AA$4:$AA$40,$AL$68)="","",INDEX('Final Calculation Sheet'!$AA$4:$AA$40,$AL$68)))</f>
        <v/>
      </c>
      <c r="AC68" s="150">
        <f>IF($AL$68="","",IF(INDEX('Final Calculation Sheet'!$AB$4:$AB$40,$AL$68)="","",INDEX('Final Calculation Sheet'!$AB$4:$AB$40,$AL$68)))</f>
        <v/>
      </c>
      <c r="AD68" s="150">
        <f>IF($AL$68="","",IF(INDEX('Final Calculation Sheet'!$AC$4:$AC$40,$AL$68)="","",INDEX('Final Calculation Sheet'!$AC$4:$AC$40,$AL$68)))</f>
        <v/>
      </c>
      <c r="AE68" s="150">
        <f>IF($AL$68="","",IF(INDEX('Final Calculation Sheet'!$AD$4:$AD$40,$AL$68)="","",INDEX('Final Calculation Sheet'!$AD$4:$AD$40,$AL$68)))</f>
        <v/>
      </c>
      <c r="AF68" s="150">
        <f>IF($AL$68="","",IF(INDEX('Final Calculation Sheet'!$AE$4:$AE$40,$AL$68)="","",INDEX('Final Calculation Sheet'!$AE$4:$AE$40,$AL$68)))</f>
        <v/>
      </c>
      <c r="AG68" s="154">
        <f>IF($AL$68="","",IF(INDEX('Final Calculation Sheet'!$AF$4:$AF$40,$AL$68)="","",INDEX('Final Calculation Sheet'!$AF$4:$AF$40,$AL$68)))</f>
        <v/>
      </c>
      <c r="AH68" s="150">
        <f>IF($AL$68="","",IF(INDEX('Final Calculation Sheet'!$AG$4:$AG$40,$AL$68)="","",INDEX('Final Calculation Sheet'!$AG$4:$AG$40,$AL$68)))</f>
        <v/>
      </c>
      <c r="AI68" s="155">
        <f>IF($AL$68="","",IF(INDEX('Final Calculation Sheet'!$AD$4:$AD$40,$AL$68)&lt;=5,"SETTLED","OUTSTANDING"))</f>
        <v/>
      </c>
      <c r="AL68">
        <f>IF(COUNTIF($B$4:$AI$4,"&lt;&gt;")=0,"",IFERROR(MATCH(9,$AK$6:$AK$42,0),""))</f>
        <v/>
      </c>
    </row>
    <row r="69">
      <c r="A69" s="156">
        <f>IF($AL$69="","",10)</f>
        <v/>
      </c>
      <c r="B69" s="157">
        <f>IF($AL$69="","",IF(INDEX('Final Calculation Sheet'!$F$4:$F$40,$AL$69)="","",INDEX('Final Calculation Sheet'!$F$4:$F$40,$AL$69)))</f>
        <v/>
      </c>
      <c r="C69" s="157">
        <f>IF($AL$69="","",IF(INDEX('Final Calculation Sheet'!$G$4:$G$40,$AL$69)="","",INDEX('Final Calculation Sheet'!$G$4:$G$40,$AL$69)))</f>
        <v/>
      </c>
      <c r="D69" s="158">
        <f>IF($AL$69="","",IF(INDEX('Final Calculation Sheet'!$B$4:$B$40,$AL$69)="","",INDEX('Final Calculation Sheet'!$B$4:$B$40,$AL$69)))</f>
        <v/>
      </c>
      <c r="E69" s="158">
        <f>IF($AL$69="","",IF(INDEX('Final Calculation Sheet'!$D$4:$D$40,$AL$69)="","",INDEX('Final Calculation Sheet'!$D$4:$D$40,$AL$69)))</f>
        <v/>
      </c>
      <c r="F69" s="158">
        <f>IF($AL$69="","",IF(INDEX('Final Calculation Sheet'!$A$4:$A$40,$AL$69)="","",INDEX('Final Calculation Sheet'!$A$4:$A$40,$AL$69)))</f>
        <v/>
      </c>
      <c r="G69" s="158">
        <f>IF($AL$69="","",IF(INDEX('Final Calculation Sheet'!$E$4:$E$40,$AL$69)="","",INDEX('Final Calculation Sheet'!$E$4:$E$40,$AL$69)))</f>
        <v/>
      </c>
      <c r="H69" s="159">
        <f>IF($AL$69="","",IF(INDEX('Final Calculation Sheet'!$C$4:$C$40,$AL$69)="","",INDEX('Final Calculation Sheet'!$C$4:$C$40,$AL$69)))</f>
        <v/>
      </c>
      <c r="I69" s="159">
        <f>IF($AL$69="","",IF(INDEX('Final Calculation Sheet'!$H$4:$H$40,$AL$69)="","",INDEX('Final Calculation Sheet'!$H$4:$H$40,$AL$69)))</f>
        <v/>
      </c>
      <c r="J69" s="159">
        <f>IF($AL$69="","",IF(INDEX('Final Calculation Sheet'!$I$4:$I$40,$AL$69)="","",INDEX('Final Calculation Sheet'!$I$4:$I$40,$AL$69)))</f>
        <v/>
      </c>
      <c r="K69" s="159">
        <f>IF($AL$69="","",IF(INDEX('Final Calculation Sheet'!$J$4:$J$40,$AL$69)="","",INDEX('Final Calculation Sheet'!$J$4:$J$40,$AL$69)))</f>
        <v/>
      </c>
      <c r="L69" s="159">
        <f>IF($AL$69="","",IF(INDEX('Final Calculation Sheet'!$K$4:$K$40,$AL$69)="","",INDEX('Final Calculation Sheet'!$K$4:$K$40,$AL$69)))</f>
        <v/>
      </c>
      <c r="M69" s="159">
        <f>IF($AL$69="","",IF(INDEX('Final Calculation Sheet'!$L$4:$L$40,$AL$69)="","",INDEX('Final Calculation Sheet'!$L$4:$L$40,$AL$69)))</f>
        <v/>
      </c>
      <c r="N69" s="159">
        <f>IF($AL$69="","",IF(INDEX('Final Calculation Sheet'!$M$4:$M$40,$AL$69)="","",INDEX('Final Calculation Sheet'!$M$4:$M$40,$AL$69)))</f>
        <v/>
      </c>
      <c r="O69" s="160">
        <f>IF($AL$69="","",IF(INDEX('Final Calculation Sheet'!$N$4:$N$40,$AL$69)="","",INDEX('Final Calculation Sheet'!$N$4:$N$40,$AL$69)))</f>
        <v/>
      </c>
      <c r="P69" s="159">
        <f>IF($AL$69="","",IF(INDEX('Final Calculation Sheet'!$O$4:$O$40,$AL$69)="","",INDEX('Final Calculation Sheet'!$O$4:$O$40,$AL$69)))</f>
        <v/>
      </c>
      <c r="Q69" s="159">
        <f>IF($AL$69="","",IF(INDEX('Final Calculation Sheet'!$P$4:$P$40,$AL$69)="","",INDEX('Final Calculation Sheet'!$P$4:$P$40,$AL$69)))</f>
        <v/>
      </c>
      <c r="R69" s="161">
        <f>IF($AL$69="","",IF(INDEX('Final Calculation Sheet'!$Q$4:$Q$40,$AL$69)="","",INDEX('Final Calculation Sheet'!$Q$4:$Q$40,$AL$69)))</f>
        <v/>
      </c>
      <c r="S69" s="159">
        <f>IF($AL$69="","",IF(INDEX('Final Calculation Sheet'!$R$4:$R$40,$AL$69)="","",INDEX('Final Calculation Sheet'!$R$4:$R$40,$AL$69)))</f>
        <v/>
      </c>
      <c r="T69" s="159">
        <f>IF($AL$69="","",IF(INDEX('Final Calculation Sheet'!$S$4:$S$40,$AL$69)="","",INDEX('Final Calculation Sheet'!$S$4:$S$40,$AL$69)))</f>
        <v/>
      </c>
      <c r="U69" s="159">
        <f>IF($AL$69="","",IF(INDEX('Final Calculation Sheet'!$T$4:$T$40,$AL$69)="","",INDEX('Final Calculation Sheet'!$T$4:$T$40,$AL$69)))</f>
        <v/>
      </c>
      <c r="V69" s="162">
        <f>IF($AL$69="","",IF(INDEX('Final Calculation Sheet'!$U$4:$U$40,$AL$69)="","",INDEX('Final Calculation Sheet'!$U$4:$U$40,$AL$69)))</f>
        <v/>
      </c>
      <c r="W69" s="159">
        <f>IF($AL$69="","",IF(INDEX('Final Calculation Sheet'!$V$4:$V$40,$AL$69)="","",INDEX('Final Calculation Sheet'!$V$4:$V$40,$AL$69)))</f>
        <v/>
      </c>
      <c r="X69" s="159">
        <f>IF($AL$69="","",IF(INDEX('Final Calculation Sheet'!$W$4:$W$40,$AL$69)="","",INDEX('Final Calculation Sheet'!$W$4:$W$40,$AL$69)))</f>
        <v/>
      </c>
      <c r="Y69" s="159">
        <f>IF($AL$69="","",IF(INDEX('Final Calculation Sheet'!$X$4:$X$40,$AL$69)="","",INDEX('Final Calculation Sheet'!$X$4:$X$40,$AL$69)))</f>
        <v/>
      </c>
      <c r="Z69" s="159">
        <f>IF($AL$69="","",IF(INDEX('Final Calculation Sheet'!$Y$4:$Y$40,$AL$69)="","",INDEX('Final Calculation Sheet'!$Y$4:$Y$40,$AL$69)))</f>
        <v/>
      </c>
      <c r="AA69" s="159">
        <f>IF($AL$69="","",IF(INDEX('Final Calculation Sheet'!$Z$4:$Z$40,$AL$69)="","",INDEX('Final Calculation Sheet'!$Z$4:$Z$40,$AL$69)))</f>
        <v/>
      </c>
      <c r="AB69" s="159">
        <f>IF($AL$69="","",IF(INDEX('Final Calculation Sheet'!$AA$4:$AA$40,$AL$69)="","",INDEX('Final Calculation Sheet'!$AA$4:$AA$40,$AL$69)))</f>
        <v/>
      </c>
      <c r="AC69" s="159">
        <f>IF($AL$69="","",IF(INDEX('Final Calculation Sheet'!$AB$4:$AB$40,$AL$69)="","",INDEX('Final Calculation Sheet'!$AB$4:$AB$40,$AL$69)))</f>
        <v/>
      </c>
      <c r="AD69" s="159">
        <f>IF($AL$69="","",IF(INDEX('Final Calculation Sheet'!$AC$4:$AC$40,$AL$69)="","",INDEX('Final Calculation Sheet'!$AC$4:$AC$40,$AL$69)))</f>
        <v/>
      </c>
      <c r="AE69" s="159">
        <f>IF($AL$69="","",IF(INDEX('Final Calculation Sheet'!$AD$4:$AD$40,$AL$69)="","",INDEX('Final Calculation Sheet'!$AD$4:$AD$40,$AL$69)))</f>
        <v/>
      </c>
      <c r="AF69" s="159">
        <f>IF($AL$69="","",IF(INDEX('Final Calculation Sheet'!$AE$4:$AE$40,$AL$69)="","",INDEX('Final Calculation Sheet'!$AE$4:$AE$40,$AL$69)))</f>
        <v/>
      </c>
      <c r="AG69" s="163">
        <f>IF($AL$69="","",IF(INDEX('Final Calculation Sheet'!$AF$4:$AF$40,$AL$69)="","",INDEX('Final Calculation Sheet'!$AF$4:$AF$40,$AL$69)))</f>
        <v/>
      </c>
      <c r="AH69" s="159">
        <f>IF($AL$69="","",IF(INDEX('Final Calculation Sheet'!$AG$4:$AG$40,$AL$69)="","",INDEX('Final Calculation Sheet'!$AG$4:$AG$40,$AL$69)))</f>
        <v/>
      </c>
      <c r="AI69" s="164">
        <f>IF($AL$69="","",IF(INDEX('Final Calculation Sheet'!$AD$4:$AD$40,$AL$69)&lt;=5,"SETTLED","OUTSTANDING"))</f>
        <v/>
      </c>
      <c r="AL69">
        <f>IF(COUNTIF($B$4:$AI$4,"&lt;&gt;")=0,"",IFERROR(MATCH(10,$AK$6:$AK$42,0),""))</f>
        <v/>
      </c>
    </row>
    <row r="70">
      <c r="A70" s="146">
        <f>IF($AL$70="","",11)</f>
        <v/>
      </c>
      <c r="B70" s="147">
        <f>IF($AL$70="","",IF(INDEX('Final Calculation Sheet'!$F$4:$F$40,$AL$70)="","",INDEX('Final Calculation Sheet'!$F$4:$F$40,$AL$70)))</f>
        <v/>
      </c>
      <c r="C70" s="147">
        <f>IF($AL$70="","",IF(INDEX('Final Calculation Sheet'!$G$4:$G$40,$AL$70)="","",INDEX('Final Calculation Sheet'!$G$4:$G$40,$AL$70)))</f>
        <v/>
      </c>
      <c r="D70" s="149">
        <f>IF($AL$70="","",IF(INDEX('Final Calculation Sheet'!$B$4:$B$40,$AL$70)="","",INDEX('Final Calculation Sheet'!$B$4:$B$40,$AL$70)))</f>
        <v/>
      </c>
      <c r="E70" s="149">
        <f>IF($AL$70="","",IF(INDEX('Final Calculation Sheet'!$D$4:$D$40,$AL$70)="","",INDEX('Final Calculation Sheet'!$D$4:$D$40,$AL$70)))</f>
        <v/>
      </c>
      <c r="F70" s="149">
        <f>IF($AL$70="","",IF(INDEX('Final Calculation Sheet'!$A$4:$A$40,$AL$70)="","",INDEX('Final Calculation Sheet'!$A$4:$A$40,$AL$70)))</f>
        <v/>
      </c>
      <c r="G70" s="149">
        <f>IF($AL$70="","",IF(INDEX('Final Calculation Sheet'!$E$4:$E$40,$AL$70)="","",INDEX('Final Calculation Sheet'!$E$4:$E$40,$AL$70)))</f>
        <v/>
      </c>
      <c r="H70" s="150">
        <f>IF($AL$70="","",IF(INDEX('Final Calculation Sheet'!$C$4:$C$40,$AL$70)="","",INDEX('Final Calculation Sheet'!$C$4:$C$40,$AL$70)))</f>
        <v/>
      </c>
      <c r="I70" s="150">
        <f>IF($AL$70="","",IF(INDEX('Final Calculation Sheet'!$H$4:$H$40,$AL$70)="","",INDEX('Final Calculation Sheet'!$H$4:$H$40,$AL$70)))</f>
        <v/>
      </c>
      <c r="J70" s="150">
        <f>IF($AL$70="","",IF(INDEX('Final Calculation Sheet'!$I$4:$I$40,$AL$70)="","",INDEX('Final Calculation Sheet'!$I$4:$I$40,$AL$70)))</f>
        <v/>
      </c>
      <c r="K70" s="150">
        <f>IF($AL$70="","",IF(INDEX('Final Calculation Sheet'!$J$4:$J$40,$AL$70)="","",INDEX('Final Calculation Sheet'!$J$4:$J$40,$AL$70)))</f>
        <v/>
      </c>
      <c r="L70" s="150">
        <f>IF($AL$70="","",IF(INDEX('Final Calculation Sheet'!$K$4:$K$40,$AL$70)="","",INDEX('Final Calculation Sheet'!$K$4:$K$40,$AL$70)))</f>
        <v/>
      </c>
      <c r="M70" s="150">
        <f>IF($AL$70="","",IF(INDEX('Final Calculation Sheet'!$L$4:$L$40,$AL$70)="","",INDEX('Final Calculation Sheet'!$L$4:$L$40,$AL$70)))</f>
        <v/>
      </c>
      <c r="N70" s="150">
        <f>IF($AL$70="","",IF(INDEX('Final Calculation Sheet'!$M$4:$M$40,$AL$70)="","",INDEX('Final Calculation Sheet'!$M$4:$M$40,$AL$70)))</f>
        <v/>
      </c>
      <c r="O70" s="151">
        <f>IF($AL$70="","",IF(INDEX('Final Calculation Sheet'!$N$4:$N$40,$AL$70)="","",INDEX('Final Calculation Sheet'!$N$4:$N$40,$AL$70)))</f>
        <v/>
      </c>
      <c r="P70" s="150">
        <f>IF($AL$70="","",IF(INDEX('Final Calculation Sheet'!$O$4:$O$40,$AL$70)="","",INDEX('Final Calculation Sheet'!$O$4:$O$40,$AL$70)))</f>
        <v/>
      </c>
      <c r="Q70" s="150">
        <f>IF($AL$70="","",IF(INDEX('Final Calculation Sheet'!$P$4:$P$40,$AL$70)="","",INDEX('Final Calculation Sheet'!$P$4:$P$40,$AL$70)))</f>
        <v/>
      </c>
      <c r="R70" s="152">
        <f>IF($AL$70="","",IF(INDEX('Final Calculation Sheet'!$Q$4:$Q$40,$AL$70)="","",INDEX('Final Calculation Sheet'!$Q$4:$Q$40,$AL$70)))</f>
        <v/>
      </c>
      <c r="S70" s="150">
        <f>IF($AL$70="","",IF(INDEX('Final Calculation Sheet'!$R$4:$R$40,$AL$70)="","",INDEX('Final Calculation Sheet'!$R$4:$R$40,$AL$70)))</f>
        <v/>
      </c>
      <c r="T70" s="150">
        <f>IF($AL$70="","",IF(INDEX('Final Calculation Sheet'!$S$4:$S$40,$AL$70)="","",INDEX('Final Calculation Sheet'!$S$4:$S$40,$AL$70)))</f>
        <v/>
      </c>
      <c r="U70" s="150">
        <f>IF($AL$70="","",IF(INDEX('Final Calculation Sheet'!$T$4:$T$40,$AL$70)="","",INDEX('Final Calculation Sheet'!$T$4:$T$40,$AL$70)))</f>
        <v/>
      </c>
      <c r="V70" s="153">
        <f>IF($AL$70="","",IF(INDEX('Final Calculation Sheet'!$U$4:$U$40,$AL$70)="","",INDEX('Final Calculation Sheet'!$U$4:$U$40,$AL$70)))</f>
        <v/>
      </c>
      <c r="W70" s="150">
        <f>IF($AL$70="","",IF(INDEX('Final Calculation Sheet'!$V$4:$V$40,$AL$70)="","",INDEX('Final Calculation Sheet'!$V$4:$V$40,$AL$70)))</f>
        <v/>
      </c>
      <c r="X70" s="150">
        <f>IF($AL$70="","",IF(INDEX('Final Calculation Sheet'!$W$4:$W$40,$AL$70)="","",INDEX('Final Calculation Sheet'!$W$4:$W$40,$AL$70)))</f>
        <v/>
      </c>
      <c r="Y70" s="150">
        <f>IF($AL$70="","",IF(INDEX('Final Calculation Sheet'!$X$4:$X$40,$AL$70)="","",INDEX('Final Calculation Sheet'!$X$4:$X$40,$AL$70)))</f>
        <v/>
      </c>
      <c r="Z70" s="150">
        <f>IF($AL$70="","",IF(INDEX('Final Calculation Sheet'!$Y$4:$Y$40,$AL$70)="","",INDEX('Final Calculation Sheet'!$Y$4:$Y$40,$AL$70)))</f>
        <v/>
      </c>
      <c r="AA70" s="150">
        <f>IF($AL$70="","",IF(INDEX('Final Calculation Sheet'!$Z$4:$Z$40,$AL$70)="","",INDEX('Final Calculation Sheet'!$Z$4:$Z$40,$AL$70)))</f>
        <v/>
      </c>
      <c r="AB70" s="150">
        <f>IF($AL$70="","",IF(INDEX('Final Calculation Sheet'!$AA$4:$AA$40,$AL$70)="","",INDEX('Final Calculation Sheet'!$AA$4:$AA$40,$AL$70)))</f>
        <v/>
      </c>
      <c r="AC70" s="150">
        <f>IF($AL$70="","",IF(INDEX('Final Calculation Sheet'!$AB$4:$AB$40,$AL$70)="","",INDEX('Final Calculation Sheet'!$AB$4:$AB$40,$AL$70)))</f>
        <v/>
      </c>
      <c r="AD70" s="150">
        <f>IF($AL$70="","",IF(INDEX('Final Calculation Sheet'!$AC$4:$AC$40,$AL$70)="","",INDEX('Final Calculation Sheet'!$AC$4:$AC$40,$AL$70)))</f>
        <v/>
      </c>
      <c r="AE70" s="150">
        <f>IF($AL$70="","",IF(INDEX('Final Calculation Sheet'!$AD$4:$AD$40,$AL$70)="","",INDEX('Final Calculation Sheet'!$AD$4:$AD$40,$AL$70)))</f>
        <v/>
      </c>
      <c r="AF70" s="150">
        <f>IF($AL$70="","",IF(INDEX('Final Calculation Sheet'!$AE$4:$AE$40,$AL$70)="","",INDEX('Final Calculation Sheet'!$AE$4:$AE$40,$AL$70)))</f>
        <v/>
      </c>
      <c r="AG70" s="154">
        <f>IF($AL$70="","",IF(INDEX('Final Calculation Sheet'!$AF$4:$AF$40,$AL$70)="","",INDEX('Final Calculation Sheet'!$AF$4:$AF$40,$AL$70)))</f>
        <v/>
      </c>
      <c r="AH70" s="150">
        <f>IF($AL$70="","",IF(INDEX('Final Calculation Sheet'!$AG$4:$AG$40,$AL$70)="","",INDEX('Final Calculation Sheet'!$AG$4:$AG$40,$AL$70)))</f>
        <v/>
      </c>
      <c r="AI70" s="155">
        <f>IF($AL$70="","",IF(INDEX('Final Calculation Sheet'!$AD$4:$AD$40,$AL$70)&lt;=5,"SETTLED","OUTSTANDING"))</f>
        <v/>
      </c>
      <c r="AL70">
        <f>IF(COUNTIF($B$4:$AI$4,"&lt;&gt;")=0,"",IFERROR(MATCH(11,$AK$6:$AK$42,0),""))</f>
        <v/>
      </c>
    </row>
    <row r="71">
      <c r="A71" s="156">
        <f>IF($AL$71="","",12)</f>
        <v/>
      </c>
      <c r="B71" s="157">
        <f>IF($AL$71="","",IF(INDEX('Final Calculation Sheet'!$F$4:$F$40,$AL$71)="","",INDEX('Final Calculation Sheet'!$F$4:$F$40,$AL$71)))</f>
        <v/>
      </c>
      <c r="C71" s="157">
        <f>IF($AL$71="","",IF(INDEX('Final Calculation Sheet'!$G$4:$G$40,$AL$71)="","",INDEX('Final Calculation Sheet'!$G$4:$G$40,$AL$71)))</f>
        <v/>
      </c>
      <c r="D71" s="158">
        <f>IF($AL$71="","",IF(INDEX('Final Calculation Sheet'!$B$4:$B$40,$AL$71)="","",INDEX('Final Calculation Sheet'!$B$4:$B$40,$AL$71)))</f>
        <v/>
      </c>
      <c r="E71" s="158">
        <f>IF($AL$71="","",IF(INDEX('Final Calculation Sheet'!$D$4:$D$40,$AL$71)="","",INDEX('Final Calculation Sheet'!$D$4:$D$40,$AL$71)))</f>
        <v/>
      </c>
      <c r="F71" s="158">
        <f>IF($AL$71="","",IF(INDEX('Final Calculation Sheet'!$A$4:$A$40,$AL$71)="","",INDEX('Final Calculation Sheet'!$A$4:$A$40,$AL$71)))</f>
        <v/>
      </c>
      <c r="G71" s="158">
        <f>IF($AL$71="","",IF(INDEX('Final Calculation Sheet'!$E$4:$E$40,$AL$71)="","",INDEX('Final Calculation Sheet'!$E$4:$E$40,$AL$71)))</f>
        <v/>
      </c>
      <c r="H71" s="159">
        <f>IF($AL$71="","",IF(INDEX('Final Calculation Sheet'!$C$4:$C$40,$AL$71)="","",INDEX('Final Calculation Sheet'!$C$4:$C$40,$AL$71)))</f>
        <v/>
      </c>
      <c r="I71" s="159">
        <f>IF($AL$71="","",IF(INDEX('Final Calculation Sheet'!$H$4:$H$40,$AL$71)="","",INDEX('Final Calculation Sheet'!$H$4:$H$40,$AL$71)))</f>
        <v/>
      </c>
      <c r="J71" s="159">
        <f>IF($AL$71="","",IF(INDEX('Final Calculation Sheet'!$I$4:$I$40,$AL$71)="","",INDEX('Final Calculation Sheet'!$I$4:$I$40,$AL$71)))</f>
        <v/>
      </c>
      <c r="K71" s="159">
        <f>IF($AL$71="","",IF(INDEX('Final Calculation Sheet'!$J$4:$J$40,$AL$71)="","",INDEX('Final Calculation Sheet'!$J$4:$J$40,$AL$71)))</f>
        <v/>
      </c>
      <c r="L71" s="159">
        <f>IF($AL$71="","",IF(INDEX('Final Calculation Sheet'!$K$4:$K$40,$AL$71)="","",INDEX('Final Calculation Sheet'!$K$4:$K$40,$AL$71)))</f>
        <v/>
      </c>
      <c r="M71" s="159">
        <f>IF($AL$71="","",IF(INDEX('Final Calculation Sheet'!$L$4:$L$40,$AL$71)="","",INDEX('Final Calculation Sheet'!$L$4:$L$40,$AL$71)))</f>
        <v/>
      </c>
      <c r="N71" s="159">
        <f>IF($AL$71="","",IF(INDEX('Final Calculation Sheet'!$M$4:$M$40,$AL$71)="","",INDEX('Final Calculation Sheet'!$M$4:$M$40,$AL$71)))</f>
        <v/>
      </c>
      <c r="O71" s="160">
        <f>IF($AL$71="","",IF(INDEX('Final Calculation Sheet'!$N$4:$N$40,$AL$71)="","",INDEX('Final Calculation Sheet'!$N$4:$N$40,$AL$71)))</f>
        <v/>
      </c>
      <c r="P71" s="159">
        <f>IF($AL$71="","",IF(INDEX('Final Calculation Sheet'!$O$4:$O$40,$AL$71)="","",INDEX('Final Calculation Sheet'!$O$4:$O$40,$AL$71)))</f>
        <v/>
      </c>
      <c r="Q71" s="159">
        <f>IF($AL$71="","",IF(INDEX('Final Calculation Sheet'!$P$4:$P$40,$AL$71)="","",INDEX('Final Calculation Sheet'!$P$4:$P$40,$AL$71)))</f>
        <v/>
      </c>
      <c r="R71" s="161">
        <f>IF($AL$71="","",IF(INDEX('Final Calculation Sheet'!$Q$4:$Q$40,$AL$71)="","",INDEX('Final Calculation Sheet'!$Q$4:$Q$40,$AL$71)))</f>
        <v/>
      </c>
      <c r="S71" s="159">
        <f>IF($AL$71="","",IF(INDEX('Final Calculation Sheet'!$R$4:$R$40,$AL$71)="","",INDEX('Final Calculation Sheet'!$R$4:$R$40,$AL$71)))</f>
        <v/>
      </c>
      <c r="T71" s="159">
        <f>IF($AL$71="","",IF(INDEX('Final Calculation Sheet'!$S$4:$S$40,$AL$71)="","",INDEX('Final Calculation Sheet'!$S$4:$S$40,$AL$71)))</f>
        <v/>
      </c>
      <c r="U71" s="159">
        <f>IF($AL$71="","",IF(INDEX('Final Calculation Sheet'!$T$4:$T$40,$AL$71)="","",INDEX('Final Calculation Sheet'!$T$4:$T$40,$AL$71)))</f>
        <v/>
      </c>
      <c r="V71" s="162">
        <f>IF($AL$71="","",IF(INDEX('Final Calculation Sheet'!$U$4:$U$40,$AL$71)="","",INDEX('Final Calculation Sheet'!$U$4:$U$40,$AL$71)))</f>
        <v/>
      </c>
      <c r="W71" s="159">
        <f>IF($AL$71="","",IF(INDEX('Final Calculation Sheet'!$V$4:$V$40,$AL$71)="","",INDEX('Final Calculation Sheet'!$V$4:$V$40,$AL$71)))</f>
        <v/>
      </c>
      <c r="X71" s="159">
        <f>IF($AL$71="","",IF(INDEX('Final Calculation Sheet'!$W$4:$W$40,$AL$71)="","",INDEX('Final Calculation Sheet'!$W$4:$W$40,$AL$71)))</f>
        <v/>
      </c>
      <c r="Y71" s="159">
        <f>IF($AL$71="","",IF(INDEX('Final Calculation Sheet'!$X$4:$X$40,$AL$71)="","",INDEX('Final Calculation Sheet'!$X$4:$X$40,$AL$71)))</f>
        <v/>
      </c>
      <c r="Z71" s="159">
        <f>IF($AL$71="","",IF(INDEX('Final Calculation Sheet'!$Y$4:$Y$40,$AL$71)="","",INDEX('Final Calculation Sheet'!$Y$4:$Y$40,$AL$71)))</f>
        <v/>
      </c>
      <c r="AA71" s="159">
        <f>IF($AL$71="","",IF(INDEX('Final Calculation Sheet'!$Z$4:$Z$40,$AL$71)="","",INDEX('Final Calculation Sheet'!$Z$4:$Z$40,$AL$71)))</f>
        <v/>
      </c>
      <c r="AB71" s="159">
        <f>IF($AL$71="","",IF(INDEX('Final Calculation Sheet'!$AA$4:$AA$40,$AL$71)="","",INDEX('Final Calculation Sheet'!$AA$4:$AA$40,$AL$71)))</f>
        <v/>
      </c>
      <c r="AC71" s="159">
        <f>IF($AL$71="","",IF(INDEX('Final Calculation Sheet'!$AB$4:$AB$40,$AL$71)="","",INDEX('Final Calculation Sheet'!$AB$4:$AB$40,$AL$71)))</f>
        <v/>
      </c>
      <c r="AD71" s="159">
        <f>IF($AL$71="","",IF(INDEX('Final Calculation Sheet'!$AC$4:$AC$40,$AL$71)="","",INDEX('Final Calculation Sheet'!$AC$4:$AC$40,$AL$71)))</f>
        <v/>
      </c>
      <c r="AE71" s="159">
        <f>IF($AL$71="","",IF(INDEX('Final Calculation Sheet'!$AD$4:$AD$40,$AL$71)="","",INDEX('Final Calculation Sheet'!$AD$4:$AD$40,$AL$71)))</f>
        <v/>
      </c>
      <c r="AF71" s="159">
        <f>IF($AL$71="","",IF(INDEX('Final Calculation Sheet'!$AE$4:$AE$40,$AL$71)="","",INDEX('Final Calculation Sheet'!$AE$4:$AE$40,$AL$71)))</f>
        <v/>
      </c>
      <c r="AG71" s="163">
        <f>IF($AL$71="","",IF(INDEX('Final Calculation Sheet'!$AF$4:$AF$40,$AL$71)="","",INDEX('Final Calculation Sheet'!$AF$4:$AF$40,$AL$71)))</f>
        <v/>
      </c>
      <c r="AH71" s="159">
        <f>IF($AL$71="","",IF(INDEX('Final Calculation Sheet'!$AG$4:$AG$40,$AL$71)="","",INDEX('Final Calculation Sheet'!$AG$4:$AG$40,$AL$71)))</f>
        <v/>
      </c>
      <c r="AI71" s="164">
        <f>IF($AL$71="","",IF(INDEX('Final Calculation Sheet'!$AD$4:$AD$40,$AL$71)&lt;=5,"SETTLED","OUTSTANDING"))</f>
        <v/>
      </c>
      <c r="AL71">
        <f>IF(COUNTIF($B$4:$AI$4,"&lt;&gt;")=0,"",IFERROR(MATCH(12,$AK$6:$AK$42,0),""))</f>
        <v/>
      </c>
    </row>
    <row r="72">
      <c r="A72" s="146">
        <f>IF($AL$72="","",13)</f>
        <v/>
      </c>
      <c r="B72" s="147">
        <f>IF($AL$72="","",IF(INDEX('Final Calculation Sheet'!$F$4:$F$40,$AL$72)="","",INDEX('Final Calculation Sheet'!$F$4:$F$40,$AL$72)))</f>
        <v/>
      </c>
      <c r="C72" s="147">
        <f>IF($AL$72="","",IF(INDEX('Final Calculation Sheet'!$G$4:$G$40,$AL$72)="","",INDEX('Final Calculation Sheet'!$G$4:$G$40,$AL$72)))</f>
        <v/>
      </c>
      <c r="D72" s="149">
        <f>IF($AL$72="","",IF(INDEX('Final Calculation Sheet'!$B$4:$B$40,$AL$72)="","",INDEX('Final Calculation Sheet'!$B$4:$B$40,$AL$72)))</f>
        <v/>
      </c>
      <c r="E72" s="149">
        <f>IF($AL$72="","",IF(INDEX('Final Calculation Sheet'!$D$4:$D$40,$AL$72)="","",INDEX('Final Calculation Sheet'!$D$4:$D$40,$AL$72)))</f>
        <v/>
      </c>
      <c r="F72" s="149">
        <f>IF($AL$72="","",IF(INDEX('Final Calculation Sheet'!$A$4:$A$40,$AL$72)="","",INDEX('Final Calculation Sheet'!$A$4:$A$40,$AL$72)))</f>
        <v/>
      </c>
      <c r="G72" s="149">
        <f>IF($AL$72="","",IF(INDEX('Final Calculation Sheet'!$E$4:$E$40,$AL$72)="","",INDEX('Final Calculation Sheet'!$E$4:$E$40,$AL$72)))</f>
        <v/>
      </c>
      <c r="H72" s="150">
        <f>IF($AL$72="","",IF(INDEX('Final Calculation Sheet'!$C$4:$C$40,$AL$72)="","",INDEX('Final Calculation Sheet'!$C$4:$C$40,$AL$72)))</f>
        <v/>
      </c>
      <c r="I72" s="150">
        <f>IF($AL$72="","",IF(INDEX('Final Calculation Sheet'!$H$4:$H$40,$AL$72)="","",INDEX('Final Calculation Sheet'!$H$4:$H$40,$AL$72)))</f>
        <v/>
      </c>
      <c r="J72" s="150">
        <f>IF($AL$72="","",IF(INDEX('Final Calculation Sheet'!$I$4:$I$40,$AL$72)="","",INDEX('Final Calculation Sheet'!$I$4:$I$40,$AL$72)))</f>
        <v/>
      </c>
      <c r="K72" s="150">
        <f>IF($AL$72="","",IF(INDEX('Final Calculation Sheet'!$J$4:$J$40,$AL$72)="","",INDEX('Final Calculation Sheet'!$J$4:$J$40,$AL$72)))</f>
        <v/>
      </c>
      <c r="L72" s="150">
        <f>IF($AL$72="","",IF(INDEX('Final Calculation Sheet'!$K$4:$K$40,$AL$72)="","",INDEX('Final Calculation Sheet'!$K$4:$K$40,$AL$72)))</f>
        <v/>
      </c>
      <c r="M72" s="150">
        <f>IF($AL$72="","",IF(INDEX('Final Calculation Sheet'!$L$4:$L$40,$AL$72)="","",INDEX('Final Calculation Sheet'!$L$4:$L$40,$AL$72)))</f>
        <v/>
      </c>
      <c r="N72" s="150">
        <f>IF($AL$72="","",IF(INDEX('Final Calculation Sheet'!$M$4:$M$40,$AL$72)="","",INDEX('Final Calculation Sheet'!$M$4:$M$40,$AL$72)))</f>
        <v/>
      </c>
      <c r="O72" s="151">
        <f>IF($AL$72="","",IF(INDEX('Final Calculation Sheet'!$N$4:$N$40,$AL$72)="","",INDEX('Final Calculation Sheet'!$N$4:$N$40,$AL$72)))</f>
        <v/>
      </c>
      <c r="P72" s="150">
        <f>IF($AL$72="","",IF(INDEX('Final Calculation Sheet'!$O$4:$O$40,$AL$72)="","",INDEX('Final Calculation Sheet'!$O$4:$O$40,$AL$72)))</f>
        <v/>
      </c>
      <c r="Q72" s="150">
        <f>IF($AL$72="","",IF(INDEX('Final Calculation Sheet'!$P$4:$P$40,$AL$72)="","",INDEX('Final Calculation Sheet'!$P$4:$P$40,$AL$72)))</f>
        <v/>
      </c>
      <c r="R72" s="152">
        <f>IF($AL$72="","",IF(INDEX('Final Calculation Sheet'!$Q$4:$Q$40,$AL$72)="","",INDEX('Final Calculation Sheet'!$Q$4:$Q$40,$AL$72)))</f>
        <v/>
      </c>
      <c r="S72" s="150">
        <f>IF($AL$72="","",IF(INDEX('Final Calculation Sheet'!$R$4:$R$40,$AL$72)="","",INDEX('Final Calculation Sheet'!$R$4:$R$40,$AL$72)))</f>
        <v/>
      </c>
      <c r="T72" s="150">
        <f>IF($AL$72="","",IF(INDEX('Final Calculation Sheet'!$S$4:$S$40,$AL$72)="","",INDEX('Final Calculation Sheet'!$S$4:$S$40,$AL$72)))</f>
        <v/>
      </c>
      <c r="U72" s="150">
        <f>IF($AL$72="","",IF(INDEX('Final Calculation Sheet'!$T$4:$T$40,$AL$72)="","",INDEX('Final Calculation Sheet'!$T$4:$T$40,$AL$72)))</f>
        <v/>
      </c>
      <c r="V72" s="153">
        <f>IF($AL$72="","",IF(INDEX('Final Calculation Sheet'!$U$4:$U$40,$AL$72)="","",INDEX('Final Calculation Sheet'!$U$4:$U$40,$AL$72)))</f>
        <v/>
      </c>
      <c r="W72" s="150">
        <f>IF($AL$72="","",IF(INDEX('Final Calculation Sheet'!$V$4:$V$40,$AL$72)="","",INDEX('Final Calculation Sheet'!$V$4:$V$40,$AL$72)))</f>
        <v/>
      </c>
      <c r="X72" s="150">
        <f>IF($AL$72="","",IF(INDEX('Final Calculation Sheet'!$W$4:$W$40,$AL$72)="","",INDEX('Final Calculation Sheet'!$W$4:$W$40,$AL$72)))</f>
        <v/>
      </c>
      <c r="Y72" s="150">
        <f>IF($AL$72="","",IF(INDEX('Final Calculation Sheet'!$X$4:$X$40,$AL$72)="","",INDEX('Final Calculation Sheet'!$X$4:$X$40,$AL$72)))</f>
        <v/>
      </c>
      <c r="Z72" s="150">
        <f>IF($AL$72="","",IF(INDEX('Final Calculation Sheet'!$Y$4:$Y$40,$AL$72)="","",INDEX('Final Calculation Sheet'!$Y$4:$Y$40,$AL$72)))</f>
        <v/>
      </c>
      <c r="AA72" s="150">
        <f>IF($AL$72="","",IF(INDEX('Final Calculation Sheet'!$Z$4:$Z$40,$AL$72)="","",INDEX('Final Calculation Sheet'!$Z$4:$Z$40,$AL$72)))</f>
        <v/>
      </c>
      <c r="AB72" s="150">
        <f>IF($AL$72="","",IF(INDEX('Final Calculation Sheet'!$AA$4:$AA$40,$AL$72)="","",INDEX('Final Calculation Sheet'!$AA$4:$AA$40,$AL$72)))</f>
        <v/>
      </c>
      <c r="AC72" s="150">
        <f>IF($AL$72="","",IF(INDEX('Final Calculation Sheet'!$AB$4:$AB$40,$AL$72)="","",INDEX('Final Calculation Sheet'!$AB$4:$AB$40,$AL$72)))</f>
        <v/>
      </c>
      <c r="AD72" s="150">
        <f>IF($AL$72="","",IF(INDEX('Final Calculation Sheet'!$AC$4:$AC$40,$AL$72)="","",INDEX('Final Calculation Sheet'!$AC$4:$AC$40,$AL$72)))</f>
        <v/>
      </c>
      <c r="AE72" s="150">
        <f>IF($AL$72="","",IF(INDEX('Final Calculation Sheet'!$AD$4:$AD$40,$AL$72)="","",INDEX('Final Calculation Sheet'!$AD$4:$AD$40,$AL$72)))</f>
        <v/>
      </c>
      <c r="AF72" s="150">
        <f>IF($AL$72="","",IF(INDEX('Final Calculation Sheet'!$AE$4:$AE$40,$AL$72)="","",INDEX('Final Calculation Sheet'!$AE$4:$AE$40,$AL$72)))</f>
        <v/>
      </c>
      <c r="AG72" s="154">
        <f>IF($AL$72="","",IF(INDEX('Final Calculation Sheet'!$AF$4:$AF$40,$AL$72)="","",INDEX('Final Calculation Sheet'!$AF$4:$AF$40,$AL$72)))</f>
        <v/>
      </c>
      <c r="AH72" s="150">
        <f>IF($AL$72="","",IF(INDEX('Final Calculation Sheet'!$AG$4:$AG$40,$AL$72)="","",INDEX('Final Calculation Sheet'!$AG$4:$AG$40,$AL$72)))</f>
        <v/>
      </c>
      <c r="AI72" s="155">
        <f>IF($AL$72="","",IF(INDEX('Final Calculation Sheet'!$AD$4:$AD$40,$AL$72)&lt;=5,"SETTLED","OUTSTANDING"))</f>
        <v/>
      </c>
      <c r="AL72">
        <f>IF(COUNTIF($B$4:$AI$4,"&lt;&gt;")=0,"",IFERROR(MATCH(13,$AK$6:$AK$42,0),""))</f>
        <v/>
      </c>
    </row>
    <row r="73">
      <c r="A73" s="156">
        <f>IF($AL$73="","",14)</f>
        <v/>
      </c>
      <c r="B73" s="157">
        <f>IF($AL$73="","",IF(INDEX('Final Calculation Sheet'!$F$4:$F$40,$AL$73)="","",INDEX('Final Calculation Sheet'!$F$4:$F$40,$AL$73)))</f>
        <v/>
      </c>
      <c r="C73" s="157">
        <f>IF($AL$73="","",IF(INDEX('Final Calculation Sheet'!$G$4:$G$40,$AL$73)="","",INDEX('Final Calculation Sheet'!$G$4:$G$40,$AL$73)))</f>
        <v/>
      </c>
      <c r="D73" s="158">
        <f>IF($AL$73="","",IF(INDEX('Final Calculation Sheet'!$B$4:$B$40,$AL$73)="","",INDEX('Final Calculation Sheet'!$B$4:$B$40,$AL$73)))</f>
        <v/>
      </c>
      <c r="E73" s="158">
        <f>IF($AL$73="","",IF(INDEX('Final Calculation Sheet'!$D$4:$D$40,$AL$73)="","",INDEX('Final Calculation Sheet'!$D$4:$D$40,$AL$73)))</f>
        <v/>
      </c>
      <c r="F73" s="158">
        <f>IF($AL$73="","",IF(INDEX('Final Calculation Sheet'!$A$4:$A$40,$AL$73)="","",INDEX('Final Calculation Sheet'!$A$4:$A$40,$AL$73)))</f>
        <v/>
      </c>
      <c r="G73" s="158">
        <f>IF($AL$73="","",IF(INDEX('Final Calculation Sheet'!$E$4:$E$40,$AL$73)="","",INDEX('Final Calculation Sheet'!$E$4:$E$40,$AL$73)))</f>
        <v/>
      </c>
      <c r="H73" s="159">
        <f>IF($AL$73="","",IF(INDEX('Final Calculation Sheet'!$C$4:$C$40,$AL$73)="","",INDEX('Final Calculation Sheet'!$C$4:$C$40,$AL$73)))</f>
        <v/>
      </c>
      <c r="I73" s="159">
        <f>IF($AL$73="","",IF(INDEX('Final Calculation Sheet'!$H$4:$H$40,$AL$73)="","",INDEX('Final Calculation Sheet'!$H$4:$H$40,$AL$73)))</f>
        <v/>
      </c>
      <c r="J73" s="159">
        <f>IF($AL$73="","",IF(INDEX('Final Calculation Sheet'!$I$4:$I$40,$AL$73)="","",INDEX('Final Calculation Sheet'!$I$4:$I$40,$AL$73)))</f>
        <v/>
      </c>
      <c r="K73" s="159">
        <f>IF($AL$73="","",IF(INDEX('Final Calculation Sheet'!$J$4:$J$40,$AL$73)="","",INDEX('Final Calculation Sheet'!$J$4:$J$40,$AL$73)))</f>
        <v/>
      </c>
      <c r="L73" s="159">
        <f>IF($AL$73="","",IF(INDEX('Final Calculation Sheet'!$K$4:$K$40,$AL$73)="","",INDEX('Final Calculation Sheet'!$K$4:$K$40,$AL$73)))</f>
        <v/>
      </c>
      <c r="M73" s="159">
        <f>IF($AL$73="","",IF(INDEX('Final Calculation Sheet'!$L$4:$L$40,$AL$73)="","",INDEX('Final Calculation Sheet'!$L$4:$L$40,$AL$73)))</f>
        <v/>
      </c>
      <c r="N73" s="159">
        <f>IF($AL$73="","",IF(INDEX('Final Calculation Sheet'!$M$4:$M$40,$AL$73)="","",INDEX('Final Calculation Sheet'!$M$4:$M$40,$AL$73)))</f>
        <v/>
      </c>
      <c r="O73" s="160">
        <f>IF($AL$73="","",IF(INDEX('Final Calculation Sheet'!$N$4:$N$40,$AL$73)="","",INDEX('Final Calculation Sheet'!$N$4:$N$40,$AL$73)))</f>
        <v/>
      </c>
      <c r="P73" s="159">
        <f>IF($AL$73="","",IF(INDEX('Final Calculation Sheet'!$O$4:$O$40,$AL$73)="","",INDEX('Final Calculation Sheet'!$O$4:$O$40,$AL$73)))</f>
        <v/>
      </c>
      <c r="Q73" s="159">
        <f>IF($AL$73="","",IF(INDEX('Final Calculation Sheet'!$P$4:$P$40,$AL$73)="","",INDEX('Final Calculation Sheet'!$P$4:$P$40,$AL$73)))</f>
        <v/>
      </c>
      <c r="R73" s="161">
        <f>IF($AL$73="","",IF(INDEX('Final Calculation Sheet'!$Q$4:$Q$40,$AL$73)="","",INDEX('Final Calculation Sheet'!$Q$4:$Q$40,$AL$73)))</f>
        <v/>
      </c>
      <c r="S73" s="159">
        <f>IF($AL$73="","",IF(INDEX('Final Calculation Sheet'!$R$4:$R$40,$AL$73)="","",INDEX('Final Calculation Sheet'!$R$4:$R$40,$AL$73)))</f>
        <v/>
      </c>
      <c r="T73" s="159">
        <f>IF($AL$73="","",IF(INDEX('Final Calculation Sheet'!$S$4:$S$40,$AL$73)="","",INDEX('Final Calculation Sheet'!$S$4:$S$40,$AL$73)))</f>
        <v/>
      </c>
      <c r="U73" s="159">
        <f>IF($AL$73="","",IF(INDEX('Final Calculation Sheet'!$T$4:$T$40,$AL$73)="","",INDEX('Final Calculation Sheet'!$T$4:$T$40,$AL$73)))</f>
        <v/>
      </c>
      <c r="V73" s="162">
        <f>IF($AL$73="","",IF(INDEX('Final Calculation Sheet'!$U$4:$U$40,$AL$73)="","",INDEX('Final Calculation Sheet'!$U$4:$U$40,$AL$73)))</f>
        <v/>
      </c>
      <c r="W73" s="159">
        <f>IF($AL$73="","",IF(INDEX('Final Calculation Sheet'!$V$4:$V$40,$AL$73)="","",INDEX('Final Calculation Sheet'!$V$4:$V$40,$AL$73)))</f>
        <v/>
      </c>
      <c r="X73" s="159">
        <f>IF($AL$73="","",IF(INDEX('Final Calculation Sheet'!$W$4:$W$40,$AL$73)="","",INDEX('Final Calculation Sheet'!$W$4:$W$40,$AL$73)))</f>
        <v/>
      </c>
      <c r="Y73" s="159">
        <f>IF($AL$73="","",IF(INDEX('Final Calculation Sheet'!$X$4:$X$40,$AL$73)="","",INDEX('Final Calculation Sheet'!$X$4:$X$40,$AL$73)))</f>
        <v/>
      </c>
      <c r="Z73" s="159">
        <f>IF($AL$73="","",IF(INDEX('Final Calculation Sheet'!$Y$4:$Y$40,$AL$73)="","",INDEX('Final Calculation Sheet'!$Y$4:$Y$40,$AL$73)))</f>
        <v/>
      </c>
      <c r="AA73" s="159">
        <f>IF($AL$73="","",IF(INDEX('Final Calculation Sheet'!$Z$4:$Z$40,$AL$73)="","",INDEX('Final Calculation Sheet'!$Z$4:$Z$40,$AL$73)))</f>
        <v/>
      </c>
      <c r="AB73" s="159">
        <f>IF($AL$73="","",IF(INDEX('Final Calculation Sheet'!$AA$4:$AA$40,$AL$73)="","",INDEX('Final Calculation Sheet'!$AA$4:$AA$40,$AL$73)))</f>
        <v/>
      </c>
      <c r="AC73" s="159">
        <f>IF($AL$73="","",IF(INDEX('Final Calculation Sheet'!$AB$4:$AB$40,$AL$73)="","",INDEX('Final Calculation Sheet'!$AB$4:$AB$40,$AL$73)))</f>
        <v/>
      </c>
      <c r="AD73" s="159">
        <f>IF($AL$73="","",IF(INDEX('Final Calculation Sheet'!$AC$4:$AC$40,$AL$73)="","",INDEX('Final Calculation Sheet'!$AC$4:$AC$40,$AL$73)))</f>
        <v/>
      </c>
      <c r="AE73" s="159">
        <f>IF($AL$73="","",IF(INDEX('Final Calculation Sheet'!$AD$4:$AD$40,$AL$73)="","",INDEX('Final Calculation Sheet'!$AD$4:$AD$40,$AL$73)))</f>
        <v/>
      </c>
      <c r="AF73" s="159">
        <f>IF($AL$73="","",IF(INDEX('Final Calculation Sheet'!$AE$4:$AE$40,$AL$73)="","",INDEX('Final Calculation Sheet'!$AE$4:$AE$40,$AL$73)))</f>
        <v/>
      </c>
      <c r="AG73" s="163">
        <f>IF($AL$73="","",IF(INDEX('Final Calculation Sheet'!$AF$4:$AF$40,$AL$73)="","",INDEX('Final Calculation Sheet'!$AF$4:$AF$40,$AL$73)))</f>
        <v/>
      </c>
      <c r="AH73" s="159">
        <f>IF($AL$73="","",IF(INDEX('Final Calculation Sheet'!$AG$4:$AG$40,$AL$73)="","",INDEX('Final Calculation Sheet'!$AG$4:$AG$40,$AL$73)))</f>
        <v/>
      </c>
      <c r="AI73" s="164">
        <f>IF($AL$73="","",IF(INDEX('Final Calculation Sheet'!$AD$4:$AD$40,$AL$73)&lt;=5,"SETTLED","OUTSTANDING"))</f>
        <v/>
      </c>
      <c r="AL73">
        <f>IF(COUNTIF($B$4:$AI$4,"&lt;&gt;")=0,"",IFERROR(MATCH(14,$AK$6:$AK$42,0),""))</f>
        <v/>
      </c>
    </row>
    <row r="74">
      <c r="A74" s="146">
        <f>IF($AL$74="","",15)</f>
        <v/>
      </c>
      <c r="B74" s="147">
        <f>IF($AL$74="","",IF(INDEX('Final Calculation Sheet'!$F$4:$F$40,$AL$74)="","",INDEX('Final Calculation Sheet'!$F$4:$F$40,$AL$74)))</f>
        <v/>
      </c>
      <c r="C74" s="147">
        <f>IF($AL$74="","",IF(INDEX('Final Calculation Sheet'!$G$4:$G$40,$AL$74)="","",INDEX('Final Calculation Sheet'!$G$4:$G$40,$AL$74)))</f>
        <v/>
      </c>
      <c r="D74" s="149">
        <f>IF($AL$74="","",IF(INDEX('Final Calculation Sheet'!$B$4:$B$40,$AL$74)="","",INDEX('Final Calculation Sheet'!$B$4:$B$40,$AL$74)))</f>
        <v/>
      </c>
      <c r="E74" s="149">
        <f>IF($AL$74="","",IF(INDEX('Final Calculation Sheet'!$D$4:$D$40,$AL$74)="","",INDEX('Final Calculation Sheet'!$D$4:$D$40,$AL$74)))</f>
        <v/>
      </c>
      <c r="F74" s="149">
        <f>IF($AL$74="","",IF(INDEX('Final Calculation Sheet'!$A$4:$A$40,$AL$74)="","",INDEX('Final Calculation Sheet'!$A$4:$A$40,$AL$74)))</f>
        <v/>
      </c>
      <c r="G74" s="149">
        <f>IF($AL$74="","",IF(INDEX('Final Calculation Sheet'!$E$4:$E$40,$AL$74)="","",INDEX('Final Calculation Sheet'!$E$4:$E$40,$AL$74)))</f>
        <v/>
      </c>
      <c r="H74" s="150">
        <f>IF($AL$74="","",IF(INDEX('Final Calculation Sheet'!$C$4:$C$40,$AL$74)="","",INDEX('Final Calculation Sheet'!$C$4:$C$40,$AL$74)))</f>
        <v/>
      </c>
      <c r="I74" s="150">
        <f>IF($AL$74="","",IF(INDEX('Final Calculation Sheet'!$H$4:$H$40,$AL$74)="","",INDEX('Final Calculation Sheet'!$H$4:$H$40,$AL$74)))</f>
        <v/>
      </c>
      <c r="J74" s="150">
        <f>IF($AL$74="","",IF(INDEX('Final Calculation Sheet'!$I$4:$I$40,$AL$74)="","",INDEX('Final Calculation Sheet'!$I$4:$I$40,$AL$74)))</f>
        <v/>
      </c>
      <c r="K74" s="150">
        <f>IF($AL$74="","",IF(INDEX('Final Calculation Sheet'!$J$4:$J$40,$AL$74)="","",INDEX('Final Calculation Sheet'!$J$4:$J$40,$AL$74)))</f>
        <v/>
      </c>
      <c r="L74" s="150">
        <f>IF($AL$74="","",IF(INDEX('Final Calculation Sheet'!$K$4:$K$40,$AL$74)="","",INDEX('Final Calculation Sheet'!$K$4:$K$40,$AL$74)))</f>
        <v/>
      </c>
      <c r="M74" s="150">
        <f>IF($AL$74="","",IF(INDEX('Final Calculation Sheet'!$L$4:$L$40,$AL$74)="","",INDEX('Final Calculation Sheet'!$L$4:$L$40,$AL$74)))</f>
        <v/>
      </c>
      <c r="N74" s="150">
        <f>IF($AL$74="","",IF(INDEX('Final Calculation Sheet'!$M$4:$M$40,$AL$74)="","",INDEX('Final Calculation Sheet'!$M$4:$M$40,$AL$74)))</f>
        <v/>
      </c>
      <c r="O74" s="151">
        <f>IF($AL$74="","",IF(INDEX('Final Calculation Sheet'!$N$4:$N$40,$AL$74)="","",INDEX('Final Calculation Sheet'!$N$4:$N$40,$AL$74)))</f>
        <v/>
      </c>
      <c r="P74" s="150">
        <f>IF($AL$74="","",IF(INDEX('Final Calculation Sheet'!$O$4:$O$40,$AL$74)="","",INDEX('Final Calculation Sheet'!$O$4:$O$40,$AL$74)))</f>
        <v/>
      </c>
      <c r="Q74" s="150">
        <f>IF($AL$74="","",IF(INDEX('Final Calculation Sheet'!$P$4:$P$40,$AL$74)="","",INDEX('Final Calculation Sheet'!$P$4:$P$40,$AL$74)))</f>
        <v/>
      </c>
      <c r="R74" s="152">
        <f>IF($AL$74="","",IF(INDEX('Final Calculation Sheet'!$Q$4:$Q$40,$AL$74)="","",INDEX('Final Calculation Sheet'!$Q$4:$Q$40,$AL$74)))</f>
        <v/>
      </c>
      <c r="S74" s="150">
        <f>IF($AL$74="","",IF(INDEX('Final Calculation Sheet'!$R$4:$R$40,$AL$74)="","",INDEX('Final Calculation Sheet'!$R$4:$R$40,$AL$74)))</f>
        <v/>
      </c>
      <c r="T74" s="150">
        <f>IF($AL$74="","",IF(INDEX('Final Calculation Sheet'!$S$4:$S$40,$AL$74)="","",INDEX('Final Calculation Sheet'!$S$4:$S$40,$AL$74)))</f>
        <v/>
      </c>
      <c r="U74" s="150">
        <f>IF($AL$74="","",IF(INDEX('Final Calculation Sheet'!$T$4:$T$40,$AL$74)="","",INDEX('Final Calculation Sheet'!$T$4:$T$40,$AL$74)))</f>
        <v/>
      </c>
      <c r="V74" s="153">
        <f>IF($AL$74="","",IF(INDEX('Final Calculation Sheet'!$U$4:$U$40,$AL$74)="","",INDEX('Final Calculation Sheet'!$U$4:$U$40,$AL$74)))</f>
        <v/>
      </c>
      <c r="W74" s="150">
        <f>IF($AL$74="","",IF(INDEX('Final Calculation Sheet'!$V$4:$V$40,$AL$74)="","",INDEX('Final Calculation Sheet'!$V$4:$V$40,$AL$74)))</f>
        <v/>
      </c>
      <c r="X74" s="150">
        <f>IF($AL$74="","",IF(INDEX('Final Calculation Sheet'!$W$4:$W$40,$AL$74)="","",INDEX('Final Calculation Sheet'!$W$4:$W$40,$AL$74)))</f>
        <v/>
      </c>
      <c r="Y74" s="150">
        <f>IF($AL$74="","",IF(INDEX('Final Calculation Sheet'!$X$4:$X$40,$AL$74)="","",INDEX('Final Calculation Sheet'!$X$4:$X$40,$AL$74)))</f>
        <v/>
      </c>
      <c r="Z74" s="150">
        <f>IF($AL$74="","",IF(INDEX('Final Calculation Sheet'!$Y$4:$Y$40,$AL$74)="","",INDEX('Final Calculation Sheet'!$Y$4:$Y$40,$AL$74)))</f>
        <v/>
      </c>
      <c r="AA74" s="150">
        <f>IF($AL$74="","",IF(INDEX('Final Calculation Sheet'!$Z$4:$Z$40,$AL$74)="","",INDEX('Final Calculation Sheet'!$Z$4:$Z$40,$AL$74)))</f>
        <v/>
      </c>
      <c r="AB74" s="150">
        <f>IF($AL$74="","",IF(INDEX('Final Calculation Sheet'!$AA$4:$AA$40,$AL$74)="","",INDEX('Final Calculation Sheet'!$AA$4:$AA$40,$AL$74)))</f>
        <v/>
      </c>
      <c r="AC74" s="150">
        <f>IF($AL$74="","",IF(INDEX('Final Calculation Sheet'!$AB$4:$AB$40,$AL$74)="","",INDEX('Final Calculation Sheet'!$AB$4:$AB$40,$AL$74)))</f>
        <v/>
      </c>
      <c r="AD74" s="150">
        <f>IF($AL$74="","",IF(INDEX('Final Calculation Sheet'!$AC$4:$AC$40,$AL$74)="","",INDEX('Final Calculation Sheet'!$AC$4:$AC$40,$AL$74)))</f>
        <v/>
      </c>
      <c r="AE74" s="150">
        <f>IF($AL$74="","",IF(INDEX('Final Calculation Sheet'!$AD$4:$AD$40,$AL$74)="","",INDEX('Final Calculation Sheet'!$AD$4:$AD$40,$AL$74)))</f>
        <v/>
      </c>
      <c r="AF74" s="150">
        <f>IF($AL$74="","",IF(INDEX('Final Calculation Sheet'!$AE$4:$AE$40,$AL$74)="","",INDEX('Final Calculation Sheet'!$AE$4:$AE$40,$AL$74)))</f>
        <v/>
      </c>
      <c r="AG74" s="154">
        <f>IF($AL$74="","",IF(INDEX('Final Calculation Sheet'!$AF$4:$AF$40,$AL$74)="","",INDEX('Final Calculation Sheet'!$AF$4:$AF$40,$AL$74)))</f>
        <v/>
      </c>
      <c r="AH74" s="150">
        <f>IF($AL$74="","",IF(INDEX('Final Calculation Sheet'!$AG$4:$AG$40,$AL$74)="","",INDEX('Final Calculation Sheet'!$AG$4:$AG$40,$AL$74)))</f>
        <v/>
      </c>
      <c r="AI74" s="155">
        <f>IF($AL$74="","",IF(INDEX('Final Calculation Sheet'!$AD$4:$AD$40,$AL$74)&lt;=5,"SETTLED","OUTSTANDING"))</f>
        <v/>
      </c>
      <c r="AL74">
        <f>IF(COUNTIF($B$4:$AI$4,"&lt;&gt;")=0,"",IFERROR(MATCH(15,$AK$6:$AK$42,0),""))</f>
        <v/>
      </c>
    </row>
    <row r="75">
      <c r="A75" s="156">
        <f>IF($AL$75="","",16)</f>
        <v/>
      </c>
      <c r="B75" s="157">
        <f>IF($AL$75="","",IF(INDEX('Final Calculation Sheet'!$F$4:$F$40,$AL$75)="","",INDEX('Final Calculation Sheet'!$F$4:$F$40,$AL$75)))</f>
        <v/>
      </c>
      <c r="C75" s="157">
        <f>IF($AL$75="","",IF(INDEX('Final Calculation Sheet'!$G$4:$G$40,$AL$75)="","",INDEX('Final Calculation Sheet'!$G$4:$G$40,$AL$75)))</f>
        <v/>
      </c>
      <c r="D75" s="158">
        <f>IF($AL$75="","",IF(INDEX('Final Calculation Sheet'!$B$4:$B$40,$AL$75)="","",INDEX('Final Calculation Sheet'!$B$4:$B$40,$AL$75)))</f>
        <v/>
      </c>
      <c r="E75" s="158">
        <f>IF($AL$75="","",IF(INDEX('Final Calculation Sheet'!$D$4:$D$40,$AL$75)="","",INDEX('Final Calculation Sheet'!$D$4:$D$40,$AL$75)))</f>
        <v/>
      </c>
      <c r="F75" s="158">
        <f>IF($AL$75="","",IF(INDEX('Final Calculation Sheet'!$A$4:$A$40,$AL$75)="","",INDEX('Final Calculation Sheet'!$A$4:$A$40,$AL$75)))</f>
        <v/>
      </c>
      <c r="G75" s="158">
        <f>IF($AL$75="","",IF(INDEX('Final Calculation Sheet'!$E$4:$E$40,$AL$75)="","",INDEX('Final Calculation Sheet'!$E$4:$E$40,$AL$75)))</f>
        <v/>
      </c>
      <c r="H75" s="159">
        <f>IF($AL$75="","",IF(INDEX('Final Calculation Sheet'!$C$4:$C$40,$AL$75)="","",INDEX('Final Calculation Sheet'!$C$4:$C$40,$AL$75)))</f>
        <v/>
      </c>
      <c r="I75" s="159">
        <f>IF($AL$75="","",IF(INDEX('Final Calculation Sheet'!$H$4:$H$40,$AL$75)="","",INDEX('Final Calculation Sheet'!$H$4:$H$40,$AL$75)))</f>
        <v/>
      </c>
      <c r="J75" s="159">
        <f>IF($AL$75="","",IF(INDEX('Final Calculation Sheet'!$I$4:$I$40,$AL$75)="","",INDEX('Final Calculation Sheet'!$I$4:$I$40,$AL$75)))</f>
        <v/>
      </c>
      <c r="K75" s="159">
        <f>IF($AL$75="","",IF(INDEX('Final Calculation Sheet'!$J$4:$J$40,$AL$75)="","",INDEX('Final Calculation Sheet'!$J$4:$J$40,$AL$75)))</f>
        <v/>
      </c>
      <c r="L75" s="159">
        <f>IF($AL$75="","",IF(INDEX('Final Calculation Sheet'!$K$4:$K$40,$AL$75)="","",INDEX('Final Calculation Sheet'!$K$4:$K$40,$AL$75)))</f>
        <v/>
      </c>
      <c r="M75" s="159">
        <f>IF($AL$75="","",IF(INDEX('Final Calculation Sheet'!$L$4:$L$40,$AL$75)="","",INDEX('Final Calculation Sheet'!$L$4:$L$40,$AL$75)))</f>
        <v/>
      </c>
      <c r="N75" s="159">
        <f>IF($AL$75="","",IF(INDEX('Final Calculation Sheet'!$M$4:$M$40,$AL$75)="","",INDEX('Final Calculation Sheet'!$M$4:$M$40,$AL$75)))</f>
        <v/>
      </c>
      <c r="O75" s="160">
        <f>IF($AL$75="","",IF(INDEX('Final Calculation Sheet'!$N$4:$N$40,$AL$75)="","",INDEX('Final Calculation Sheet'!$N$4:$N$40,$AL$75)))</f>
        <v/>
      </c>
      <c r="P75" s="159">
        <f>IF($AL$75="","",IF(INDEX('Final Calculation Sheet'!$O$4:$O$40,$AL$75)="","",INDEX('Final Calculation Sheet'!$O$4:$O$40,$AL$75)))</f>
        <v/>
      </c>
      <c r="Q75" s="159">
        <f>IF($AL$75="","",IF(INDEX('Final Calculation Sheet'!$P$4:$P$40,$AL$75)="","",INDEX('Final Calculation Sheet'!$P$4:$P$40,$AL$75)))</f>
        <v/>
      </c>
      <c r="R75" s="161">
        <f>IF($AL$75="","",IF(INDEX('Final Calculation Sheet'!$Q$4:$Q$40,$AL$75)="","",INDEX('Final Calculation Sheet'!$Q$4:$Q$40,$AL$75)))</f>
        <v/>
      </c>
      <c r="S75" s="159">
        <f>IF($AL$75="","",IF(INDEX('Final Calculation Sheet'!$R$4:$R$40,$AL$75)="","",INDEX('Final Calculation Sheet'!$R$4:$R$40,$AL$75)))</f>
        <v/>
      </c>
      <c r="T75" s="159">
        <f>IF($AL$75="","",IF(INDEX('Final Calculation Sheet'!$S$4:$S$40,$AL$75)="","",INDEX('Final Calculation Sheet'!$S$4:$S$40,$AL$75)))</f>
        <v/>
      </c>
      <c r="U75" s="159">
        <f>IF($AL$75="","",IF(INDEX('Final Calculation Sheet'!$T$4:$T$40,$AL$75)="","",INDEX('Final Calculation Sheet'!$T$4:$T$40,$AL$75)))</f>
        <v/>
      </c>
      <c r="V75" s="162">
        <f>IF($AL$75="","",IF(INDEX('Final Calculation Sheet'!$U$4:$U$40,$AL$75)="","",INDEX('Final Calculation Sheet'!$U$4:$U$40,$AL$75)))</f>
        <v/>
      </c>
      <c r="W75" s="159">
        <f>IF($AL$75="","",IF(INDEX('Final Calculation Sheet'!$V$4:$V$40,$AL$75)="","",INDEX('Final Calculation Sheet'!$V$4:$V$40,$AL$75)))</f>
        <v/>
      </c>
      <c r="X75" s="159">
        <f>IF($AL$75="","",IF(INDEX('Final Calculation Sheet'!$W$4:$W$40,$AL$75)="","",INDEX('Final Calculation Sheet'!$W$4:$W$40,$AL$75)))</f>
        <v/>
      </c>
      <c r="Y75" s="159">
        <f>IF($AL$75="","",IF(INDEX('Final Calculation Sheet'!$X$4:$X$40,$AL$75)="","",INDEX('Final Calculation Sheet'!$X$4:$X$40,$AL$75)))</f>
        <v/>
      </c>
      <c r="Z75" s="159">
        <f>IF($AL$75="","",IF(INDEX('Final Calculation Sheet'!$Y$4:$Y$40,$AL$75)="","",INDEX('Final Calculation Sheet'!$Y$4:$Y$40,$AL$75)))</f>
        <v/>
      </c>
      <c r="AA75" s="159">
        <f>IF($AL$75="","",IF(INDEX('Final Calculation Sheet'!$Z$4:$Z$40,$AL$75)="","",INDEX('Final Calculation Sheet'!$Z$4:$Z$40,$AL$75)))</f>
        <v/>
      </c>
      <c r="AB75" s="159">
        <f>IF($AL$75="","",IF(INDEX('Final Calculation Sheet'!$AA$4:$AA$40,$AL$75)="","",INDEX('Final Calculation Sheet'!$AA$4:$AA$40,$AL$75)))</f>
        <v/>
      </c>
      <c r="AC75" s="159">
        <f>IF($AL$75="","",IF(INDEX('Final Calculation Sheet'!$AB$4:$AB$40,$AL$75)="","",INDEX('Final Calculation Sheet'!$AB$4:$AB$40,$AL$75)))</f>
        <v/>
      </c>
      <c r="AD75" s="159">
        <f>IF($AL$75="","",IF(INDEX('Final Calculation Sheet'!$AC$4:$AC$40,$AL$75)="","",INDEX('Final Calculation Sheet'!$AC$4:$AC$40,$AL$75)))</f>
        <v/>
      </c>
      <c r="AE75" s="159">
        <f>IF($AL$75="","",IF(INDEX('Final Calculation Sheet'!$AD$4:$AD$40,$AL$75)="","",INDEX('Final Calculation Sheet'!$AD$4:$AD$40,$AL$75)))</f>
        <v/>
      </c>
      <c r="AF75" s="159">
        <f>IF($AL$75="","",IF(INDEX('Final Calculation Sheet'!$AE$4:$AE$40,$AL$75)="","",INDEX('Final Calculation Sheet'!$AE$4:$AE$40,$AL$75)))</f>
        <v/>
      </c>
      <c r="AG75" s="163">
        <f>IF($AL$75="","",IF(INDEX('Final Calculation Sheet'!$AF$4:$AF$40,$AL$75)="","",INDEX('Final Calculation Sheet'!$AF$4:$AF$40,$AL$75)))</f>
        <v/>
      </c>
      <c r="AH75" s="159">
        <f>IF($AL$75="","",IF(INDEX('Final Calculation Sheet'!$AG$4:$AG$40,$AL$75)="","",INDEX('Final Calculation Sheet'!$AG$4:$AG$40,$AL$75)))</f>
        <v/>
      </c>
      <c r="AI75" s="164">
        <f>IF($AL$75="","",IF(INDEX('Final Calculation Sheet'!$AD$4:$AD$40,$AL$75)&lt;=5,"SETTLED","OUTSTANDING"))</f>
        <v/>
      </c>
      <c r="AL75">
        <f>IF(COUNTIF($B$4:$AI$4,"&lt;&gt;")=0,"",IFERROR(MATCH(16,$AK$6:$AK$42,0),""))</f>
        <v/>
      </c>
    </row>
    <row r="76">
      <c r="A76" s="146">
        <f>IF($AL$76="","",17)</f>
        <v/>
      </c>
      <c r="B76" s="147">
        <f>IF($AL$76="","",IF(INDEX('Final Calculation Sheet'!$F$4:$F$40,$AL$76)="","",INDEX('Final Calculation Sheet'!$F$4:$F$40,$AL$76)))</f>
        <v/>
      </c>
      <c r="C76" s="147">
        <f>IF($AL$76="","",IF(INDEX('Final Calculation Sheet'!$G$4:$G$40,$AL$76)="","",INDEX('Final Calculation Sheet'!$G$4:$G$40,$AL$76)))</f>
        <v/>
      </c>
      <c r="D76" s="149">
        <f>IF($AL$76="","",IF(INDEX('Final Calculation Sheet'!$B$4:$B$40,$AL$76)="","",INDEX('Final Calculation Sheet'!$B$4:$B$40,$AL$76)))</f>
        <v/>
      </c>
      <c r="E76" s="149">
        <f>IF($AL$76="","",IF(INDEX('Final Calculation Sheet'!$D$4:$D$40,$AL$76)="","",INDEX('Final Calculation Sheet'!$D$4:$D$40,$AL$76)))</f>
        <v/>
      </c>
      <c r="F76" s="149">
        <f>IF($AL$76="","",IF(INDEX('Final Calculation Sheet'!$A$4:$A$40,$AL$76)="","",INDEX('Final Calculation Sheet'!$A$4:$A$40,$AL$76)))</f>
        <v/>
      </c>
      <c r="G76" s="149">
        <f>IF($AL$76="","",IF(INDEX('Final Calculation Sheet'!$E$4:$E$40,$AL$76)="","",INDEX('Final Calculation Sheet'!$E$4:$E$40,$AL$76)))</f>
        <v/>
      </c>
      <c r="H76" s="150">
        <f>IF($AL$76="","",IF(INDEX('Final Calculation Sheet'!$C$4:$C$40,$AL$76)="","",INDEX('Final Calculation Sheet'!$C$4:$C$40,$AL$76)))</f>
        <v/>
      </c>
      <c r="I76" s="150">
        <f>IF($AL$76="","",IF(INDEX('Final Calculation Sheet'!$H$4:$H$40,$AL$76)="","",INDEX('Final Calculation Sheet'!$H$4:$H$40,$AL$76)))</f>
        <v/>
      </c>
      <c r="J76" s="150">
        <f>IF($AL$76="","",IF(INDEX('Final Calculation Sheet'!$I$4:$I$40,$AL$76)="","",INDEX('Final Calculation Sheet'!$I$4:$I$40,$AL$76)))</f>
        <v/>
      </c>
      <c r="K76" s="150">
        <f>IF($AL$76="","",IF(INDEX('Final Calculation Sheet'!$J$4:$J$40,$AL$76)="","",INDEX('Final Calculation Sheet'!$J$4:$J$40,$AL$76)))</f>
        <v/>
      </c>
      <c r="L76" s="150">
        <f>IF($AL$76="","",IF(INDEX('Final Calculation Sheet'!$K$4:$K$40,$AL$76)="","",INDEX('Final Calculation Sheet'!$K$4:$K$40,$AL$76)))</f>
        <v/>
      </c>
      <c r="M76" s="150">
        <f>IF($AL$76="","",IF(INDEX('Final Calculation Sheet'!$L$4:$L$40,$AL$76)="","",INDEX('Final Calculation Sheet'!$L$4:$L$40,$AL$76)))</f>
        <v/>
      </c>
      <c r="N76" s="150">
        <f>IF($AL$76="","",IF(INDEX('Final Calculation Sheet'!$M$4:$M$40,$AL$76)="","",INDEX('Final Calculation Sheet'!$M$4:$M$40,$AL$76)))</f>
        <v/>
      </c>
      <c r="O76" s="151">
        <f>IF($AL$76="","",IF(INDEX('Final Calculation Sheet'!$N$4:$N$40,$AL$76)="","",INDEX('Final Calculation Sheet'!$N$4:$N$40,$AL$76)))</f>
        <v/>
      </c>
      <c r="P76" s="150">
        <f>IF($AL$76="","",IF(INDEX('Final Calculation Sheet'!$O$4:$O$40,$AL$76)="","",INDEX('Final Calculation Sheet'!$O$4:$O$40,$AL$76)))</f>
        <v/>
      </c>
      <c r="Q76" s="150">
        <f>IF($AL$76="","",IF(INDEX('Final Calculation Sheet'!$P$4:$P$40,$AL$76)="","",INDEX('Final Calculation Sheet'!$P$4:$P$40,$AL$76)))</f>
        <v/>
      </c>
      <c r="R76" s="152">
        <f>IF($AL$76="","",IF(INDEX('Final Calculation Sheet'!$Q$4:$Q$40,$AL$76)="","",INDEX('Final Calculation Sheet'!$Q$4:$Q$40,$AL$76)))</f>
        <v/>
      </c>
      <c r="S76" s="150">
        <f>IF($AL$76="","",IF(INDEX('Final Calculation Sheet'!$R$4:$R$40,$AL$76)="","",INDEX('Final Calculation Sheet'!$R$4:$R$40,$AL$76)))</f>
        <v/>
      </c>
      <c r="T76" s="150">
        <f>IF($AL$76="","",IF(INDEX('Final Calculation Sheet'!$S$4:$S$40,$AL$76)="","",INDEX('Final Calculation Sheet'!$S$4:$S$40,$AL$76)))</f>
        <v/>
      </c>
      <c r="U76" s="150">
        <f>IF($AL$76="","",IF(INDEX('Final Calculation Sheet'!$T$4:$T$40,$AL$76)="","",INDEX('Final Calculation Sheet'!$T$4:$T$40,$AL$76)))</f>
        <v/>
      </c>
      <c r="V76" s="153">
        <f>IF($AL$76="","",IF(INDEX('Final Calculation Sheet'!$U$4:$U$40,$AL$76)="","",INDEX('Final Calculation Sheet'!$U$4:$U$40,$AL$76)))</f>
        <v/>
      </c>
      <c r="W76" s="150">
        <f>IF($AL$76="","",IF(INDEX('Final Calculation Sheet'!$V$4:$V$40,$AL$76)="","",INDEX('Final Calculation Sheet'!$V$4:$V$40,$AL$76)))</f>
        <v/>
      </c>
      <c r="X76" s="150">
        <f>IF($AL$76="","",IF(INDEX('Final Calculation Sheet'!$W$4:$W$40,$AL$76)="","",INDEX('Final Calculation Sheet'!$W$4:$W$40,$AL$76)))</f>
        <v/>
      </c>
      <c r="Y76" s="150">
        <f>IF($AL$76="","",IF(INDEX('Final Calculation Sheet'!$X$4:$X$40,$AL$76)="","",INDEX('Final Calculation Sheet'!$X$4:$X$40,$AL$76)))</f>
        <v/>
      </c>
      <c r="Z76" s="150">
        <f>IF($AL$76="","",IF(INDEX('Final Calculation Sheet'!$Y$4:$Y$40,$AL$76)="","",INDEX('Final Calculation Sheet'!$Y$4:$Y$40,$AL$76)))</f>
        <v/>
      </c>
      <c r="AA76" s="150">
        <f>IF($AL$76="","",IF(INDEX('Final Calculation Sheet'!$Z$4:$Z$40,$AL$76)="","",INDEX('Final Calculation Sheet'!$Z$4:$Z$40,$AL$76)))</f>
        <v/>
      </c>
      <c r="AB76" s="150">
        <f>IF($AL$76="","",IF(INDEX('Final Calculation Sheet'!$AA$4:$AA$40,$AL$76)="","",INDEX('Final Calculation Sheet'!$AA$4:$AA$40,$AL$76)))</f>
        <v/>
      </c>
      <c r="AC76" s="150">
        <f>IF($AL$76="","",IF(INDEX('Final Calculation Sheet'!$AB$4:$AB$40,$AL$76)="","",INDEX('Final Calculation Sheet'!$AB$4:$AB$40,$AL$76)))</f>
        <v/>
      </c>
      <c r="AD76" s="150">
        <f>IF($AL$76="","",IF(INDEX('Final Calculation Sheet'!$AC$4:$AC$40,$AL$76)="","",INDEX('Final Calculation Sheet'!$AC$4:$AC$40,$AL$76)))</f>
        <v/>
      </c>
      <c r="AE76" s="150">
        <f>IF($AL$76="","",IF(INDEX('Final Calculation Sheet'!$AD$4:$AD$40,$AL$76)="","",INDEX('Final Calculation Sheet'!$AD$4:$AD$40,$AL$76)))</f>
        <v/>
      </c>
      <c r="AF76" s="150">
        <f>IF($AL$76="","",IF(INDEX('Final Calculation Sheet'!$AE$4:$AE$40,$AL$76)="","",INDEX('Final Calculation Sheet'!$AE$4:$AE$40,$AL$76)))</f>
        <v/>
      </c>
      <c r="AG76" s="154">
        <f>IF($AL$76="","",IF(INDEX('Final Calculation Sheet'!$AF$4:$AF$40,$AL$76)="","",INDEX('Final Calculation Sheet'!$AF$4:$AF$40,$AL$76)))</f>
        <v/>
      </c>
      <c r="AH76" s="150">
        <f>IF($AL$76="","",IF(INDEX('Final Calculation Sheet'!$AG$4:$AG$40,$AL$76)="","",INDEX('Final Calculation Sheet'!$AG$4:$AG$40,$AL$76)))</f>
        <v/>
      </c>
      <c r="AI76" s="155">
        <f>IF($AL$76="","",IF(INDEX('Final Calculation Sheet'!$AD$4:$AD$40,$AL$76)&lt;=5,"SETTLED","OUTSTANDING"))</f>
        <v/>
      </c>
      <c r="AL76">
        <f>IF(COUNTIF($B$4:$AI$4,"&lt;&gt;")=0,"",IFERROR(MATCH(17,$AK$6:$AK$42,0),""))</f>
        <v/>
      </c>
    </row>
    <row r="77">
      <c r="A77" s="156">
        <f>IF($AL$77="","",18)</f>
        <v/>
      </c>
      <c r="B77" s="157">
        <f>IF($AL$77="","",IF(INDEX('Final Calculation Sheet'!$F$4:$F$40,$AL$77)="","",INDEX('Final Calculation Sheet'!$F$4:$F$40,$AL$77)))</f>
        <v/>
      </c>
      <c r="C77" s="157">
        <f>IF($AL$77="","",IF(INDEX('Final Calculation Sheet'!$G$4:$G$40,$AL$77)="","",INDEX('Final Calculation Sheet'!$G$4:$G$40,$AL$77)))</f>
        <v/>
      </c>
      <c r="D77" s="158">
        <f>IF($AL$77="","",IF(INDEX('Final Calculation Sheet'!$B$4:$B$40,$AL$77)="","",INDEX('Final Calculation Sheet'!$B$4:$B$40,$AL$77)))</f>
        <v/>
      </c>
      <c r="E77" s="158">
        <f>IF($AL$77="","",IF(INDEX('Final Calculation Sheet'!$D$4:$D$40,$AL$77)="","",INDEX('Final Calculation Sheet'!$D$4:$D$40,$AL$77)))</f>
        <v/>
      </c>
      <c r="F77" s="158">
        <f>IF($AL$77="","",IF(INDEX('Final Calculation Sheet'!$A$4:$A$40,$AL$77)="","",INDEX('Final Calculation Sheet'!$A$4:$A$40,$AL$77)))</f>
        <v/>
      </c>
      <c r="G77" s="158">
        <f>IF($AL$77="","",IF(INDEX('Final Calculation Sheet'!$E$4:$E$40,$AL$77)="","",INDEX('Final Calculation Sheet'!$E$4:$E$40,$AL$77)))</f>
        <v/>
      </c>
      <c r="H77" s="159">
        <f>IF($AL$77="","",IF(INDEX('Final Calculation Sheet'!$C$4:$C$40,$AL$77)="","",INDEX('Final Calculation Sheet'!$C$4:$C$40,$AL$77)))</f>
        <v/>
      </c>
      <c r="I77" s="159">
        <f>IF($AL$77="","",IF(INDEX('Final Calculation Sheet'!$H$4:$H$40,$AL$77)="","",INDEX('Final Calculation Sheet'!$H$4:$H$40,$AL$77)))</f>
        <v/>
      </c>
      <c r="J77" s="159">
        <f>IF($AL$77="","",IF(INDEX('Final Calculation Sheet'!$I$4:$I$40,$AL$77)="","",INDEX('Final Calculation Sheet'!$I$4:$I$40,$AL$77)))</f>
        <v/>
      </c>
      <c r="K77" s="159">
        <f>IF($AL$77="","",IF(INDEX('Final Calculation Sheet'!$J$4:$J$40,$AL$77)="","",INDEX('Final Calculation Sheet'!$J$4:$J$40,$AL$77)))</f>
        <v/>
      </c>
      <c r="L77" s="159">
        <f>IF($AL$77="","",IF(INDEX('Final Calculation Sheet'!$K$4:$K$40,$AL$77)="","",INDEX('Final Calculation Sheet'!$K$4:$K$40,$AL$77)))</f>
        <v/>
      </c>
      <c r="M77" s="159">
        <f>IF($AL$77="","",IF(INDEX('Final Calculation Sheet'!$L$4:$L$40,$AL$77)="","",INDEX('Final Calculation Sheet'!$L$4:$L$40,$AL$77)))</f>
        <v/>
      </c>
      <c r="N77" s="159">
        <f>IF($AL$77="","",IF(INDEX('Final Calculation Sheet'!$M$4:$M$40,$AL$77)="","",INDEX('Final Calculation Sheet'!$M$4:$M$40,$AL$77)))</f>
        <v/>
      </c>
      <c r="O77" s="160">
        <f>IF($AL$77="","",IF(INDEX('Final Calculation Sheet'!$N$4:$N$40,$AL$77)="","",INDEX('Final Calculation Sheet'!$N$4:$N$40,$AL$77)))</f>
        <v/>
      </c>
      <c r="P77" s="159">
        <f>IF($AL$77="","",IF(INDEX('Final Calculation Sheet'!$O$4:$O$40,$AL$77)="","",INDEX('Final Calculation Sheet'!$O$4:$O$40,$AL$77)))</f>
        <v/>
      </c>
      <c r="Q77" s="159">
        <f>IF($AL$77="","",IF(INDEX('Final Calculation Sheet'!$P$4:$P$40,$AL$77)="","",INDEX('Final Calculation Sheet'!$P$4:$P$40,$AL$77)))</f>
        <v/>
      </c>
      <c r="R77" s="161">
        <f>IF($AL$77="","",IF(INDEX('Final Calculation Sheet'!$Q$4:$Q$40,$AL$77)="","",INDEX('Final Calculation Sheet'!$Q$4:$Q$40,$AL$77)))</f>
        <v/>
      </c>
      <c r="S77" s="159">
        <f>IF($AL$77="","",IF(INDEX('Final Calculation Sheet'!$R$4:$R$40,$AL$77)="","",INDEX('Final Calculation Sheet'!$R$4:$R$40,$AL$77)))</f>
        <v/>
      </c>
      <c r="T77" s="159">
        <f>IF($AL$77="","",IF(INDEX('Final Calculation Sheet'!$S$4:$S$40,$AL$77)="","",INDEX('Final Calculation Sheet'!$S$4:$S$40,$AL$77)))</f>
        <v/>
      </c>
      <c r="U77" s="159">
        <f>IF($AL$77="","",IF(INDEX('Final Calculation Sheet'!$T$4:$T$40,$AL$77)="","",INDEX('Final Calculation Sheet'!$T$4:$T$40,$AL$77)))</f>
        <v/>
      </c>
      <c r="V77" s="162">
        <f>IF($AL$77="","",IF(INDEX('Final Calculation Sheet'!$U$4:$U$40,$AL$77)="","",INDEX('Final Calculation Sheet'!$U$4:$U$40,$AL$77)))</f>
        <v/>
      </c>
      <c r="W77" s="159">
        <f>IF($AL$77="","",IF(INDEX('Final Calculation Sheet'!$V$4:$V$40,$AL$77)="","",INDEX('Final Calculation Sheet'!$V$4:$V$40,$AL$77)))</f>
        <v/>
      </c>
      <c r="X77" s="159">
        <f>IF($AL$77="","",IF(INDEX('Final Calculation Sheet'!$W$4:$W$40,$AL$77)="","",INDEX('Final Calculation Sheet'!$W$4:$W$40,$AL$77)))</f>
        <v/>
      </c>
      <c r="Y77" s="159">
        <f>IF($AL$77="","",IF(INDEX('Final Calculation Sheet'!$X$4:$X$40,$AL$77)="","",INDEX('Final Calculation Sheet'!$X$4:$X$40,$AL$77)))</f>
        <v/>
      </c>
      <c r="Z77" s="159">
        <f>IF($AL$77="","",IF(INDEX('Final Calculation Sheet'!$Y$4:$Y$40,$AL$77)="","",INDEX('Final Calculation Sheet'!$Y$4:$Y$40,$AL$77)))</f>
        <v/>
      </c>
      <c r="AA77" s="159">
        <f>IF($AL$77="","",IF(INDEX('Final Calculation Sheet'!$Z$4:$Z$40,$AL$77)="","",INDEX('Final Calculation Sheet'!$Z$4:$Z$40,$AL$77)))</f>
        <v/>
      </c>
      <c r="AB77" s="159">
        <f>IF($AL$77="","",IF(INDEX('Final Calculation Sheet'!$AA$4:$AA$40,$AL$77)="","",INDEX('Final Calculation Sheet'!$AA$4:$AA$40,$AL$77)))</f>
        <v/>
      </c>
      <c r="AC77" s="159">
        <f>IF($AL$77="","",IF(INDEX('Final Calculation Sheet'!$AB$4:$AB$40,$AL$77)="","",INDEX('Final Calculation Sheet'!$AB$4:$AB$40,$AL$77)))</f>
        <v/>
      </c>
      <c r="AD77" s="159">
        <f>IF($AL$77="","",IF(INDEX('Final Calculation Sheet'!$AC$4:$AC$40,$AL$77)="","",INDEX('Final Calculation Sheet'!$AC$4:$AC$40,$AL$77)))</f>
        <v/>
      </c>
      <c r="AE77" s="159">
        <f>IF($AL$77="","",IF(INDEX('Final Calculation Sheet'!$AD$4:$AD$40,$AL$77)="","",INDEX('Final Calculation Sheet'!$AD$4:$AD$40,$AL$77)))</f>
        <v/>
      </c>
      <c r="AF77" s="159">
        <f>IF($AL$77="","",IF(INDEX('Final Calculation Sheet'!$AE$4:$AE$40,$AL$77)="","",INDEX('Final Calculation Sheet'!$AE$4:$AE$40,$AL$77)))</f>
        <v/>
      </c>
      <c r="AG77" s="163">
        <f>IF($AL$77="","",IF(INDEX('Final Calculation Sheet'!$AF$4:$AF$40,$AL$77)="","",INDEX('Final Calculation Sheet'!$AF$4:$AF$40,$AL$77)))</f>
        <v/>
      </c>
      <c r="AH77" s="159">
        <f>IF($AL$77="","",IF(INDEX('Final Calculation Sheet'!$AG$4:$AG$40,$AL$77)="","",INDEX('Final Calculation Sheet'!$AG$4:$AG$40,$AL$77)))</f>
        <v/>
      </c>
      <c r="AI77" s="164">
        <f>IF($AL$77="","",IF(INDEX('Final Calculation Sheet'!$AD$4:$AD$40,$AL$77)&lt;=5,"SETTLED","OUTSTANDING"))</f>
        <v/>
      </c>
      <c r="AL77">
        <f>IF(COUNTIF($B$4:$AI$4,"&lt;&gt;")=0,"",IFERROR(MATCH(18,$AK$6:$AK$42,0),""))</f>
        <v/>
      </c>
    </row>
    <row r="78">
      <c r="A78" s="146">
        <f>IF($AL$78="","",19)</f>
        <v/>
      </c>
      <c r="B78" s="147">
        <f>IF($AL$78="","",IF(INDEX('Final Calculation Sheet'!$F$4:$F$40,$AL$78)="","",INDEX('Final Calculation Sheet'!$F$4:$F$40,$AL$78)))</f>
        <v/>
      </c>
      <c r="C78" s="147">
        <f>IF($AL$78="","",IF(INDEX('Final Calculation Sheet'!$G$4:$G$40,$AL$78)="","",INDEX('Final Calculation Sheet'!$G$4:$G$40,$AL$78)))</f>
        <v/>
      </c>
      <c r="D78" s="149">
        <f>IF($AL$78="","",IF(INDEX('Final Calculation Sheet'!$B$4:$B$40,$AL$78)="","",INDEX('Final Calculation Sheet'!$B$4:$B$40,$AL$78)))</f>
        <v/>
      </c>
      <c r="E78" s="149">
        <f>IF($AL$78="","",IF(INDEX('Final Calculation Sheet'!$D$4:$D$40,$AL$78)="","",INDEX('Final Calculation Sheet'!$D$4:$D$40,$AL$78)))</f>
        <v/>
      </c>
      <c r="F78" s="149">
        <f>IF($AL$78="","",IF(INDEX('Final Calculation Sheet'!$A$4:$A$40,$AL$78)="","",INDEX('Final Calculation Sheet'!$A$4:$A$40,$AL$78)))</f>
        <v/>
      </c>
      <c r="G78" s="149">
        <f>IF($AL$78="","",IF(INDEX('Final Calculation Sheet'!$E$4:$E$40,$AL$78)="","",INDEX('Final Calculation Sheet'!$E$4:$E$40,$AL$78)))</f>
        <v/>
      </c>
      <c r="H78" s="150">
        <f>IF($AL$78="","",IF(INDEX('Final Calculation Sheet'!$C$4:$C$40,$AL$78)="","",INDEX('Final Calculation Sheet'!$C$4:$C$40,$AL$78)))</f>
        <v/>
      </c>
      <c r="I78" s="150">
        <f>IF($AL$78="","",IF(INDEX('Final Calculation Sheet'!$H$4:$H$40,$AL$78)="","",INDEX('Final Calculation Sheet'!$H$4:$H$40,$AL$78)))</f>
        <v/>
      </c>
      <c r="J78" s="150">
        <f>IF($AL$78="","",IF(INDEX('Final Calculation Sheet'!$I$4:$I$40,$AL$78)="","",INDEX('Final Calculation Sheet'!$I$4:$I$40,$AL$78)))</f>
        <v/>
      </c>
      <c r="K78" s="150">
        <f>IF($AL$78="","",IF(INDEX('Final Calculation Sheet'!$J$4:$J$40,$AL$78)="","",INDEX('Final Calculation Sheet'!$J$4:$J$40,$AL$78)))</f>
        <v/>
      </c>
      <c r="L78" s="150">
        <f>IF($AL$78="","",IF(INDEX('Final Calculation Sheet'!$K$4:$K$40,$AL$78)="","",INDEX('Final Calculation Sheet'!$K$4:$K$40,$AL$78)))</f>
        <v/>
      </c>
      <c r="M78" s="150">
        <f>IF($AL$78="","",IF(INDEX('Final Calculation Sheet'!$L$4:$L$40,$AL$78)="","",INDEX('Final Calculation Sheet'!$L$4:$L$40,$AL$78)))</f>
        <v/>
      </c>
      <c r="N78" s="150">
        <f>IF($AL$78="","",IF(INDEX('Final Calculation Sheet'!$M$4:$M$40,$AL$78)="","",INDEX('Final Calculation Sheet'!$M$4:$M$40,$AL$78)))</f>
        <v/>
      </c>
      <c r="O78" s="151">
        <f>IF($AL$78="","",IF(INDEX('Final Calculation Sheet'!$N$4:$N$40,$AL$78)="","",INDEX('Final Calculation Sheet'!$N$4:$N$40,$AL$78)))</f>
        <v/>
      </c>
      <c r="P78" s="150">
        <f>IF($AL$78="","",IF(INDEX('Final Calculation Sheet'!$O$4:$O$40,$AL$78)="","",INDEX('Final Calculation Sheet'!$O$4:$O$40,$AL$78)))</f>
        <v/>
      </c>
      <c r="Q78" s="150">
        <f>IF($AL$78="","",IF(INDEX('Final Calculation Sheet'!$P$4:$P$40,$AL$78)="","",INDEX('Final Calculation Sheet'!$P$4:$P$40,$AL$78)))</f>
        <v/>
      </c>
      <c r="R78" s="152">
        <f>IF($AL$78="","",IF(INDEX('Final Calculation Sheet'!$Q$4:$Q$40,$AL$78)="","",INDEX('Final Calculation Sheet'!$Q$4:$Q$40,$AL$78)))</f>
        <v/>
      </c>
      <c r="S78" s="150">
        <f>IF($AL$78="","",IF(INDEX('Final Calculation Sheet'!$R$4:$R$40,$AL$78)="","",INDEX('Final Calculation Sheet'!$R$4:$R$40,$AL$78)))</f>
        <v/>
      </c>
      <c r="T78" s="150">
        <f>IF($AL$78="","",IF(INDEX('Final Calculation Sheet'!$S$4:$S$40,$AL$78)="","",INDEX('Final Calculation Sheet'!$S$4:$S$40,$AL$78)))</f>
        <v/>
      </c>
      <c r="U78" s="150">
        <f>IF($AL$78="","",IF(INDEX('Final Calculation Sheet'!$T$4:$T$40,$AL$78)="","",INDEX('Final Calculation Sheet'!$T$4:$T$40,$AL$78)))</f>
        <v/>
      </c>
      <c r="V78" s="153">
        <f>IF($AL$78="","",IF(INDEX('Final Calculation Sheet'!$U$4:$U$40,$AL$78)="","",INDEX('Final Calculation Sheet'!$U$4:$U$40,$AL$78)))</f>
        <v/>
      </c>
      <c r="W78" s="150">
        <f>IF($AL$78="","",IF(INDEX('Final Calculation Sheet'!$V$4:$V$40,$AL$78)="","",INDEX('Final Calculation Sheet'!$V$4:$V$40,$AL$78)))</f>
        <v/>
      </c>
      <c r="X78" s="150">
        <f>IF($AL$78="","",IF(INDEX('Final Calculation Sheet'!$W$4:$W$40,$AL$78)="","",INDEX('Final Calculation Sheet'!$W$4:$W$40,$AL$78)))</f>
        <v/>
      </c>
      <c r="Y78" s="150">
        <f>IF($AL$78="","",IF(INDEX('Final Calculation Sheet'!$X$4:$X$40,$AL$78)="","",INDEX('Final Calculation Sheet'!$X$4:$X$40,$AL$78)))</f>
        <v/>
      </c>
      <c r="Z78" s="150">
        <f>IF($AL$78="","",IF(INDEX('Final Calculation Sheet'!$Y$4:$Y$40,$AL$78)="","",INDEX('Final Calculation Sheet'!$Y$4:$Y$40,$AL$78)))</f>
        <v/>
      </c>
      <c r="AA78" s="150">
        <f>IF($AL$78="","",IF(INDEX('Final Calculation Sheet'!$Z$4:$Z$40,$AL$78)="","",INDEX('Final Calculation Sheet'!$Z$4:$Z$40,$AL$78)))</f>
        <v/>
      </c>
      <c r="AB78" s="150">
        <f>IF($AL$78="","",IF(INDEX('Final Calculation Sheet'!$AA$4:$AA$40,$AL$78)="","",INDEX('Final Calculation Sheet'!$AA$4:$AA$40,$AL$78)))</f>
        <v/>
      </c>
      <c r="AC78" s="150">
        <f>IF($AL$78="","",IF(INDEX('Final Calculation Sheet'!$AB$4:$AB$40,$AL$78)="","",INDEX('Final Calculation Sheet'!$AB$4:$AB$40,$AL$78)))</f>
        <v/>
      </c>
      <c r="AD78" s="150">
        <f>IF($AL$78="","",IF(INDEX('Final Calculation Sheet'!$AC$4:$AC$40,$AL$78)="","",INDEX('Final Calculation Sheet'!$AC$4:$AC$40,$AL$78)))</f>
        <v/>
      </c>
      <c r="AE78" s="150">
        <f>IF($AL$78="","",IF(INDEX('Final Calculation Sheet'!$AD$4:$AD$40,$AL$78)="","",INDEX('Final Calculation Sheet'!$AD$4:$AD$40,$AL$78)))</f>
        <v/>
      </c>
      <c r="AF78" s="150">
        <f>IF($AL$78="","",IF(INDEX('Final Calculation Sheet'!$AE$4:$AE$40,$AL$78)="","",INDEX('Final Calculation Sheet'!$AE$4:$AE$40,$AL$78)))</f>
        <v/>
      </c>
      <c r="AG78" s="154">
        <f>IF($AL$78="","",IF(INDEX('Final Calculation Sheet'!$AF$4:$AF$40,$AL$78)="","",INDEX('Final Calculation Sheet'!$AF$4:$AF$40,$AL$78)))</f>
        <v/>
      </c>
      <c r="AH78" s="150">
        <f>IF($AL$78="","",IF(INDEX('Final Calculation Sheet'!$AG$4:$AG$40,$AL$78)="","",INDEX('Final Calculation Sheet'!$AG$4:$AG$40,$AL$78)))</f>
        <v/>
      </c>
      <c r="AI78" s="155">
        <f>IF($AL$78="","",IF(INDEX('Final Calculation Sheet'!$AD$4:$AD$40,$AL$78)&lt;=5,"SETTLED","OUTSTANDING"))</f>
        <v/>
      </c>
      <c r="AL78">
        <f>IF(COUNTIF($B$4:$AI$4,"&lt;&gt;")=0,"",IFERROR(MATCH(19,$AK$6:$AK$42,0),""))</f>
        <v/>
      </c>
    </row>
    <row r="79">
      <c r="A79" s="156">
        <f>IF($AL$79="","",20)</f>
        <v/>
      </c>
      <c r="B79" s="157">
        <f>IF($AL$79="","",IF(INDEX('Final Calculation Sheet'!$F$4:$F$40,$AL$79)="","",INDEX('Final Calculation Sheet'!$F$4:$F$40,$AL$79)))</f>
        <v/>
      </c>
      <c r="C79" s="157">
        <f>IF($AL$79="","",IF(INDEX('Final Calculation Sheet'!$G$4:$G$40,$AL$79)="","",INDEX('Final Calculation Sheet'!$G$4:$G$40,$AL$79)))</f>
        <v/>
      </c>
      <c r="D79" s="158">
        <f>IF($AL$79="","",IF(INDEX('Final Calculation Sheet'!$B$4:$B$40,$AL$79)="","",INDEX('Final Calculation Sheet'!$B$4:$B$40,$AL$79)))</f>
        <v/>
      </c>
      <c r="E79" s="158">
        <f>IF($AL$79="","",IF(INDEX('Final Calculation Sheet'!$D$4:$D$40,$AL$79)="","",INDEX('Final Calculation Sheet'!$D$4:$D$40,$AL$79)))</f>
        <v/>
      </c>
      <c r="F79" s="158">
        <f>IF($AL$79="","",IF(INDEX('Final Calculation Sheet'!$A$4:$A$40,$AL$79)="","",INDEX('Final Calculation Sheet'!$A$4:$A$40,$AL$79)))</f>
        <v/>
      </c>
      <c r="G79" s="158">
        <f>IF($AL$79="","",IF(INDEX('Final Calculation Sheet'!$E$4:$E$40,$AL$79)="","",INDEX('Final Calculation Sheet'!$E$4:$E$40,$AL$79)))</f>
        <v/>
      </c>
      <c r="H79" s="159">
        <f>IF($AL$79="","",IF(INDEX('Final Calculation Sheet'!$C$4:$C$40,$AL$79)="","",INDEX('Final Calculation Sheet'!$C$4:$C$40,$AL$79)))</f>
        <v/>
      </c>
      <c r="I79" s="159">
        <f>IF($AL$79="","",IF(INDEX('Final Calculation Sheet'!$H$4:$H$40,$AL$79)="","",INDEX('Final Calculation Sheet'!$H$4:$H$40,$AL$79)))</f>
        <v/>
      </c>
      <c r="J79" s="159">
        <f>IF($AL$79="","",IF(INDEX('Final Calculation Sheet'!$I$4:$I$40,$AL$79)="","",INDEX('Final Calculation Sheet'!$I$4:$I$40,$AL$79)))</f>
        <v/>
      </c>
      <c r="K79" s="159">
        <f>IF($AL$79="","",IF(INDEX('Final Calculation Sheet'!$J$4:$J$40,$AL$79)="","",INDEX('Final Calculation Sheet'!$J$4:$J$40,$AL$79)))</f>
        <v/>
      </c>
      <c r="L79" s="159">
        <f>IF($AL$79="","",IF(INDEX('Final Calculation Sheet'!$K$4:$K$40,$AL$79)="","",INDEX('Final Calculation Sheet'!$K$4:$K$40,$AL$79)))</f>
        <v/>
      </c>
      <c r="M79" s="159">
        <f>IF($AL$79="","",IF(INDEX('Final Calculation Sheet'!$L$4:$L$40,$AL$79)="","",INDEX('Final Calculation Sheet'!$L$4:$L$40,$AL$79)))</f>
        <v/>
      </c>
      <c r="N79" s="159">
        <f>IF($AL$79="","",IF(INDEX('Final Calculation Sheet'!$M$4:$M$40,$AL$79)="","",INDEX('Final Calculation Sheet'!$M$4:$M$40,$AL$79)))</f>
        <v/>
      </c>
      <c r="O79" s="160">
        <f>IF($AL$79="","",IF(INDEX('Final Calculation Sheet'!$N$4:$N$40,$AL$79)="","",INDEX('Final Calculation Sheet'!$N$4:$N$40,$AL$79)))</f>
        <v/>
      </c>
      <c r="P79" s="159">
        <f>IF($AL$79="","",IF(INDEX('Final Calculation Sheet'!$O$4:$O$40,$AL$79)="","",INDEX('Final Calculation Sheet'!$O$4:$O$40,$AL$79)))</f>
        <v/>
      </c>
      <c r="Q79" s="159">
        <f>IF($AL$79="","",IF(INDEX('Final Calculation Sheet'!$P$4:$P$40,$AL$79)="","",INDEX('Final Calculation Sheet'!$P$4:$P$40,$AL$79)))</f>
        <v/>
      </c>
      <c r="R79" s="161">
        <f>IF($AL$79="","",IF(INDEX('Final Calculation Sheet'!$Q$4:$Q$40,$AL$79)="","",INDEX('Final Calculation Sheet'!$Q$4:$Q$40,$AL$79)))</f>
        <v/>
      </c>
      <c r="S79" s="159">
        <f>IF($AL$79="","",IF(INDEX('Final Calculation Sheet'!$R$4:$R$40,$AL$79)="","",INDEX('Final Calculation Sheet'!$R$4:$R$40,$AL$79)))</f>
        <v/>
      </c>
      <c r="T79" s="159">
        <f>IF($AL$79="","",IF(INDEX('Final Calculation Sheet'!$S$4:$S$40,$AL$79)="","",INDEX('Final Calculation Sheet'!$S$4:$S$40,$AL$79)))</f>
        <v/>
      </c>
      <c r="U79" s="159">
        <f>IF($AL$79="","",IF(INDEX('Final Calculation Sheet'!$T$4:$T$40,$AL$79)="","",INDEX('Final Calculation Sheet'!$T$4:$T$40,$AL$79)))</f>
        <v/>
      </c>
      <c r="V79" s="162">
        <f>IF($AL$79="","",IF(INDEX('Final Calculation Sheet'!$U$4:$U$40,$AL$79)="","",INDEX('Final Calculation Sheet'!$U$4:$U$40,$AL$79)))</f>
        <v/>
      </c>
      <c r="W79" s="159">
        <f>IF($AL$79="","",IF(INDEX('Final Calculation Sheet'!$V$4:$V$40,$AL$79)="","",INDEX('Final Calculation Sheet'!$V$4:$V$40,$AL$79)))</f>
        <v/>
      </c>
      <c r="X79" s="159">
        <f>IF($AL$79="","",IF(INDEX('Final Calculation Sheet'!$W$4:$W$40,$AL$79)="","",INDEX('Final Calculation Sheet'!$W$4:$W$40,$AL$79)))</f>
        <v/>
      </c>
      <c r="Y79" s="159">
        <f>IF($AL$79="","",IF(INDEX('Final Calculation Sheet'!$X$4:$X$40,$AL$79)="","",INDEX('Final Calculation Sheet'!$X$4:$X$40,$AL$79)))</f>
        <v/>
      </c>
      <c r="Z79" s="159">
        <f>IF($AL$79="","",IF(INDEX('Final Calculation Sheet'!$Y$4:$Y$40,$AL$79)="","",INDEX('Final Calculation Sheet'!$Y$4:$Y$40,$AL$79)))</f>
        <v/>
      </c>
      <c r="AA79" s="159">
        <f>IF($AL$79="","",IF(INDEX('Final Calculation Sheet'!$Z$4:$Z$40,$AL$79)="","",INDEX('Final Calculation Sheet'!$Z$4:$Z$40,$AL$79)))</f>
        <v/>
      </c>
      <c r="AB79" s="159">
        <f>IF($AL$79="","",IF(INDEX('Final Calculation Sheet'!$AA$4:$AA$40,$AL$79)="","",INDEX('Final Calculation Sheet'!$AA$4:$AA$40,$AL$79)))</f>
        <v/>
      </c>
      <c r="AC79" s="159">
        <f>IF($AL$79="","",IF(INDEX('Final Calculation Sheet'!$AB$4:$AB$40,$AL$79)="","",INDEX('Final Calculation Sheet'!$AB$4:$AB$40,$AL$79)))</f>
        <v/>
      </c>
      <c r="AD79" s="159">
        <f>IF($AL$79="","",IF(INDEX('Final Calculation Sheet'!$AC$4:$AC$40,$AL$79)="","",INDEX('Final Calculation Sheet'!$AC$4:$AC$40,$AL$79)))</f>
        <v/>
      </c>
      <c r="AE79" s="159">
        <f>IF($AL$79="","",IF(INDEX('Final Calculation Sheet'!$AD$4:$AD$40,$AL$79)="","",INDEX('Final Calculation Sheet'!$AD$4:$AD$40,$AL$79)))</f>
        <v/>
      </c>
      <c r="AF79" s="159">
        <f>IF($AL$79="","",IF(INDEX('Final Calculation Sheet'!$AE$4:$AE$40,$AL$79)="","",INDEX('Final Calculation Sheet'!$AE$4:$AE$40,$AL$79)))</f>
        <v/>
      </c>
      <c r="AG79" s="163">
        <f>IF($AL$79="","",IF(INDEX('Final Calculation Sheet'!$AF$4:$AF$40,$AL$79)="","",INDEX('Final Calculation Sheet'!$AF$4:$AF$40,$AL$79)))</f>
        <v/>
      </c>
      <c r="AH79" s="159">
        <f>IF($AL$79="","",IF(INDEX('Final Calculation Sheet'!$AG$4:$AG$40,$AL$79)="","",INDEX('Final Calculation Sheet'!$AG$4:$AG$40,$AL$79)))</f>
        <v/>
      </c>
      <c r="AI79" s="164">
        <f>IF($AL$79="","",IF(INDEX('Final Calculation Sheet'!$AD$4:$AD$40,$AL$79)&lt;=5,"SETTLED","OUTSTANDING"))</f>
        <v/>
      </c>
      <c r="AL79">
        <f>IF(COUNTIF($B$4:$AI$4,"&lt;&gt;")=0,"",IFERROR(MATCH(20,$AK$6:$AK$42,0),""))</f>
        <v/>
      </c>
    </row>
    <row r="80">
      <c r="A80" s="146">
        <f>IF($AL$80="","",21)</f>
        <v/>
      </c>
      <c r="B80" s="147">
        <f>IF($AL$80="","",IF(INDEX('Final Calculation Sheet'!$F$4:$F$40,$AL$80)="","",INDEX('Final Calculation Sheet'!$F$4:$F$40,$AL$80)))</f>
        <v/>
      </c>
      <c r="C80" s="147">
        <f>IF($AL$80="","",IF(INDEX('Final Calculation Sheet'!$G$4:$G$40,$AL$80)="","",INDEX('Final Calculation Sheet'!$G$4:$G$40,$AL$80)))</f>
        <v/>
      </c>
      <c r="D80" s="149">
        <f>IF($AL$80="","",IF(INDEX('Final Calculation Sheet'!$B$4:$B$40,$AL$80)="","",INDEX('Final Calculation Sheet'!$B$4:$B$40,$AL$80)))</f>
        <v/>
      </c>
      <c r="E80" s="149">
        <f>IF($AL$80="","",IF(INDEX('Final Calculation Sheet'!$D$4:$D$40,$AL$80)="","",INDEX('Final Calculation Sheet'!$D$4:$D$40,$AL$80)))</f>
        <v/>
      </c>
      <c r="F80" s="149">
        <f>IF($AL$80="","",IF(INDEX('Final Calculation Sheet'!$A$4:$A$40,$AL$80)="","",INDEX('Final Calculation Sheet'!$A$4:$A$40,$AL$80)))</f>
        <v/>
      </c>
      <c r="G80" s="149">
        <f>IF($AL$80="","",IF(INDEX('Final Calculation Sheet'!$E$4:$E$40,$AL$80)="","",INDEX('Final Calculation Sheet'!$E$4:$E$40,$AL$80)))</f>
        <v/>
      </c>
      <c r="H80" s="150">
        <f>IF($AL$80="","",IF(INDEX('Final Calculation Sheet'!$C$4:$C$40,$AL$80)="","",INDEX('Final Calculation Sheet'!$C$4:$C$40,$AL$80)))</f>
        <v/>
      </c>
      <c r="I80" s="150">
        <f>IF($AL$80="","",IF(INDEX('Final Calculation Sheet'!$H$4:$H$40,$AL$80)="","",INDEX('Final Calculation Sheet'!$H$4:$H$40,$AL$80)))</f>
        <v/>
      </c>
      <c r="J80" s="150">
        <f>IF($AL$80="","",IF(INDEX('Final Calculation Sheet'!$I$4:$I$40,$AL$80)="","",INDEX('Final Calculation Sheet'!$I$4:$I$40,$AL$80)))</f>
        <v/>
      </c>
      <c r="K80" s="150">
        <f>IF($AL$80="","",IF(INDEX('Final Calculation Sheet'!$J$4:$J$40,$AL$80)="","",INDEX('Final Calculation Sheet'!$J$4:$J$40,$AL$80)))</f>
        <v/>
      </c>
      <c r="L80" s="150">
        <f>IF($AL$80="","",IF(INDEX('Final Calculation Sheet'!$K$4:$K$40,$AL$80)="","",INDEX('Final Calculation Sheet'!$K$4:$K$40,$AL$80)))</f>
        <v/>
      </c>
      <c r="M80" s="150">
        <f>IF($AL$80="","",IF(INDEX('Final Calculation Sheet'!$L$4:$L$40,$AL$80)="","",INDEX('Final Calculation Sheet'!$L$4:$L$40,$AL$80)))</f>
        <v/>
      </c>
      <c r="N80" s="150">
        <f>IF($AL$80="","",IF(INDEX('Final Calculation Sheet'!$M$4:$M$40,$AL$80)="","",INDEX('Final Calculation Sheet'!$M$4:$M$40,$AL$80)))</f>
        <v/>
      </c>
      <c r="O80" s="151">
        <f>IF($AL$80="","",IF(INDEX('Final Calculation Sheet'!$N$4:$N$40,$AL$80)="","",INDEX('Final Calculation Sheet'!$N$4:$N$40,$AL$80)))</f>
        <v/>
      </c>
      <c r="P80" s="150">
        <f>IF($AL$80="","",IF(INDEX('Final Calculation Sheet'!$O$4:$O$40,$AL$80)="","",INDEX('Final Calculation Sheet'!$O$4:$O$40,$AL$80)))</f>
        <v/>
      </c>
      <c r="Q80" s="150">
        <f>IF($AL$80="","",IF(INDEX('Final Calculation Sheet'!$P$4:$P$40,$AL$80)="","",INDEX('Final Calculation Sheet'!$P$4:$P$40,$AL$80)))</f>
        <v/>
      </c>
      <c r="R80" s="152">
        <f>IF($AL$80="","",IF(INDEX('Final Calculation Sheet'!$Q$4:$Q$40,$AL$80)="","",INDEX('Final Calculation Sheet'!$Q$4:$Q$40,$AL$80)))</f>
        <v/>
      </c>
      <c r="S80" s="150">
        <f>IF($AL$80="","",IF(INDEX('Final Calculation Sheet'!$R$4:$R$40,$AL$80)="","",INDEX('Final Calculation Sheet'!$R$4:$R$40,$AL$80)))</f>
        <v/>
      </c>
      <c r="T80" s="150">
        <f>IF($AL$80="","",IF(INDEX('Final Calculation Sheet'!$S$4:$S$40,$AL$80)="","",INDEX('Final Calculation Sheet'!$S$4:$S$40,$AL$80)))</f>
        <v/>
      </c>
      <c r="U80" s="150">
        <f>IF($AL$80="","",IF(INDEX('Final Calculation Sheet'!$T$4:$T$40,$AL$80)="","",INDEX('Final Calculation Sheet'!$T$4:$T$40,$AL$80)))</f>
        <v/>
      </c>
      <c r="V80" s="153">
        <f>IF($AL$80="","",IF(INDEX('Final Calculation Sheet'!$U$4:$U$40,$AL$80)="","",INDEX('Final Calculation Sheet'!$U$4:$U$40,$AL$80)))</f>
        <v/>
      </c>
      <c r="W80" s="150">
        <f>IF($AL$80="","",IF(INDEX('Final Calculation Sheet'!$V$4:$V$40,$AL$80)="","",INDEX('Final Calculation Sheet'!$V$4:$V$40,$AL$80)))</f>
        <v/>
      </c>
      <c r="X80" s="150">
        <f>IF($AL$80="","",IF(INDEX('Final Calculation Sheet'!$W$4:$W$40,$AL$80)="","",INDEX('Final Calculation Sheet'!$W$4:$W$40,$AL$80)))</f>
        <v/>
      </c>
      <c r="Y80" s="150">
        <f>IF($AL$80="","",IF(INDEX('Final Calculation Sheet'!$X$4:$X$40,$AL$80)="","",INDEX('Final Calculation Sheet'!$X$4:$X$40,$AL$80)))</f>
        <v/>
      </c>
      <c r="Z80" s="150">
        <f>IF($AL$80="","",IF(INDEX('Final Calculation Sheet'!$Y$4:$Y$40,$AL$80)="","",INDEX('Final Calculation Sheet'!$Y$4:$Y$40,$AL$80)))</f>
        <v/>
      </c>
      <c r="AA80" s="150">
        <f>IF($AL$80="","",IF(INDEX('Final Calculation Sheet'!$Z$4:$Z$40,$AL$80)="","",INDEX('Final Calculation Sheet'!$Z$4:$Z$40,$AL$80)))</f>
        <v/>
      </c>
      <c r="AB80" s="150">
        <f>IF($AL$80="","",IF(INDEX('Final Calculation Sheet'!$AA$4:$AA$40,$AL$80)="","",INDEX('Final Calculation Sheet'!$AA$4:$AA$40,$AL$80)))</f>
        <v/>
      </c>
      <c r="AC80" s="150">
        <f>IF($AL$80="","",IF(INDEX('Final Calculation Sheet'!$AB$4:$AB$40,$AL$80)="","",INDEX('Final Calculation Sheet'!$AB$4:$AB$40,$AL$80)))</f>
        <v/>
      </c>
      <c r="AD80" s="150">
        <f>IF($AL$80="","",IF(INDEX('Final Calculation Sheet'!$AC$4:$AC$40,$AL$80)="","",INDEX('Final Calculation Sheet'!$AC$4:$AC$40,$AL$80)))</f>
        <v/>
      </c>
      <c r="AE80" s="150">
        <f>IF($AL$80="","",IF(INDEX('Final Calculation Sheet'!$AD$4:$AD$40,$AL$80)="","",INDEX('Final Calculation Sheet'!$AD$4:$AD$40,$AL$80)))</f>
        <v/>
      </c>
      <c r="AF80" s="150">
        <f>IF($AL$80="","",IF(INDEX('Final Calculation Sheet'!$AE$4:$AE$40,$AL$80)="","",INDEX('Final Calculation Sheet'!$AE$4:$AE$40,$AL$80)))</f>
        <v/>
      </c>
      <c r="AG80" s="154">
        <f>IF($AL$80="","",IF(INDEX('Final Calculation Sheet'!$AF$4:$AF$40,$AL$80)="","",INDEX('Final Calculation Sheet'!$AF$4:$AF$40,$AL$80)))</f>
        <v/>
      </c>
      <c r="AH80" s="150">
        <f>IF($AL$80="","",IF(INDEX('Final Calculation Sheet'!$AG$4:$AG$40,$AL$80)="","",INDEX('Final Calculation Sheet'!$AG$4:$AG$40,$AL$80)))</f>
        <v/>
      </c>
      <c r="AI80" s="155">
        <f>IF($AL$80="","",IF(INDEX('Final Calculation Sheet'!$AD$4:$AD$40,$AL$80)&lt;=5,"SETTLED","OUTSTANDING"))</f>
        <v/>
      </c>
      <c r="AL80">
        <f>IF(COUNTIF($B$4:$AI$4,"&lt;&gt;")=0,"",IFERROR(MATCH(21,$AK$6:$AK$42,0),""))</f>
        <v/>
      </c>
    </row>
    <row r="81">
      <c r="A81" s="156">
        <f>IF($AL$81="","",22)</f>
        <v/>
      </c>
      <c r="B81" s="157">
        <f>IF($AL$81="","",IF(INDEX('Final Calculation Sheet'!$F$4:$F$40,$AL$81)="","",INDEX('Final Calculation Sheet'!$F$4:$F$40,$AL$81)))</f>
        <v/>
      </c>
      <c r="C81" s="157">
        <f>IF($AL$81="","",IF(INDEX('Final Calculation Sheet'!$G$4:$G$40,$AL$81)="","",INDEX('Final Calculation Sheet'!$G$4:$G$40,$AL$81)))</f>
        <v/>
      </c>
      <c r="D81" s="158">
        <f>IF($AL$81="","",IF(INDEX('Final Calculation Sheet'!$B$4:$B$40,$AL$81)="","",INDEX('Final Calculation Sheet'!$B$4:$B$40,$AL$81)))</f>
        <v/>
      </c>
      <c r="E81" s="158">
        <f>IF($AL$81="","",IF(INDEX('Final Calculation Sheet'!$D$4:$D$40,$AL$81)="","",INDEX('Final Calculation Sheet'!$D$4:$D$40,$AL$81)))</f>
        <v/>
      </c>
      <c r="F81" s="158">
        <f>IF($AL$81="","",IF(INDEX('Final Calculation Sheet'!$A$4:$A$40,$AL$81)="","",INDEX('Final Calculation Sheet'!$A$4:$A$40,$AL$81)))</f>
        <v/>
      </c>
      <c r="G81" s="158">
        <f>IF($AL$81="","",IF(INDEX('Final Calculation Sheet'!$E$4:$E$40,$AL$81)="","",INDEX('Final Calculation Sheet'!$E$4:$E$40,$AL$81)))</f>
        <v/>
      </c>
      <c r="H81" s="159">
        <f>IF($AL$81="","",IF(INDEX('Final Calculation Sheet'!$C$4:$C$40,$AL$81)="","",INDEX('Final Calculation Sheet'!$C$4:$C$40,$AL$81)))</f>
        <v/>
      </c>
      <c r="I81" s="159">
        <f>IF($AL$81="","",IF(INDEX('Final Calculation Sheet'!$H$4:$H$40,$AL$81)="","",INDEX('Final Calculation Sheet'!$H$4:$H$40,$AL$81)))</f>
        <v/>
      </c>
      <c r="J81" s="159">
        <f>IF($AL$81="","",IF(INDEX('Final Calculation Sheet'!$I$4:$I$40,$AL$81)="","",INDEX('Final Calculation Sheet'!$I$4:$I$40,$AL$81)))</f>
        <v/>
      </c>
      <c r="K81" s="159">
        <f>IF($AL$81="","",IF(INDEX('Final Calculation Sheet'!$J$4:$J$40,$AL$81)="","",INDEX('Final Calculation Sheet'!$J$4:$J$40,$AL$81)))</f>
        <v/>
      </c>
      <c r="L81" s="159">
        <f>IF($AL$81="","",IF(INDEX('Final Calculation Sheet'!$K$4:$K$40,$AL$81)="","",INDEX('Final Calculation Sheet'!$K$4:$K$40,$AL$81)))</f>
        <v/>
      </c>
      <c r="M81" s="159">
        <f>IF($AL$81="","",IF(INDEX('Final Calculation Sheet'!$L$4:$L$40,$AL$81)="","",INDEX('Final Calculation Sheet'!$L$4:$L$40,$AL$81)))</f>
        <v/>
      </c>
      <c r="N81" s="159">
        <f>IF($AL$81="","",IF(INDEX('Final Calculation Sheet'!$M$4:$M$40,$AL$81)="","",INDEX('Final Calculation Sheet'!$M$4:$M$40,$AL$81)))</f>
        <v/>
      </c>
      <c r="O81" s="160">
        <f>IF($AL$81="","",IF(INDEX('Final Calculation Sheet'!$N$4:$N$40,$AL$81)="","",INDEX('Final Calculation Sheet'!$N$4:$N$40,$AL$81)))</f>
        <v/>
      </c>
      <c r="P81" s="159">
        <f>IF($AL$81="","",IF(INDEX('Final Calculation Sheet'!$O$4:$O$40,$AL$81)="","",INDEX('Final Calculation Sheet'!$O$4:$O$40,$AL$81)))</f>
        <v/>
      </c>
      <c r="Q81" s="159">
        <f>IF($AL$81="","",IF(INDEX('Final Calculation Sheet'!$P$4:$P$40,$AL$81)="","",INDEX('Final Calculation Sheet'!$P$4:$P$40,$AL$81)))</f>
        <v/>
      </c>
      <c r="R81" s="161">
        <f>IF($AL$81="","",IF(INDEX('Final Calculation Sheet'!$Q$4:$Q$40,$AL$81)="","",INDEX('Final Calculation Sheet'!$Q$4:$Q$40,$AL$81)))</f>
        <v/>
      </c>
      <c r="S81" s="159">
        <f>IF($AL$81="","",IF(INDEX('Final Calculation Sheet'!$R$4:$R$40,$AL$81)="","",INDEX('Final Calculation Sheet'!$R$4:$R$40,$AL$81)))</f>
        <v/>
      </c>
      <c r="T81" s="159">
        <f>IF($AL$81="","",IF(INDEX('Final Calculation Sheet'!$S$4:$S$40,$AL$81)="","",INDEX('Final Calculation Sheet'!$S$4:$S$40,$AL$81)))</f>
        <v/>
      </c>
      <c r="U81" s="159">
        <f>IF($AL$81="","",IF(INDEX('Final Calculation Sheet'!$T$4:$T$40,$AL$81)="","",INDEX('Final Calculation Sheet'!$T$4:$T$40,$AL$81)))</f>
        <v/>
      </c>
      <c r="V81" s="162">
        <f>IF($AL$81="","",IF(INDEX('Final Calculation Sheet'!$U$4:$U$40,$AL$81)="","",INDEX('Final Calculation Sheet'!$U$4:$U$40,$AL$81)))</f>
        <v/>
      </c>
      <c r="W81" s="159">
        <f>IF($AL$81="","",IF(INDEX('Final Calculation Sheet'!$V$4:$V$40,$AL$81)="","",INDEX('Final Calculation Sheet'!$V$4:$V$40,$AL$81)))</f>
        <v/>
      </c>
      <c r="X81" s="159">
        <f>IF($AL$81="","",IF(INDEX('Final Calculation Sheet'!$W$4:$W$40,$AL$81)="","",INDEX('Final Calculation Sheet'!$W$4:$W$40,$AL$81)))</f>
        <v/>
      </c>
      <c r="Y81" s="159">
        <f>IF($AL$81="","",IF(INDEX('Final Calculation Sheet'!$X$4:$X$40,$AL$81)="","",INDEX('Final Calculation Sheet'!$X$4:$X$40,$AL$81)))</f>
        <v/>
      </c>
      <c r="Z81" s="159">
        <f>IF($AL$81="","",IF(INDEX('Final Calculation Sheet'!$Y$4:$Y$40,$AL$81)="","",INDEX('Final Calculation Sheet'!$Y$4:$Y$40,$AL$81)))</f>
        <v/>
      </c>
      <c r="AA81" s="159">
        <f>IF($AL$81="","",IF(INDEX('Final Calculation Sheet'!$Z$4:$Z$40,$AL$81)="","",INDEX('Final Calculation Sheet'!$Z$4:$Z$40,$AL$81)))</f>
        <v/>
      </c>
      <c r="AB81" s="159">
        <f>IF($AL$81="","",IF(INDEX('Final Calculation Sheet'!$AA$4:$AA$40,$AL$81)="","",INDEX('Final Calculation Sheet'!$AA$4:$AA$40,$AL$81)))</f>
        <v/>
      </c>
      <c r="AC81" s="159">
        <f>IF($AL$81="","",IF(INDEX('Final Calculation Sheet'!$AB$4:$AB$40,$AL$81)="","",INDEX('Final Calculation Sheet'!$AB$4:$AB$40,$AL$81)))</f>
        <v/>
      </c>
      <c r="AD81" s="159">
        <f>IF($AL$81="","",IF(INDEX('Final Calculation Sheet'!$AC$4:$AC$40,$AL$81)="","",INDEX('Final Calculation Sheet'!$AC$4:$AC$40,$AL$81)))</f>
        <v/>
      </c>
      <c r="AE81" s="159">
        <f>IF($AL$81="","",IF(INDEX('Final Calculation Sheet'!$AD$4:$AD$40,$AL$81)="","",INDEX('Final Calculation Sheet'!$AD$4:$AD$40,$AL$81)))</f>
        <v/>
      </c>
      <c r="AF81" s="159">
        <f>IF($AL$81="","",IF(INDEX('Final Calculation Sheet'!$AE$4:$AE$40,$AL$81)="","",INDEX('Final Calculation Sheet'!$AE$4:$AE$40,$AL$81)))</f>
        <v/>
      </c>
      <c r="AG81" s="163">
        <f>IF($AL$81="","",IF(INDEX('Final Calculation Sheet'!$AF$4:$AF$40,$AL$81)="","",INDEX('Final Calculation Sheet'!$AF$4:$AF$40,$AL$81)))</f>
        <v/>
      </c>
      <c r="AH81" s="159">
        <f>IF($AL$81="","",IF(INDEX('Final Calculation Sheet'!$AG$4:$AG$40,$AL$81)="","",INDEX('Final Calculation Sheet'!$AG$4:$AG$40,$AL$81)))</f>
        <v/>
      </c>
      <c r="AI81" s="164">
        <f>IF($AL$81="","",IF(INDEX('Final Calculation Sheet'!$AD$4:$AD$40,$AL$81)&lt;=5,"SETTLED","OUTSTANDING"))</f>
        <v/>
      </c>
      <c r="AL81">
        <f>IF(COUNTIF($B$4:$AI$4,"&lt;&gt;")=0,"",IFERROR(MATCH(22,$AK$6:$AK$42,0),""))</f>
        <v/>
      </c>
    </row>
    <row r="82">
      <c r="A82" s="146">
        <f>IF($AL$82="","",23)</f>
        <v/>
      </c>
      <c r="B82" s="147">
        <f>IF($AL$82="","",IF(INDEX('Final Calculation Sheet'!$F$4:$F$40,$AL$82)="","",INDEX('Final Calculation Sheet'!$F$4:$F$40,$AL$82)))</f>
        <v/>
      </c>
      <c r="C82" s="147">
        <f>IF($AL$82="","",IF(INDEX('Final Calculation Sheet'!$G$4:$G$40,$AL$82)="","",INDEX('Final Calculation Sheet'!$G$4:$G$40,$AL$82)))</f>
        <v/>
      </c>
      <c r="D82" s="149">
        <f>IF($AL$82="","",IF(INDEX('Final Calculation Sheet'!$B$4:$B$40,$AL$82)="","",INDEX('Final Calculation Sheet'!$B$4:$B$40,$AL$82)))</f>
        <v/>
      </c>
      <c r="E82" s="149">
        <f>IF($AL$82="","",IF(INDEX('Final Calculation Sheet'!$D$4:$D$40,$AL$82)="","",INDEX('Final Calculation Sheet'!$D$4:$D$40,$AL$82)))</f>
        <v/>
      </c>
      <c r="F82" s="149">
        <f>IF($AL$82="","",IF(INDEX('Final Calculation Sheet'!$A$4:$A$40,$AL$82)="","",INDEX('Final Calculation Sheet'!$A$4:$A$40,$AL$82)))</f>
        <v/>
      </c>
      <c r="G82" s="149">
        <f>IF($AL$82="","",IF(INDEX('Final Calculation Sheet'!$E$4:$E$40,$AL$82)="","",INDEX('Final Calculation Sheet'!$E$4:$E$40,$AL$82)))</f>
        <v/>
      </c>
      <c r="H82" s="150">
        <f>IF($AL$82="","",IF(INDEX('Final Calculation Sheet'!$C$4:$C$40,$AL$82)="","",INDEX('Final Calculation Sheet'!$C$4:$C$40,$AL$82)))</f>
        <v/>
      </c>
      <c r="I82" s="150">
        <f>IF($AL$82="","",IF(INDEX('Final Calculation Sheet'!$H$4:$H$40,$AL$82)="","",INDEX('Final Calculation Sheet'!$H$4:$H$40,$AL$82)))</f>
        <v/>
      </c>
      <c r="J82" s="150">
        <f>IF($AL$82="","",IF(INDEX('Final Calculation Sheet'!$I$4:$I$40,$AL$82)="","",INDEX('Final Calculation Sheet'!$I$4:$I$40,$AL$82)))</f>
        <v/>
      </c>
      <c r="K82" s="150">
        <f>IF($AL$82="","",IF(INDEX('Final Calculation Sheet'!$J$4:$J$40,$AL$82)="","",INDEX('Final Calculation Sheet'!$J$4:$J$40,$AL$82)))</f>
        <v/>
      </c>
      <c r="L82" s="150">
        <f>IF($AL$82="","",IF(INDEX('Final Calculation Sheet'!$K$4:$K$40,$AL$82)="","",INDEX('Final Calculation Sheet'!$K$4:$K$40,$AL$82)))</f>
        <v/>
      </c>
      <c r="M82" s="150">
        <f>IF($AL$82="","",IF(INDEX('Final Calculation Sheet'!$L$4:$L$40,$AL$82)="","",INDEX('Final Calculation Sheet'!$L$4:$L$40,$AL$82)))</f>
        <v/>
      </c>
      <c r="N82" s="150">
        <f>IF($AL$82="","",IF(INDEX('Final Calculation Sheet'!$M$4:$M$40,$AL$82)="","",INDEX('Final Calculation Sheet'!$M$4:$M$40,$AL$82)))</f>
        <v/>
      </c>
      <c r="O82" s="151">
        <f>IF($AL$82="","",IF(INDEX('Final Calculation Sheet'!$N$4:$N$40,$AL$82)="","",INDEX('Final Calculation Sheet'!$N$4:$N$40,$AL$82)))</f>
        <v/>
      </c>
      <c r="P82" s="150">
        <f>IF($AL$82="","",IF(INDEX('Final Calculation Sheet'!$O$4:$O$40,$AL$82)="","",INDEX('Final Calculation Sheet'!$O$4:$O$40,$AL$82)))</f>
        <v/>
      </c>
      <c r="Q82" s="150">
        <f>IF($AL$82="","",IF(INDEX('Final Calculation Sheet'!$P$4:$P$40,$AL$82)="","",INDEX('Final Calculation Sheet'!$P$4:$P$40,$AL$82)))</f>
        <v/>
      </c>
      <c r="R82" s="152">
        <f>IF($AL$82="","",IF(INDEX('Final Calculation Sheet'!$Q$4:$Q$40,$AL$82)="","",INDEX('Final Calculation Sheet'!$Q$4:$Q$40,$AL$82)))</f>
        <v/>
      </c>
      <c r="S82" s="150">
        <f>IF($AL$82="","",IF(INDEX('Final Calculation Sheet'!$R$4:$R$40,$AL$82)="","",INDEX('Final Calculation Sheet'!$R$4:$R$40,$AL$82)))</f>
        <v/>
      </c>
      <c r="T82" s="150">
        <f>IF($AL$82="","",IF(INDEX('Final Calculation Sheet'!$S$4:$S$40,$AL$82)="","",INDEX('Final Calculation Sheet'!$S$4:$S$40,$AL$82)))</f>
        <v/>
      </c>
      <c r="U82" s="150">
        <f>IF($AL$82="","",IF(INDEX('Final Calculation Sheet'!$T$4:$T$40,$AL$82)="","",INDEX('Final Calculation Sheet'!$T$4:$T$40,$AL$82)))</f>
        <v/>
      </c>
      <c r="V82" s="153">
        <f>IF($AL$82="","",IF(INDEX('Final Calculation Sheet'!$U$4:$U$40,$AL$82)="","",INDEX('Final Calculation Sheet'!$U$4:$U$40,$AL$82)))</f>
        <v/>
      </c>
      <c r="W82" s="150">
        <f>IF($AL$82="","",IF(INDEX('Final Calculation Sheet'!$V$4:$V$40,$AL$82)="","",INDEX('Final Calculation Sheet'!$V$4:$V$40,$AL$82)))</f>
        <v/>
      </c>
      <c r="X82" s="150">
        <f>IF($AL$82="","",IF(INDEX('Final Calculation Sheet'!$W$4:$W$40,$AL$82)="","",INDEX('Final Calculation Sheet'!$W$4:$W$40,$AL$82)))</f>
        <v/>
      </c>
      <c r="Y82" s="150">
        <f>IF($AL$82="","",IF(INDEX('Final Calculation Sheet'!$X$4:$X$40,$AL$82)="","",INDEX('Final Calculation Sheet'!$X$4:$X$40,$AL$82)))</f>
        <v/>
      </c>
      <c r="Z82" s="150">
        <f>IF($AL$82="","",IF(INDEX('Final Calculation Sheet'!$Y$4:$Y$40,$AL$82)="","",INDEX('Final Calculation Sheet'!$Y$4:$Y$40,$AL$82)))</f>
        <v/>
      </c>
      <c r="AA82" s="150">
        <f>IF($AL$82="","",IF(INDEX('Final Calculation Sheet'!$Z$4:$Z$40,$AL$82)="","",INDEX('Final Calculation Sheet'!$Z$4:$Z$40,$AL$82)))</f>
        <v/>
      </c>
      <c r="AB82" s="150">
        <f>IF($AL$82="","",IF(INDEX('Final Calculation Sheet'!$AA$4:$AA$40,$AL$82)="","",INDEX('Final Calculation Sheet'!$AA$4:$AA$40,$AL$82)))</f>
        <v/>
      </c>
      <c r="AC82" s="150">
        <f>IF($AL$82="","",IF(INDEX('Final Calculation Sheet'!$AB$4:$AB$40,$AL$82)="","",INDEX('Final Calculation Sheet'!$AB$4:$AB$40,$AL$82)))</f>
        <v/>
      </c>
      <c r="AD82" s="150">
        <f>IF($AL$82="","",IF(INDEX('Final Calculation Sheet'!$AC$4:$AC$40,$AL$82)="","",INDEX('Final Calculation Sheet'!$AC$4:$AC$40,$AL$82)))</f>
        <v/>
      </c>
      <c r="AE82" s="150">
        <f>IF($AL$82="","",IF(INDEX('Final Calculation Sheet'!$AD$4:$AD$40,$AL$82)="","",INDEX('Final Calculation Sheet'!$AD$4:$AD$40,$AL$82)))</f>
        <v/>
      </c>
      <c r="AF82" s="150">
        <f>IF($AL$82="","",IF(INDEX('Final Calculation Sheet'!$AE$4:$AE$40,$AL$82)="","",INDEX('Final Calculation Sheet'!$AE$4:$AE$40,$AL$82)))</f>
        <v/>
      </c>
      <c r="AG82" s="154">
        <f>IF($AL$82="","",IF(INDEX('Final Calculation Sheet'!$AF$4:$AF$40,$AL$82)="","",INDEX('Final Calculation Sheet'!$AF$4:$AF$40,$AL$82)))</f>
        <v/>
      </c>
      <c r="AH82" s="150">
        <f>IF($AL$82="","",IF(INDEX('Final Calculation Sheet'!$AG$4:$AG$40,$AL$82)="","",INDEX('Final Calculation Sheet'!$AG$4:$AG$40,$AL$82)))</f>
        <v/>
      </c>
      <c r="AI82" s="155">
        <f>IF($AL$82="","",IF(INDEX('Final Calculation Sheet'!$AD$4:$AD$40,$AL$82)&lt;=5,"SETTLED","OUTSTANDING"))</f>
        <v/>
      </c>
      <c r="AL82">
        <f>IF(COUNTIF($B$4:$AI$4,"&lt;&gt;")=0,"",IFERROR(MATCH(23,$AK$6:$AK$42,0),""))</f>
        <v/>
      </c>
    </row>
    <row r="83">
      <c r="A83" s="156">
        <f>IF($AL$83="","",24)</f>
        <v/>
      </c>
      <c r="B83" s="157">
        <f>IF($AL$83="","",IF(INDEX('Final Calculation Sheet'!$F$4:$F$40,$AL$83)="","",INDEX('Final Calculation Sheet'!$F$4:$F$40,$AL$83)))</f>
        <v/>
      </c>
      <c r="C83" s="157">
        <f>IF($AL$83="","",IF(INDEX('Final Calculation Sheet'!$G$4:$G$40,$AL$83)="","",INDEX('Final Calculation Sheet'!$G$4:$G$40,$AL$83)))</f>
        <v/>
      </c>
      <c r="D83" s="158">
        <f>IF($AL$83="","",IF(INDEX('Final Calculation Sheet'!$B$4:$B$40,$AL$83)="","",INDEX('Final Calculation Sheet'!$B$4:$B$40,$AL$83)))</f>
        <v/>
      </c>
      <c r="E83" s="158">
        <f>IF($AL$83="","",IF(INDEX('Final Calculation Sheet'!$D$4:$D$40,$AL$83)="","",INDEX('Final Calculation Sheet'!$D$4:$D$40,$AL$83)))</f>
        <v/>
      </c>
      <c r="F83" s="158">
        <f>IF($AL$83="","",IF(INDEX('Final Calculation Sheet'!$A$4:$A$40,$AL$83)="","",INDEX('Final Calculation Sheet'!$A$4:$A$40,$AL$83)))</f>
        <v/>
      </c>
      <c r="G83" s="158">
        <f>IF($AL$83="","",IF(INDEX('Final Calculation Sheet'!$E$4:$E$40,$AL$83)="","",INDEX('Final Calculation Sheet'!$E$4:$E$40,$AL$83)))</f>
        <v/>
      </c>
      <c r="H83" s="159">
        <f>IF($AL$83="","",IF(INDEX('Final Calculation Sheet'!$C$4:$C$40,$AL$83)="","",INDEX('Final Calculation Sheet'!$C$4:$C$40,$AL$83)))</f>
        <v/>
      </c>
      <c r="I83" s="159">
        <f>IF($AL$83="","",IF(INDEX('Final Calculation Sheet'!$H$4:$H$40,$AL$83)="","",INDEX('Final Calculation Sheet'!$H$4:$H$40,$AL$83)))</f>
        <v/>
      </c>
      <c r="J83" s="159">
        <f>IF($AL$83="","",IF(INDEX('Final Calculation Sheet'!$I$4:$I$40,$AL$83)="","",INDEX('Final Calculation Sheet'!$I$4:$I$40,$AL$83)))</f>
        <v/>
      </c>
      <c r="K83" s="159">
        <f>IF($AL$83="","",IF(INDEX('Final Calculation Sheet'!$J$4:$J$40,$AL$83)="","",INDEX('Final Calculation Sheet'!$J$4:$J$40,$AL$83)))</f>
        <v/>
      </c>
      <c r="L83" s="159">
        <f>IF($AL$83="","",IF(INDEX('Final Calculation Sheet'!$K$4:$K$40,$AL$83)="","",INDEX('Final Calculation Sheet'!$K$4:$K$40,$AL$83)))</f>
        <v/>
      </c>
      <c r="M83" s="159">
        <f>IF($AL$83="","",IF(INDEX('Final Calculation Sheet'!$L$4:$L$40,$AL$83)="","",INDEX('Final Calculation Sheet'!$L$4:$L$40,$AL$83)))</f>
        <v/>
      </c>
      <c r="N83" s="159">
        <f>IF($AL$83="","",IF(INDEX('Final Calculation Sheet'!$M$4:$M$40,$AL$83)="","",INDEX('Final Calculation Sheet'!$M$4:$M$40,$AL$83)))</f>
        <v/>
      </c>
      <c r="O83" s="160">
        <f>IF($AL$83="","",IF(INDEX('Final Calculation Sheet'!$N$4:$N$40,$AL$83)="","",INDEX('Final Calculation Sheet'!$N$4:$N$40,$AL$83)))</f>
        <v/>
      </c>
      <c r="P83" s="159">
        <f>IF($AL$83="","",IF(INDEX('Final Calculation Sheet'!$O$4:$O$40,$AL$83)="","",INDEX('Final Calculation Sheet'!$O$4:$O$40,$AL$83)))</f>
        <v/>
      </c>
      <c r="Q83" s="159">
        <f>IF($AL$83="","",IF(INDEX('Final Calculation Sheet'!$P$4:$P$40,$AL$83)="","",INDEX('Final Calculation Sheet'!$P$4:$P$40,$AL$83)))</f>
        <v/>
      </c>
      <c r="R83" s="161">
        <f>IF($AL$83="","",IF(INDEX('Final Calculation Sheet'!$Q$4:$Q$40,$AL$83)="","",INDEX('Final Calculation Sheet'!$Q$4:$Q$40,$AL$83)))</f>
        <v/>
      </c>
      <c r="S83" s="159">
        <f>IF($AL$83="","",IF(INDEX('Final Calculation Sheet'!$R$4:$R$40,$AL$83)="","",INDEX('Final Calculation Sheet'!$R$4:$R$40,$AL$83)))</f>
        <v/>
      </c>
      <c r="T83" s="159">
        <f>IF($AL$83="","",IF(INDEX('Final Calculation Sheet'!$S$4:$S$40,$AL$83)="","",INDEX('Final Calculation Sheet'!$S$4:$S$40,$AL$83)))</f>
        <v/>
      </c>
      <c r="U83" s="159">
        <f>IF($AL$83="","",IF(INDEX('Final Calculation Sheet'!$T$4:$T$40,$AL$83)="","",INDEX('Final Calculation Sheet'!$T$4:$T$40,$AL$83)))</f>
        <v/>
      </c>
      <c r="V83" s="162">
        <f>IF($AL$83="","",IF(INDEX('Final Calculation Sheet'!$U$4:$U$40,$AL$83)="","",INDEX('Final Calculation Sheet'!$U$4:$U$40,$AL$83)))</f>
        <v/>
      </c>
      <c r="W83" s="159">
        <f>IF($AL$83="","",IF(INDEX('Final Calculation Sheet'!$V$4:$V$40,$AL$83)="","",INDEX('Final Calculation Sheet'!$V$4:$V$40,$AL$83)))</f>
        <v/>
      </c>
      <c r="X83" s="159">
        <f>IF($AL$83="","",IF(INDEX('Final Calculation Sheet'!$W$4:$W$40,$AL$83)="","",INDEX('Final Calculation Sheet'!$W$4:$W$40,$AL$83)))</f>
        <v/>
      </c>
      <c r="Y83" s="159">
        <f>IF($AL$83="","",IF(INDEX('Final Calculation Sheet'!$X$4:$X$40,$AL$83)="","",INDEX('Final Calculation Sheet'!$X$4:$X$40,$AL$83)))</f>
        <v/>
      </c>
      <c r="Z83" s="159">
        <f>IF($AL$83="","",IF(INDEX('Final Calculation Sheet'!$Y$4:$Y$40,$AL$83)="","",INDEX('Final Calculation Sheet'!$Y$4:$Y$40,$AL$83)))</f>
        <v/>
      </c>
      <c r="AA83" s="159">
        <f>IF($AL$83="","",IF(INDEX('Final Calculation Sheet'!$Z$4:$Z$40,$AL$83)="","",INDEX('Final Calculation Sheet'!$Z$4:$Z$40,$AL$83)))</f>
        <v/>
      </c>
      <c r="AB83" s="159">
        <f>IF($AL$83="","",IF(INDEX('Final Calculation Sheet'!$AA$4:$AA$40,$AL$83)="","",INDEX('Final Calculation Sheet'!$AA$4:$AA$40,$AL$83)))</f>
        <v/>
      </c>
      <c r="AC83" s="159">
        <f>IF($AL$83="","",IF(INDEX('Final Calculation Sheet'!$AB$4:$AB$40,$AL$83)="","",INDEX('Final Calculation Sheet'!$AB$4:$AB$40,$AL$83)))</f>
        <v/>
      </c>
      <c r="AD83" s="159">
        <f>IF($AL$83="","",IF(INDEX('Final Calculation Sheet'!$AC$4:$AC$40,$AL$83)="","",INDEX('Final Calculation Sheet'!$AC$4:$AC$40,$AL$83)))</f>
        <v/>
      </c>
      <c r="AE83" s="159">
        <f>IF($AL$83="","",IF(INDEX('Final Calculation Sheet'!$AD$4:$AD$40,$AL$83)="","",INDEX('Final Calculation Sheet'!$AD$4:$AD$40,$AL$83)))</f>
        <v/>
      </c>
      <c r="AF83" s="159">
        <f>IF($AL$83="","",IF(INDEX('Final Calculation Sheet'!$AE$4:$AE$40,$AL$83)="","",INDEX('Final Calculation Sheet'!$AE$4:$AE$40,$AL$83)))</f>
        <v/>
      </c>
      <c r="AG83" s="163">
        <f>IF($AL$83="","",IF(INDEX('Final Calculation Sheet'!$AF$4:$AF$40,$AL$83)="","",INDEX('Final Calculation Sheet'!$AF$4:$AF$40,$AL$83)))</f>
        <v/>
      </c>
      <c r="AH83" s="159">
        <f>IF($AL$83="","",IF(INDEX('Final Calculation Sheet'!$AG$4:$AG$40,$AL$83)="","",INDEX('Final Calculation Sheet'!$AG$4:$AG$40,$AL$83)))</f>
        <v/>
      </c>
      <c r="AI83" s="164">
        <f>IF($AL$83="","",IF(INDEX('Final Calculation Sheet'!$AD$4:$AD$40,$AL$83)&lt;=5,"SETTLED","OUTSTANDING"))</f>
        <v/>
      </c>
      <c r="AL83">
        <f>IF(COUNTIF($B$4:$AI$4,"&lt;&gt;")=0,"",IFERROR(MATCH(24,$AK$6:$AK$42,0),""))</f>
        <v/>
      </c>
    </row>
    <row r="84">
      <c r="A84" s="146">
        <f>IF($AL$84="","",25)</f>
        <v/>
      </c>
      <c r="B84" s="147">
        <f>IF($AL$84="","",IF(INDEX('Final Calculation Sheet'!$F$4:$F$40,$AL$84)="","",INDEX('Final Calculation Sheet'!$F$4:$F$40,$AL$84)))</f>
        <v/>
      </c>
      <c r="C84" s="147">
        <f>IF($AL$84="","",IF(INDEX('Final Calculation Sheet'!$G$4:$G$40,$AL$84)="","",INDEX('Final Calculation Sheet'!$G$4:$G$40,$AL$84)))</f>
        <v/>
      </c>
      <c r="D84" s="149">
        <f>IF($AL$84="","",IF(INDEX('Final Calculation Sheet'!$B$4:$B$40,$AL$84)="","",INDEX('Final Calculation Sheet'!$B$4:$B$40,$AL$84)))</f>
        <v/>
      </c>
      <c r="E84" s="149">
        <f>IF($AL$84="","",IF(INDEX('Final Calculation Sheet'!$D$4:$D$40,$AL$84)="","",INDEX('Final Calculation Sheet'!$D$4:$D$40,$AL$84)))</f>
        <v/>
      </c>
      <c r="F84" s="149">
        <f>IF($AL$84="","",IF(INDEX('Final Calculation Sheet'!$A$4:$A$40,$AL$84)="","",INDEX('Final Calculation Sheet'!$A$4:$A$40,$AL$84)))</f>
        <v/>
      </c>
      <c r="G84" s="149">
        <f>IF($AL$84="","",IF(INDEX('Final Calculation Sheet'!$E$4:$E$40,$AL$84)="","",INDEX('Final Calculation Sheet'!$E$4:$E$40,$AL$84)))</f>
        <v/>
      </c>
      <c r="H84" s="150">
        <f>IF($AL$84="","",IF(INDEX('Final Calculation Sheet'!$C$4:$C$40,$AL$84)="","",INDEX('Final Calculation Sheet'!$C$4:$C$40,$AL$84)))</f>
        <v/>
      </c>
      <c r="I84" s="150">
        <f>IF($AL$84="","",IF(INDEX('Final Calculation Sheet'!$H$4:$H$40,$AL$84)="","",INDEX('Final Calculation Sheet'!$H$4:$H$40,$AL$84)))</f>
        <v/>
      </c>
      <c r="J84" s="150">
        <f>IF($AL$84="","",IF(INDEX('Final Calculation Sheet'!$I$4:$I$40,$AL$84)="","",INDEX('Final Calculation Sheet'!$I$4:$I$40,$AL$84)))</f>
        <v/>
      </c>
      <c r="K84" s="150">
        <f>IF($AL$84="","",IF(INDEX('Final Calculation Sheet'!$J$4:$J$40,$AL$84)="","",INDEX('Final Calculation Sheet'!$J$4:$J$40,$AL$84)))</f>
        <v/>
      </c>
      <c r="L84" s="150">
        <f>IF($AL$84="","",IF(INDEX('Final Calculation Sheet'!$K$4:$K$40,$AL$84)="","",INDEX('Final Calculation Sheet'!$K$4:$K$40,$AL$84)))</f>
        <v/>
      </c>
      <c r="M84" s="150">
        <f>IF($AL$84="","",IF(INDEX('Final Calculation Sheet'!$L$4:$L$40,$AL$84)="","",INDEX('Final Calculation Sheet'!$L$4:$L$40,$AL$84)))</f>
        <v/>
      </c>
      <c r="N84" s="150">
        <f>IF($AL$84="","",IF(INDEX('Final Calculation Sheet'!$M$4:$M$40,$AL$84)="","",INDEX('Final Calculation Sheet'!$M$4:$M$40,$AL$84)))</f>
        <v/>
      </c>
      <c r="O84" s="151">
        <f>IF($AL$84="","",IF(INDEX('Final Calculation Sheet'!$N$4:$N$40,$AL$84)="","",INDEX('Final Calculation Sheet'!$N$4:$N$40,$AL$84)))</f>
        <v/>
      </c>
      <c r="P84" s="150">
        <f>IF($AL$84="","",IF(INDEX('Final Calculation Sheet'!$O$4:$O$40,$AL$84)="","",INDEX('Final Calculation Sheet'!$O$4:$O$40,$AL$84)))</f>
        <v/>
      </c>
      <c r="Q84" s="150">
        <f>IF($AL$84="","",IF(INDEX('Final Calculation Sheet'!$P$4:$P$40,$AL$84)="","",INDEX('Final Calculation Sheet'!$P$4:$P$40,$AL$84)))</f>
        <v/>
      </c>
      <c r="R84" s="152">
        <f>IF($AL$84="","",IF(INDEX('Final Calculation Sheet'!$Q$4:$Q$40,$AL$84)="","",INDEX('Final Calculation Sheet'!$Q$4:$Q$40,$AL$84)))</f>
        <v/>
      </c>
      <c r="S84" s="150">
        <f>IF($AL$84="","",IF(INDEX('Final Calculation Sheet'!$R$4:$R$40,$AL$84)="","",INDEX('Final Calculation Sheet'!$R$4:$R$40,$AL$84)))</f>
        <v/>
      </c>
      <c r="T84" s="150">
        <f>IF($AL$84="","",IF(INDEX('Final Calculation Sheet'!$S$4:$S$40,$AL$84)="","",INDEX('Final Calculation Sheet'!$S$4:$S$40,$AL$84)))</f>
        <v/>
      </c>
      <c r="U84" s="150">
        <f>IF($AL$84="","",IF(INDEX('Final Calculation Sheet'!$T$4:$T$40,$AL$84)="","",INDEX('Final Calculation Sheet'!$T$4:$T$40,$AL$84)))</f>
        <v/>
      </c>
      <c r="V84" s="153">
        <f>IF($AL$84="","",IF(INDEX('Final Calculation Sheet'!$U$4:$U$40,$AL$84)="","",INDEX('Final Calculation Sheet'!$U$4:$U$40,$AL$84)))</f>
        <v/>
      </c>
      <c r="W84" s="150">
        <f>IF($AL$84="","",IF(INDEX('Final Calculation Sheet'!$V$4:$V$40,$AL$84)="","",INDEX('Final Calculation Sheet'!$V$4:$V$40,$AL$84)))</f>
        <v/>
      </c>
      <c r="X84" s="150">
        <f>IF($AL$84="","",IF(INDEX('Final Calculation Sheet'!$W$4:$W$40,$AL$84)="","",INDEX('Final Calculation Sheet'!$W$4:$W$40,$AL$84)))</f>
        <v/>
      </c>
      <c r="Y84" s="150">
        <f>IF($AL$84="","",IF(INDEX('Final Calculation Sheet'!$X$4:$X$40,$AL$84)="","",INDEX('Final Calculation Sheet'!$X$4:$X$40,$AL$84)))</f>
        <v/>
      </c>
      <c r="Z84" s="150">
        <f>IF($AL$84="","",IF(INDEX('Final Calculation Sheet'!$Y$4:$Y$40,$AL$84)="","",INDEX('Final Calculation Sheet'!$Y$4:$Y$40,$AL$84)))</f>
        <v/>
      </c>
      <c r="AA84" s="150">
        <f>IF($AL$84="","",IF(INDEX('Final Calculation Sheet'!$Z$4:$Z$40,$AL$84)="","",INDEX('Final Calculation Sheet'!$Z$4:$Z$40,$AL$84)))</f>
        <v/>
      </c>
      <c r="AB84" s="150">
        <f>IF($AL$84="","",IF(INDEX('Final Calculation Sheet'!$AA$4:$AA$40,$AL$84)="","",INDEX('Final Calculation Sheet'!$AA$4:$AA$40,$AL$84)))</f>
        <v/>
      </c>
      <c r="AC84" s="150">
        <f>IF($AL$84="","",IF(INDEX('Final Calculation Sheet'!$AB$4:$AB$40,$AL$84)="","",INDEX('Final Calculation Sheet'!$AB$4:$AB$40,$AL$84)))</f>
        <v/>
      </c>
      <c r="AD84" s="150">
        <f>IF($AL$84="","",IF(INDEX('Final Calculation Sheet'!$AC$4:$AC$40,$AL$84)="","",INDEX('Final Calculation Sheet'!$AC$4:$AC$40,$AL$84)))</f>
        <v/>
      </c>
      <c r="AE84" s="150">
        <f>IF($AL$84="","",IF(INDEX('Final Calculation Sheet'!$AD$4:$AD$40,$AL$84)="","",INDEX('Final Calculation Sheet'!$AD$4:$AD$40,$AL$84)))</f>
        <v/>
      </c>
      <c r="AF84" s="150">
        <f>IF($AL$84="","",IF(INDEX('Final Calculation Sheet'!$AE$4:$AE$40,$AL$84)="","",INDEX('Final Calculation Sheet'!$AE$4:$AE$40,$AL$84)))</f>
        <v/>
      </c>
      <c r="AG84" s="154">
        <f>IF($AL$84="","",IF(INDEX('Final Calculation Sheet'!$AF$4:$AF$40,$AL$84)="","",INDEX('Final Calculation Sheet'!$AF$4:$AF$40,$AL$84)))</f>
        <v/>
      </c>
      <c r="AH84" s="150">
        <f>IF($AL$84="","",IF(INDEX('Final Calculation Sheet'!$AG$4:$AG$40,$AL$84)="","",INDEX('Final Calculation Sheet'!$AG$4:$AG$40,$AL$84)))</f>
        <v/>
      </c>
      <c r="AI84" s="155">
        <f>IF($AL$84="","",IF(INDEX('Final Calculation Sheet'!$AD$4:$AD$40,$AL$84)&lt;=5,"SETTLED","OUTSTANDING"))</f>
        <v/>
      </c>
      <c r="AL84">
        <f>IF(COUNTIF($B$4:$AI$4,"&lt;&gt;")=0,"",IFERROR(MATCH(25,$AK$6:$AK$42,0),""))</f>
        <v/>
      </c>
    </row>
    <row r="85">
      <c r="A85" s="156">
        <f>IF($AL$85="","",26)</f>
        <v/>
      </c>
      <c r="B85" s="157">
        <f>IF($AL$85="","",IF(INDEX('Final Calculation Sheet'!$F$4:$F$40,$AL$85)="","",INDEX('Final Calculation Sheet'!$F$4:$F$40,$AL$85)))</f>
        <v/>
      </c>
      <c r="C85" s="157">
        <f>IF($AL$85="","",IF(INDEX('Final Calculation Sheet'!$G$4:$G$40,$AL$85)="","",INDEX('Final Calculation Sheet'!$G$4:$G$40,$AL$85)))</f>
        <v/>
      </c>
      <c r="D85" s="158">
        <f>IF($AL$85="","",IF(INDEX('Final Calculation Sheet'!$B$4:$B$40,$AL$85)="","",INDEX('Final Calculation Sheet'!$B$4:$B$40,$AL$85)))</f>
        <v/>
      </c>
      <c r="E85" s="158">
        <f>IF($AL$85="","",IF(INDEX('Final Calculation Sheet'!$D$4:$D$40,$AL$85)="","",INDEX('Final Calculation Sheet'!$D$4:$D$40,$AL$85)))</f>
        <v/>
      </c>
      <c r="F85" s="158">
        <f>IF($AL$85="","",IF(INDEX('Final Calculation Sheet'!$A$4:$A$40,$AL$85)="","",INDEX('Final Calculation Sheet'!$A$4:$A$40,$AL$85)))</f>
        <v/>
      </c>
      <c r="G85" s="158">
        <f>IF($AL$85="","",IF(INDEX('Final Calculation Sheet'!$E$4:$E$40,$AL$85)="","",INDEX('Final Calculation Sheet'!$E$4:$E$40,$AL$85)))</f>
        <v/>
      </c>
      <c r="H85" s="159">
        <f>IF($AL$85="","",IF(INDEX('Final Calculation Sheet'!$C$4:$C$40,$AL$85)="","",INDEX('Final Calculation Sheet'!$C$4:$C$40,$AL$85)))</f>
        <v/>
      </c>
      <c r="I85" s="159">
        <f>IF($AL$85="","",IF(INDEX('Final Calculation Sheet'!$H$4:$H$40,$AL$85)="","",INDEX('Final Calculation Sheet'!$H$4:$H$40,$AL$85)))</f>
        <v/>
      </c>
      <c r="J85" s="159">
        <f>IF($AL$85="","",IF(INDEX('Final Calculation Sheet'!$I$4:$I$40,$AL$85)="","",INDEX('Final Calculation Sheet'!$I$4:$I$40,$AL$85)))</f>
        <v/>
      </c>
      <c r="K85" s="159">
        <f>IF($AL$85="","",IF(INDEX('Final Calculation Sheet'!$J$4:$J$40,$AL$85)="","",INDEX('Final Calculation Sheet'!$J$4:$J$40,$AL$85)))</f>
        <v/>
      </c>
      <c r="L85" s="159">
        <f>IF($AL$85="","",IF(INDEX('Final Calculation Sheet'!$K$4:$K$40,$AL$85)="","",INDEX('Final Calculation Sheet'!$K$4:$K$40,$AL$85)))</f>
        <v/>
      </c>
      <c r="M85" s="159">
        <f>IF($AL$85="","",IF(INDEX('Final Calculation Sheet'!$L$4:$L$40,$AL$85)="","",INDEX('Final Calculation Sheet'!$L$4:$L$40,$AL$85)))</f>
        <v/>
      </c>
      <c r="N85" s="159">
        <f>IF($AL$85="","",IF(INDEX('Final Calculation Sheet'!$M$4:$M$40,$AL$85)="","",INDEX('Final Calculation Sheet'!$M$4:$M$40,$AL$85)))</f>
        <v/>
      </c>
      <c r="O85" s="160">
        <f>IF($AL$85="","",IF(INDEX('Final Calculation Sheet'!$N$4:$N$40,$AL$85)="","",INDEX('Final Calculation Sheet'!$N$4:$N$40,$AL$85)))</f>
        <v/>
      </c>
      <c r="P85" s="159">
        <f>IF($AL$85="","",IF(INDEX('Final Calculation Sheet'!$O$4:$O$40,$AL$85)="","",INDEX('Final Calculation Sheet'!$O$4:$O$40,$AL$85)))</f>
        <v/>
      </c>
      <c r="Q85" s="159">
        <f>IF($AL$85="","",IF(INDEX('Final Calculation Sheet'!$P$4:$P$40,$AL$85)="","",INDEX('Final Calculation Sheet'!$P$4:$P$40,$AL$85)))</f>
        <v/>
      </c>
      <c r="R85" s="161">
        <f>IF($AL$85="","",IF(INDEX('Final Calculation Sheet'!$Q$4:$Q$40,$AL$85)="","",INDEX('Final Calculation Sheet'!$Q$4:$Q$40,$AL$85)))</f>
        <v/>
      </c>
      <c r="S85" s="159">
        <f>IF($AL$85="","",IF(INDEX('Final Calculation Sheet'!$R$4:$R$40,$AL$85)="","",INDEX('Final Calculation Sheet'!$R$4:$R$40,$AL$85)))</f>
        <v/>
      </c>
      <c r="T85" s="159">
        <f>IF($AL$85="","",IF(INDEX('Final Calculation Sheet'!$S$4:$S$40,$AL$85)="","",INDEX('Final Calculation Sheet'!$S$4:$S$40,$AL$85)))</f>
        <v/>
      </c>
      <c r="U85" s="159">
        <f>IF($AL$85="","",IF(INDEX('Final Calculation Sheet'!$T$4:$T$40,$AL$85)="","",INDEX('Final Calculation Sheet'!$T$4:$T$40,$AL$85)))</f>
        <v/>
      </c>
      <c r="V85" s="162">
        <f>IF($AL$85="","",IF(INDEX('Final Calculation Sheet'!$U$4:$U$40,$AL$85)="","",INDEX('Final Calculation Sheet'!$U$4:$U$40,$AL$85)))</f>
        <v/>
      </c>
      <c r="W85" s="159">
        <f>IF($AL$85="","",IF(INDEX('Final Calculation Sheet'!$V$4:$V$40,$AL$85)="","",INDEX('Final Calculation Sheet'!$V$4:$V$40,$AL$85)))</f>
        <v/>
      </c>
      <c r="X85" s="159">
        <f>IF($AL$85="","",IF(INDEX('Final Calculation Sheet'!$W$4:$W$40,$AL$85)="","",INDEX('Final Calculation Sheet'!$W$4:$W$40,$AL$85)))</f>
        <v/>
      </c>
      <c r="Y85" s="159">
        <f>IF($AL$85="","",IF(INDEX('Final Calculation Sheet'!$X$4:$X$40,$AL$85)="","",INDEX('Final Calculation Sheet'!$X$4:$X$40,$AL$85)))</f>
        <v/>
      </c>
      <c r="Z85" s="159">
        <f>IF($AL$85="","",IF(INDEX('Final Calculation Sheet'!$Y$4:$Y$40,$AL$85)="","",INDEX('Final Calculation Sheet'!$Y$4:$Y$40,$AL$85)))</f>
        <v/>
      </c>
      <c r="AA85" s="159">
        <f>IF($AL$85="","",IF(INDEX('Final Calculation Sheet'!$Z$4:$Z$40,$AL$85)="","",INDEX('Final Calculation Sheet'!$Z$4:$Z$40,$AL$85)))</f>
        <v/>
      </c>
      <c r="AB85" s="159">
        <f>IF($AL$85="","",IF(INDEX('Final Calculation Sheet'!$AA$4:$AA$40,$AL$85)="","",INDEX('Final Calculation Sheet'!$AA$4:$AA$40,$AL$85)))</f>
        <v/>
      </c>
      <c r="AC85" s="159">
        <f>IF($AL$85="","",IF(INDEX('Final Calculation Sheet'!$AB$4:$AB$40,$AL$85)="","",INDEX('Final Calculation Sheet'!$AB$4:$AB$40,$AL$85)))</f>
        <v/>
      </c>
      <c r="AD85" s="159">
        <f>IF($AL$85="","",IF(INDEX('Final Calculation Sheet'!$AC$4:$AC$40,$AL$85)="","",INDEX('Final Calculation Sheet'!$AC$4:$AC$40,$AL$85)))</f>
        <v/>
      </c>
      <c r="AE85" s="159">
        <f>IF($AL$85="","",IF(INDEX('Final Calculation Sheet'!$AD$4:$AD$40,$AL$85)="","",INDEX('Final Calculation Sheet'!$AD$4:$AD$40,$AL$85)))</f>
        <v/>
      </c>
      <c r="AF85" s="159">
        <f>IF($AL$85="","",IF(INDEX('Final Calculation Sheet'!$AE$4:$AE$40,$AL$85)="","",INDEX('Final Calculation Sheet'!$AE$4:$AE$40,$AL$85)))</f>
        <v/>
      </c>
      <c r="AG85" s="163">
        <f>IF($AL$85="","",IF(INDEX('Final Calculation Sheet'!$AF$4:$AF$40,$AL$85)="","",INDEX('Final Calculation Sheet'!$AF$4:$AF$40,$AL$85)))</f>
        <v/>
      </c>
      <c r="AH85" s="159">
        <f>IF($AL$85="","",IF(INDEX('Final Calculation Sheet'!$AG$4:$AG$40,$AL$85)="","",INDEX('Final Calculation Sheet'!$AG$4:$AG$40,$AL$85)))</f>
        <v/>
      </c>
      <c r="AI85" s="164">
        <f>IF($AL$85="","",IF(INDEX('Final Calculation Sheet'!$AD$4:$AD$40,$AL$85)&lt;=5,"SETTLED","OUTSTANDING"))</f>
        <v/>
      </c>
      <c r="AL85">
        <f>IF(COUNTIF($B$4:$AI$4,"&lt;&gt;")=0,"",IFERROR(MATCH(26,$AK$6:$AK$42,0),""))</f>
        <v/>
      </c>
    </row>
    <row r="86">
      <c r="A86" s="146">
        <f>IF($AL$86="","",27)</f>
        <v/>
      </c>
      <c r="B86" s="147">
        <f>IF($AL$86="","",IF(INDEX('Final Calculation Sheet'!$F$4:$F$40,$AL$86)="","",INDEX('Final Calculation Sheet'!$F$4:$F$40,$AL$86)))</f>
        <v/>
      </c>
      <c r="C86" s="147">
        <f>IF($AL$86="","",IF(INDEX('Final Calculation Sheet'!$G$4:$G$40,$AL$86)="","",INDEX('Final Calculation Sheet'!$G$4:$G$40,$AL$86)))</f>
        <v/>
      </c>
      <c r="D86" s="149">
        <f>IF($AL$86="","",IF(INDEX('Final Calculation Sheet'!$B$4:$B$40,$AL$86)="","",INDEX('Final Calculation Sheet'!$B$4:$B$40,$AL$86)))</f>
        <v/>
      </c>
      <c r="E86" s="149">
        <f>IF($AL$86="","",IF(INDEX('Final Calculation Sheet'!$D$4:$D$40,$AL$86)="","",INDEX('Final Calculation Sheet'!$D$4:$D$40,$AL$86)))</f>
        <v/>
      </c>
      <c r="F86" s="149">
        <f>IF($AL$86="","",IF(INDEX('Final Calculation Sheet'!$A$4:$A$40,$AL$86)="","",INDEX('Final Calculation Sheet'!$A$4:$A$40,$AL$86)))</f>
        <v/>
      </c>
      <c r="G86" s="149">
        <f>IF($AL$86="","",IF(INDEX('Final Calculation Sheet'!$E$4:$E$40,$AL$86)="","",INDEX('Final Calculation Sheet'!$E$4:$E$40,$AL$86)))</f>
        <v/>
      </c>
      <c r="H86" s="150">
        <f>IF($AL$86="","",IF(INDEX('Final Calculation Sheet'!$C$4:$C$40,$AL$86)="","",INDEX('Final Calculation Sheet'!$C$4:$C$40,$AL$86)))</f>
        <v/>
      </c>
      <c r="I86" s="150">
        <f>IF($AL$86="","",IF(INDEX('Final Calculation Sheet'!$H$4:$H$40,$AL$86)="","",INDEX('Final Calculation Sheet'!$H$4:$H$40,$AL$86)))</f>
        <v/>
      </c>
      <c r="J86" s="150">
        <f>IF($AL$86="","",IF(INDEX('Final Calculation Sheet'!$I$4:$I$40,$AL$86)="","",INDEX('Final Calculation Sheet'!$I$4:$I$40,$AL$86)))</f>
        <v/>
      </c>
      <c r="K86" s="150">
        <f>IF($AL$86="","",IF(INDEX('Final Calculation Sheet'!$J$4:$J$40,$AL$86)="","",INDEX('Final Calculation Sheet'!$J$4:$J$40,$AL$86)))</f>
        <v/>
      </c>
      <c r="L86" s="150">
        <f>IF($AL$86="","",IF(INDEX('Final Calculation Sheet'!$K$4:$K$40,$AL$86)="","",INDEX('Final Calculation Sheet'!$K$4:$K$40,$AL$86)))</f>
        <v/>
      </c>
      <c r="M86" s="150">
        <f>IF($AL$86="","",IF(INDEX('Final Calculation Sheet'!$L$4:$L$40,$AL$86)="","",INDEX('Final Calculation Sheet'!$L$4:$L$40,$AL$86)))</f>
        <v/>
      </c>
      <c r="N86" s="150">
        <f>IF($AL$86="","",IF(INDEX('Final Calculation Sheet'!$M$4:$M$40,$AL$86)="","",INDEX('Final Calculation Sheet'!$M$4:$M$40,$AL$86)))</f>
        <v/>
      </c>
      <c r="O86" s="151">
        <f>IF($AL$86="","",IF(INDEX('Final Calculation Sheet'!$N$4:$N$40,$AL$86)="","",INDEX('Final Calculation Sheet'!$N$4:$N$40,$AL$86)))</f>
        <v/>
      </c>
      <c r="P86" s="150">
        <f>IF($AL$86="","",IF(INDEX('Final Calculation Sheet'!$O$4:$O$40,$AL$86)="","",INDEX('Final Calculation Sheet'!$O$4:$O$40,$AL$86)))</f>
        <v/>
      </c>
      <c r="Q86" s="150">
        <f>IF($AL$86="","",IF(INDEX('Final Calculation Sheet'!$P$4:$P$40,$AL$86)="","",INDEX('Final Calculation Sheet'!$P$4:$P$40,$AL$86)))</f>
        <v/>
      </c>
      <c r="R86" s="152">
        <f>IF($AL$86="","",IF(INDEX('Final Calculation Sheet'!$Q$4:$Q$40,$AL$86)="","",INDEX('Final Calculation Sheet'!$Q$4:$Q$40,$AL$86)))</f>
        <v/>
      </c>
      <c r="S86" s="150">
        <f>IF($AL$86="","",IF(INDEX('Final Calculation Sheet'!$R$4:$R$40,$AL$86)="","",INDEX('Final Calculation Sheet'!$R$4:$R$40,$AL$86)))</f>
        <v/>
      </c>
      <c r="T86" s="150">
        <f>IF($AL$86="","",IF(INDEX('Final Calculation Sheet'!$S$4:$S$40,$AL$86)="","",INDEX('Final Calculation Sheet'!$S$4:$S$40,$AL$86)))</f>
        <v/>
      </c>
      <c r="U86" s="150">
        <f>IF($AL$86="","",IF(INDEX('Final Calculation Sheet'!$T$4:$T$40,$AL$86)="","",INDEX('Final Calculation Sheet'!$T$4:$T$40,$AL$86)))</f>
        <v/>
      </c>
      <c r="V86" s="153">
        <f>IF($AL$86="","",IF(INDEX('Final Calculation Sheet'!$U$4:$U$40,$AL$86)="","",INDEX('Final Calculation Sheet'!$U$4:$U$40,$AL$86)))</f>
        <v/>
      </c>
      <c r="W86" s="150">
        <f>IF($AL$86="","",IF(INDEX('Final Calculation Sheet'!$V$4:$V$40,$AL$86)="","",INDEX('Final Calculation Sheet'!$V$4:$V$40,$AL$86)))</f>
        <v/>
      </c>
      <c r="X86" s="150">
        <f>IF($AL$86="","",IF(INDEX('Final Calculation Sheet'!$W$4:$W$40,$AL$86)="","",INDEX('Final Calculation Sheet'!$W$4:$W$40,$AL$86)))</f>
        <v/>
      </c>
      <c r="Y86" s="150">
        <f>IF($AL$86="","",IF(INDEX('Final Calculation Sheet'!$X$4:$X$40,$AL$86)="","",INDEX('Final Calculation Sheet'!$X$4:$X$40,$AL$86)))</f>
        <v/>
      </c>
      <c r="Z86" s="150">
        <f>IF($AL$86="","",IF(INDEX('Final Calculation Sheet'!$Y$4:$Y$40,$AL$86)="","",INDEX('Final Calculation Sheet'!$Y$4:$Y$40,$AL$86)))</f>
        <v/>
      </c>
      <c r="AA86" s="150">
        <f>IF($AL$86="","",IF(INDEX('Final Calculation Sheet'!$Z$4:$Z$40,$AL$86)="","",INDEX('Final Calculation Sheet'!$Z$4:$Z$40,$AL$86)))</f>
        <v/>
      </c>
      <c r="AB86" s="150">
        <f>IF($AL$86="","",IF(INDEX('Final Calculation Sheet'!$AA$4:$AA$40,$AL$86)="","",INDEX('Final Calculation Sheet'!$AA$4:$AA$40,$AL$86)))</f>
        <v/>
      </c>
      <c r="AC86" s="150">
        <f>IF($AL$86="","",IF(INDEX('Final Calculation Sheet'!$AB$4:$AB$40,$AL$86)="","",INDEX('Final Calculation Sheet'!$AB$4:$AB$40,$AL$86)))</f>
        <v/>
      </c>
      <c r="AD86" s="150">
        <f>IF($AL$86="","",IF(INDEX('Final Calculation Sheet'!$AC$4:$AC$40,$AL$86)="","",INDEX('Final Calculation Sheet'!$AC$4:$AC$40,$AL$86)))</f>
        <v/>
      </c>
      <c r="AE86" s="150">
        <f>IF($AL$86="","",IF(INDEX('Final Calculation Sheet'!$AD$4:$AD$40,$AL$86)="","",INDEX('Final Calculation Sheet'!$AD$4:$AD$40,$AL$86)))</f>
        <v/>
      </c>
      <c r="AF86" s="150">
        <f>IF($AL$86="","",IF(INDEX('Final Calculation Sheet'!$AE$4:$AE$40,$AL$86)="","",INDEX('Final Calculation Sheet'!$AE$4:$AE$40,$AL$86)))</f>
        <v/>
      </c>
      <c r="AG86" s="154">
        <f>IF($AL$86="","",IF(INDEX('Final Calculation Sheet'!$AF$4:$AF$40,$AL$86)="","",INDEX('Final Calculation Sheet'!$AF$4:$AF$40,$AL$86)))</f>
        <v/>
      </c>
      <c r="AH86" s="150">
        <f>IF($AL$86="","",IF(INDEX('Final Calculation Sheet'!$AG$4:$AG$40,$AL$86)="","",INDEX('Final Calculation Sheet'!$AG$4:$AG$40,$AL$86)))</f>
        <v/>
      </c>
      <c r="AI86" s="155">
        <f>IF($AL$86="","",IF(INDEX('Final Calculation Sheet'!$AD$4:$AD$40,$AL$86)&lt;=5,"SETTLED","OUTSTANDING"))</f>
        <v/>
      </c>
      <c r="AL86">
        <f>IF(COUNTIF($B$4:$AI$4,"&lt;&gt;")=0,"",IFERROR(MATCH(27,$AK$6:$AK$42,0),""))</f>
        <v/>
      </c>
    </row>
    <row r="87">
      <c r="A87" s="156">
        <f>IF($AL$87="","",28)</f>
        <v/>
      </c>
      <c r="B87" s="157">
        <f>IF($AL$87="","",IF(INDEX('Final Calculation Sheet'!$F$4:$F$40,$AL$87)="","",INDEX('Final Calculation Sheet'!$F$4:$F$40,$AL$87)))</f>
        <v/>
      </c>
      <c r="C87" s="157">
        <f>IF($AL$87="","",IF(INDEX('Final Calculation Sheet'!$G$4:$G$40,$AL$87)="","",INDEX('Final Calculation Sheet'!$G$4:$G$40,$AL$87)))</f>
        <v/>
      </c>
      <c r="D87" s="158">
        <f>IF($AL$87="","",IF(INDEX('Final Calculation Sheet'!$B$4:$B$40,$AL$87)="","",INDEX('Final Calculation Sheet'!$B$4:$B$40,$AL$87)))</f>
        <v/>
      </c>
      <c r="E87" s="158">
        <f>IF($AL$87="","",IF(INDEX('Final Calculation Sheet'!$D$4:$D$40,$AL$87)="","",INDEX('Final Calculation Sheet'!$D$4:$D$40,$AL$87)))</f>
        <v/>
      </c>
      <c r="F87" s="158">
        <f>IF($AL$87="","",IF(INDEX('Final Calculation Sheet'!$A$4:$A$40,$AL$87)="","",INDEX('Final Calculation Sheet'!$A$4:$A$40,$AL$87)))</f>
        <v/>
      </c>
      <c r="G87" s="158">
        <f>IF($AL$87="","",IF(INDEX('Final Calculation Sheet'!$E$4:$E$40,$AL$87)="","",INDEX('Final Calculation Sheet'!$E$4:$E$40,$AL$87)))</f>
        <v/>
      </c>
      <c r="H87" s="159">
        <f>IF($AL$87="","",IF(INDEX('Final Calculation Sheet'!$C$4:$C$40,$AL$87)="","",INDEX('Final Calculation Sheet'!$C$4:$C$40,$AL$87)))</f>
        <v/>
      </c>
      <c r="I87" s="159">
        <f>IF($AL$87="","",IF(INDEX('Final Calculation Sheet'!$H$4:$H$40,$AL$87)="","",INDEX('Final Calculation Sheet'!$H$4:$H$40,$AL$87)))</f>
        <v/>
      </c>
      <c r="J87" s="159">
        <f>IF($AL$87="","",IF(INDEX('Final Calculation Sheet'!$I$4:$I$40,$AL$87)="","",INDEX('Final Calculation Sheet'!$I$4:$I$40,$AL$87)))</f>
        <v/>
      </c>
      <c r="K87" s="159">
        <f>IF($AL$87="","",IF(INDEX('Final Calculation Sheet'!$J$4:$J$40,$AL$87)="","",INDEX('Final Calculation Sheet'!$J$4:$J$40,$AL$87)))</f>
        <v/>
      </c>
      <c r="L87" s="159">
        <f>IF($AL$87="","",IF(INDEX('Final Calculation Sheet'!$K$4:$K$40,$AL$87)="","",INDEX('Final Calculation Sheet'!$K$4:$K$40,$AL$87)))</f>
        <v/>
      </c>
      <c r="M87" s="159">
        <f>IF($AL$87="","",IF(INDEX('Final Calculation Sheet'!$L$4:$L$40,$AL$87)="","",INDEX('Final Calculation Sheet'!$L$4:$L$40,$AL$87)))</f>
        <v/>
      </c>
      <c r="N87" s="159">
        <f>IF($AL$87="","",IF(INDEX('Final Calculation Sheet'!$M$4:$M$40,$AL$87)="","",INDEX('Final Calculation Sheet'!$M$4:$M$40,$AL$87)))</f>
        <v/>
      </c>
      <c r="O87" s="160">
        <f>IF($AL$87="","",IF(INDEX('Final Calculation Sheet'!$N$4:$N$40,$AL$87)="","",INDEX('Final Calculation Sheet'!$N$4:$N$40,$AL$87)))</f>
        <v/>
      </c>
      <c r="P87" s="159">
        <f>IF($AL$87="","",IF(INDEX('Final Calculation Sheet'!$O$4:$O$40,$AL$87)="","",INDEX('Final Calculation Sheet'!$O$4:$O$40,$AL$87)))</f>
        <v/>
      </c>
      <c r="Q87" s="159">
        <f>IF($AL$87="","",IF(INDEX('Final Calculation Sheet'!$P$4:$P$40,$AL$87)="","",INDEX('Final Calculation Sheet'!$P$4:$P$40,$AL$87)))</f>
        <v/>
      </c>
      <c r="R87" s="161">
        <f>IF($AL$87="","",IF(INDEX('Final Calculation Sheet'!$Q$4:$Q$40,$AL$87)="","",INDEX('Final Calculation Sheet'!$Q$4:$Q$40,$AL$87)))</f>
        <v/>
      </c>
      <c r="S87" s="159">
        <f>IF($AL$87="","",IF(INDEX('Final Calculation Sheet'!$R$4:$R$40,$AL$87)="","",INDEX('Final Calculation Sheet'!$R$4:$R$40,$AL$87)))</f>
        <v/>
      </c>
      <c r="T87" s="159">
        <f>IF($AL$87="","",IF(INDEX('Final Calculation Sheet'!$S$4:$S$40,$AL$87)="","",INDEX('Final Calculation Sheet'!$S$4:$S$40,$AL$87)))</f>
        <v/>
      </c>
      <c r="U87" s="159">
        <f>IF($AL$87="","",IF(INDEX('Final Calculation Sheet'!$T$4:$T$40,$AL$87)="","",INDEX('Final Calculation Sheet'!$T$4:$T$40,$AL$87)))</f>
        <v/>
      </c>
      <c r="V87" s="162">
        <f>IF($AL$87="","",IF(INDEX('Final Calculation Sheet'!$U$4:$U$40,$AL$87)="","",INDEX('Final Calculation Sheet'!$U$4:$U$40,$AL$87)))</f>
        <v/>
      </c>
      <c r="W87" s="159">
        <f>IF($AL$87="","",IF(INDEX('Final Calculation Sheet'!$V$4:$V$40,$AL$87)="","",INDEX('Final Calculation Sheet'!$V$4:$V$40,$AL$87)))</f>
        <v/>
      </c>
      <c r="X87" s="159">
        <f>IF($AL$87="","",IF(INDEX('Final Calculation Sheet'!$W$4:$W$40,$AL$87)="","",INDEX('Final Calculation Sheet'!$W$4:$W$40,$AL$87)))</f>
        <v/>
      </c>
      <c r="Y87" s="159">
        <f>IF($AL$87="","",IF(INDEX('Final Calculation Sheet'!$X$4:$X$40,$AL$87)="","",INDEX('Final Calculation Sheet'!$X$4:$X$40,$AL$87)))</f>
        <v/>
      </c>
      <c r="Z87" s="159">
        <f>IF($AL$87="","",IF(INDEX('Final Calculation Sheet'!$Y$4:$Y$40,$AL$87)="","",INDEX('Final Calculation Sheet'!$Y$4:$Y$40,$AL$87)))</f>
        <v/>
      </c>
      <c r="AA87" s="159">
        <f>IF($AL$87="","",IF(INDEX('Final Calculation Sheet'!$Z$4:$Z$40,$AL$87)="","",INDEX('Final Calculation Sheet'!$Z$4:$Z$40,$AL$87)))</f>
        <v/>
      </c>
      <c r="AB87" s="159">
        <f>IF($AL$87="","",IF(INDEX('Final Calculation Sheet'!$AA$4:$AA$40,$AL$87)="","",INDEX('Final Calculation Sheet'!$AA$4:$AA$40,$AL$87)))</f>
        <v/>
      </c>
      <c r="AC87" s="159">
        <f>IF($AL$87="","",IF(INDEX('Final Calculation Sheet'!$AB$4:$AB$40,$AL$87)="","",INDEX('Final Calculation Sheet'!$AB$4:$AB$40,$AL$87)))</f>
        <v/>
      </c>
      <c r="AD87" s="159">
        <f>IF($AL$87="","",IF(INDEX('Final Calculation Sheet'!$AC$4:$AC$40,$AL$87)="","",INDEX('Final Calculation Sheet'!$AC$4:$AC$40,$AL$87)))</f>
        <v/>
      </c>
      <c r="AE87" s="159">
        <f>IF($AL$87="","",IF(INDEX('Final Calculation Sheet'!$AD$4:$AD$40,$AL$87)="","",INDEX('Final Calculation Sheet'!$AD$4:$AD$40,$AL$87)))</f>
        <v/>
      </c>
      <c r="AF87" s="159">
        <f>IF($AL$87="","",IF(INDEX('Final Calculation Sheet'!$AE$4:$AE$40,$AL$87)="","",INDEX('Final Calculation Sheet'!$AE$4:$AE$40,$AL$87)))</f>
        <v/>
      </c>
      <c r="AG87" s="163">
        <f>IF($AL$87="","",IF(INDEX('Final Calculation Sheet'!$AF$4:$AF$40,$AL$87)="","",INDEX('Final Calculation Sheet'!$AF$4:$AF$40,$AL$87)))</f>
        <v/>
      </c>
      <c r="AH87" s="159">
        <f>IF($AL$87="","",IF(INDEX('Final Calculation Sheet'!$AG$4:$AG$40,$AL$87)="","",INDEX('Final Calculation Sheet'!$AG$4:$AG$40,$AL$87)))</f>
        <v/>
      </c>
      <c r="AI87" s="164">
        <f>IF($AL$87="","",IF(INDEX('Final Calculation Sheet'!$AD$4:$AD$40,$AL$87)&lt;=5,"SETTLED","OUTSTANDING"))</f>
        <v/>
      </c>
      <c r="AL87">
        <f>IF(COUNTIF($B$4:$AI$4,"&lt;&gt;")=0,"",IFERROR(MATCH(28,$AK$6:$AK$42,0),""))</f>
        <v/>
      </c>
    </row>
    <row r="88">
      <c r="A88" s="146">
        <f>IF($AL$88="","",29)</f>
        <v/>
      </c>
      <c r="B88" s="147">
        <f>IF($AL$88="","",IF(INDEX('Final Calculation Sheet'!$F$4:$F$40,$AL$88)="","",INDEX('Final Calculation Sheet'!$F$4:$F$40,$AL$88)))</f>
        <v/>
      </c>
      <c r="C88" s="147">
        <f>IF($AL$88="","",IF(INDEX('Final Calculation Sheet'!$G$4:$G$40,$AL$88)="","",INDEX('Final Calculation Sheet'!$G$4:$G$40,$AL$88)))</f>
        <v/>
      </c>
      <c r="D88" s="149">
        <f>IF($AL$88="","",IF(INDEX('Final Calculation Sheet'!$B$4:$B$40,$AL$88)="","",INDEX('Final Calculation Sheet'!$B$4:$B$40,$AL$88)))</f>
        <v/>
      </c>
      <c r="E88" s="149">
        <f>IF($AL$88="","",IF(INDEX('Final Calculation Sheet'!$D$4:$D$40,$AL$88)="","",INDEX('Final Calculation Sheet'!$D$4:$D$40,$AL$88)))</f>
        <v/>
      </c>
      <c r="F88" s="149">
        <f>IF($AL$88="","",IF(INDEX('Final Calculation Sheet'!$A$4:$A$40,$AL$88)="","",INDEX('Final Calculation Sheet'!$A$4:$A$40,$AL$88)))</f>
        <v/>
      </c>
      <c r="G88" s="149">
        <f>IF($AL$88="","",IF(INDEX('Final Calculation Sheet'!$E$4:$E$40,$AL$88)="","",INDEX('Final Calculation Sheet'!$E$4:$E$40,$AL$88)))</f>
        <v/>
      </c>
      <c r="H88" s="150">
        <f>IF($AL$88="","",IF(INDEX('Final Calculation Sheet'!$C$4:$C$40,$AL$88)="","",INDEX('Final Calculation Sheet'!$C$4:$C$40,$AL$88)))</f>
        <v/>
      </c>
      <c r="I88" s="150">
        <f>IF($AL$88="","",IF(INDEX('Final Calculation Sheet'!$H$4:$H$40,$AL$88)="","",INDEX('Final Calculation Sheet'!$H$4:$H$40,$AL$88)))</f>
        <v/>
      </c>
      <c r="J88" s="150">
        <f>IF($AL$88="","",IF(INDEX('Final Calculation Sheet'!$I$4:$I$40,$AL$88)="","",INDEX('Final Calculation Sheet'!$I$4:$I$40,$AL$88)))</f>
        <v/>
      </c>
      <c r="K88" s="150">
        <f>IF($AL$88="","",IF(INDEX('Final Calculation Sheet'!$J$4:$J$40,$AL$88)="","",INDEX('Final Calculation Sheet'!$J$4:$J$40,$AL$88)))</f>
        <v/>
      </c>
      <c r="L88" s="150">
        <f>IF($AL$88="","",IF(INDEX('Final Calculation Sheet'!$K$4:$K$40,$AL$88)="","",INDEX('Final Calculation Sheet'!$K$4:$K$40,$AL$88)))</f>
        <v/>
      </c>
      <c r="M88" s="150">
        <f>IF($AL$88="","",IF(INDEX('Final Calculation Sheet'!$L$4:$L$40,$AL$88)="","",INDEX('Final Calculation Sheet'!$L$4:$L$40,$AL$88)))</f>
        <v/>
      </c>
      <c r="N88" s="150">
        <f>IF($AL$88="","",IF(INDEX('Final Calculation Sheet'!$M$4:$M$40,$AL$88)="","",INDEX('Final Calculation Sheet'!$M$4:$M$40,$AL$88)))</f>
        <v/>
      </c>
      <c r="O88" s="151">
        <f>IF($AL$88="","",IF(INDEX('Final Calculation Sheet'!$N$4:$N$40,$AL$88)="","",INDEX('Final Calculation Sheet'!$N$4:$N$40,$AL$88)))</f>
        <v/>
      </c>
      <c r="P88" s="150">
        <f>IF($AL$88="","",IF(INDEX('Final Calculation Sheet'!$O$4:$O$40,$AL$88)="","",INDEX('Final Calculation Sheet'!$O$4:$O$40,$AL$88)))</f>
        <v/>
      </c>
      <c r="Q88" s="150">
        <f>IF($AL$88="","",IF(INDEX('Final Calculation Sheet'!$P$4:$P$40,$AL$88)="","",INDEX('Final Calculation Sheet'!$P$4:$P$40,$AL$88)))</f>
        <v/>
      </c>
      <c r="R88" s="152">
        <f>IF($AL$88="","",IF(INDEX('Final Calculation Sheet'!$Q$4:$Q$40,$AL$88)="","",INDEX('Final Calculation Sheet'!$Q$4:$Q$40,$AL$88)))</f>
        <v/>
      </c>
      <c r="S88" s="150">
        <f>IF($AL$88="","",IF(INDEX('Final Calculation Sheet'!$R$4:$R$40,$AL$88)="","",INDEX('Final Calculation Sheet'!$R$4:$R$40,$AL$88)))</f>
        <v/>
      </c>
      <c r="T88" s="150">
        <f>IF($AL$88="","",IF(INDEX('Final Calculation Sheet'!$S$4:$S$40,$AL$88)="","",INDEX('Final Calculation Sheet'!$S$4:$S$40,$AL$88)))</f>
        <v/>
      </c>
      <c r="U88" s="150">
        <f>IF($AL$88="","",IF(INDEX('Final Calculation Sheet'!$T$4:$T$40,$AL$88)="","",INDEX('Final Calculation Sheet'!$T$4:$T$40,$AL$88)))</f>
        <v/>
      </c>
      <c r="V88" s="153">
        <f>IF($AL$88="","",IF(INDEX('Final Calculation Sheet'!$U$4:$U$40,$AL$88)="","",INDEX('Final Calculation Sheet'!$U$4:$U$40,$AL$88)))</f>
        <v/>
      </c>
      <c r="W88" s="150">
        <f>IF($AL$88="","",IF(INDEX('Final Calculation Sheet'!$V$4:$V$40,$AL$88)="","",INDEX('Final Calculation Sheet'!$V$4:$V$40,$AL$88)))</f>
        <v/>
      </c>
      <c r="X88" s="150">
        <f>IF($AL$88="","",IF(INDEX('Final Calculation Sheet'!$W$4:$W$40,$AL$88)="","",INDEX('Final Calculation Sheet'!$W$4:$W$40,$AL$88)))</f>
        <v/>
      </c>
      <c r="Y88" s="150">
        <f>IF($AL$88="","",IF(INDEX('Final Calculation Sheet'!$X$4:$X$40,$AL$88)="","",INDEX('Final Calculation Sheet'!$X$4:$X$40,$AL$88)))</f>
        <v/>
      </c>
      <c r="Z88" s="150">
        <f>IF($AL$88="","",IF(INDEX('Final Calculation Sheet'!$Y$4:$Y$40,$AL$88)="","",INDEX('Final Calculation Sheet'!$Y$4:$Y$40,$AL$88)))</f>
        <v/>
      </c>
      <c r="AA88" s="150">
        <f>IF($AL$88="","",IF(INDEX('Final Calculation Sheet'!$Z$4:$Z$40,$AL$88)="","",INDEX('Final Calculation Sheet'!$Z$4:$Z$40,$AL$88)))</f>
        <v/>
      </c>
      <c r="AB88" s="150">
        <f>IF($AL$88="","",IF(INDEX('Final Calculation Sheet'!$AA$4:$AA$40,$AL$88)="","",INDEX('Final Calculation Sheet'!$AA$4:$AA$40,$AL$88)))</f>
        <v/>
      </c>
      <c r="AC88" s="150">
        <f>IF($AL$88="","",IF(INDEX('Final Calculation Sheet'!$AB$4:$AB$40,$AL$88)="","",INDEX('Final Calculation Sheet'!$AB$4:$AB$40,$AL$88)))</f>
        <v/>
      </c>
      <c r="AD88" s="150">
        <f>IF($AL$88="","",IF(INDEX('Final Calculation Sheet'!$AC$4:$AC$40,$AL$88)="","",INDEX('Final Calculation Sheet'!$AC$4:$AC$40,$AL$88)))</f>
        <v/>
      </c>
      <c r="AE88" s="150">
        <f>IF($AL$88="","",IF(INDEX('Final Calculation Sheet'!$AD$4:$AD$40,$AL$88)="","",INDEX('Final Calculation Sheet'!$AD$4:$AD$40,$AL$88)))</f>
        <v/>
      </c>
      <c r="AF88" s="150">
        <f>IF($AL$88="","",IF(INDEX('Final Calculation Sheet'!$AE$4:$AE$40,$AL$88)="","",INDEX('Final Calculation Sheet'!$AE$4:$AE$40,$AL$88)))</f>
        <v/>
      </c>
      <c r="AG88" s="154">
        <f>IF($AL$88="","",IF(INDEX('Final Calculation Sheet'!$AF$4:$AF$40,$AL$88)="","",INDEX('Final Calculation Sheet'!$AF$4:$AF$40,$AL$88)))</f>
        <v/>
      </c>
      <c r="AH88" s="150">
        <f>IF($AL$88="","",IF(INDEX('Final Calculation Sheet'!$AG$4:$AG$40,$AL$88)="","",INDEX('Final Calculation Sheet'!$AG$4:$AG$40,$AL$88)))</f>
        <v/>
      </c>
      <c r="AI88" s="155">
        <f>IF($AL$88="","",IF(INDEX('Final Calculation Sheet'!$AD$4:$AD$40,$AL$88)&lt;=5,"SETTLED","OUTSTANDING"))</f>
        <v/>
      </c>
      <c r="AL88">
        <f>IF(COUNTIF($B$4:$AI$4,"&lt;&gt;")=0,"",IFERROR(MATCH(29,$AK$6:$AK$42,0),""))</f>
        <v/>
      </c>
    </row>
    <row r="89">
      <c r="A89" s="156">
        <f>IF($AL$89="","",30)</f>
        <v/>
      </c>
      <c r="B89" s="157">
        <f>IF($AL$89="","",IF(INDEX('Final Calculation Sheet'!$F$4:$F$40,$AL$89)="","",INDEX('Final Calculation Sheet'!$F$4:$F$40,$AL$89)))</f>
        <v/>
      </c>
      <c r="C89" s="157">
        <f>IF($AL$89="","",IF(INDEX('Final Calculation Sheet'!$G$4:$G$40,$AL$89)="","",INDEX('Final Calculation Sheet'!$G$4:$G$40,$AL$89)))</f>
        <v/>
      </c>
      <c r="D89" s="158">
        <f>IF($AL$89="","",IF(INDEX('Final Calculation Sheet'!$B$4:$B$40,$AL$89)="","",INDEX('Final Calculation Sheet'!$B$4:$B$40,$AL$89)))</f>
        <v/>
      </c>
      <c r="E89" s="158">
        <f>IF($AL$89="","",IF(INDEX('Final Calculation Sheet'!$D$4:$D$40,$AL$89)="","",INDEX('Final Calculation Sheet'!$D$4:$D$40,$AL$89)))</f>
        <v/>
      </c>
      <c r="F89" s="158">
        <f>IF($AL$89="","",IF(INDEX('Final Calculation Sheet'!$A$4:$A$40,$AL$89)="","",INDEX('Final Calculation Sheet'!$A$4:$A$40,$AL$89)))</f>
        <v/>
      </c>
      <c r="G89" s="158">
        <f>IF($AL$89="","",IF(INDEX('Final Calculation Sheet'!$E$4:$E$40,$AL$89)="","",INDEX('Final Calculation Sheet'!$E$4:$E$40,$AL$89)))</f>
        <v/>
      </c>
      <c r="H89" s="159">
        <f>IF($AL$89="","",IF(INDEX('Final Calculation Sheet'!$C$4:$C$40,$AL$89)="","",INDEX('Final Calculation Sheet'!$C$4:$C$40,$AL$89)))</f>
        <v/>
      </c>
      <c r="I89" s="159">
        <f>IF($AL$89="","",IF(INDEX('Final Calculation Sheet'!$H$4:$H$40,$AL$89)="","",INDEX('Final Calculation Sheet'!$H$4:$H$40,$AL$89)))</f>
        <v/>
      </c>
      <c r="J89" s="159">
        <f>IF($AL$89="","",IF(INDEX('Final Calculation Sheet'!$I$4:$I$40,$AL$89)="","",INDEX('Final Calculation Sheet'!$I$4:$I$40,$AL$89)))</f>
        <v/>
      </c>
      <c r="K89" s="159">
        <f>IF($AL$89="","",IF(INDEX('Final Calculation Sheet'!$J$4:$J$40,$AL$89)="","",INDEX('Final Calculation Sheet'!$J$4:$J$40,$AL$89)))</f>
        <v/>
      </c>
      <c r="L89" s="159">
        <f>IF($AL$89="","",IF(INDEX('Final Calculation Sheet'!$K$4:$K$40,$AL$89)="","",INDEX('Final Calculation Sheet'!$K$4:$K$40,$AL$89)))</f>
        <v/>
      </c>
      <c r="M89" s="159">
        <f>IF($AL$89="","",IF(INDEX('Final Calculation Sheet'!$L$4:$L$40,$AL$89)="","",INDEX('Final Calculation Sheet'!$L$4:$L$40,$AL$89)))</f>
        <v/>
      </c>
      <c r="N89" s="159">
        <f>IF($AL$89="","",IF(INDEX('Final Calculation Sheet'!$M$4:$M$40,$AL$89)="","",INDEX('Final Calculation Sheet'!$M$4:$M$40,$AL$89)))</f>
        <v/>
      </c>
      <c r="O89" s="160">
        <f>IF($AL$89="","",IF(INDEX('Final Calculation Sheet'!$N$4:$N$40,$AL$89)="","",INDEX('Final Calculation Sheet'!$N$4:$N$40,$AL$89)))</f>
        <v/>
      </c>
      <c r="P89" s="159">
        <f>IF($AL$89="","",IF(INDEX('Final Calculation Sheet'!$O$4:$O$40,$AL$89)="","",INDEX('Final Calculation Sheet'!$O$4:$O$40,$AL$89)))</f>
        <v/>
      </c>
      <c r="Q89" s="159">
        <f>IF($AL$89="","",IF(INDEX('Final Calculation Sheet'!$P$4:$P$40,$AL$89)="","",INDEX('Final Calculation Sheet'!$P$4:$P$40,$AL$89)))</f>
        <v/>
      </c>
      <c r="R89" s="161">
        <f>IF($AL$89="","",IF(INDEX('Final Calculation Sheet'!$Q$4:$Q$40,$AL$89)="","",INDEX('Final Calculation Sheet'!$Q$4:$Q$40,$AL$89)))</f>
        <v/>
      </c>
      <c r="S89" s="159">
        <f>IF($AL$89="","",IF(INDEX('Final Calculation Sheet'!$R$4:$R$40,$AL$89)="","",INDEX('Final Calculation Sheet'!$R$4:$R$40,$AL$89)))</f>
        <v/>
      </c>
      <c r="T89" s="159">
        <f>IF($AL$89="","",IF(INDEX('Final Calculation Sheet'!$S$4:$S$40,$AL$89)="","",INDEX('Final Calculation Sheet'!$S$4:$S$40,$AL$89)))</f>
        <v/>
      </c>
      <c r="U89" s="159">
        <f>IF($AL$89="","",IF(INDEX('Final Calculation Sheet'!$T$4:$T$40,$AL$89)="","",INDEX('Final Calculation Sheet'!$T$4:$T$40,$AL$89)))</f>
        <v/>
      </c>
      <c r="V89" s="162">
        <f>IF($AL$89="","",IF(INDEX('Final Calculation Sheet'!$U$4:$U$40,$AL$89)="","",INDEX('Final Calculation Sheet'!$U$4:$U$40,$AL$89)))</f>
        <v/>
      </c>
      <c r="W89" s="159">
        <f>IF($AL$89="","",IF(INDEX('Final Calculation Sheet'!$V$4:$V$40,$AL$89)="","",INDEX('Final Calculation Sheet'!$V$4:$V$40,$AL$89)))</f>
        <v/>
      </c>
      <c r="X89" s="159">
        <f>IF($AL$89="","",IF(INDEX('Final Calculation Sheet'!$W$4:$W$40,$AL$89)="","",INDEX('Final Calculation Sheet'!$W$4:$W$40,$AL$89)))</f>
        <v/>
      </c>
      <c r="Y89" s="159">
        <f>IF($AL$89="","",IF(INDEX('Final Calculation Sheet'!$X$4:$X$40,$AL$89)="","",INDEX('Final Calculation Sheet'!$X$4:$X$40,$AL$89)))</f>
        <v/>
      </c>
      <c r="Z89" s="159">
        <f>IF($AL$89="","",IF(INDEX('Final Calculation Sheet'!$Y$4:$Y$40,$AL$89)="","",INDEX('Final Calculation Sheet'!$Y$4:$Y$40,$AL$89)))</f>
        <v/>
      </c>
      <c r="AA89" s="159">
        <f>IF($AL$89="","",IF(INDEX('Final Calculation Sheet'!$Z$4:$Z$40,$AL$89)="","",INDEX('Final Calculation Sheet'!$Z$4:$Z$40,$AL$89)))</f>
        <v/>
      </c>
      <c r="AB89" s="159">
        <f>IF($AL$89="","",IF(INDEX('Final Calculation Sheet'!$AA$4:$AA$40,$AL$89)="","",INDEX('Final Calculation Sheet'!$AA$4:$AA$40,$AL$89)))</f>
        <v/>
      </c>
      <c r="AC89" s="159">
        <f>IF($AL$89="","",IF(INDEX('Final Calculation Sheet'!$AB$4:$AB$40,$AL$89)="","",INDEX('Final Calculation Sheet'!$AB$4:$AB$40,$AL$89)))</f>
        <v/>
      </c>
      <c r="AD89" s="159">
        <f>IF($AL$89="","",IF(INDEX('Final Calculation Sheet'!$AC$4:$AC$40,$AL$89)="","",INDEX('Final Calculation Sheet'!$AC$4:$AC$40,$AL$89)))</f>
        <v/>
      </c>
      <c r="AE89" s="159">
        <f>IF($AL$89="","",IF(INDEX('Final Calculation Sheet'!$AD$4:$AD$40,$AL$89)="","",INDEX('Final Calculation Sheet'!$AD$4:$AD$40,$AL$89)))</f>
        <v/>
      </c>
      <c r="AF89" s="159">
        <f>IF($AL$89="","",IF(INDEX('Final Calculation Sheet'!$AE$4:$AE$40,$AL$89)="","",INDEX('Final Calculation Sheet'!$AE$4:$AE$40,$AL$89)))</f>
        <v/>
      </c>
      <c r="AG89" s="163">
        <f>IF($AL$89="","",IF(INDEX('Final Calculation Sheet'!$AF$4:$AF$40,$AL$89)="","",INDEX('Final Calculation Sheet'!$AF$4:$AF$40,$AL$89)))</f>
        <v/>
      </c>
      <c r="AH89" s="159">
        <f>IF($AL$89="","",IF(INDEX('Final Calculation Sheet'!$AG$4:$AG$40,$AL$89)="","",INDEX('Final Calculation Sheet'!$AG$4:$AG$40,$AL$89)))</f>
        <v/>
      </c>
      <c r="AI89" s="164">
        <f>IF($AL$89="","",IF(INDEX('Final Calculation Sheet'!$AD$4:$AD$40,$AL$89)&lt;=5,"SETTLED","OUTSTANDING"))</f>
        <v/>
      </c>
      <c r="AL89">
        <f>IF(COUNTIF($B$4:$AI$4,"&lt;&gt;")=0,"",IFERROR(MATCH(30,$AK$6:$AK$42,0),""))</f>
        <v/>
      </c>
    </row>
    <row r="90">
      <c r="A90" s="146">
        <f>IF($AL$90="","",31)</f>
        <v/>
      </c>
      <c r="B90" s="147">
        <f>IF($AL$90="","",IF(INDEX('Final Calculation Sheet'!$F$4:$F$40,$AL$90)="","",INDEX('Final Calculation Sheet'!$F$4:$F$40,$AL$90)))</f>
        <v/>
      </c>
      <c r="C90" s="147">
        <f>IF($AL$90="","",IF(INDEX('Final Calculation Sheet'!$G$4:$G$40,$AL$90)="","",INDEX('Final Calculation Sheet'!$G$4:$G$40,$AL$90)))</f>
        <v/>
      </c>
      <c r="D90" s="149">
        <f>IF($AL$90="","",IF(INDEX('Final Calculation Sheet'!$B$4:$B$40,$AL$90)="","",INDEX('Final Calculation Sheet'!$B$4:$B$40,$AL$90)))</f>
        <v/>
      </c>
      <c r="E90" s="149">
        <f>IF($AL$90="","",IF(INDEX('Final Calculation Sheet'!$D$4:$D$40,$AL$90)="","",INDEX('Final Calculation Sheet'!$D$4:$D$40,$AL$90)))</f>
        <v/>
      </c>
      <c r="F90" s="149">
        <f>IF($AL$90="","",IF(INDEX('Final Calculation Sheet'!$A$4:$A$40,$AL$90)="","",INDEX('Final Calculation Sheet'!$A$4:$A$40,$AL$90)))</f>
        <v/>
      </c>
      <c r="G90" s="149">
        <f>IF($AL$90="","",IF(INDEX('Final Calculation Sheet'!$E$4:$E$40,$AL$90)="","",INDEX('Final Calculation Sheet'!$E$4:$E$40,$AL$90)))</f>
        <v/>
      </c>
      <c r="H90" s="150">
        <f>IF($AL$90="","",IF(INDEX('Final Calculation Sheet'!$C$4:$C$40,$AL$90)="","",INDEX('Final Calculation Sheet'!$C$4:$C$40,$AL$90)))</f>
        <v/>
      </c>
      <c r="I90" s="150">
        <f>IF($AL$90="","",IF(INDEX('Final Calculation Sheet'!$H$4:$H$40,$AL$90)="","",INDEX('Final Calculation Sheet'!$H$4:$H$40,$AL$90)))</f>
        <v/>
      </c>
      <c r="J90" s="150">
        <f>IF($AL$90="","",IF(INDEX('Final Calculation Sheet'!$I$4:$I$40,$AL$90)="","",INDEX('Final Calculation Sheet'!$I$4:$I$40,$AL$90)))</f>
        <v/>
      </c>
      <c r="K90" s="150">
        <f>IF($AL$90="","",IF(INDEX('Final Calculation Sheet'!$J$4:$J$40,$AL$90)="","",INDEX('Final Calculation Sheet'!$J$4:$J$40,$AL$90)))</f>
        <v/>
      </c>
      <c r="L90" s="150">
        <f>IF($AL$90="","",IF(INDEX('Final Calculation Sheet'!$K$4:$K$40,$AL$90)="","",INDEX('Final Calculation Sheet'!$K$4:$K$40,$AL$90)))</f>
        <v/>
      </c>
      <c r="M90" s="150">
        <f>IF($AL$90="","",IF(INDEX('Final Calculation Sheet'!$L$4:$L$40,$AL$90)="","",INDEX('Final Calculation Sheet'!$L$4:$L$40,$AL$90)))</f>
        <v/>
      </c>
      <c r="N90" s="150">
        <f>IF($AL$90="","",IF(INDEX('Final Calculation Sheet'!$M$4:$M$40,$AL$90)="","",INDEX('Final Calculation Sheet'!$M$4:$M$40,$AL$90)))</f>
        <v/>
      </c>
      <c r="O90" s="151">
        <f>IF($AL$90="","",IF(INDEX('Final Calculation Sheet'!$N$4:$N$40,$AL$90)="","",INDEX('Final Calculation Sheet'!$N$4:$N$40,$AL$90)))</f>
        <v/>
      </c>
      <c r="P90" s="150">
        <f>IF($AL$90="","",IF(INDEX('Final Calculation Sheet'!$O$4:$O$40,$AL$90)="","",INDEX('Final Calculation Sheet'!$O$4:$O$40,$AL$90)))</f>
        <v/>
      </c>
      <c r="Q90" s="150">
        <f>IF($AL$90="","",IF(INDEX('Final Calculation Sheet'!$P$4:$P$40,$AL$90)="","",INDEX('Final Calculation Sheet'!$P$4:$P$40,$AL$90)))</f>
        <v/>
      </c>
      <c r="R90" s="152">
        <f>IF($AL$90="","",IF(INDEX('Final Calculation Sheet'!$Q$4:$Q$40,$AL$90)="","",INDEX('Final Calculation Sheet'!$Q$4:$Q$40,$AL$90)))</f>
        <v/>
      </c>
      <c r="S90" s="150">
        <f>IF($AL$90="","",IF(INDEX('Final Calculation Sheet'!$R$4:$R$40,$AL$90)="","",INDEX('Final Calculation Sheet'!$R$4:$R$40,$AL$90)))</f>
        <v/>
      </c>
      <c r="T90" s="150">
        <f>IF($AL$90="","",IF(INDEX('Final Calculation Sheet'!$S$4:$S$40,$AL$90)="","",INDEX('Final Calculation Sheet'!$S$4:$S$40,$AL$90)))</f>
        <v/>
      </c>
      <c r="U90" s="150">
        <f>IF($AL$90="","",IF(INDEX('Final Calculation Sheet'!$T$4:$T$40,$AL$90)="","",INDEX('Final Calculation Sheet'!$T$4:$T$40,$AL$90)))</f>
        <v/>
      </c>
      <c r="V90" s="153">
        <f>IF($AL$90="","",IF(INDEX('Final Calculation Sheet'!$U$4:$U$40,$AL$90)="","",INDEX('Final Calculation Sheet'!$U$4:$U$40,$AL$90)))</f>
        <v/>
      </c>
      <c r="W90" s="150">
        <f>IF($AL$90="","",IF(INDEX('Final Calculation Sheet'!$V$4:$V$40,$AL$90)="","",INDEX('Final Calculation Sheet'!$V$4:$V$40,$AL$90)))</f>
        <v/>
      </c>
      <c r="X90" s="150">
        <f>IF($AL$90="","",IF(INDEX('Final Calculation Sheet'!$W$4:$W$40,$AL$90)="","",INDEX('Final Calculation Sheet'!$W$4:$W$40,$AL$90)))</f>
        <v/>
      </c>
      <c r="Y90" s="150">
        <f>IF($AL$90="","",IF(INDEX('Final Calculation Sheet'!$X$4:$X$40,$AL$90)="","",INDEX('Final Calculation Sheet'!$X$4:$X$40,$AL$90)))</f>
        <v/>
      </c>
      <c r="Z90" s="150">
        <f>IF($AL$90="","",IF(INDEX('Final Calculation Sheet'!$Y$4:$Y$40,$AL$90)="","",INDEX('Final Calculation Sheet'!$Y$4:$Y$40,$AL$90)))</f>
        <v/>
      </c>
      <c r="AA90" s="150">
        <f>IF($AL$90="","",IF(INDEX('Final Calculation Sheet'!$Z$4:$Z$40,$AL$90)="","",INDEX('Final Calculation Sheet'!$Z$4:$Z$40,$AL$90)))</f>
        <v/>
      </c>
      <c r="AB90" s="150">
        <f>IF($AL$90="","",IF(INDEX('Final Calculation Sheet'!$AA$4:$AA$40,$AL$90)="","",INDEX('Final Calculation Sheet'!$AA$4:$AA$40,$AL$90)))</f>
        <v/>
      </c>
      <c r="AC90" s="150">
        <f>IF($AL$90="","",IF(INDEX('Final Calculation Sheet'!$AB$4:$AB$40,$AL$90)="","",INDEX('Final Calculation Sheet'!$AB$4:$AB$40,$AL$90)))</f>
        <v/>
      </c>
      <c r="AD90" s="150">
        <f>IF($AL$90="","",IF(INDEX('Final Calculation Sheet'!$AC$4:$AC$40,$AL$90)="","",INDEX('Final Calculation Sheet'!$AC$4:$AC$40,$AL$90)))</f>
        <v/>
      </c>
      <c r="AE90" s="150">
        <f>IF($AL$90="","",IF(INDEX('Final Calculation Sheet'!$AD$4:$AD$40,$AL$90)="","",INDEX('Final Calculation Sheet'!$AD$4:$AD$40,$AL$90)))</f>
        <v/>
      </c>
      <c r="AF90" s="150">
        <f>IF($AL$90="","",IF(INDEX('Final Calculation Sheet'!$AE$4:$AE$40,$AL$90)="","",INDEX('Final Calculation Sheet'!$AE$4:$AE$40,$AL$90)))</f>
        <v/>
      </c>
      <c r="AG90" s="154">
        <f>IF($AL$90="","",IF(INDEX('Final Calculation Sheet'!$AF$4:$AF$40,$AL$90)="","",INDEX('Final Calculation Sheet'!$AF$4:$AF$40,$AL$90)))</f>
        <v/>
      </c>
      <c r="AH90" s="150">
        <f>IF($AL$90="","",IF(INDEX('Final Calculation Sheet'!$AG$4:$AG$40,$AL$90)="","",INDEX('Final Calculation Sheet'!$AG$4:$AG$40,$AL$90)))</f>
        <v/>
      </c>
      <c r="AI90" s="155">
        <f>IF($AL$90="","",IF(INDEX('Final Calculation Sheet'!$AD$4:$AD$40,$AL$90)&lt;=5,"SETTLED","OUTSTANDING"))</f>
        <v/>
      </c>
      <c r="AL90">
        <f>IF(COUNTIF($B$4:$AI$4,"&lt;&gt;")=0,"",IFERROR(MATCH(31,$AK$6:$AK$42,0),""))</f>
        <v/>
      </c>
    </row>
    <row r="91">
      <c r="A91" s="156">
        <f>IF($AL$91="","",32)</f>
        <v/>
      </c>
      <c r="B91" s="157">
        <f>IF($AL$91="","",IF(INDEX('Final Calculation Sheet'!$F$4:$F$40,$AL$91)="","",INDEX('Final Calculation Sheet'!$F$4:$F$40,$AL$91)))</f>
        <v/>
      </c>
      <c r="C91" s="157">
        <f>IF($AL$91="","",IF(INDEX('Final Calculation Sheet'!$G$4:$G$40,$AL$91)="","",INDEX('Final Calculation Sheet'!$G$4:$G$40,$AL$91)))</f>
        <v/>
      </c>
      <c r="D91" s="158">
        <f>IF($AL$91="","",IF(INDEX('Final Calculation Sheet'!$B$4:$B$40,$AL$91)="","",INDEX('Final Calculation Sheet'!$B$4:$B$40,$AL$91)))</f>
        <v/>
      </c>
      <c r="E91" s="158">
        <f>IF($AL$91="","",IF(INDEX('Final Calculation Sheet'!$D$4:$D$40,$AL$91)="","",INDEX('Final Calculation Sheet'!$D$4:$D$40,$AL$91)))</f>
        <v/>
      </c>
      <c r="F91" s="158">
        <f>IF($AL$91="","",IF(INDEX('Final Calculation Sheet'!$A$4:$A$40,$AL$91)="","",INDEX('Final Calculation Sheet'!$A$4:$A$40,$AL$91)))</f>
        <v/>
      </c>
      <c r="G91" s="158">
        <f>IF($AL$91="","",IF(INDEX('Final Calculation Sheet'!$E$4:$E$40,$AL$91)="","",INDEX('Final Calculation Sheet'!$E$4:$E$40,$AL$91)))</f>
        <v/>
      </c>
      <c r="H91" s="159">
        <f>IF($AL$91="","",IF(INDEX('Final Calculation Sheet'!$C$4:$C$40,$AL$91)="","",INDEX('Final Calculation Sheet'!$C$4:$C$40,$AL$91)))</f>
        <v/>
      </c>
      <c r="I91" s="159">
        <f>IF($AL$91="","",IF(INDEX('Final Calculation Sheet'!$H$4:$H$40,$AL$91)="","",INDEX('Final Calculation Sheet'!$H$4:$H$40,$AL$91)))</f>
        <v/>
      </c>
      <c r="J91" s="159">
        <f>IF($AL$91="","",IF(INDEX('Final Calculation Sheet'!$I$4:$I$40,$AL$91)="","",INDEX('Final Calculation Sheet'!$I$4:$I$40,$AL$91)))</f>
        <v/>
      </c>
      <c r="K91" s="159">
        <f>IF($AL$91="","",IF(INDEX('Final Calculation Sheet'!$J$4:$J$40,$AL$91)="","",INDEX('Final Calculation Sheet'!$J$4:$J$40,$AL$91)))</f>
        <v/>
      </c>
      <c r="L91" s="159">
        <f>IF($AL$91="","",IF(INDEX('Final Calculation Sheet'!$K$4:$K$40,$AL$91)="","",INDEX('Final Calculation Sheet'!$K$4:$K$40,$AL$91)))</f>
        <v/>
      </c>
      <c r="M91" s="159">
        <f>IF($AL$91="","",IF(INDEX('Final Calculation Sheet'!$L$4:$L$40,$AL$91)="","",INDEX('Final Calculation Sheet'!$L$4:$L$40,$AL$91)))</f>
        <v/>
      </c>
      <c r="N91" s="159">
        <f>IF($AL$91="","",IF(INDEX('Final Calculation Sheet'!$M$4:$M$40,$AL$91)="","",INDEX('Final Calculation Sheet'!$M$4:$M$40,$AL$91)))</f>
        <v/>
      </c>
      <c r="O91" s="160">
        <f>IF($AL$91="","",IF(INDEX('Final Calculation Sheet'!$N$4:$N$40,$AL$91)="","",INDEX('Final Calculation Sheet'!$N$4:$N$40,$AL$91)))</f>
        <v/>
      </c>
      <c r="P91" s="159">
        <f>IF($AL$91="","",IF(INDEX('Final Calculation Sheet'!$O$4:$O$40,$AL$91)="","",INDEX('Final Calculation Sheet'!$O$4:$O$40,$AL$91)))</f>
        <v/>
      </c>
      <c r="Q91" s="159">
        <f>IF($AL$91="","",IF(INDEX('Final Calculation Sheet'!$P$4:$P$40,$AL$91)="","",INDEX('Final Calculation Sheet'!$P$4:$P$40,$AL$91)))</f>
        <v/>
      </c>
      <c r="R91" s="161">
        <f>IF($AL$91="","",IF(INDEX('Final Calculation Sheet'!$Q$4:$Q$40,$AL$91)="","",INDEX('Final Calculation Sheet'!$Q$4:$Q$40,$AL$91)))</f>
        <v/>
      </c>
      <c r="S91" s="159">
        <f>IF($AL$91="","",IF(INDEX('Final Calculation Sheet'!$R$4:$R$40,$AL$91)="","",INDEX('Final Calculation Sheet'!$R$4:$R$40,$AL$91)))</f>
        <v/>
      </c>
      <c r="T91" s="159">
        <f>IF($AL$91="","",IF(INDEX('Final Calculation Sheet'!$S$4:$S$40,$AL$91)="","",INDEX('Final Calculation Sheet'!$S$4:$S$40,$AL$91)))</f>
        <v/>
      </c>
      <c r="U91" s="159">
        <f>IF($AL$91="","",IF(INDEX('Final Calculation Sheet'!$T$4:$T$40,$AL$91)="","",INDEX('Final Calculation Sheet'!$T$4:$T$40,$AL$91)))</f>
        <v/>
      </c>
      <c r="V91" s="162">
        <f>IF($AL$91="","",IF(INDEX('Final Calculation Sheet'!$U$4:$U$40,$AL$91)="","",INDEX('Final Calculation Sheet'!$U$4:$U$40,$AL$91)))</f>
        <v/>
      </c>
      <c r="W91" s="159">
        <f>IF($AL$91="","",IF(INDEX('Final Calculation Sheet'!$V$4:$V$40,$AL$91)="","",INDEX('Final Calculation Sheet'!$V$4:$V$40,$AL$91)))</f>
        <v/>
      </c>
      <c r="X91" s="159">
        <f>IF($AL$91="","",IF(INDEX('Final Calculation Sheet'!$W$4:$W$40,$AL$91)="","",INDEX('Final Calculation Sheet'!$W$4:$W$40,$AL$91)))</f>
        <v/>
      </c>
      <c r="Y91" s="159">
        <f>IF($AL$91="","",IF(INDEX('Final Calculation Sheet'!$X$4:$X$40,$AL$91)="","",INDEX('Final Calculation Sheet'!$X$4:$X$40,$AL$91)))</f>
        <v/>
      </c>
      <c r="Z91" s="159">
        <f>IF($AL$91="","",IF(INDEX('Final Calculation Sheet'!$Y$4:$Y$40,$AL$91)="","",INDEX('Final Calculation Sheet'!$Y$4:$Y$40,$AL$91)))</f>
        <v/>
      </c>
      <c r="AA91" s="159">
        <f>IF($AL$91="","",IF(INDEX('Final Calculation Sheet'!$Z$4:$Z$40,$AL$91)="","",INDEX('Final Calculation Sheet'!$Z$4:$Z$40,$AL$91)))</f>
        <v/>
      </c>
      <c r="AB91" s="159">
        <f>IF($AL$91="","",IF(INDEX('Final Calculation Sheet'!$AA$4:$AA$40,$AL$91)="","",INDEX('Final Calculation Sheet'!$AA$4:$AA$40,$AL$91)))</f>
        <v/>
      </c>
      <c r="AC91" s="159">
        <f>IF($AL$91="","",IF(INDEX('Final Calculation Sheet'!$AB$4:$AB$40,$AL$91)="","",INDEX('Final Calculation Sheet'!$AB$4:$AB$40,$AL$91)))</f>
        <v/>
      </c>
      <c r="AD91" s="159">
        <f>IF($AL$91="","",IF(INDEX('Final Calculation Sheet'!$AC$4:$AC$40,$AL$91)="","",INDEX('Final Calculation Sheet'!$AC$4:$AC$40,$AL$91)))</f>
        <v/>
      </c>
      <c r="AE91" s="159">
        <f>IF($AL$91="","",IF(INDEX('Final Calculation Sheet'!$AD$4:$AD$40,$AL$91)="","",INDEX('Final Calculation Sheet'!$AD$4:$AD$40,$AL$91)))</f>
        <v/>
      </c>
      <c r="AF91" s="159">
        <f>IF($AL$91="","",IF(INDEX('Final Calculation Sheet'!$AE$4:$AE$40,$AL$91)="","",INDEX('Final Calculation Sheet'!$AE$4:$AE$40,$AL$91)))</f>
        <v/>
      </c>
      <c r="AG91" s="163">
        <f>IF($AL$91="","",IF(INDEX('Final Calculation Sheet'!$AF$4:$AF$40,$AL$91)="","",INDEX('Final Calculation Sheet'!$AF$4:$AF$40,$AL$91)))</f>
        <v/>
      </c>
      <c r="AH91" s="159">
        <f>IF($AL$91="","",IF(INDEX('Final Calculation Sheet'!$AG$4:$AG$40,$AL$91)="","",INDEX('Final Calculation Sheet'!$AG$4:$AG$40,$AL$91)))</f>
        <v/>
      </c>
      <c r="AI91" s="164">
        <f>IF($AL$91="","",IF(INDEX('Final Calculation Sheet'!$AD$4:$AD$40,$AL$91)&lt;=5,"SETTLED","OUTSTANDING"))</f>
        <v/>
      </c>
      <c r="AL91">
        <f>IF(COUNTIF($B$4:$AI$4,"&lt;&gt;")=0,"",IFERROR(MATCH(32,$AK$6:$AK$42,0),""))</f>
        <v/>
      </c>
    </row>
    <row r="92">
      <c r="A92" s="146">
        <f>IF($AL$92="","",33)</f>
        <v/>
      </c>
      <c r="B92" s="147">
        <f>IF($AL$92="","",IF(INDEX('Final Calculation Sheet'!$F$4:$F$40,$AL$92)="","",INDEX('Final Calculation Sheet'!$F$4:$F$40,$AL$92)))</f>
        <v/>
      </c>
      <c r="C92" s="147">
        <f>IF($AL$92="","",IF(INDEX('Final Calculation Sheet'!$G$4:$G$40,$AL$92)="","",INDEX('Final Calculation Sheet'!$G$4:$G$40,$AL$92)))</f>
        <v/>
      </c>
      <c r="D92" s="149">
        <f>IF($AL$92="","",IF(INDEX('Final Calculation Sheet'!$B$4:$B$40,$AL$92)="","",INDEX('Final Calculation Sheet'!$B$4:$B$40,$AL$92)))</f>
        <v/>
      </c>
      <c r="E92" s="149">
        <f>IF($AL$92="","",IF(INDEX('Final Calculation Sheet'!$D$4:$D$40,$AL$92)="","",INDEX('Final Calculation Sheet'!$D$4:$D$40,$AL$92)))</f>
        <v/>
      </c>
      <c r="F92" s="149">
        <f>IF($AL$92="","",IF(INDEX('Final Calculation Sheet'!$A$4:$A$40,$AL$92)="","",INDEX('Final Calculation Sheet'!$A$4:$A$40,$AL$92)))</f>
        <v/>
      </c>
      <c r="G92" s="149">
        <f>IF($AL$92="","",IF(INDEX('Final Calculation Sheet'!$E$4:$E$40,$AL$92)="","",INDEX('Final Calculation Sheet'!$E$4:$E$40,$AL$92)))</f>
        <v/>
      </c>
      <c r="H92" s="150">
        <f>IF($AL$92="","",IF(INDEX('Final Calculation Sheet'!$C$4:$C$40,$AL$92)="","",INDEX('Final Calculation Sheet'!$C$4:$C$40,$AL$92)))</f>
        <v/>
      </c>
      <c r="I92" s="150">
        <f>IF($AL$92="","",IF(INDEX('Final Calculation Sheet'!$H$4:$H$40,$AL$92)="","",INDEX('Final Calculation Sheet'!$H$4:$H$40,$AL$92)))</f>
        <v/>
      </c>
      <c r="J92" s="150">
        <f>IF($AL$92="","",IF(INDEX('Final Calculation Sheet'!$I$4:$I$40,$AL$92)="","",INDEX('Final Calculation Sheet'!$I$4:$I$40,$AL$92)))</f>
        <v/>
      </c>
      <c r="K92" s="150">
        <f>IF($AL$92="","",IF(INDEX('Final Calculation Sheet'!$J$4:$J$40,$AL$92)="","",INDEX('Final Calculation Sheet'!$J$4:$J$40,$AL$92)))</f>
        <v/>
      </c>
      <c r="L92" s="150">
        <f>IF($AL$92="","",IF(INDEX('Final Calculation Sheet'!$K$4:$K$40,$AL$92)="","",INDEX('Final Calculation Sheet'!$K$4:$K$40,$AL$92)))</f>
        <v/>
      </c>
      <c r="M92" s="150">
        <f>IF($AL$92="","",IF(INDEX('Final Calculation Sheet'!$L$4:$L$40,$AL$92)="","",INDEX('Final Calculation Sheet'!$L$4:$L$40,$AL$92)))</f>
        <v/>
      </c>
      <c r="N92" s="150">
        <f>IF($AL$92="","",IF(INDEX('Final Calculation Sheet'!$M$4:$M$40,$AL$92)="","",INDEX('Final Calculation Sheet'!$M$4:$M$40,$AL$92)))</f>
        <v/>
      </c>
      <c r="O92" s="151">
        <f>IF($AL$92="","",IF(INDEX('Final Calculation Sheet'!$N$4:$N$40,$AL$92)="","",INDEX('Final Calculation Sheet'!$N$4:$N$40,$AL$92)))</f>
        <v/>
      </c>
      <c r="P92" s="150">
        <f>IF($AL$92="","",IF(INDEX('Final Calculation Sheet'!$O$4:$O$40,$AL$92)="","",INDEX('Final Calculation Sheet'!$O$4:$O$40,$AL$92)))</f>
        <v/>
      </c>
      <c r="Q92" s="150">
        <f>IF($AL$92="","",IF(INDEX('Final Calculation Sheet'!$P$4:$P$40,$AL$92)="","",INDEX('Final Calculation Sheet'!$P$4:$P$40,$AL$92)))</f>
        <v/>
      </c>
      <c r="R92" s="152">
        <f>IF($AL$92="","",IF(INDEX('Final Calculation Sheet'!$Q$4:$Q$40,$AL$92)="","",INDEX('Final Calculation Sheet'!$Q$4:$Q$40,$AL$92)))</f>
        <v/>
      </c>
      <c r="S92" s="150">
        <f>IF($AL$92="","",IF(INDEX('Final Calculation Sheet'!$R$4:$R$40,$AL$92)="","",INDEX('Final Calculation Sheet'!$R$4:$R$40,$AL$92)))</f>
        <v/>
      </c>
      <c r="T92" s="150">
        <f>IF($AL$92="","",IF(INDEX('Final Calculation Sheet'!$S$4:$S$40,$AL$92)="","",INDEX('Final Calculation Sheet'!$S$4:$S$40,$AL$92)))</f>
        <v/>
      </c>
      <c r="U92" s="150">
        <f>IF($AL$92="","",IF(INDEX('Final Calculation Sheet'!$T$4:$T$40,$AL$92)="","",INDEX('Final Calculation Sheet'!$T$4:$T$40,$AL$92)))</f>
        <v/>
      </c>
      <c r="V92" s="153">
        <f>IF($AL$92="","",IF(INDEX('Final Calculation Sheet'!$U$4:$U$40,$AL$92)="","",INDEX('Final Calculation Sheet'!$U$4:$U$40,$AL$92)))</f>
        <v/>
      </c>
      <c r="W92" s="150">
        <f>IF($AL$92="","",IF(INDEX('Final Calculation Sheet'!$V$4:$V$40,$AL$92)="","",INDEX('Final Calculation Sheet'!$V$4:$V$40,$AL$92)))</f>
        <v/>
      </c>
      <c r="X92" s="150">
        <f>IF($AL$92="","",IF(INDEX('Final Calculation Sheet'!$W$4:$W$40,$AL$92)="","",INDEX('Final Calculation Sheet'!$W$4:$W$40,$AL$92)))</f>
        <v/>
      </c>
      <c r="Y92" s="150">
        <f>IF($AL$92="","",IF(INDEX('Final Calculation Sheet'!$X$4:$X$40,$AL$92)="","",INDEX('Final Calculation Sheet'!$X$4:$X$40,$AL$92)))</f>
        <v/>
      </c>
      <c r="Z92" s="150">
        <f>IF($AL$92="","",IF(INDEX('Final Calculation Sheet'!$Y$4:$Y$40,$AL$92)="","",INDEX('Final Calculation Sheet'!$Y$4:$Y$40,$AL$92)))</f>
        <v/>
      </c>
      <c r="AA92" s="150">
        <f>IF($AL$92="","",IF(INDEX('Final Calculation Sheet'!$Z$4:$Z$40,$AL$92)="","",INDEX('Final Calculation Sheet'!$Z$4:$Z$40,$AL$92)))</f>
        <v/>
      </c>
      <c r="AB92" s="150">
        <f>IF($AL$92="","",IF(INDEX('Final Calculation Sheet'!$AA$4:$AA$40,$AL$92)="","",INDEX('Final Calculation Sheet'!$AA$4:$AA$40,$AL$92)))</f>
        <v/>
      </c>
      <c r="AC92" s="150">
        <f>IF($AL$92="","",IF(INDEX('Final Calculation Sheet'!$AB$4:$AB$40,$AL$92)="","",INDEX('Final Calculation Sheet'!$AB$4:$AB$40,$AL$92)))</f>
        <v/>
      </c>
      <c r="AD92" s="150">
        <f>IF($AL$92="","",IF(INDEX('Final Calculation Sheet'!$AC$4:$AC$40,$AL$92)="","",INDEX('Final Calculation Sheet'!$AC$4:$AC$40,$AL$92)))</f>
        <v/>
      </c>
      <c r="AE92" s="150">
        <f>IF($AL$92="","",IF(INDEX('Final Calculation Sheet'!$AD$4:$AD$40,$AL$92)="","",INDEX('Final Calculation Sheet'!$AD$4:$AD$40,$AL$92)))</f>
        <v/>
      </c>
      <c r="AF92" s="150">
        <f>IF($AL$92="","",IF(INDEX('Final Calculation Sheet'!$AE$4:$AE$40,$AL$92)="","",INDEX('Final Calculation Sheet'!$AE$4:$AE$40,$AL$92)))</f>
        <v/>
      </c>
      <c r="AG92" s="154">
        <f>IF($AL$92="","",IF(INDEX('Final Calculation Sheet'!$AF$4:$AF$40,$AL$92)="","",INDEX('Final Calculation Sheet'!$AF$4:$AF$40,$AL$92)))</f>
        <v/>
      </c>
      <c r="AH92" s="150">
        <f>IF($AL$92="","",IF(INDEX('Final Calculation Sheet'!$AG$4:$AG$40,$AL$92)="","",INDEX('Final Calculation Sheet'!$AG$4:$AG$40,$AL$92)))</f>
        <v/>
      </c>
      <c r="AI92" s="155">
        <f>IF($AL$92="","",IF(INDEX('Final Calculation Sheet'!$AD$4:$AD$40,$AL$92)&lt;=5,"SETTLED","OUTSTANDING"))</f>
        <v/>
      </c>
      <c r="AL92">
        <f>IF(COUNTIF($B$4:$AI$4,"&lt;&gt;")=0,"",IFERROR(MATCH(33,$AK$6:$AK$42,0),""))</f>
        <v/>
      </c>
    </row>
    <row r="93">
      <c r="A93" s="156">
        <f>IF($AL$93="","",34)</f>
        <v/>
      </c>
      <c r="B93" s="157">
        <f>IF($AL$93="","",IF(INDEX('Final Calculation Sheet'!$F$4:$F$40,$AL$93)="","",INDEX('Final Calculation Sheet'!$F$4:$F$40,$AL$93)))</f>
        <v/>
      </c>
      <c r="C93" s="157">
        <f>IF($AL$93="","",IF(INDEX('Final Calculation Sheet'!$G$4:$G$40,$AL$93)="","",INDEX('Final Calculation Sheet'!$G$4:$G$40,$AL$93)))</f>
        <v/>
      </c>
      <c r="D93" s="158">
        <f>IF($AL$93="","",IF(INDEX('Final Calculation Sheet'!$B$4:$B$40,$AL$93)="","",INDEX('Final Calculation Sheet'!$B$4:$B$40,$AL$93)))</f>
        <v/>
      </c>
      <c r="E93" s="158">
        <f>IF($AL$93="","",IF(INDEX('Final Calculation Sheet'!$D$4:$D$40,$AL$93)="","",INDEX('Final Calculation Sheet'!$D$4:$D$40,$AL$93)))</f>
        <v/>
      </c>
      <c r="F93" s="158">
        <f>IF($AL$93="","",IF(INDEX('Final Calculation Sheet'!$A$4:$A$40,$AL$93)="","",INDEX('Final Calculation Sheet'!$A$4:$A$40,$AL$93)))</f>
        <v/>
      </c>
      <c r="G93" s="158">
        <f>IF($AL$93="","",IF(INDEX('Final Calculation Sheet'!$E$4:$E$40,$AL$93)="","",INDEX('Final Calculation Sheet'!$E$4:$E$40,$AL$93)))</f>
        <v/>
      </c>
      <c r="H93" s="159">
        <f>IF($AL$93="","",IF(INDEX('Final Calculation Sheet'!$C$4:$C$40,$AL$93)="","",INDEX('Final Calculation Sheet'!$C$4:$C$40,$AL$93)))</f>
        <v/>
      </c>
      <c r="I93" s="159">
        <f>IF($AL$93="","",IF(INDEX('Final Calculation Sheet'!$H$4:$H$40,$AL$93)="","",INDEX('Final Calculation Sheet'!$H$4:$H$40,$AL$93)))</f>
        <v/>
      </c>
      <c r="J93" s="159">
        <f>IF($AL$93="","",IF(INDEX('Final Calculation Sheet'!$I$4:$I$40,$AL$93)="","",INDEX('Final Calculation Sheet'!$I$4:$I$40,$AL$93)))</f>
        <v/>
      </c>
      <c r="K93" s="159">
        <f>IF($AL$93="","",IF(INDEX('Final Calculation Sheet'!$J$4:$J$40,$AL$93)="","",INDEX('Final Calculation Sheet'!$J$4:$J$40,$AL$93)))</f>
        <v/>
      </c>
      <c r="L93" s="159">
        <f>IF($AL$93="","",IF(INDEX('Final Calculation Sheet'!$K$4:$K$40,$AL$93)="","",INDEX('Final Calculation Sheet'!$K$4:$K$40,$AL$93)))</f>
        <v/>
      </c>
      <c r="M93" s="159">
        <f>IF($AL$93="","",IF(INDEX('Final Calculation Sheet'!$L$4:$L$40,$AL$93)="","",INDEX('Final Calculation Sheet'!$L$4:$L$40,$AL$93)))</f>
        <v/>
      </c>
      <c r="N93" s="159">
        <f>IF($AL$93="","",IF(INDEX('Final Calculation Sheet'!$M$4:$M$40,$AL$93)="","",INDEX('Final Calculation Sheet'!$M$4:$M$40,$AL$93)))</f>
        <v/>
      </c>
      <c r="O93" s="160">
        <f>IF($AL$93="","",IF(INDEX('Final Calculation Sheet'!$N$4:$N$40,$AL$93)="","",INDEX('Final Calculation Sheet'!$N$4:$N$40,$AL$93)))</f>
        <v/>
      </c>
      <c r="P93" s="159">
        <f>IF($AL$93="","",IF(INDEX('Final Calculation Sheet'!$O$4:$O$40,$AL$93)="","",INDEX('Final Calculation Sheet'!$O$4:$O$40,$AL$93)))</f>
        <v/>
      </c>
      <c r="Q93" s="159">
        <f>IF($AL$93="","",IF(INDEX('Final Calculation Sheet'!$P$4:$P$40,$AL$93)="","",INDEX('Final Calculation Sheet'!$P$4:$P$40,$AL$93)))</f>
        <v/>
      </c>
      <c r="R93" s="161">
        <f>IF($AL$93="","",IF(INDEX('Final Calculation Sheet'!$Q$4:$Q$40,$AL$93)="","",INDEX('Final Calculation Sheet'!$Q$4:$Q$40,$AL$93)))</f>
        <v/>
      </c>
      <c r="S93" s="159">
        <f>IF($AL$93="","",IF(INDEX('Final Calculation Sheet'!$R$4:$R$40,$AL$93)="","",INDEX('Final Calculation Sheet'!$R$4:$R$40,$AL$93)))</f>
        <v/>
      </c>
      <c r="T93" s="159">
        <f>IF($AL$93="","",IF(INDEX('Final Calculation Sheet'!$S$4:$S$40,$AL$93)="","",INDEX('Final Calculation Sheet'!$S$4:$S$40,$AL$93)))</f>
        <v/>
      </c>
      <c r="U93" s="159">
        <f>IF($AL$93="","",IF(INDEX('Final Calculation Sheet'!$T$4:$T$40,$AL$93)="","",INDEX('Final Calculation Sheet'!$T$4:$T$40,$AL$93)))</f>
        <v/>
      </c>
      <c r="V93" s="162">
        <f>IF($AL$93="","",IF(INDEX('Final Calculation Sheet'!$U$4:$U$40,$AL$93)="","",INDEX('Final Calculation Sheet'!$U$4:$U$40,$AL$93)))</f>
        <v/>
      </c>
      <c r="W93" s="159">
        <f>IF($AL$93="","",IF(INDEX('Final Calculation Sheet'!$V$4:$V$40,$AL$93)="","",INDEX('Final Calculation Sheet'!$V$4:$V$40,$AL$93)))</f>
        <v/>
      </c>
      <c r="X93" s="159">
        <f>IF($AL$93="","",IF(INDEX('Final Calculation Sheet'!$W$4:$W$40,$AL$93)="","",INDEX('Final Calculation Sheet'!$W$4:$W$40,$AL$93)))</f>
        <v/>
      </c>
      <c r="Y93" s="159">
        <f>IF($AL$93="","",IF(INDEX('Final Calculation Sheet'!$X$4:$X$40,$AL$93)="","",INDEX('Final Calculation Sheet'!$X$4:$X$40,$AL$93)))</f>
        <v/>
      </c>
      <c r="Z93" s="159">
        <f>IF($AL$93="","",IF(INDEX('Final Calculation Sheet'!$Y$4:$Y$40,$AL$93)="","",INDEX('Final Calculation Sheet'!$Y$4:$Y$40,$AL$93)))</f>
        <v/>
      </c>
      <c r="AA93" s="159">
        <f>IF($AL$93="","",IF(INDEX('Final Calculation Sheet'!$Z$4:$Z$40,$AL$93)="","",INDEX('Final Calculation Sheet'!$Z$4:$Z$40,$AL$93)))</f>
        <v/>
      </c>
      <c r="AB93" s="159">
        <f>IF($AL$93="","",IF(INDEX('Final Calculation Sheet'!$AA$4:$AA$40,$AL$93)="","",INDEX('Final Calculation Sheet'!$AA$4:$AA$40,$AL$93)))</f>
        <v/>
      </c>
      <c r="AC93" s="159">
        <f>IF($AL$93="","",IF(INDEX('Final Calculation Sheet'!$AB$4:$AB$40,$AL$93)="","",INDEX('Final Calculation Sheet'!$AB$4:$AB$40,$AL$93)))</f>
        <v/>
      </c>
      <c r="AD93" s="159">
        <f>IF($AL$93="","",IF(INDEX('Final Calculation Sheet'!$AC$4:$AC$40,$AL$93)="","",INDEX('Final Calculation Sheet'!$AC$4:$AC$40,$AL$93)))</f>
        <v/>
      </c>
      <c r="AE93" s="159">
        <f>IF($AL$93="","",IF(INDEX('Final Calculation Sheet'!$AD$4:$AD$40,$AL$93)="","",INDEX('Final Calculation Sheet'!$AD$4:$AD$40,$AL$93)))</f>
        <v/>
      </c>
      <c r="AF93" s="159">
        <f>IF($AL$93="","",IF(INDEX('Final Calculation Sheet'!$AE$4:$AE$40,$AL$93)="","",INDEX('Final Calculation Sheet'!$AE$4:$AE$40,$AL$93)))</f>
        <v/>
      </c>
      <c r="AG93" s="163">
        <f>IF($AL$93="","",IF(INDEX('Final Calculation Sheet'!$AF$4:$AF$40,$AL$93)="","",INDEX('Final Calculation Sheet'!$AF$4:$AF$40,$AL$93)))</f>
        <v/>
      </c>
      <c r="AH93" s="159">
        <f>IF($AL$93="","",IF(INDEX('Final Calculation Sheet'!$AG$4:$AG$40,$AL$93)="","",INDEX('Final Calculation Sheet'!$AG$4:$AG$40,$AL$93)))</f>
        <v/>
      </c>
      <c r="AI93" s="164">
        <f>IF($AL$93="","",IF(INDEX('Final Calculation Sheet'!$AD$4:$AD$40,$AL$93)&lt;=5,"SETTLED","OUTSTANDING"))</f>
        <v/>
      </c>
      <c r="AL93">
        <f>IF(COUNTIF($B$4:$AI$4,"&lt;&gt;")=0,"",IFERROR(MATCH(34,$AK$6:$AK$42,0),""))</f>
        <v/>
      </c>
    </row>
    <row r="94">
      <c r="A94" s="146">
        <f>IF($AL$94="","",35)</f>
        <v/>
      </c>
      <c r="B94" s="147">
        <f>IF($AL$94="","",IF(INDEX('Final Calculation Sheet'!$F$4:$F$40,$AL$94)="","",INDEX('Final Calculation Sheet'!$F$4:$F$40,$AL$94)))</f>
        <v/>
      </c>
      <c r="C94" s="147">
        <f>IF($AL$94="","",IF(INDEX('Final Calculation Sheet'!$G$4:$G$40,$AL$94)="","",INDEX('Final Calculation Sheet'!$G$4:$G$40,$AL$94)))</f>
        <v/>
      </c>
      <c r="D94" s="149">
        <f>IF($AL$94="","",IF(INDEX('Final Calculation Sheet'!$B$4:$B$40,$AL$94)="","",INDEX('Final Calculation Sheet'!$B$4:$B$40,$AL$94)))</f>
        <v/>
      </c>
      <c r="E94" s="149">
        <f>IF($AL$94="","",IF(INDEX('Final Calculation Sheet'!$D$4:$D$40,$AL$94)="","",INDEX('Final Calculation Sheet'!$D$4:$D$40,$AL$94)))</f>
        <v/>
      </c>
      <c r="F94" s="149">
        <f>IF($AL$94="","",IF(INDEX('Final Calculation Sheet'!$A$4:$A$40,$AL$94)="","",INDEX('Final Calculation Sheet'!$A$4:$A$40,$AL$94)))</f>
        <v/>
      </c>
      <c r="G94" s="149">
        <f>IF($AL$94="","",IF(INDEX('Final Calculation Sheet'!$E$4:$E$40,$AL$94)="","",INDEX('Final Calculation Sheet'!$E$4:$E$40,$AL$94)))</f>
        <v/>
      </c>
      <c r="H94" s="150">
        <f>IF($AL$94="","",IF(INDEX('Final Calculation Sheet'!$C$4:$C$40,$AL$94)="","",INDEX('Final Calculation Sheet'!$C$4:$C$40,$AL$94)))</f>
        <v/>
      </c>
      <c r="I94" s="150">
        <f>IF($AL$94="","",IF(INDEX('Final Calculation Sheet'!$H$4:$H$40,$AL$94)="","",INDEX('Final Calculation Sheet'!$H$4:$H$40,$AL$94)))</f>
        <v/>
      </c>
      <c r="J94" s="150">
        <f>IF($AL$94="","",IF(INDEX('Final Calculation Sheet'!$I$4:$I$40,$AL$94)="","",INDEX('Final Calculation Sheet'!$I$4:$I$40,$AL$94)))</f>
        <v/>
      </c>
      <c r="K94" s="150">
        <f>IF($AL$94="","",IF(INDEX('Final Calculation Sheet'!$J$4:$J$40,$AL$94)="","",INDEX('Final Calculation Sheet'!$J$4:$J$40,$AL$94)))</f>
        <v/>
      </c>
      <c r="L94" s="150">
        <f>IF($AL$94="","",IF(INDEX('Final Calculation Sheet'!$K$4:$K$40,$AL$94)="","",INDEX('Final Calculation Sheet'!$K$4:$K$40,$AL$94)))</f>
        <v/>
      </c>
      <c r="M94" s="150">
        <f>IF($AL$94="","",IF(INDEX('Final Calculation Sheet'!$L$4:$L$40,$AL$94)="","",INDEX('Final Calculation Sheet'!$L$4:$L$40,$AL$94)))</f>
        <v/>
      </c>
      <c r="N94" s="150">
        <f>IF($AL$94="","",IF(INDEX('Final Calculation Sheet'!$M$4:$M$40,$AL$94)="","",INDEX('Final Calculation Sheet'!$M$4:$M$40,$AL$94)))</f>
        <v/>
      </c>
      <c r="O94" s="151">
        <f>IF($AL$94="","",IF(INDEX('Final Calculation Sheet'!$N$4:$N$40,$AL$94)="","",INDEX('Final Calculation Sheet'!$N$4:$N$40,$AL$94)))</f>
        <v/>
      </c>
      <c r="P94" s="150">
        <f>IF($AL$94="","",IF(INDEX('Final Calculation Sheet'!$O$4:$O$40,$AL$94)="","",INDEX('Final Calculation Sheet'!$O$4:$O$40,$AL$94)))</f>
        <v/>
      </c>
      <c r="Q94" s="150">
        <f>IF($AL$94="","",IF(INDEX('Final Calculation Sheet'!$P$4:$P$40,$AL$94)="","",INDEX('Final Calculation Sheet'!$P$4:$P$40,$AL$94)))</f>
        <v/>
      </c>
      <c r="R94" s="152">
        <f>IF($AL$94="","",IF(INDEX('Final Calculation Sheet'!$Q$4:$Q$40,$AL$94)="","",INDEX('Final Calculation Sheet'!$Q$4:$Q$40,$AL$94)))</f>
        <v/>
      </c>
      <c r="S94" s="150">
        <f>IF($AL$94="","",IF(INDEX('Final Calculation Sheet'!$R$4:$R$40,$AL$94)="","",INDEX('Final Calculation Sheet'!$R$4:$R$40,$AL$94)))</f>
        <v/>
      </c>
      <c r="T94" s="150">
        <f>IF($AL$94="","",IF(INDEX('Final Calculation Sheet'!$S$4:$S$40,$AL$94)="","",INDEX('Final Calculation Sheet'!$S$4:$S$40,$AL$94)))</f>
        <v/>
      </c>
      <c r="U94" s="150">
        <f>IF($AL$94="","",IF(INDEX('Final Calculation Sheet'!$T$4:$T$40,$AL$94)="","",INDEX('Final Calculation Sheet'!$T$4:$T$40,$AL$94)))</f>
        <v/>
      </c>
      <c r="V94" s="153">
        <f>IF($AL$94="","",IF(INDEX('Final Calculation Sheet'!$U$4:$U$40,$AL$94)="","",INDEX('Final Calculation Sheet'!$U$4:$U$40,$AL$94)))</f>
        <v/>
      </c>
      <c r="W94" s="150">
        <f>IF($AL$94="","",IF(INDEX('Final Calculation Sheet'!$V$4:$V$40,$AL$94)="","",INDEX('Final Calculation Sheet'!$V$4:$V$40,$AL$94)))</f>
        <v/>
      </c>
      <c r="X94" s="150">
        <f>IF($AL$94="","",IF(INDEX('Final Calculation Sheet'!$W$4:$W$40,$AL$94)="","",INDEX('Final Calculation Sheet'!$W$4:$W$40,$AL$94)))</f>
        <v/>
      </c>
      <c r="Y94" s="150">
        <f>IF($AL$94="","",IF(INDEX('Final Calculation Sheet'!$X$4:$X$40,$AL$94)="","",INDEX('Final Calculation Sheet'!$X$4:$X$40,$AL$94)))</f>
        <v/>
      </c>
      <c r="Z94" s="150">
        <f>IF($AL$94="","",IF(INDEX('Final Calculation Sheet'!$Y$4:$Y$40,$AL$94)="","",INDEX('Final Calculation Sheet'!$Y$4:$Y$40,$AL$94)))</f>
        <v/>
      </c>
      <c r="AA94" s="150">
        <f>IF($AL$94="","",IF(INDEX('Final Calculation Sheet'!$Z$4:$Z$40,$AL$94)="","",INDEX('Final Calculation Sheet'!$Z$4:$Z$40,$AL$94)))</f>
        <v/>
      </c>
      <c r="AB94" s="150">
        <f>IF($AL$94="","",IF(INDEX('Final Calculation Sheet'!$AA$4:$AA$40,$AL$94)="","",INDEX('Final Calculation Sheet'!$AA$4:$AA$40,$AL$94)))</f>
        <v/>
      </c>
      <c r="AC94" s="150">
        <f>IF($AL$94="","",IF(INDEX('Final Calculation Sheet'!$AB$4:$AB$40,$AL$94)="","",INDEX('Final Calculation Sheet'!$AB$4:$AB$40,$AL$94)))</f>
        <v/>
      </c>
      <c r="AD94" s="150">
        <f>IF($AL$94="","",IF(INDEX('Final Calculation Sheet'!$AC$4:$AC$40,$AL$94)="","",INDEX('Final Calculation Sheet'!$AC$4:$AC$40,$AL$94)))</f>
        <v/>
      </c>
      <c r="AE94" s="150">
        <f>IF($AL$94="","",IF(INDEX('Final Calculation Sheet'!$AD$4:$AD$40,$AL$94)="","",INDEX('Final Calculation Sheet'!$AD$4:$AD$40,$AL$94)))</f>
        <v/>
      </c>
      <c r="AF94" s="150">
        <f>IF($AL$94="","",IF(INDEX('Final Calculation Sheet'!$AE$4:$AE$40,$AL$94)="","",INDEX('Final Calculation Sheet'!$AE$4:$AE$40,$AL$94)))</f>
        <v/>
      </c>
      <c r="AG94" s="154">
        <f>IF($AL$94="","",IF(INDEX('Final Calculation Sheet'!$AF$4:$AF$40,$AL$94)="","",INDEX('Final Calculation Sheet'!$AF$4:$AF$40,$AL$94)))</f>
        <v/>
      </c>
      <c r="AH94" s="150">
        <f>IF($AL$94="","",IF(INDEX('Final Calculation Sheet'!$AG$4:$AG$40,$AL$94)="","",INDEX('Final Calculation Sheet'!$AG$4:$AG$40,$AL$94)))</f>
        <v/>
      </c>
      <c r="AI94" s="155">
        <f>IF($AL$94="","",IF(INDEX('Final Calculation Sheet'!$AD$4:$AD$40,$AL$94)&lt;=5,"SETTLED","OUTSTANDING"))</f>
        <v/>
      </c>
      <c r="AL94">
        <f>IF(COUNTIF($B$4:$AI$4,"&lt;&gt;")=0,"",IFERROR(MATCH(35,$AK$6:$AK$42,0),""))</f>
        <v/>
      </c>
    </row>
    <row r="95">
      <c r="A95" s="156">
        <f>IF($AL$95="","",36)</f>
        <v/>
      </c>
      <c r="B95" s="157">
        <f>IF($AL$95="","",IF(INDEX('Final Calculation Sheet'!$F$4:$F$40,$AL$95)="","",INDEX('Final Calculation Sheet'!$F$4:$F$40,$AL$95)))</f>
        <v/>
      </c>
      <c r="C95" s="157">
        <f>IF($AL$95="","",IF(INDEX('Final Calculation Sheet'!$G$4:$G$40,$AL$95)="","",INDEX('Final Calculation Sheet'!$G$4:$G$40,$AL$95)))</f>
        <v/>
      </c>
      <c r="D95" s="158">
        <f>IF($AL$95="","",IF(INDEX('Final Calculation Sheet'!$B$4:$B$40,$AL$95)="","",INDEX('Final Calculation Sheet'!$B$4:$B$40,$AL$95)))</f>
        <v/>
      </c>
      <c r="E95" s="158">
        <f>IF($AL$95="","",IF(INDEX('Final Calculation Sheet'!$D$4:$D$40,$AL$95)="","",INDEX('Final Calculation Sheet'!$D$4:$D$40,$AL$95)))</f>
        <v/>
      </c>
      <c r="F95" s="158">
        <f>IF($AL$95="","",IF(INDEX('Final Calculation Sheet'!$A$4:$A$40,$AL$95)="","",INDEX('Final Calculation Sheet'!$A$4:$A$40,$AL$95)))</f>
        <v/>
      </c>
      <c r="G95" s="158">
        <f>IF($AL$95="","",IF(INDEX('Final Calculation Sheet'!$E$4:$E$40,$AL$95)="","",INDEX('Final Calculation Sheet'!$E$4:$E$40,$AL$95)))</f>
        <v/>
      </c>
      <c r="H95" s="159">
        <f>IF($AL$95="","",IF(INDEX('Final Calculation Sheet'!$C$4:$C$40,$AL$95)="","",INDEX('Final Calculation Sheet'!$C$4:$C$40,$AL$95)))</f>
        <v/>
      </c>
      <c r="I95" s="159">
        <f>IF($AL$95="","",IF(INDEX('Final Calculation Sheet'!$H$4:$H$40,$AL$95)="","",INDEX('Final Calculation Sheet'!$H$4:$H$40,$AL$95)))</f>
        <v/>
      </c>
      <c r="J95" s="159">
        <f>IF($AL$95="","",IF(INDEX('Final Calculation Sheet'!$I$4:$I$40,$AL$95)="","",INDEX('Final Calculation Sheet'!$I$4:$I$40,$AL$95)))</f>
        <v/>
      </c>
      <c r="K95" s="159">
        <f>IF($AL$95="","",IF(INDEX('Final Calculation Sheet'!$J$4:$J$40,$AL$95)="","",INDEX('Final Calculation Sheet'!$J$4:$J$40,$AL$95)))</f>
        <v/>
      </c>
      <c r="L95" s="159">
        <f>IF($AL$95="","",IF(INDEX('Final Calculation Sheet'!$K$4:$K$40,$AL$95)="","",INDEX('Final Calculation Sheet'!$K$4:$K$40,$AL$95)))</f>
        <v/>
      </c>
      <c r="M95" s="159">
        <f>IF($AL$95="","",IF(INDEX('Final Calculation Sheet'!$L$4:$L$40,$AL$95)="","",INDEX('Final Calculation Sheet'!$L$4:$L$40,$AL$95)))</f>
        <v/>
      </c>
      <c r="N95" s="159">
        <f>IF($AL$95="","",IF(INDEX('Final Calculation Sheet'!$M$4:$M$40,$AL$95)="","",INDEX('Final Calculation Sheet'!$M$4:$M$40,$AL$95)))</f>
        <v/>
      </c>
      <c r="O95" s="160">
        <f>IF($AL$95="","",IF(INDEX('Final Calculation Sheet'!$N$4:$N$40,$AL$95)="","",INDEX('Final Calculation Sheet'!$N$4:$N$40,$AL$95)))</f>
        <v/>
      </c>
      <c r="P95" s="159">
        <f>IF($AL$95="","",IF(INDEX('Final Calculation Sheet'!$O$4:$O$40,$AL$95)="","",INDEX('Final Calculation Sheet'!$O$4:$O$40,$AL$95)))</f>
        <v/>
      </c>
      <c r="Q95" s="159">
        <f>IF($AL$95="","",IF(INDEX('Final Calculation Sheet'!$P$4:$P$40,$AL$95)="","",INDEX('Final Calculation Sheet'!$P$4:$P$40,$AL$95)))</f>
        <v/>
      </c>
      <c r="R95" s="161">
        <f>IF($AL$95="","",IF(INDEX('Final Calculation Sheet'!$Q$4:$Q$40,$AL$95)="","",INDEX('Final Calculation Sheet'!$Q$4:$Q$40,$AL$95)))</f>
        <v/>
      </c>
      <c r="S95" s="159">
        <f>IF($AL$95="","",IF(INDEX('Final Calculation Sheet'!$R$4:$R$40,$AL$95)="","",INDEX('Final Calculation Sheet'!$R$4:$R$40,$AL$95)))</f>
        <v/>
      </c>
      <c r="T95" s="159">
        <f>IF($AL$95="","",IF(INDEX('Final Calculation Sheet'!$S$4:$S$40,$AL$95)="","",INDEX('Final Calculation Sheet'!$S$4:$S$40,$AL$95)))</f>
        <v/>
      </c>
      <c r="U95" s="159">
        <f>IF($AL$95="","",IF(INDEX('Final Calculation Sheet'!$T$4:$T$40,$AL$95)="","",INDEX('Final Calculation Sheet'!$T$4:$T$40,$AL$95)))</f>
        <v/>
      </c>
      <c r="V95" s="162">
        <f>IF($AL$95="","",IF(INDEX('Final Calculation Sheet'!$U$4:$U$40,$AL$95)="","",INDEX('Final Calculation Sheet'!$U$4:$U$40,$AL$95)))</f>
        <v/>
      </c>
      <c r="W95" s="159">
        <f>IF($AL$95="","",IF(INDEX('Final Calculation Sheet'!$V$4:$V$40,$AL$95)="","",INDEX('Final Calculation Sheet'!$V$4:$V$40,$AL$95)))</f>
        <v/>
      </c>
      <c r="X95" s="159">
        <f>IF($AL$95="","",IF(INDEX('Final Calculation Sheet'!$W$4:$W$40,$AL$95)="","",INDEX('Final Calculation Sheet'!$W$4:$W$40,$AL$95)))</f>
        <v/>
      </c>
      <c r="Y95" s="159">
        <f>IF($AL$95="","",IF(INDEX('Final Calculation Sheet'!$X$4:$X$40,$AL$95)="","",INDEX('Final Calculation Sheet'!$X$4:$X$40,$AL$95)))</f>
        <v/>
      </c>
      <c r="Z95" s="159">
        <f>IF($AL$95="","",IF(INDEX('Final Calculation Sheet'!$Y$4:$Y$40,$AL$95)="","",INDEX('Final Calculation Sheet'!$Y$4:$Y$40,$AL$95)))</f>
        <v/>
      </c>
      <c r="AA95" s="159">
        <f>IF($AL$95="","",IF(INDEX('Final Calculation Sheet'!$Z$4:$Z$40,$AL$95)="","",INDEX('Final Calculation Sheet'!$Z$4:$Z$40,$AL$95)))</f>
        <v/>
      </c>
      <c r="AB95" s="159">
        <f>IF($AL$95="","",IF(INDEX('Final Calculation Sheet'!$AA$4:$AA$40,$AL$95)="","",INDEX('Final Calculation Sheet'!$AA$4:$AA$40,$AL$95)))</f>
        <v/>
      </c>
      <c r="AC95" s="159">
        <f>IF($AL$95="","",IF(INDEX('Final Calculation Sheet'!$AB$4:$AB$40,$AL$95)="","",INDEX('Final Calculation Sheet'!$AB$4:$AB$40,$AL$95)))</f>
        <v/>
      </c>
      <c r="AD95" s="159">
        <f>IF($AL$95="","",IF(INDEX('Final Calculation Sheet'!$AC$4:$AC$40,$AL$95)="","",INDEX('Final Calculation Sheet'!$AC$4:$AC$40,$AL$95)))</f>
        <v/>
      </c>
      <c r="AE95" s="159">
        <f>IF($AL$95="","",IF(INDEX('Final Calculation Sheet'!$AD$4:$AD$40,$AL$95)="","",INDEX('Final Calculation Sheet'!$AD$4:$AD$40,$AL$95)))</f>
        <v/>
      </c>
      <c r="AF95" s="159">
        <f>IF($AL$95="","",IF(INDEX('Final Calculation Sheet'!$AE$4:$AE$40,$AL$95)="","",INDEX('Final Calculation Sheet'!$AE$4:$AE$40,$AL$95)))</f>
        <v/>
      </c>
      <c r="AG95" s="163">
        <f>IF($AL$95="","",IF(INDEX('Final Calculation Sheet'!$AF$4:$AF$40,$AL$95)="","",INDEX('Final Calculation Sheet'!$AF$4:$AF$40,$AL$95)))</f>
        <v/>
      </c>
      <c r="AH95" s="159">
        <f>IF($AL$95="","",IF(INDEX('Final Calculation Sheet'!$AG$4:$AG$40,$AL$95)="","",INDEX('Final Calculation Sheet'!$AG$4:$AG$40,$AL$95)))</f>
        <v/>
      </c>
      <c r="AI95" s="164">
        <f>IF($AL$95="","",IF(INDEX('Final Calculation Sheet'!$AD$4:$AD$40,$AL$95)&lt;=5,"SETTLED","OUTSTANDING"))</f>
        <v/>
      </c>
      <c r="AL95">
        <f>IF(COUNTIF($B$4:$AI$4,"&lt;&gt;")=0,"",IFERROR(MATCH(36,$AK$6:$AK$42,0),""))</f>
        <v/>
      </c>
    </row>
    <row r="96">
      <c r="A96" s="146">
        <f>IF($AL$96="","",37)</f>
        <v/>
      </c>
      <c r="B96" s="147">
        <f>IF($AL$96="","",IF(INDEX('Final Calculation Sheet'!$F$4:$F$40,$AL$96)="","",INDEX('Final Calculation Sheet'!$F$4:$F$40,$AL$96)))</f>
        <v/>
      </c>
      <c r="C96" s="147">
        <f>IF($AL$96="","",IF(INDEX('Final Calculation Sheet'!$G$4:$G$40,$AL$96)="","",INDEX('Final Calculation Sheet'!$G$4:$G$40,$AL$96)))</f>
        <v/>
      </c>
      <c r="D96" s="149">
        <f>IF($AL$96="","",IF(INDEX('Final Calculation Sheet'!$B$4:$B$40,$AL$96)="","",INDEX('Final Calculation Sheet'!$B$4:$B$40,$AL$96)))</f>
        <v/>
      </c>
      <c r="E96" s="149">
        <f>IF($AL$96="","",IF(INDEX('Final Calculation Sheet'!$D$4:$D$40,$AL$96)="","",INDEX('Final Calculation Sheet'!$D$4:$D$40,$AL$96)))</f>
        <v/>
      </c>
      <c r="F96" s="149">
        <f>IF($AL$96="","",IF(INDEX('Final Calculation Sheet'!$A$4:$A$40,$AL$96)="","",INDEX('Final Calculation Sheet'!$A$4:$A$40,$AL$96)))</f>
        <v/>
      </c>
      <c r="G96" s="149">
        <f>IF($AL$96="","",IF(INDEX('Final Calculation Sheet'!$E$4:$E$40,$AL$96)="","",INDEX('Final Calculation Sheet'!$E$4:$E$40,$AL$96)))</f>
        <v/>
      </c>
      <c r="H96" s="150">
        <f>IF($AL$96="","",IF(INDEX('Final Calculation Sheet'!$C$4:$C$40,$AL$96)="","",INDEX('Final Calculation Sheet'!$C$4:$C$40,$AL$96)))</f>
        <v/>
      </c>
      <c r="I96" s="150">
        <f>IF($AL$96="","",IF(INDEX('Final Calculation Sheet'!$H$4:$H$40,$AL$96)="","",INDEX('Final Calculation Sheet'!$H$4:$H$40,$AL$96)))</f>
        <v/>
      </c>
      <c r="J96" s="150">
        <f>IF($AL$96="","",IF(INDEX('Final Calculation Sheet'!$I$4:$I$40,$AL$96)="","",INDEX('Final Calculation Sheet'!$I$4:$I$40,$AL$96)))</f>
        <v/>
      </c>
      <c r="K96" s="150">
        <f>IF($AL$96="","",IF(INDEX('Final Calculation Sheet'!$J$4:$J$40,$AL$96)="","",INDEX('Final Calculation Sheet'!$J$4:$J$40,$AL$96)))</f>
        <v/>
      </c>
      <c r="L96" s="150">
        <f>IF($AL$96="","",IF(INDEX('Final Calculation Sheet'!$K$4:$K$40,$AL$96)="","",INDEX('Final Calculation Sheet'!$K$4:$K$40,$AL$96)))</f>
        <v/>
      </c>
      <c r="M96" s="150">
        <f>IF($AL$96="","",IF(INDEX('Final Calculation Sheet'!$L$4:$L$40,$AL$96)="","",INDEX('Final Calculation Sheet'!$L$4:$L$40,$AL$96)))</f>
        <v/>
      </c>
      <c r="N96" s="150">
        <f>IF($AL$96="","",IF(INDEX('Final Calculation Sheet'!$M$4:$M$40,$AL$96)="","",INDEX('Final Calculation Sheet'!$M$4:$M$40,$AL$96)))</f>
        <v/>
      </c>
      <c r="O96" s="151">
        <f>IF($AL$96="","",IF(INDEX('Final Calculation Sheet'!$N$4:$N$40,$AL$96)="","",INDEX('Final Calculation Sheet'!$N$4:$N$40,$AL$96)))</f>
        <v/>
      </c>
      <c r="P96" s="150">
        <f>IF($AL$96="","",IF(INDEX('Final Calculation Sheet'!$O$4:$O$40,$AL$96)="","",INDEX('Final Calculation Sheet'!$O$4:$O$40,$AL$96)))</f>
        <v/>
      </c>
      <c r="Q96" s="150">
        <f>IF($AL$96="","",IF(INDEX('Final Calculation Sheet'!$P$4:$P$40,$AL$96)="","",INDEX('Final Calculation Sheet'!$P$4:$P$40,$AL$96)))</f>
        <v/>
      </c>
      <c r="R96" s="152">
        <f>IF($AL$96="","",IF(INDEX('Final Calculation Sheet'!$Q$4:$Q$40,$AL$96)="","",INDEX('Final Calculation Sheet'!$Q$4:$Q$40,$AL$96)))</f>
        <v/>
      </c>
      <c r="S96" s="150">
        <f>IF($AL$96="","",IF(INDEX('Final Calculation Sheet'!$R$4:$R$40,$AL$96)="","",INDEX('Final Calculation Sheet'!$R$4:$R$40,$AL$96)))</f>
        <v/>
      </c>
      <c r="T96" s="150">
        <f>IF($AL$96="","",IF(INDEX('Final Calculation Sheet'!$S$4:$S$40,$AL$96)="","",INDEX('Final Calculation Sheet'!$S$4:$S$40,$AL$96)))</f>
        <v/>
      </c>
      <c r="U96" s="150">
        <f>IF($AL$96="","",IF(INDEX('Final Calculation Sheet'!$T$4:$T$40,$AL$96)="","",INDEX('Final Calculation Sheet'!$T$4:$T$40,$AL$96)))</f>
        <v/>
      </c>
      <c r="V96" s="153">
        <f>IF($AL$96="","",IF(INDEX('Final Calculation Sheet'!$U$4:$U$40,$AL$96)="","",INDEX('Final Calculation Sheet'!$U$4:$U$40,$AL$96)))</f>
        <v/>
      </c>
      <c r="W96" s="150">
        <f>IF($AL$96="","",IF(INDEX('Final Calculation Sheet'!$V$4:$V$40,$AL$96)="","",INDEX('Final Calculation Sheet'!$V$4:$V$40,$AL$96)))</f>
        <v/>
      </c>
      <c r="X96" s="150">
        <f>IF($AL$96="","",IF(INDEX('Final Calculation Sheet'!$W$4:$W$40,$AL$96)="","",INDEX('Final Calculation Sheet'!$W$4:$W$40,$AL$96)))</f>
        <v/>
      </c>
      <c r="Y96" s="150">
        <f>IF($AL$96="","",IF(INDEX('Final Calculation Sheet'!$X$4:$X$40,$AL$96)="","",INDEX('Final Calculation Sheet'!$X$4:$X$40,$AL$96)))</f>
        <v/>
      </c>
      <c r="Z96" s="150">
        <f>IF($AL$96="","",IF(INDEX('Final Calculation Sheet'!$Y$4:$Y$40,$AL$96)="","",INDEX('Final Calculation Sheet'!$Y$4:$Y$40,$AL$96)))</f>
        <v/>
      </c>
      <c r="AA96" s="150">
        <f>IF($AL$96="","",IF(INDEX('Final Calculation Sheet'!$Z$4:$Z$40,$AL$96)="","",INDEX('Final Calculation Sheet'!$Z$4:$Z$40,$AL$96)))</f>
        <v/>
      </c>
      <c r="AB96" s="150">
        <f>IF($AL$96="","",IF(INDEX('Final Calculation Sheet'!$AA$4:$AA$40,$AL$96)="","",INDEX('Final Calculation Sheet'!$AA$4:$AA$40,$AL$96)))</f>
        <v/>
      </c>
      <c r="AC96" s="150">
        <f>IF($AL$96="","",IF(INDEX('Final Calculation Sheet'!$AB$4:$AB$40,$AL$96)="","",INDEX('Final Calculation Sheet'!$AB$4:$AB$40,$AL$96)))</f>
        <v/>
      </c>
      <c r="AD96" s="150">
        <f>IF($AL$96="","",IF(INDEX('Final Calculation Sheet'!$AC$4:$AC$40,$AL$96)="","",INDEX('Final Calculation Sheet'!$AC$4:$AC$40,$AL$96)))</f>
        <v/>
      </c>
      <c r="AE96" s="150">
        <f>IF($AL$96="","",IF(INDEX('Final Calculation Sheet'!$AD$4:$AD$40,$AL$96)="","",INDEX('Final Calculation Sheet'!$AD$4:$AD$40,$AL$96)))</f>
        <v/>
      </c>
      <c r="AF96" s="150">
        <f>IF($AL$96="","",IF(INDEX('Final Calculation Sheet'!$AE$4:$AE$40,$AL$96)="","",INDEX('Final Calculation Sheet'!$AE$4:$AE$40,$AL$96)))</f>
        <v/>
      </c>
      <c r="AG96" s="154">
        <f>IF($AL$96="","",IF(INDEX('Final Calculation Sheet'!$AF$4:$AF$40,$AL$96)="","",INDEX('Final Calculation Sheet'!$AF$4:$AF$40,$AL$96)))</f>
        <v/>
      </c>
      <c r="AH96" s="150">
        <f>IF($AL$96="","",IF(INDEX('Final Calculation Sheet'!$AG$4:$AG$40,$AL$96)="","",INDEX('Final Calculation Sheet'!$AG$4:$AG$40,$AL$96)))</f>
        <v/>
      </c>
      <c r="AI96" s="155">
        <f>IF($AL$96="","",IF(INDEX('Final Calculation Sheet'!$AD$4:$AD$40,$AL$96)&lt;=5,"SETTLED","OUTSTANDING"))</f>
        <v/>
      </c>
      <c r="AL96">
        <f>IF(COUNTIF($B$4:$AI$4,"&lt;&gt;")=0,"",IFERROR(MATCH(37,$AK$6:$AK$42,0),""))</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
      <formula>"SETTLED"</formula>
    </cfRule>
    <cfRule type="cellIs" priority="3" operator="equal" dxfId="0">
      <formula>"OUTSTANDING"</formula>
    </cfRule>
  </conditionalFormatting>
  <conditionalFormatting sqref="B6:B55">
    <cfRule type="expression" priority="4" dxfId="5">
      <formula>AND(ISNUMBER($A6),$B$4&lt;&gt;"",IF($B$4="(blank)",B6="",IF($B$4="(nonblank)",B6&lt;&gt;"",ISNUMBER(SEARCH($B$4,B6)))))</formula>
    </cfRule>
  </conditionalFormatting>
  <conditionalFormatting sqref="C6:C55">
    <cfRule type="expression" priority="5" dxfId="5">
      <formula>AND(ISNUMBER($A6),$C$4&lt;&gt;"",IF($C$4="(blank)",C6="",IF($C$4="(nonblank)",C6&lt;&gt;"",ISNUMBER(SEARCH($C$4,C6)))))</formula>
    </cfRule>
  </conditionalFormatting>
  <conditionalFormatting sqref="D6:D55">
    <cfRule type="expression" priority="6" dxfId="5">
      <formula>AND(ISNUMBER($A6),$D$4&lt;&gt;"",IF($D$4="(blank)",D6="",IF($D$4="(nonblank)",D6&lt;&gt;"",ISNUMBER(SEARCH($D$4,D6)))))</formula>
    </cfRule>
  </conditionalFormatting>
  <conditionalFormatting sqref="E6:E55">
    <cfRule type="expression" priority="7" dxfId="5">
      <formula>AND(ISNUMBER($A6),$E$4&lt;&gt;"",IF($E$4="(blank)",E6="",IF($E$4="(nonblank)",E6&lt;&gt;"",ISNUMBER(SEARCH($E$4,E6)))))</formula>
    </cfRule>
  </conditionalFormatting>
  <conditionalFormatting sqref="F6:F55">
    <cfRule type="expression" priority="8" dxfId="5">
      <formula>AND(ISNUMBER($A6),$F$4&lt;&gt;"",IF($F$4="(blank)",F6="",IF($F$4="(nonblank)",F6&lt;&gt;"",ISNUMBER(SEARCH($F$4,F6)))))</formula>
    </cfRule>
  </conditionalFormatting>
  <conditionalFormatting sqref="G6:G55">
    <cfRule type="expression" priority="9" dxfId="5">
      <formula>AND(ISNUMBER($A6),$G$4&lt;&gt;"",IF($G$4="(blank)",G6="",IF($G$4="(nonblank)",G6&lt;&gt;"",ISNUMBER(SEARCH($G$4,G6)))))</formula>
    </cfRule>
  </conditionalFormatting>
  <conditionalFormatting sqref="H6:H55">
    <cfRule type="expression" priority="10" dxfId="5">
      <formula>AND(ISNUMBER($A6),$H$4&lt;&gt;"",IF($H$4="(blank)",H6="",IF($H$4="(nonblank)",H6&lt;&gt;"",ISNUMBER(SEARCH($H$4,H6)))))</formula>
    </cfRule>
  </conditionalFormatting>
  <conditionalFormatting sqref="I6:I55">
    <cfRule type="expression" priority="11" dxfId="5">
      <formula>AND(ISNUMBER($A6),$I$4&lt;&gt;"",IF($I$4="(blank)",I6="",IF($I$4="(nonblank)",I6&lt;&gt;"",ISNUMBER(SEARCH($I$4,I6)))))</formula>
    </cfRule>
  </conditionalFormatting>
  <conditionalFormatting sqref="J6:J55">
    <cfRule type="expression" priority="12" dxfId="5">
      <formula>AND(ISNUMBER($A6),$J$4&lt;&gt;"",IF($J$4="(blank)",J6="",IF($J$4="(nonblank)",J6&lt;&gt;"",ISNUMBER(SEARCH($J$4,J6)))))</formula>
    </cfRule>
  </conditionalFormatting>
  <conditionalFormatting sqref="K6:K55">
    <cfRule type="expression" priority="13" dxfId="5">
      <formula>AND(ISNUMBER($A6),$K$4&lt;&gt;"",IF($K$4="(blank)",K6="",IF($K$4="(nonblank)",K6&lt;&gt;"",ISNUMBER(SEARCH($K$4,K6)))))</formula>
    </cfRule>
  </conditionalFormatting>
  <conditionalFormatting sqref="L6:L55">
    <cfRule type="expression" priority="14" dxfId="5">
      <formula>AND(ISNUMBER($A6),$L$4&lt;&gt;"",IF($L$4="(blank)",L6="",IF($L$4="(nonblank)",L6&lt;&gt;"",ISNUMBER(SEARCH($L$4,L6)))))</formula>
    </cfRule>
  </conditionalFormatting>
  <conditionalFormatting sqref="M6:M55">
    <cfRule type="expression" priority="15" dxfId="5">
      <formula>AND(ISNUMBER($A6),$M$4&lt;&gt;"",IF($M$4="(blank)",M6="",IF($M$4="(nonblank)",M6&lt;&gt;"",ISNUMBER(SEARCH($M$4,M6)))))</formula>
    </cfRule>
  </conditionalFormatting>
  <conditionalFormatting sqref="N6:N55">
    <cfRule type="expression" priority="16" dxfId="5">
      <formula>AND(ISNUMBER($A6),$N$4&lt;&gt;"",IF($N$4="(blank)",N6="",IF($N$4="(nonblank)",N6&lt;&gt;"",ISNUMBER(SEARCH($N$4,N6)))))</formula>
    </cfRule>
  </conditionalFormatting>
  <conditionalFormatting sqref="O6:O55">
    <cfRule type="expression" priority="17" dxfId="5">
      <formula>AND(ISNUMBER($A6),$O$4&lt;&gt;"",IF($O$4="(blank)",O6="",IF($O$4="(nonblank)",O6&lt;&gt;"",ISNUMBER(SEARCH($O$4,O6)))))</formula>
    </cfRule>
  </conditionalFormatting>
  <conditionalFormatting sqref="P6:P55">
    <cfRule type="expression" priority="18" dxfId="5">
      <formula>AND(ISNUMBER($A6),$P$4&lt;&gt;"",IF($P$4="(blank)",P6="",IF($P$4="(nonblank)",P6&lt;&gt;"",ISNUMBER(SEARCH($P$4,P6)))))</formula>
    </cfRule>
  </conditionalFormatting>
  <conditionalFormatting sqref="Q6:Q55">
    <cfRule type="expression" priority="19" dxfId="5">
      <formula>AND(ISNUMBER($A6),$Q$4&lt;&gt;"",IF($Q$4="(blank)",Q6="",IF($Q$4="(nonblank)",Q6&lt;&gt;"",ISNUMBER(SEARCH($Q$4,Q6)))))</formula>
    </cfRule>
  </conditionalFormatting>
  <conditionalFormatting sqref="R6:R55">
    <cfRule type="expression" priority="20" dxfId="5">
      <formula>AND(ISNUMBER($A6),$R$4&lt;&gt;"",IF($R$4="(blank)",R6="",IF($R$4="(nonblank)",R6&lt;&gt;"",ISNUMBER(SEARCH($R$4,R6)))))</formula>
    </cfRule>
  </conditionalFormatting>
  <conditionalFormatting sqref="S6:S55">
    <cfRule type="expression" priority="21" dxfId="5">
      <formula>AND(ISNUMBER($A6),$S$4&lt;&gt;"",IF($S$4="(blank)",S6="",IF($S$4="(nonblank)",S6&lt;&gt;"",ISNUMBER(SEARCH($S$4,S6)))))</formula>
    </cfRule>
  </conditionalFormatting>
  <conditionalFormatting sqref="T6:T55">
    <cfRule type="expression" priority="22" dxfId="5">
      <formula>AND(ISNUMBER($A6),$T$4&lt;&gt;"",IF($T$4="(blank)",T6="",IF($T$4="(nonblank)",T6&lt;&gt;"",ISNUMBER(SEARCH($T$4,T6)))))</formula>
    </cfRule>
  </conditionalFormatting>
  <conditionalFormatting sqref="U6:U55">
    <cfRule type="expression" priority="23" dxfId="5">
      <formula>AND(ISNUMBER($A6),$U$4&lt;&gt;"",IF($U$4="(blank)",U6="",IF($U$4="(nonblank)",U6&lt;&gt;"",ISNUMBER(SEARCH($U$4,U6)))))</formula>
    </cfRule>
  </conditionalFormatting>
  <conditionalFormatting sqref="V6:V55">
    <cfRule type="expression" priority="24" dxfId="5">
      <formula>AND(ISNUMBER($A6),$V$4&lt;&gt;"",IF($V$4="(blank)",V6="",IF($V$4="(nonblank)",V6&lt;&gt;"",ISNUMBER(SEARCH($V$4,V6)))))</formula>
    </cfRule>
  </conditionalFormatting>
  <conditionalFormatting sqref="W6:W55">
    <cfRule type="expression" priority="25" dxfId="5">
      <formula>AND(ISNUMBER($A6),$W$4&lt;&gt;"",IF($W$4="(blank)",W6="",IF($W$4="(nonblank)",W6&lt;&gt;"",ISNUMBER(SEARCH($W$4,W6)))))</formula>
    </cfRule>
  </conditionalFormatting>
  <conditionalFormatting sqref="X6:X55">
    <cfRule type="expression" priority="26" dxfId="5">
      <formula>AND(ISNUMBER($A6),$X$4&lt;&gt;"",IF($X$4="(blank)",X6="",IF($X$4="(nonblank)",X6&lt;&gt;"",ISNUMBER(SEARCH($X$4,X6)))))</formula>
    </cfRule>
  </conditionalFormatting>
  <conditionalFormatting sqref="Y6:Y55">
    <cfRule type="expression" priority="27" dxfId="5">
      <formula>AND(ISNUMBER($A6),$Y$4&lt;&gt;"",IF($Y$4="(blank)",Y6="",IF($Y$4="(nonblank)",Y6&lt;&gt;"",ISNUMBER(SEARCH($Y$4,Y6)))))</formula>
    </cfRule>
  </conditionalFormatting>
  <conditionalFormatting sqref="Z6:Z55">
    <cfRule type="expression" priority="28" dxfId="5">
      <formula>AND(ISNUMBER($A6),$Z$4&lt;&gt;"",IF($Z$4="(blank)",Z6="",IF($Z$4="(nonblank)",Z6&lt;&gt;"",ISNUMBER(SEARCH($Z$4,Z6)))))</formula>
    </cfRule>
  </conditionalFormatting>
  <conditionalFormatting sqref="AA6:AA55">
    <cfRule type="expression" priority="29" dxfId="5">
      <formula>AND(ISNUMBER($A6),$AA$4&lt;&gt;"",IF($AA$4="(blank)",AA6="",IF($AA$4="(nonblank)",AA6&lt;&gt;"",ISNUMBER(SEARCH($AA$4,AA6)))))</formula>
    </cfRule>
  </conditionalFormatting>
  <conditionalFormatting sqref="AB6:AB55">
    <cfRule type="expression" priority="30" dxfId="5">
      <formula>AND(ISNUMBER($A6),$AB$4&lt;&gt;"",IF($AB$4="(blank)",AB6="",IF($AB$4="(nonblank)",AB6&lt;&gt;"",ISNUMBER(SEARCH($AB$4,AB6)))))</formula>
    </cfRule>
  </conditionalFormatting>
  <conditionalFormatting sqref="AC6:AC55">
    <cfRule type="expression" priority="31" dxfId="5">
      <formula>AND(ISNUMBER($A6),$AC$4&lt;&gt;"",IF($AC$4="(blank)",AC6="",IF($AC$4="(nonblank)",AC6&lt;&gt;"",ISNUMBER(SEARCH($AC$4,AC6)))))</formula>
    </cfRule>
  </conditionalFormatting>
  <conditionalFormatting sqref="AD6:AD55">
    <cfRule type="expression" priority="32" dxfId="5">
      <formula>AND(ISNUMBER($A6),$AD$4&lt;&gt;"",IF($AD$4="(blank)",AD6="",IF($AD$4="(nonblank)",AD6&lt;&gt;"",ISNUMBER(SEARCH($AD$4,AD6)))))</formula>
    </cfRule>
  </conditionalFormatting>
  <conditionalFormatting sqref="AE6:AE55">
    <cfRule type="expression" priority="33" dxfId="5">
      <formula>AND(ISNUMBER($A6),$AE$4&lt;&gt;"",IF($AE$4="(blank)",AE6="",IF($AE$4="(nonblank)",AE6&lt;&gt;"",ISNUMBER(SEARCH($AE$4,AE6)))))</formula>
    </cfRule>
  </conditionalFormatting>
  <conditionalFormatting sqref="AF6:AF55">
    <cfRule type="expression" priority="34" dxfId="5">
      <formula>AND(ISNUMBER($A6),$AF$4&lt;&gt;"",IF($AF$4="(blank)",AF6="",IF($AF$4="(nonblank)",AF6&lt;&gt;"",ISNUMBER(SEARCH($AF$4,AF6)))))</formula>
    </cfRule>
  </conditionalFormatting>
  <conditionalFormatting sqref="AG6:AG55">
    <cfRule type="expression" priority="35" dxfId="5">
      <formula>AND(ISNUMBER($A6),$AG$4&lt;&gt;"",IF($AG$4="(blank)",AG6="",IF($AG$4="(nonblank)",AG6&lt;&gt;"",ISNUMBER(SEARCH($AG$4,AG6)))))</formula>
    </cfRule>
  </conditionalFormatting>
  <conditionalFormatting sqref="AH6:AH55">
    <cfRule type="expression" priority="36" dxfId="5">
      <formula>AND(ISNUMBER($A6),$AH$4&lt;&gt;"",IF($AH$4="(blank)",AH6="",IF($AH$4="(nonblank)",AH6&lt;&gt;"",ISNUMBER(SEARCH($AH$4,AH6)))))</formula>
    </cfRule>
  </conditionalFormatting>
  <conditionalFormatting sqref="AI6:AI55">
    <cfRule type="expression" priority="37" dxfId="5">
      <formula>AND(ISNUMBER($A6),$AI$4&lt;&gt;"",IF($AI$4="(blank)",AI6="",IF($AI$4="(nonblank)",AI6&lt;&gt;"",ISNUMBER(SEARCH($AI$4,AI6)))))</formula>
    </cfRule>
  </conditionalFormatting>
  <conditionalFormatting sqref="AI60:AI96">
    <cfRule type="cellIs" priority="38" operator="equal" dxfId="1">
      <formula>"SETTLED"</formula>
    </cfRule>
    <cfRule type="cellIs" priority="39" operator="equal" dxfId="0">
      <formula>"OUTSTANDING"</formula>
    </cfRule>
  </conditionalFormatting>
  <conditionalFormatting sqref="AE60:AE96">
    <cfRule type="cellIs" priority="40" operator="greaterThan" dxfId="0">
      <formula>5</formula>
    </cfRule>
  </conditionalFormatting>
  <dataValidations count="34">
    <dataValidation sqref="B4" showDropDown="0" showInputMessage="0" showErrorMessage="0" allowBlank="0" type="list">
      <formula1>SUGN_B</formula1>
    </dataValidation>
    <dataValidation sqref="C4" showDropDown="0" showInputMessage="0" showErrorMessage="0" allowBlank="0" type="list">
      <formula1>SUGN_C</formula1>
    </dataValidation>
    <dataValidation sqref="D4" showDropDown="0" showInputMessage="0" showErrorMessage="0" allowBlank="0" type="list">
      <formula1>SUGN_D</formula1>
    </dataValidation>
    <dataValidation sqref="E4" showDropDown="0" showInputMessage="0" showErrorMessage="0" allowBlank="0" type="list">
      <formula1>SUGN_E</formula1>
    </dataValidation>
    <dataValidation sqref="F4" showDropDown="0" showInputMessage="0" showErrorMessage="0" allowBlank="0" type="list">
      <formula1>SUGN_F</formula1>
    </dataValidation>
    <dataValidation sqref="G4" showDropDown="0" showInputMessage="0" showErrorMessage="0" allowBlank="0" type="list">
      <formula1>SUGN_G</formula1>
    </dataValidation>
    <dataValidation sqref="H4" showDropDown="0" showInputMessage="0" showErrorMessage="0" allowBlank="0" type="list">
      <formula1>SUGN_H</formula1>
    </dataValidation>
    <dataValidation sqref="I4" showDropDown="0" showInputMessage="0" showErrorMessage="0" allowBlank="0" type="list">
      <formula1>SUGN_I</formula1>
    </dataValidation>
    <dataValidation sqref="J4" showDropDown="0" showInputMessage="0" showErrorMessage="0" allowBlank="0" type="list">
      <formula1>SUGN_J</formula1>
    </dataValidation>
    <dataValidation sqref="K4" showDropDown="0" showInputMessage="0" showErrorMessage="0" allowBlank="0" type="list">
      <formula1>SUGN_K</formula1>
    </dataValidation>
    <dataValidation sqref="L4" showDropDown="0" showInputMessage="0" showErrorMessage="0" allowBlank="0" type="list">
      <formula1>SUGN_L</formula1>
    </dataValidation>
    <dataValidation sqref="M4" showDropDown="0" showInputMessage="0" showErrorMessage="0" allowBlank="0" type="list">
      <formula1>SUGN_M</formula1>
    </dataValidation>
    <dataValidation sqref="N4" showDropDown="0" showInputMessage="0" showErrorMessage="0" allowBlank="0" type="list">
      <formula1>SUGN_N</formula1>
    </dataValidation>
    <dataValidation sqref="O4" showDropDown="0" showInputMessage="0" showErrorMessage="0" allowBlank="0" type="list">
      <formula1>SUGN_O</formula1>
    </dataValidation>
    <dataValidation sqref="P4" showDropDown="0" showInputMessage="0" showErrorMessage="0" allowBlank="0" type="list">
      <formula1>SUGN_P</formula1>
    </dataValidation>
    <dataValidation sqref="Q4" showDropDown="0" showInputMessage="0" showErrorMessage="0" allowBlank="0" type="list">
      <formula1>SUGN_Q</formula1>
    </dataValidation>
    <dataValidation sqref="R4" showDropDown="0" showInputMessage="0" showErrorMessage="0" allowBlank="0" type="list">
      <formula1>SUGN_R</formula1>
    </dataValidation>
    <dataValidation sqref="S4" showDropDown="0" showInputMessage="0" showErrorMessage="0" allowBlank="0" type="list">
      <formula1>SUGN_S</formula1>
    </dataValidation>
    <dataValidation sqref="T4" showDropDown="0" showInputMessage="0" showErrorMessage="0" allowBlank="0" type="list">
      <formula1>SUGN_T</formula1>
    </dataValidation>
    <dataValidation sqref="U4" showDropDown="0" showInputMessage="0" showErrorMessage="0" allowBlank="0" type="list">
      <formula1>SUGN_U</formula1>
    </dataValidation>
    <dataValidation sqref="V4" showDropDown="0" showInputMessage="0" showErrorMessage="0" allowBlank="0" type="list">
      <formula1>SUGN_V</formula1>
    </dataValidation>
    <dataValidation sqref="W4" showDropDown="0" showInputMessage="0" showErrorMessage="0" allowBlank="0" type="list">
      <formula1>SUGN_W</formula1>
    </dataValidation>
    <dataValidation sqref="X4" showDropDown="0" showInputMessage="0" showErrorMessage="0" allowBlank="0" type="list">
      <formula1>SUGN_X</formula1>
    </dataValidation>
    <dataValidation sqref="Y4" showDropDown="0" showInputMessage="0" showErrorMessage="0" allowBlank="0" type="list">
      <formula1>SUGN_Y</formula1>
    </dataValidation>
    <dataValidation sqref="Z4" showDropDown="0" showInputMessage="0" showErrorMessage="0" allowBlank="0" type="list">
      <formula1>SUGN_Z</formula1>
    </dataValidation>
    <dataValidation sqref="AA4" showDropDown="0" showInputMessage="0" showErrorMessage="0" allowBlank="0" type="list">
      <formula1>SUGN_AA</formula1>
    </dataValidation>
    <dataValidation sqref="AB4" showDropDown="0" showInputMessage="0" showErrorMessage="0" allowBlank="0" type="list">
      <formula1>SUGN_AB</formula1>
    </dataValidation>
    <dataValidation sqref="AC4" showDropDown="0" showInputMessage="0" showErrorMessage="0" allowBlank="0" type="list">
      <formula1>SUGN_AC</formula1>
    </dataValidation>
    <dataValidation sqref="AD4" showDropDown="0" showInputMessage="0" showErrorMessage="0" allowBlank="0" type="list">
      <formula1>SUGN_AD</formula1>
    </dataValidation>
    <dataValidation sqref="AE4" showDropDown="0" showInputMessage="0" showErrorMessage="0" allowBlank="0" type="list">
      <formula1>SUGN_AE</formula1>
    </dataValidation>
    <dataValidation sqref="AF4" showDropDown="0" showInputMessage="0" showErrorMessage="0" allowBlank="0" type="list">
      <formula1>SUGN_AF</formula1>
    </dataValidation>
    <dataValidation sqref="AG4" showDropDown="0" showInputMessage="0" showErrorMessage="0" allowBlank="0" type="list">
      <formula1>SUGN_AG</formula1>
    </dataValidation>
    <dataValidation sqref="AH4" showDropDown="0" showInputMessage="0" showErrorMessage="0" allowBlank="0" type="list">
      <formula1>SUGN_AH</formula1>
    </dataValidation>
    <dataValidation sqref="AI4" showDropDown="0" showInputMessage="0" showErrorMessage="0" allowBlank="0" type="list">
      <formula1>SUGN_AI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2026-09-10T09:40:56Z</dcterms:modified>
  <cp:lastModifiedBy>S.M.C</cp:lastModifiedBy>
  <cp:revision>0</cp:revision>
</cp:coreProperties>
</file>