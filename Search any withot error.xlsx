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C:\Users\S.M.C\Downloads\"/>
    </mc:Choice>
  </mc:AlternateContent>
  <xr:revisionPtr revIDLastSave="0" documentId="13_ncr:1_{41772F86-D1DE-4405-A62B-01A089F0F388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8" iterateDelta="1E-4" forceFullCalc="1"/>
</workbook>
</file>

<file path=xl/calcChain.xml><?xml version="1.0" encoding="utf-8"?>
<calcChain xmlns="http://schemas.openxmlformats.org/spreadsheetml/2006/main">
  <c r="R4" i="1" l="1"/>
  <c r="W4" i="1" s="1"/>
  <c r="R5" i="1"/>
  <c r="W5" i="1" s="1"/>
  <c r="R6" i="1"/>
  <c r="W6" i="1" s="1"/>
  <c r="X6" i="1" s="1"/>
  <c r="AC6" i="1" s="1"/>
  <c r="R7" i="1"/>
  <c r="W7" i="1" s="1"/>
  <c r="X7" i="1" s="1"/>
  <c r="AC7" i="1" s="1"/>
  <c r="R8" i="1"/>
  <c r="W8" i="1" s="1"/>
  <c r="R9" i="1"/>
  <c r="W9" i="1" s="1"/>
  <c r="R10" i="1"/>
  <c r="W10" i="1" s="1"/>
  <c r="R11" i="1"/>
  <c r="W11" i="1" s="1"/>
  <c r="R12" i="1"/>
  <c r="W12" i="1" s="1"/>
  <c r="R13" i="1"/>
  <c r="W13" i="1" s="1"/>
  <c r="R14" i="1"/>
  <c r="W14" i="1" s="1"/>
  <c r="R15" i="1"/>
  <c r="W15" i="1" s="1"/>
  <c r="R16" i="1"/>
  <c r="W16" i="1" s="1"/>
  <c r="R17" i="1"/>
  <c r="W17" i="1" s="1"/>
  <c r="R18" i="1"/>
  <c r="W18" i="1" s="1"/>
  <c r="R19" i="1"/>
  <c r="W19" i="1" s="1"/>
  <c r="R20" i="1"/>
  <c r="W20" i="1" s="1"/>
  <c r="R21" i="1"/>
  <c r="W21" i="1" s="1"/>
  <c r="R22" i="1"/>
  <c r="W22" i="1" s="1"/>
  <c r="R23" i="1"/>
  <c r="W23" i="1" s="1"/>
  <c r="R24" i="1"/>
  <c r="W24" i="1" s="1"/>
  <c r="R25" i="1"/>
  <c r="W25" i="1" s="1"/>
  <c r="R26" i="1"/>
  <c r="W26" i="1" s="1"/>
  <c r="R27" i="1"/>
  <c r="W27" i="1" s="1"/>
  <c r="R28" i="1"/>
  <c r="W28" i="1" s="1"/>
  <c r="R29" i="1"/>
  <c r="W29" i="1" s="1"/>
  <c r="R30" i="1"/>
  <c r="W30" i="1" s="1"/>
  <c r="R31" i="1"/>
  <c r="W31" i="1" s="1"/>
  <c r="R32" i="1"/>
  <c r="W32" i="1" s="1"/>
  <c r="R33" i="1"/>
  <c r="W33" i="1" s="1"/>
  <c r="R34" i="1"/>
  <c r="W34" i="1" s="1"/>
  <c r="R35" i="1"/>
  <c r="W35" i="1" s="1"/>
  <c r="R36" i="1"/>
  <c r="W36" i="1" s="1"/>
  <c r="R37" i="1"/>
  <c r="W37" i="1" s="1"/>
  <c r="R38" i="1"/>
  <c r="W38" i="1" s="1"/>
  <c r="R39" i="1"/>
  <c r="W39" i="1" s="1"/>
  <c r="R40" i="1"/>
  <c r="W40" i="1" s="1"/>
  <c r="X17" i="1"/>
  <c r="AC17" i="1" s="1"/>
  <c r="T4" i="1"/>
  <c r="T5" i="1"/>
  <c r="U5" i="1" s="1"/>
  <c r="T6" i="1"/>
  <c r="T7" i="1"/>
  <c r="T8" i="1"/>
  <c r="U8" i="1" s="1"/>
  <c r="AC8" i="1" s="1"/>
  <c r="T9" i="1"/>
  <c r="U9" i="1" s="1"/>
  <c r="AC9" i="1" s="1"/>
  <c r="T10" i="1"/>
  <c r="U10" i="1" s="1"/>
  <c r="AC10" i="1" s="1"/>
  <c r="T11" i="1"/>
  <c r="U11" i="1" s="1"/>
  <c r="AC11" i="1" s="1"/>
  <c r="T12" i="1"/>
  <c r="U12" i="1" s="1"/>
  <c r="AC12" i="1" s="1"/>
  <c r="T13" i="1"/>
  <c r="T14" i="1"/>
  <c r="U14" i="1" s="1"/>
  <c r="AC14" i="1" s="1"/>
  <c r="T15" i="1"/>
  <c r="T16" i="1"/>
  <c r="T17" i="1"/>
  <c r="T18" i="1"/>
  <c r="T19" i="1"/>
  <c r="U19" i="1" s="1"/>
  <c r="AC19" i="1" s="1"/>
  <c r="T20" i="1"/>
  <c r="T21" i="1"/>
  <c r="U21" i="1" s="1"/>
  <c r="AC21" i="1" s="1"/>
  <c r="T22" i="1"/>
  <c r="U22" i="1" s="1"/>
  <c r="AC22" i="1" s="1"/>
  <c r="T23" i="1"/>
  <c r="T24" i="1"/>
  <c r="U24" i="1" s="1"/>
  <c r="AC24" i="1" s="1"/>
  <c r="T25" i="1"/>
  <c r="T26" i="1"/>
  <c r="U26" i="1" s="1"/>
  <c r="AC26" i="1" s="1"/>
  <c r="T27" i="1"/>
  <c r="T28" i="1"/>
  <c r="T29" i="1"/>
  <c r="T30" i="1"/>
  <c r="U30" i="1" s="1"/>
  <c r="AC30" i="1" s="1"/>
  <c r="T31" i="1"/>
  <c r="T32" i="1"/>
  <c r="U32" i="1" s="1"/>
  <c r="AC32" i="1" s="1"/>
  <c r="T33" i="1"/>
  <c r="U33" i="1" s="1"/>
  <c r="AC33" i="1" s="1"/>
  <c r="T34" i="1"/>
  <c r="T35" i="1"/>
  <c r="T36" i="1"/>
  <c r="T37" i="1"/>
  <c r="U37" i="1" s="1"/>
  <c r="AC37" i="1" s="1"/>
  <c r="T38" i="1"/>
  <c r="T39" i="1"/>
  <c r="T40" i="1"/>
  <c r="U18" i="1"/>
  <c r="AC18" i="1" s="1"/>
  <c r="H41" i="1"/>
  <c r="H42" i="1" s="1"/>
  <c r="L42" i="1" s="1"/>
  <c r="S4" i="1"/>
  <c r="AC4" i="1"/>
  <c r="S5" i="1"/>
  <c r="S8" i="1"/>
  <c r="S9" i="1"/>
  <c r="S10" i="1"/>
  <c r="S12" i="1"/>
  <c r="AC13" i="1"/>
  <c r="AC15" i="1"/>
  <c r="S16" i="1"/>
  <c r="AC16" i="1"/>
  <c r="S20" i="1"/>
  <c r="AC20" i="1"/>
  <c r="AC23" i="1"/>
  <c r="S24" i="1"/>
  <c r="AC25" i="1"/>
  <c r="AC27" i="1"/>
  <c r="AC28" i="1"/>
  <c r="S29" i="1"/>
  <c r="AC29" i="1"/>
  <c r="AC31" i="1"/>
  <c r="S32" i="1"/>
  <c r="S33" i="1"/>
  <c r="AC34" i="1"/>
  <c r="AC35" i="1"/>
  <c r="AC36" i="1"/>
  <c r="S37" i="1"/>
  <c r="AC38" i="1"/>
  <c r="AC39" i="1"/>
  <c r="S40" i="1"/>
  <c r="AC40" i="1"/>
  <c r="AA41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M4" i="1"/>
  <c r="N4" i="1"/>
  <c r="L4" i="1"/>
  <c r="M5" i="1"/>
  <c r="N5" i="1"/>
  <c r="L5" i="1"/>
  <c r="M6" i="1"/>
  <c r="N6" i="1"/>
  <c r="L6" i="1"/>
  <c r="M7" i="1"/>
  <c r="N7" i="1"/>
  <c r="L7" i="1"/>
  <c r="M8" i="1"/>
  <c r="N8" i="1"/>
  <c r="L8" i="1"/>
  <c r="M9" i="1"/>
  <c r="N9" i="1"/>
  <c r="L9" i="1"/>
  <c r="M10" i="1"/>
  <c r="N10" i="1"/>
  <c r="L10" i="1"/>
  <c r="M11" i="1"/>
  <c r="N11" i="1"/>
  <c r="L11" i="1"/>
  <c r="M12" i="1"/>
  <c r="N12" i="1"/>
  <c r="L12" i="1"/>
  <c r="M13" i="1"/>
  <c r="N13" i="1"/>
  <c r="L13" i="1"/>
  <c r="M14" i="1"/>
  <c r="N14" i="1"/>
  <c r="L14" i="1"/>
  <c r="M15" i="1"/>
  <c r="N15" i="1"/>
  <c r="L15" i="1"/>
  <c r="M16" i="1"/>
  <c r="N16" i="1"/>
  <c r="L16" i="1"/>
  <c r="M17" i="1"/>
  <c r="N17" i="1"/>
  <c r="L17" i="1"/>
  <c r="M18" i="1"/>
  <c r="N18" i="1"/>
  <c r="L18" i="1"/>
  <c r="M19" i="1"/>
  <c r="N19" i="1"/>
  <c r="L19" i="1"/>
  <c r="M20" i="1"/>
  <c r="N20" i="1"/>
  <c r="L20" i="1"/>
  <c r="M21" i="1"/>
  <c r="N21" i="1"/>
  <c r="L21" i="1"/>
  <c r="M22" i="1"/>
  <c r="N22" i="1"/>
  <c r="L22" i="1"/>
  <c r="M23" i="1"/>
  <c r="N23" i="1"/>
  <c r="L23" i="1"/>
  <c r="M24" i="1"/>
  <c r="N24" i="1"/>
  <c r="L24" i="1"/>
  <c r="M25" i="1"/>
  <c r="N25" i="1"/>
  <c r="L25" i="1"/>
  <c r="M26" i="1"/>
  <c r="N26" i="1"/>
  <c r="L26" i="1"/>
  <c r="M27" i="1"/>
  <c r="N27" i="1"/>
  <c r="L27" i="1"/>
  <c r="M28" i="1"/>
  <c r="N28" i="1"/>
  <c r="L28" i="1"/>
  <c r="M29" i="1"/>
  <c r="N29" i="1"/>
  <c r="L29" i="1"/>
  <c r="M30" i="1"/>
  <c r="N30" i="1"/>
  <c r="L30" i="1"/>
  <c r="M31" i="1"/>
  <c r="N31" i="1"/>
  <c r="L31" i="1"/>
  <c r="M32" i="1"/>
  <c r="N32" i="1"/>
  <c r="L32" i="1"/>
  <c r="M33" i="1"/>
  <c r="N33" i="1"/>
  <c r="L33" i="1"/>
  <c r="M34" i="1"/>
  <c r="N34" i="1"/>
  <c r="L34" i="1"/>
  <c r="M35" i="1"/>
  <c r="N35" i="1"/>
  <c r="L35" i="1"/>
  <c r="M36" i="1"/>
  <c r="N36" i="1"/>
  <c r="L36" i="1"/>
  <c r="M37" i="1"/>
  <c r="N37" i="1"/>
  <c r="L37" i="1"/>
  <c r="M38" i="1"/>
  <c r="N38" i="1"/>
  <c r="L38" i="1"/>
  <c r="M39" i="1"/>
  <c r="N39" i="1"/>
  <c r="L39" i="1"/>
  <c r="M40" i="1"/>
  <c r="N40" i="1"/>
  <c r="L40" i="1"/>
  <c r="I4" i="1"/>
  <c r="I5" i="1"/>
  <c r="K5" i="1" s="1"/>
  <c r="I6" i="1"/>
  <c r="I7" i="1"/>
  <c r="K7" i="1" s="1"/>
  <c r="I8" i="1"/>
  <c r="I9" i="1"/>
  <c r="K9" i="1" s="1"/>
  <c r="I10" i="1"/>
  <c r="I11" i="1"/>
  <c r="K11" i="1" s="1"/>
  <c r="I12" i="1"/>
  <c r="I13" i="1"/>
  <c r="K13" i="1" s="1"/>
  <c r="I14" i="1"/>
  <c r="I15" i="1"/>
  <c r="K15" i="1" s="1"/>
  <c r="I16" i="1"/>
  <c r="I17" i="1"/>
  <c r="K17" i="1" s="1"/>
  <c r="I18" i="1"/>
  <c r="I19" i="1"/>
  <c r="K19" i="1" s="1"/>
  <c r="I20" i="1"/>
  <c r="I21" i="1"/>
  <c r="K21" i="1" s="1"/>
  <c r="I22" i="1"/>
  <c r="I23" i="1"/>
  <c r="K23" i="1" s="1"/>
  <c r="I24" i="1"/>
  <c r="I25" i="1"/>
  <c r="K25" i="1" s="1"/>
  <c r="I26" i="1"/>
  <c r="I27" i="1"/>
  <c r="J27" i="1" s="1"/>
  <c r="I28" i="1"/>
  <c r="I29" i="1"/>
  <c r="K29" i="1" s="1"/>
  <c r="I30" i="1"/>
  <c r="I31" i="1"/>
  <c r="K31" i="1" s="1"/>
  <c r="I32" i="1"/>
  <c r="I33" i="1"/>
  <c r="K33" i="1" s="1"/>
  <c r="I34" i="1"/>
  <c r="I35" i="1"/>
  <c r="K35" i="1" s="1"/>
  <c r="I36" i="1"/>
  <c r="I37" i="1"/>
  <c r="K37" i="1" s="1"/>
  <c r="I38" i="1"/>
  <c r="I39" i="1"/>
  <c r="K39" i="1" s="1"/>
  <c r="I40" i="1"/>
  <c r="J11" i="1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AQ4" i="2"/>
  <c r="AR4" i="2" s="1"/>
  <c r="AK5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AK6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AK7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AK8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AK9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AK10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AK11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AK12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AK13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AK14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AK15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AK16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AK17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AK18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AK19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AK20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AK21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AK22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AK23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AK24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AK25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AK26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AK27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AK28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AK29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AK30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AK31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AK32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AK33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AK34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AK35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AK36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AK37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AK38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AK39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AK40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AK41" i="2"/>
  <c r="S18" i="1" l="1"/>
  <c r="O23" i="1"/>
  <c r="P23" i="1" s="1"/>
  <c r="AD37" i="1"/>
  <c r="S15" i="1"/>
  <c r="AD15" i="1" s="1"/>
  <c r="AD9" i="1"/>
  <c r="J19" i="1"/>
  <c r="O17" i="1"/>
  <c r="P17" i="1" s="1"/>
  <c r="S26" i="1"/>
  <c r="AD26" i="1" s="1"/>
  <c r="O24" i="1"/>
  <c r="P24" i="1" s="1"/>
  <c r="O4" i="1"/>
  <c r="P4" i="1" s="1"/>
  <c r="O26" i="1"/>
  <c r="P26" i="1" s="1"/>
  <c r="O22" i="1"/>
  <c r="P22" i="1" s="1"/>
  <c r="O10" i="1"/>
  <c r="P10" i="1" s="1"/>
  <c r="J29" i="1"/>
  <c r="J23" i="1"/>
  <c r="K27" i="1"/>
  <c r="J7" i="1"/>
  <c r="O39" i="1"/>
  <c r="P39" i="1" s="1"/>
  <c r="O31" i="1"/>
  <c r="P31" i="1" s="1"/>
  <c r="O27" i="1"/>
  <c r="P27" i="1" s="1"/>
  <c r="O15" i="1"/>
  <c r="P15" i="1" s="1"/>
  <c r="O11" i="1"/>
  <c r="P11" i="1" s="1"/>
  <c r="O7" i="1"/>
  <c r="P7" i="1" s="1"/>
  <c r="S34" i="1"/>
  <c r="AD34" i="1" s="1"/>
  <c r="S31" i="1"/>
  <c r="AD31" i="1" s="1"/>
  <c r="S28" i="1"/>
  <c r="J39" i="1"/>
  <c r="O40" i="1"/>
  <c r="P40" i="1" s="1"/>
  <c r="O32" i="1"/>
  <c r="P32" i="1" s="1"/>
  <c r="O28" i="1"/>
  <c r="P28" i="1" s="1"/>
  <c r="O16" i="1"/>
  <c r="P16" i="1" s="1"/>
  <c r="J35" i="1"/>
  <c r="J13" i="1"/>
  <c r="AD29" i="1"/>
  <c r="S21" i="1"/>
  <c r="AD21" i="1" s="1"/>
  <c r="S17" i="1"/>
  <c r="AD17" i="1" s="1"/>
  <c r="J21" i="1"/>
  <c r="O19" i="1"/>
  <c r="P19" i="1" s="1"/>
  <c r="O12" i="1"/>
  <c r="P12" i="1" s="1"/>
  <c r="O8" i="1"/>
  <c r="P8" i="1" s="1"/>
  <c r="S23" i="1"/>
  <c r="AD23" i="1" s="1"/>
  <c r="J31" i="1"/>
  <c r="O33" i="1"/>
  <c r="P33" i="1" s="1"/>
  <c r="O18" i="1"/>
  <c r="P18" i="1" s="1"/>
  <c r="AD40" i="1"/>
  <c r="S13" i="1"/>
  <c r="AD13" i="1" s="1"/>
  <c r="O38" i="1"/>
  <c r="P38" i="1" s="1"/>
  <c r="O35" i="1"/>
  <c r="P35" i="1" s="1"/>
  <c r="O20" i="1"/>
  <c r="P20" i="1" s="1"/>
  <c r="O9" i="1"/>
  <c r="P9" i="1" s="1"/>
  <c r="AD28" i="1"/>
  <c r="S25" i="1"/>
  <c r="AD25" i="1" s="1"/>
  <c r="AD10" i="1"/>
  <c r="T41" i="1"/>
  <c r="J37" i="1"/>
  <c r="J15" i="1"/>
  <c r="J5" i="1"/>
  <c r="O36" i="1"/>
  <c r="P36" i="1" s="1"/>
  <c r="Z41" i="1"/>
  <c r="S39" i="1"/>
  <c r="AD39" i="1" s="1"/>
  <c r="S36" i="1"/>
  <c r="AD36" i="1" s="1"/>
  <c r="AD24" i="1"/>
  <c r="S7" i="1"/>
  <c r="AD7" i="1" s="1"/>
  <c r="AD18" i="1"/>
  <c r="AR5" i="2"/>
  <c r="AR7" i="2" s="1"/>
  <c r="AS8" i="2" s="1"/>
  <c r="O34" i="1"/>
  <c r="P34" i="1" s="1"/>
  <c r="O25" i="1"/>
  <c r="P25" i="1" s="1"/>
  <c r="O14" i="1"/>
  <c r="P14" i="1" s="1"/>
  <c r="S35" i="1"/>
  <c r="AD35" i="1" s="1"/>
  <c r="S27" i="1"/>
  <c r="AD27" i="1" s="1"/>
  <c r="AD20" i="1"/>
  <c r="S11" i="1"/>
  <c r="AD11" i="1" s="1"/>
  <c r="AD4" i="1"/>
  <c r="J33" i="1"/>
  <c r="J25" i="1"/>
  <c r="J17" i="1"/>
  <c r="J9" i="1"/>
  <c r="AD32" i="1"/>
  <c r="S30" i="1"/>
  <c r="AD30" i="1" s="1"/>
  <c r="S22" i="1"/>
  <c r="AD22" i="1" s="1"/>
  <c r="AD8" i="1"/>
  <c r="S6" i="1"/>
  <c r="AD6" i="1" s="1"/>
  <c r="O30" i="1"/>
  <c r="P30" i="1" s="1"/>
  <c r="S38" i="1"/>
  <c r="AD38" i="1" s="1"/>
  <c r="S19" i="1"/>
  <c r="AD19" i="1" s="1"/>
  <c r="AD16" i="1"/>
  <c r="S14" i="1"/>
  <c r="AD14" i="1" s="1"/>
  <c r="AD12" i="1"/>
  <c r="K34" i="1"/>
  <c r="J34" i="1"/>
  <c r="K26" i="1"/>
  <c r="J26" i="1"/>
  <c r="K18" i="1"/>
  <c r="J18" i="1"/>
  <c r="K10" i="1"/>
  <c r="J10" i="1"/>
  <c r="N41" i="1"/>
  <c r="J36" i="1"/>
  <c r="K36" i="1"/>
  <c r="J28" i="1"/>
  <c r="K28" i="1"/>
  <c r="J20" i="1"/>
  <c r="K20" i="1"/>
  <c r="J12" i="1"/>
  <c r="K12" i="1"/>
  <c r="J4" i="1"/>
  <c r="K4" i="1"/>
  <c r="I41" i="1"/>
  <c r="O37" i="1"/>
  <c r="P37" i="1" s="1"/>
  <c r="O21" i="1"/>
  <c r="P21" i="1" s="1"/>
  <c r="O5" i="1"/>
  <c r="AD33" i="1"/>
  <c r="AC5" i="1"/>
  <c r="AC41" i="1" s="1"/>
  <c r="U41" i="1"/>
  <c r="K38" i="1"/>
  <c r="J38" i="1"/>
  <c r="K30" i="1"/>
  <c r="J30" i="1"/>
  <c r="K22" i="1"/>
  <c r="J22" i="1"/>
  <c r="K14" i="1"/>
  <c r="J14" i="1"/>
  <c r="K6" i="1"/>
  <c r="J6" i="1"/>
  <c r="O6" i="1"/>
  <c r="P6" i="1" s="1"/>
  <c r="M41" i="1"/>
  <c r="M42" i="1"/>
  <c r="N42" i="1"/>
  <c r="I42" i="1"/>
  <c r="K42" i="1" s="1"/>
  <c r="W41" i="1"/>
  <c r="J40" i="1"/>
  <c r="K40" i="1"/>
  <c r="J32" i="1"/>
  <c r="K32" i="1"/>
  <c r="J24" i="1"/>
  <c r="K24" i="1"/>
  <c r="J16" i="1"/>
  <c r="K16" i="1"/>
  <c r="J8" i="1"/>
  <c r="K8" i="1"/>
  <c r="O29" i="1"/>
  <c r="P29" i="1" s="1"/>
  <c r="O13" i="1"/>
  <c r="P13" i="1" s="1"/>
  <c r="L41" i="1"/>
  <c r="X41" i="1"/>
  <c r="R41" i="1"/>
  <c r="R42" i="1" s="1"/>
  <c r="S42" i="1" s="1"/>
  <c r="U42" i="1" l="1"/>
  <c r="AS4" i="2"/>
  <c r="AS7" i="2" s="1"/>
  <c r="AT8" i="2" s="1"/>
  <c r="AR6" i="2"/>
  <c r="AR9" i="2" s="1"/>
  <c r="O42" i="1"/>
  <c r="P42" i="1" s="1"/>
  <c r="J42" i="1"/>
  <c r="S41" i="1"/>
  <c r="X42" i="1"/>
  <c r="K41" i="1"/>
  <c r="J41" i="1"/>
  <c r="P5" i="1"/>
  <c r="P41" i="1" s="1"/>
  <c r="O41" i="1"/>
  <c r="AD5" i="1"/>
  <c r="AD41" i="1" s="1"/>
  <c r="AS6" i="2" l="1"/>
  <c r="AS9" i="2" s="1"/>
  <c r="AS5" i="2"/>
  <c r="AT4" i="2" s="1"/>
  <c r="AT5" i="2" s="1"/>
  <c r="AU4" i="2" s="1"/>
  <c r="AU7" i="2" s="1"/>
  <c r="AT6" i="2" l="1"/>
  <c r="AT9" i="2" s="1"/>
  <c r="AU6" i="2"/>
  <c r="AU9" i="2" s="1"/>
  <c r="AU5" i="2"/>
  <c r="AV4" i="2" s="1"/>
  <c r="AV5" i="2" s="1"/>
  <c r="AW4" i="2" s="1"/>
  <c r="AT7" i="2"/>
  <c r="AU8" i="2" s="1"/>
  <c r="AV8" i="2" s="1"/>
  <c r="AV7" i="2" l="1"/>
  <c r="AW8" i="2" s="1"/>
  <c r="AV6" i="2"/>
  <c r="AV9" i="2" s="1"/>
  <c r="AW5" i="2"/>
  <c r="AX4" i="2" s="1"/>
  <c r="AW6" i="2"/>
  <c r="AW9" i="2" s="1"/>
  <c r="AW7" i="2"/>
  <c r="AX8" i="2" s="1"/>
  <c r="AX5" i="2" l="1"/>
  <c r="AY4" i="2" s="1"/>
  <c r="AX6" i="2"/>
  <c r="AX9" i="2" s="1"/>
  <c r="AX7" i="2"/>
  <c r="AY8" i="2" s="1"/>
  <c r="AM24" i="2" l="1"/>
  <c r="AZ24" i="2" s="1"/>
  <c r="AY6" i="2"/>
  <c r="AY9" i="2" s="1"/>
  <c r="AY7" i="2"/>
  <c r="AY5" i="2"/>
  <c r="AM37" i="2" l="1"/>
  <c r="AZ37" i="2" s="1"/>
  <c r="AM28" i="2"/>
  <c r="AZ28" i="2" s="1"/>
  <c r="AM38" i="2"/>
  <c r="AZ38" i="2" s="1"/>
  <c r="AM20" i="2"/>
  <c r="AZ20" i="2" s="1"/>
  <c r="AM39" i="2"/>
  <c r="AZ39" i="2" s="1"/>
  <c r="AM5" i="2"/>
  <c r="AZ5" i="2" s="1"/>
  <c r="AM17" i="2"/>
  <c r="AZ17" i="2" s="1"/>
  <c r="AM11" i="2"/>
  <c r="AZ11" i="2" s="1"/>
  <c r="AM9" i="2"/>
  <c r="AZ9" i="2" s="1"/>
  <c r="AM21" i="2"/>
  <c r="AZ21" i="2" s="1"/>
  <c r="AM34" i="2"/>
  <c r="AZ34" i="2" s="1"/>
  <c r="AM8" i="2"/>
  <c r="AZ8" i="2" s="1"/>
  <c r="AM32" i="2"/>
  <c r="AZ32" i="2" s="1"/>
  <c r="AM19" i="2"/>
  <c r="AZ19" i="2" s="1"/>
  <c r="AM27" i="2"/>
  <c r="AZ27" i="2" s="1"/>
  <c r="AM35" i="2"/>
  <c r="AZ35" i="2" s="1"/>
  <c r="AM26" i="2"/>
  <c r="AZ26" i="2" s="1"/>
  <c r="AM41" i="2"/>
  <c r="AZ41" i="2" s="1"/>
  <c r="AM10" i="2"/>
  <c r="AZ10" i="2" s="1"/>
  <c r="AM14" i="2"/>
  <c r="AZ14" i="2" s="1"/>
  <c r="AM31" i="2"/>
  <c r="AZ31" i="2" s="1"/>
  <c r="AM30" i="2"/>
  <c r="AZ30" i="2" s="1"/>
  <c r="AM23" i="2"/>
  <c r="AZ23" i="2" s="1"/>
  <c r="AM29" i="2"/>
  <c r="AZ29" i="2" s="1"/>
  <c r="AM15" i="2"/>
  <c r="AZ15" i="2" s="1"/>
  <c r="AM25" i="2"/>
  <c r="AZ25" i="2" s="1"/>
  <c r="AM22" i="2"/>
  <c r="AZ22" i="2" s="1"/>
  <c r="AM40" i="2"/>
  <c r="AZ40" i="2" s="1"/>
  <c r="AM33" i="2"/>
  <c r="AZ33" i="2" s="1"/>
  <c r="AM7" i="2"/>
  <c r="AZ7" i="2" s="1"/>
  <c r="AM18" i="2"/>
  <c r="AZ18" i="2" s="1"/>
  <c r="AM16" i="2"/>
  <c r="AZ16" i="2" s="1"/>
  <c r="AM13" i="2"/>
  <c r="AZ13" i="2" s="1"/>
  <c r="AM12" i="2"/>
  <c r="AZ12" i="2" s="1"/>
  <c r="AM6" i="2"/>
  <c r="AZ6" i="2" s="1"/>
  <c r="AM36" i="2"/>
  <c r="AZ36" i="2" s="1"/>
  <c r="BA38" i="2" l="1"/>
  <c r="BA6" i="2"/>
  <c r="BA15" i="2"/>
  <c r="BA26" i="2"/>
  <c r="I3" i="2"/>
  <c r="BA21" i="2"/>
  <c r="BA12" i="2"/>
  <c r="BA7" i="2"/>
  <c r="BA39" i="2"/>
  <c r="BA20" i="2"/>
  <c r="BA29" i="2"/>
  <c r="BA14" i="2"/>
  <c r="BA28" i="2"/>
  <c r="BD7" i="2"/>
  <c r="BF7" i="2" s="1"/>
  <c r="BD8" i="2"/>
  <c r="BF8" i="2" s="1"/>
  <c r="BD6" i="2"/>
  <c r="BD10" i="2"/>
  <c r="BF10" i="2" s="1"/>
  <c r="BD11" i="2"/>
  <c r="BF11" i="2" s="1"/>
  <c r="BD5" i="2"/>
  <c r="BD9" i="2"/>
  <c r="BF9" i="2" s="1"/>
  <c r="BD13" i="2"/>
  <c r="BD4" i="2"/>
  <c r="BA5" i="2"/>
  <c r="BD12" i="2"/>
  <c r="BA32" i="2"/>
  <c r="BA24" i="2"/>
  <c r="BA18" i="2"/>
  <c r="BA31" i="2"/>
  <c r="BA19" i="2"/>
  <c r="BA13" i="2"/>
  <c r="BA33" i="2"/>
  <c r="BA22" i="2"/>
  <c r="BA23" i="2"/>
  <c r="BA10" i="2"/>
  <c r="BA17" i="2"/>
  <c r="BA35" i="2"/>
  <c r="BA8" i="2"/>
  <c r="BA9" i="2"/>
  <c r="BA36" i="2"/>
  <c r="BA16" i="2"/>
  <c r="BA40" i="2"/>
  <c r="BA11" i="2"/>
  <c r="BA25" i="2"/>
  <c r="BA30" i="2"/>
  <c r="BA41" i="2"/>
  <c r="H3" i="2"/>
  <c r="BA27" i="2"/>
  <c r="BA34" i="2"/>
  <c r="BA37" i="2"/>
  <c r="BF6" i="2" l="1"/>
  <c r="BF4" i="2"/>
  <c r="BE5" i="2" s="1"/>
  <c r="BF5" i="2" s="1"/>
  <c r="BE6" i="2" l="1"/>
  <c r="BE7" i="2" s="1"/>
  <c r="BE8" i="2" s="1"/>
  <c r="BE9" i="2" s="1"/>
  <c r="BE10" i="2" s="1"/>
  <c r="BE11" i="2" s="1"/>
  <c r="BE12" i="2" s="1"/>
  <c r="BF12" i="2" s="1"/>
  <c r="BG4" i="2" l="1"/>
  <c r="BL35" i="2" s="1"/>
  <c r="BL21" i="2"/>
  <c r="BL41" i="2"/>
  <c r="BL6" i="2"/>
  <c r="BL12" i="2"/>
  <c r="BL40" i="2"/>
  <c r="BL10" i="2"/>
  <c r="BL48" i="2"/>
  <c r="BL38" i="2"/>
  <c r="BL43" i="2"/>
  <c r="BL22" i="2"/>
  <c r="BL33" i="2"/>
  <c r="BL31" i="2"/>
  <c r="BL46" i="2"/>
  <c r="BL26" i="2"/>
  <c r="BL7" i="2"/>
  <c r="BL18" i="2" l="1"/>
  <c r="BL29" i="2"/>
  <c r="BL53" i="2"/>
  <c r="BL50" i="2"/>
  <c r="BL27" i="2"/>
  <c r="BL37" i="2"/>
  <c r="BL11" i="2"/>
  <c r="BL28" i="2"/>
  <c r="BL49" i="2"/>
  <c r="BL20" i="2"/>
  <c r="BL8" i="2"/>
  <c r="BL39" i="2"/>
  <c r="BL19" i="2"/>
  <c r="BL13" i="2"/>
  <c r="BL9" i="2"/>
  <c r="BL25" i="2"/>
  <c r="BL45" i="2"/>
  <c r="BL32" i="2"/>
  <c r="BL23" i="2"/>
  <c r="BL15" i="2"/>
  <c r="BL44" i="2"/>
  <c r="BL17" i="2"/>
  <c r="BL14" i="2"/>
  <c r="BL5" i="2"/>
  <c r="BL42" i="2"/>
  <c r="BE13" i="2"/>
  <c r="BF13" i="2" s="1"/>
  <c r="BH6" i="2" s="1"/>
  <c r="BL47" i="2"/>
  <c r="BL30" i="2"/>
  <c r="BL51" i="2"/>
  <c r="BL36" i="2"/>
  <c r="BL24" i="2"/>
  <c r="BL16" i="2"/>
  <c r="BL34" i="2"/>
  <c r="BL52" i="2"/>
  <c r="BB5" i="2"/>
  <c r="BB28" i="2"/>
  <c r="BB38" i="2"/>
  <c r="BB37" i="2"/>
  <c r="BB11" i="2"/>
  <c r="BB20" i="2"/>
  <c r="BB39" i="2"/>
  <c r="BB9" i="2"/>
  <c r="BB17" i="2"/>
  <c r="BB24" i="2"/>
  <c r="BB15" i="2"/>
  <c r="BB21" i="2"/>
  <c r="BB7" i="2"/>
  <c r="BB29" i="2"/>
  <c r="BB18" i="2"/>
  <c r="BB19" i="2"/>
  <c r="BB33" i="2"/>
  <c r="BB23" i="2"/>
  <c r="BB16" i="2"/>
  <c r="BB27" i="2"/>
  <c r="BB6" i="2"/>
  <c r="BB26" i="2"/>
  <c r="BB32" i="2"/>
  <c r="BB35" i="2"/>
  <c r="BB22" i="2"/>
  <c r="BB25" i="2"/>
  <c r="BB41" i="2"/>
  <c r="BB34" i="2"/>
  <c r="BB14" i="2"/>
  <c r="BB13" i="2"/>
  <c r="BB40" i="2"/>
  <c r="BB31" i="2"/>
  <c r="BB36" i="2"/>
  <c r="BB10" i="2"/>
  <c r="BB12" i="2"/>
  <c r="BB30" i="2"/>
  <c r="BB8" i="2"/>
  <c r="BG5" i="2"/>
  <c r="BH23" i="2"/>
  <c r="BH7" i="2"/>
  <c r="BH18" i="2"/>
  <c r="BH20" i="2"/>
  <c r="BH36" i="2"/>
  <c r="BH5" i="2"/>
  <c r="BH27" i="2"/>
  <c r="BH11" i="2"/>
  <c r="BH21" i="2"/>
  <c r="BH31" i="2"/>
  <c r="BH15" i="2"/>
  <c r="BH25" i="2"/>
  <c r="BH8" i="2"/>
  <c r="BH28" i="2"/>
  <c r="BH51" i="2"/>
  <c r="BH29" i="2"/>
  <c r="BH19" i="2"/>
  <c r="BH49" i="2"/>
  <c r="BH12" i="2"/>
  <c r="BH40" i="2"/>
  <c r="BH35" i="2"/>
  <c r="BH16" i="2"/>
  <c r="BH47" i="2"/>
  <c r="BH10" i="2"/>
  <c r="BH22" i="2"/>
  <c r="BH33" i="2"/>
  <c r="BH9" i="2"/>
  <c r="BH26" i="2"/>
  <c r="BH50" i="2"/>
  <c r="BH48" i="2"/>
  <c r="BH41" i="2"/>
  <c r="BH42" i="2"/>
  <c r="BH52" i="2"/>
  <c r="BH17" i="2"/>
  <c r="BH14" i="2"/>
  <c r="BH46" i="2"/>
  <c r="BH43" i="2"/>
  <c r="BH37" i="2"/>
  <c r="BH24" i="2"/>
  <c r="BH53" i="2"/>
  <c r="BH13" i="2"/>
  <c r="BH32" i="2"/>
  <c r="BH44" i="2"/>
  <c r="BH38" i="2"/>
  <c r="BH34" i="2"/>
  <c r="BH45" i="2"/>
  <c r="BH39" i="2"/>
  <c r="BH30" i="2"/>
  <c r="BI47" i="2" l="1"/>
  <c r="BJ47" i="2" s="1"/>
  <c r="BI39" i="2"/>
  <c r="BJ39" i="2" s="1"/>
  <c r="BI34" i="2"/>
  <c r="BJ34" i="2" s="1"/>
  <c r="BI53" i="2"/>
  <c r="BJ53" i="2" s="1"/>
  <c r="BI45" i="2"/>
  <c r="BJ45" i="2" s="1"/>
  <c r="BI37" i="2"/>
  <c r="BJ37" i="2" s="1"/>
  <c r="BI52" i="2"/>
  <c r="BJ52" i="2" s="1"/>
  <c r="BI42" i="2"/>
  <c r="BJ42" i="2" s="1"/>
  <c r="BI32" i="2"/>
  <c r="BJ32" i="2" s="1"/>
  <c r="BI28" i="2"/>
  <c r="BJ28" i="2" s="1"/>
  <c r="BI25" i="2"/>
  <c r="BJ25" i="2" s="1"/>
  <c r="BI23" i="2"/>
  <c r="BJ23" i="2" s="1"/>
  <c r="BI17" i="2"/>
  <c r="BJ17" i="2" s="1"/>
  <c r="BI13" i="2"/>
  <c r="BJ13" i="2" s="1"/>
  <c r="BI9" i="2"/>
  <c r="BJ9" i="2" s="1"/>
  <c r="BI6" i="2"/>
  <c r="BJ6" i="2" s="1"/>
  <c r="BI49" i="2"/>
  <c r="BJ49" i="2" s="1"/>
  <c r="BI41" i="2"/>
  <c r="BJ41" i="2" s="1"/>
  <c r="BI35" i="2"/>
  <c r="BJ35" i="2" s="1"/>
  <c r="BI44" i="2"/>
  <c r="BJ44" i="2" s="1"/>
  <c r="BI40" i="2"/>
  <c r="BJ40" i="2" s="1"/>
  <c r="BI30" i="2"/>
  <c r="BJ30" i="2" s="1"/>
  <c r="BI38" i="2"/>
  <c r="BJ38" i="2" s="1"/>
  <c r="BI22" i="2"/>
  <c r="BJ22" i="2" s="1"/>
  <c r="BI19" i="2"/>
  <c r="BJ19" i="2" s="1"/>
  <c r="BI15" i="2"/>
  <c r="BJ15" i="2" s="1"/>
  <c r="BI11" i="2"/>
  <c r="BJ11" i="2" s="1"/>
  <c r="BI5" i="2"/>
  <c r="BJ5" i="2" s="1"/>
  <c r="BI46" i="2"/>
  <c r="BJ46" i="2" s="1"/>
  <c r="BI33" i="2"/>
  <c r="BJ33" i="2" s="1"/>
  <c r="BI29" i="2"/>
  <c r="BJ29" i="2" s="1"/>
  <c r="BI26" i="2"/>
  <c r="BJ26" i="2" s="1"/>
  <c r="BI20" i="2"/>
  <c r="BJ20" i="2" s="1"/>
  <c r="BI18" i="2"/>
  <c r="BJ18" i="2" s="1"/>
  <c r="BI14" i="2"/>
  <c r="BJ14" i="2" s="1"/>
  <c r="BI10" i="2"/>
  <c r="BJ10" i="2" s="1"/>
  <c r="BI7" i="2"/>
  <c r="BJ7" i="2" s="1"/>
  <c r="BI51" i="2"/>
  <c r="BJ51" i="2" s="1"/>
  <c r="BI43" i="2"/>
  <c r="BJ43" i="2" s="1"/>
  <c r="BI36" i="2"/>
  <c r="BJ36" i="2" s="1"/>
  <c r="BI50" i="2"/>
  <c r="BJ50" i="2" s="1"/>
  <c r="BI48" i="2"/>
  <c r="BJ48" i="2" s="1"/>
  <c r="BI31" i="2"/>
  <c r="BJ31" i="2" s="1"/>
  <c r="BI27" i="2"/>
  <c r="BJ27" i="2" s="1"/>
  <c r="BI24" i="2"/>
  <c r="BJ24" i="2" s="1"/>
  <c r="BI21" i="2"/>
  <c r="BJ21" i="2" s="1"/>
  <c r="BI16" i="2"/>
  <c r="BJ16" i="2" s="1"/>
  <c r="BI12" i="2"/>
  <c r="BJ12" i="2" s="1"/>
  <c r="BI8" i="2"/>
  <c r="BJ8" i="2" s="1"/>
  <c r="AF49" i="2" l="1"/>
  <c r="P49" i="2"/>
  <c r="BK48" i="2"/>
  <c r="O49" i="2"/>
  <c r="AD49" i="2"/>
  <c r="I49" i="2"/>
  <c r="W49" i="2"/>
  <c r="B49" i="2"/>
  <c r="A49" i="2"/>
  <c r="L49" i="2"/>
  <c r="Z49" i="2"/>
  <c r="AI49" i="2"/>
  <c r="C49" i="2"/>
  <c r="M49" i="2"/>
  <c r="V49" i="2"/>
  <c r="AB49" i="2"/>
  <c r="D49" i="2"/>
  <c r="E49" i="2"/>
  <c r="AH49" i="2"/>
  <c r="AA49" i="2"/>
  <c r="K49" i="2"/>
  <c r="X49" i="2"/>
  <c r="AE49" i="2"/>
  <c r="Y49" i="2"/>
  <c r="AC49" i="2"/>
  <c r="F49" i="2"/>
  <c r="H49" i="2"/>
  <c r="N49" i="2"/>
  <c r="AG49" i="2"/>
  <c r="U49" i="2"/>
  <c r="R49" i="2"/>
  <c r="J49" i="2"/>
  <c r="G49" i="2"/>
  <c r="S49" i="2"/>
  <c r="Q49" i="2"/>
  <c r="T49" i="2"/>
  <c r="X34" i="2"/>
  <c r="H34" i="2"/>
  <c r="P34" i="2"/>
  <c r="AI34" i="2"/>
  <c r="S34" i="2"/>
  <c r="C34" i="2"/>
  <c r="V34" i="2"/>
  <c r="F34" i="2"/>
  <c r="A34" i="2"/>
  <c r="I34" i="2"/>
  <c r="AF34" i="2"/>
  <c r="L34" i="2"/>
  <c r="AE34" i="2"/>
  <c r="O34" i="2"/>
  <c r="AH34" i="2"/>
  <c r="R34" i="2"/>
  <c r="B34" i="2"/>
  <c r="AC34" i="2"/>
  <c r="E34" i="2"/>
  <c r="D34" i="2"/>
  <c r="K34" i="2"/>
  <c r="N34" i="2"/>
  <c r="M34" i="2"/>
  <c r="BK33" i="2"/>
  <c r="G34" i="2"/>
  <c r="J34" i="2"/>
  <c r="Y34" i="2"/>
  <c r="AB34" i="2"/>
  <c r="AA34" i="2"/>
  <c r="AD34" i="2"/>
  <c r="AG34" i="2"/>
  <c r="U34" i="2"/>
  <c r="Z34" i="2"/>
  <c r="T34" i="2"/>
  <c r="Q34" i="2"/>
  <c r="W34" i="2"/>
  <c r="AB31" i="2"/>
  <c r="L31" i="2"/>
  <c r="AI31" i="2"/>
  <c r="S31" i="2"/>
  <c r="C31" i="2"/>
  <c r="V31" i="2"/>
  <c r="F31" i="2"/>
  <c r="U31" i="2"/>
  <c r="A31" i="2"/>
  <c r="X31" i="2"/>
  <c r="H31" i="2"/>
  <c r="AE31" i="2"/>
  <c r="O31" i="2"/>
  <c r="AH31" i="2"/>
  <c r="R31" i="2"/>
  <c r="B31" i="2"/>
  <c r="E31" i="2"/>
  <c r="AC31" i="2"/>
  <c r="T31" i="2"/>
  <c r="D31" i="2"/>
  <c r="AA31" i="2"/>
  <c r="K31" i="2"/>
  <c r="AD31" i="2"/>
  <c r="N31" i="2"/>
  <c r="Y31" i="2"/>
  <c r="AG31" i="2"/>
  <c r="M31" i="2"/>
  <c r="P31" i="2"/>
  <c r="Z31" i="2"/>
  <c r="BK30" i="2"/>
  <c r="J31" i="2"/>
  <c r="AF31" i="2"/>
  <c r="Q31" i="2"/>
  <c r="W31" i="2"/>
  <c r="I31" i="2"/>
  <c r="G31" i="2"/>
  <c r="AF29" i="2"/>
  <c r="P29" i="2"/>
  <c r="BK28" i="2"/>
  <c r="W29" i="2"/>
  <c r="T29" i="2"/>
  <c r="AI29" i="2"/>
  <c r="O29" i="2"/>
  <c r="AH29" i="2"/>
  <c r="R29" i="2"/>
  <c r="B29" i="2"/>
  <c r="E29" i="2"/>
  <c r="M29" i="2"/>
  <c r="L29" i="2"/>
  <c r="AA29" i="2"/>
  <c r="C29" i="2"/>
  <c r="N29" i="2"/>
  <c r="I29" i="2"/>
  <c r="A29" i="2"/>
  <c r="H29" i="2"/>
  <c r="S29" i="2"/>
  <c r="AD29" i="2"/>
  <c r="J29" i="2"/>
  <c r="U29" i="2"/>
  <c r="AC29" i="2"/>
  <c r="AE29" i="2"/>
  <c r="V29" i="2"/>
  <c r="Q29" i="2"/>
  <c r="AB29" i="2"/>
  <c r="K29" i="2"/>
  <c r="F29" i="2"/>
  <c r="X29" i="2"/>
  <c r="G29" i="2"/>
  <c r="Y29" i="2"/>
  <c r="D29" i="2"/>
  <c r="Z29" i="2"/>
  <c r="AG29" i="2"/>
  <c r="AD38" i="2"/>
  <c r="N38" i="2"/>
  <c r="AF38" i="2"/>
  <c r="K38" i="2"/>
  <c r="Y38" i="2"/>
  <c r="D38" i="2"/>
  <c r="S38" i="2"/>
  <c r="AG38" i="2"/>
  <c r="W38" i="2"/>
  <c r="Z38" i="2"/>
  <c r="J38" i="2"/>
  <c r="AA38" i="2"/>
  <c r="E38" i="2"/>
  <c r="T38" i="2"/>
  <c r="AI38" i="2"/>
  <c r="M38" i="2"/>
  <c r="L38" i="2"/>
  <c r="A38" i="2"/>
  <c r="R38" i="2"/>
  <c r="P38" i="2"/>
  <c r="I38" i="2"/>
  <c r="C38" i="2"/>
  <c r="F38" i="2"/>
  <c r="BK37" i="2"/>
  <c r="AC38" i="2"/>
  <c r="AB38" i="2"/>
  <c r="AH38" i="2"/>
  <c r="B38" i="2"/>
  <c r="AE38" i="2"/>
  <c r="X38" i="2"/>
  <c r="G38" i="2"/>
  <c r="U38" i="2"/>
  <c r="O38" i="2"/>
  <c r="H38" i="2"/>
  <c r="Q38" i="2"/>
  <c r="V38" i="2"/>
  <c r="AB40" i="2"/>
  <c r="L40" i="2"/>
  <c r="AG40" i="2"/>
  <c r="K40" i="2"/>
  <c r="Y40" i="2"/>
  <c r="AD40" i="2"/>
  <c r="B40" i="2"/>
  <c r="N40" i="2"/>
  <c r="M40" i="2"/>
  <c r="X40" i="2"/>
  <c r="H40" i="2"/>
  <c r="AA40" i="2"/>
  <c r="F40" i="2"/>
  <c r="R40" i="2"/>
  <c r="W40" i="2"/>
  <c r="AI40" i="2"/>
  <c r="G40" i="2"/>
  <c r="E40" i="2"/>
  <c r="T40" i="2"/>
  <c r="D40" i="2"/>
  <c r="V40" i="2"/>
  <c r="A40" i="2"/>
  <c r="J40" i="2"/>
  <c r="O40" i="2"/>
  <c r="AC40" i="2"/>
  <c r="Z40" i="2"/>
  <c r="AH40" i="2"/>
  <c r="AF40" i="2"/>
  <c r="AE40" i="2"/>
  <c r="S40" i="2"/>
  <c r="BK39" i="2"/>
  <c r="P40" i="2"/>
  <c r="C40" i="2"/>
  <c r="I40" i="2"/>
  <c r="U40" i="2"/>
  <c r="Q40" i="2"/>
  <c r="AB9" i="2"/>
  <c r="L9" i="2"/>
  <c r="AI9" i="2"/>
  <c r="S9" i="2"/>
  <c r="C9" i="2"/>
  <c r="F9" i="2"/>
  <c r="U9" i="2"/>
  <c r="AH9" i="2"/>
  <c r="B9" i="2"/>
  <c r="H9" i="2"/>
  <c r="AE9" i="2"/>
  <c r="O9" i="2"/>
  <c r="AG9" i="2"/>
  <c r="M9" i="2"/>
  <c r="Y9" i="2"/>
  <c r="X9" i="2"/>
  <c r="AD9" i="2"/>
  <c r="Z9" i="2"/>
  <c r="P9" i="2"/>
  <c r="W9" i="2"/>
  <c r="N9" i="2"/>
  <c r="Q9" i="2"/>
  <c r="BK8" i="2"/>
  <c r="AC9" i="2"/>
  <c r="D9" i="2"/>
  <c r="K9" i="2"/>
  <c r="I9" i="2"/>
  <c r="R9" i="2"/>
  <c r="AF9" i="2"/>
  <c r="G9" i="2"/>
  <c r="J9" i="2"/>
  <c r="T9" i="2"/>
  <c r="AA9" i="2"/>
  <c r="V9" i="2"/>
  <c r="A9" i="2"/>
  <c r="E9" i="2"/>
  <c r="AI25" i="2"/>
  <c r="S25" i="2"/>
  <c r="C25" i="2"/>
  <c r="Q25" i="2"/>
  <c r="AF25" i="2"/>
  <c r="J25" i="2"/>
  <c r="Y25" i="2"/>
  <c r="D25" i="2"/>
  <c r="M25" i="2"/>
  <c r="W25" i="2"/>
  <c r="AG25" i="2"/>
  <c r="F25" i="2"/>
  <c r="P25" i="2"/>
  <c r="T25" i="2"/>
  <c r="X25" i="2"/>
  <c r="B25" i="2"/>
  <c r="O25" i="2"/>
  <c r="G25" i="2"/>
  <c r="A25" i="2"/>
  <c r="BK24" i="2"/>
  <c r="R25" i="2"/>
  <c r="AE25" i="2"/>
  <c r="AB25" i="2"/>
  <c r="Z25" i="2"/>
  <c r="AD25" i="2"/>
  <c r="AH25" i="2"/>
  <c r="L25" i="2"/>
  <c r="I25" i="2"/>
  <c r="AA25" i="2"/>
  <c r="U25" i="2"/>
  <c r="AC25" i="2"/>
  <c r="K25" i="2"/>
  <c r="E25" i="2"/>
  <c r="H25" i="2"/>
  <c r="V25" i="2"/>
  <c r="N25" i="2"/>
  <c r="AE51" i="2"/>
  <c r="AF51" i="2"/>
  <c r="L51" i="2"/>
  <c r="AC51" i="2"/>
  <c r="E51" i="2"/>
  <c r="N51" i="2"/>
  <c r="Y51" i="2"/>
  <c r="B51" i="2"/>
  <c r="X51" i="2"/>
  <c r="AA51" i="2"/>
  <c r="Z51" i="2"/>
  <c r="H51" i="2"/>
  <c r="V51" i="2"/>
  <c r="AH51" i="2"/>
  <c r="I51" i="2"/>
  <c r="R51" i="2"/>
  <c r="K51" i="2"/>
  <c r="A51" i="2"/>
  <c r="W51" i="2"/>
  <c r="U51" i="2"/>
  <c r="D51" i="2"/>
  <c r="O51" i="2"/>
  <c r="AB51" i="2"/>
  <c r="C51" i="2"/>
  <c r="M51" i="2"/>
  <c r="AD51" i="2"/>
  <c r="Q51" i="2"/>
  <c r="S51" i="2"/>
  <c r="T51" i="2"/>
  <c r="BK50" i="2"/>
  <c r="P51" i="2"/>
  <c r="AG51" i="2"/>
  <c r="G51" i="2"/>
  <c r="AI51" i="2"/>
  <c r="J51" i="2"/>
  <c r="F51" i="2"/>
  <c r="AB8" i="2"/>
  <c r="L8" i="2"/>
  <c r="AI8" i="2"/>
  <c r="S8" i="2"/>
  <c r="C8" i="2"/>
  <c r="J8" i="2"/>
  <c r="Q8" i="2"/>
  <c r="M8" i="2"/>
  <c r="N8" i="2"/>
  <c r="X8" i="2"/>
  <c r="H8" i="2"/>
  <c r="AE8" i="2"/>
  <c r="O8" i="2"/>
  <c r="AH8" i="2"/>
  <c r="B8" i="2"/>
  <c r="I8" i="2"/>
  <c r="E8" i="2"/>
  <c r="F8" i="2"/>
  <c r="T8" i="2"/>
  <c r="D8" i="2"/>
  <c r="AA8" i="2"/>
  <c r="K8" i="2"/>
  <c r="Z8" i="2"/>
  <c r="AG8" i="2"/>
  <c r="A8" i="2"/>
  <c r="AD8" i="2"/>
  <c r="U8" i="2"/>
  <c r="AF8" i="2"/>
  <c r="G8" i="2"/>
  <c r="V8" i="2"/>
  <c r="BK7" i="2"/>
  <c r="Y8" i="2"/>
  <c r="P8" i="2"/>
  <c r="R8" i="2"/>
  <c r="AC8" i="2"/>
  <c r="W8" i="2"/>
  <c r="AE21" i="2"/>
  <c r="O21" i="2"/>
  <c r="AG21" i="2"/>
  <c r="L21" i="2"/>
  <c r="Z21" i="2"/>
  <c r="E21" i="2"/>
  <c r="T21" i="2"/>
  <c r="AC21" i="2"/>
  <c r="X21" i="2"/>
  <c r="AA21" i="2"/>
  <c r="K21" i="2"/>
  <c r="AB21" i="2"/>
  <c r="F21" i="2"/>
  <c r="U21" i="2"/>
  <c r="BK20" i="2"/>
  <c r="N21" i="2"/>
  <c r="H21" i="2"/>
  <c r="B21" i="2"/>
  <c r="S21" i="2"/>
  <c r="Q21" i="2"/>
  <c r="J21" i="2"/>
  <c r="D21" i="2"/>
  <c r="G21" i="2"/>
  <c r="A21" i="2"/>
  <c r="AD21" i="2"/>
  <c r="AH21" i="2"/>
  <c r="AI21" i="2"/>
  <c r="C21" i="2"/>
  <c r="AF21" i="2"/>
  <c r="Y21" i="2"/>
  <c r="M21" i="2"/>
  <c r="V21" i="2"/>
  <c r="P21" i="2"/>
  <c r="I21" i="2"/>
  <c r="W21" i="2"/>
  <c r="R21" i="2"/>
  <c r="AB47" i="2"/>
  <c r="L47" i="2"/>
  <c r="AE47" i="2"/>
  <c r="J47" i="2"/>
  <c r="Y47" i="2"/>
  <c r="C47" i="2"/>
  <c r="R47" i="2"/>
  <c r="V47" i="2"/>
  <c r="K47" i="2"/>
  <c r="X47" i="2"/>
  <c r="H47" i="2"/>
  <c r="Z47" i="2"/>
  <c r="E47" i="2"/>
  <c r="S47" i="2"/>
  <c r="AH47" i="2"/>
  <c r="M47" i="2"/>
  <c r="A47" i="2"/>
  <c r="AA47" i="2"/>
  <c r="T47" i="2"/>
  <c r="U47" i="2"/>
  <c r="N47" i="2"/>
  <c r="G47" i="2"/>
  <c r="F47" i="2"/>
  <c r="P47" i="2"/>
  <c r="O47" i="2"/>
  <c r="I47" i="2"/>
  <c r="B47" i="2"/>
  <c r="D47" i="2"/>
  <c r="AI47" i="2"/>
  <c r="AC47" i="2"/>
  <c r="Q47" i="2"/>
  <c r="AD47" i="2"/>
  <c r="AF47" i="2"/>
  <c r="W47" i="2"/>
  <c r="AG47" i="2"/>
  <c r="BK46" i="2"/>
  <c r="AE20" i="2"/>
  <c r="Y20" i="2"/>
  <c r="H20" i="2"/>
  <c r="AC20" i="2"/>
  <c r="K20" i="2"/>
  <c r="AB20" i="2"/>
  <c r="J20" i="2"/>
  <c r="I20" i="2"/>
  <c r="Q20" i="2"/>
  <c r="AA20" i="2"/>
  <c r="T20" i="2"/>
  <c r="D20" i="2"/>
  <c r="X20" i="2"/>
  <c r="G20" i="2"/>
  <c r="V20" i="2"/>
  <c r="F20" i="2"/>
  <c r="M20" i="2"/>
  <c r="A20" i="2"/>
  <c r="W20" i="2"/>
  <c r="P20" i="2"/>
  <c r="BK19" i="2"/>
  <c r="S20" i="2"/>
  <c r="C20" i="2"/>
  <c r="R20" i="2"/>
  <c r="B20" i="2"/>
  <c r="U20" i="2"/>
  <c r="AF20" i="2"/>
  <c r="AH20" i="2"/>
  <c r="Z20" i="2"/>
  <c r="AI20" i="2"/>
  <c r="O20" i="2"/>
  <c r="E20" i="2"/>
  <c r="L20" i="2"/>
  <c r="AG20" i="2"/>
  <c r="N20" i="2"/>
  <c r="AD20" i="2"/>
  <c r="AB41" i="2"/>
  <c r="L41" i="2"/>
  <c r="AI41" i="2"/>
  <c r="N41" i="2"/>
  <c r="AA41" i="2"/>
  <c r="AG41" i="2"/>
  <c r="E41" i="2"/>
  <c r="J41" i="2"/>
  <c r="AC41" i="2"/>
  <c r="X41" i="2"/>
  <c r="H41" i="2"/>
  <c r="AD41" i="2"/>
  <c r="I41" i="2"/>
  <c r="U41" i="2"/>
  <c r="Z41" i="2"/>
  <c r="AE41" i="2"/>
  <c r="B41" i="2"/>
  <c r="A41" i="2"/>
  <c r="T41" i="2"/>
  <c r="D41" i="2"/>
  <c r="Y41" i="2"/>
  <c r="C41" i="2"/>
  <c r="M41" i="2"/>
  <c r="R41" i="2"/>
  <c r="W41" i="2"/>
  <c r="O41" i="2"/>
  <c r="V41" i="2"/>
  <c r="AF41" i="2"/>
  <c r="AH41" i="2"/>
  <c r="G41" i="2"/>
  <c r="P41" i="2"/>
  <c r="F41" i="2"/>
  <c r="Q41" i="2"/>
  <c r="BK40" i="2"/>
  <c r="S41" i="2"/>
  <c r="K41" i="2"/>
  <c r="AB50" i="2"/>
  <c r="L50" i="2"/>
  <c r="AH50" i="2"/>
  <c r="M50" i="2"/>
  <c r="AA50" i="2"/>
  <c r="F50" i="2"/>
  <c r="U50" i="2"/>
  <c r="AD50" i="2"/>
  <c r="S50" i="2"/>
  <c r="X50" i="2"/>
  <c r="H50" i="2"/>
  <c r="AC50" i="2"/>
  <c r="G50" i="2"/>
  <c r="V50" i="2"/>
  <c r="A50" i="2"/>
  <c r="O50" i="2"/>
  <c r="I50" i="2"/>
  <c r="AI50" i="2"/>
  <c r="AF50" i="2"/>
  <c r="BK49" i="2"/>
  <c r="AG50" i="2"/>
  <c r="Z50" i="2"/>
  <c r="C50" i="2"/>
  <c r="T50" i="2"/>
  <c r="W50" i="2"/>
  <c r="Q50" i="2"/>
  <c r="J50" i="2"/>
  <c r="N50" i="2"/>
  <c r="D50" i="2"/>
  <c r="AE50" i="2"/>
  <c r="Y50" i="2"/>
  <c r="P50" i="2"/>
  <c r="R50" i="2"/>
  <c r="K50" i="2"/>
  <c r="E50" i="2"/>
  <c r="B50" i="2"/>
  <c r="AF18" i="2"/>
  <c r="P18" i="2"/>
  <c r="BK17" i="2"/>
  <c r="W18" i="2"/>
  <c r="G18" i="2"/>
  <c r="Z18" i="2"/>
  <c r="J18" i="2"/>
  <c r="I18" i="2"/>
  <c r="AG18" i="2"/>
  <c r="AB18" i="2"/>
  <c r="H18" i="2"/>
  <c r="AA18" i="2"/>
  <c r="C18" i="2"/>
  <c r="R18" i="2"/>
  <c r="Y18" i="2"/>
  <c r="Q18" i="2"/>
  <c r="L18" i="2"/>
  <c r="S18" i="2"/>
  <c r="AD18" i="2"/>
  <c r="B18" i="2"/>
  <c r="A18" i="2"/>
  <c r="D18" i="2"/>
  <c r="O18" i="2"/>
  <c r="V18" i="2"/>
  <c r="AC18" i="2"/>
  <c r="M18" i="2"/>
  <c r="AE18" i="2"/>
  <c r="F18" i="2"/>
  <c r="X18" i="2"/>
  <c r="K18" i="2"/>
  <c r="U18" i="2"/>
  <c r="T18" i="2"/>
  <c r="AH18" i="2"/>
  <c r="E18" i="2"/>
  <c r="AI18" i="2"/>
  <c r="N18" i="2"/>
  <c r="X33" i="2"/>
  <c r="H33" i="2"/>
  <c r="AE33" i="2"/>
  <c r="O33" i="2"/>
  <c r="AH33" i="2"/>
  <c r="R33" i="2"/>
  <c r="B33" i="2"/>
  <c r="E33" i="2"/>
  <c r="AC33" i="2"/>
  <c r="T33" i="2"/>
  <c r="BK32" i="2"/>
  <c r="S33" i="2"/>
  <c r="AD33" i="2"/>
  <c r="J33" i="2"/>
  <c r="U33" i="2"/>
  <c r="M33" i="2"/>
  <c r="P33" i="2"/>
  <c r="AI33" i="2"/>
  <c r="K33" i="2"/>
  <c r="Z33" i="2"/>
  <c r="F33" i="2"/>
  <c r="AG33" i="2"/>
  <c r="D33" i="2"/>
  <c r="C33" i="2"/>
  <c r="I33" i="2"/>
  <c r="AF33" i="2"/>
  <c r="AA33" i="2"/>
  <c r="V33" i="2"/>
  <c r="Q33" i="2"/>
  <c r="AB33" i="2"/>
  <c r="W33" i="2"/>
  <c r="N33" i="2"/>
  <c r="A33" i="2"/>
  <c r="L33" i="2"/>
  <c r="G33" i="2"/>
  <c r="Y33" i="2"/>
  <c r="AB46" i="2"/>
  <c r="L46" i="2"/>
  <c r="AH46" i="2"/>
  <c r="M46" i="2"/>
  <c r="AA46" i="2"/>
  <c r="F46" i="2"/>
  <c r="U46" i="2"/>
  <c r="S46" i="2"/>
  <c r="I46" i="2"/>
  <c r="X46" i="2"/>
  <c r="AC46" i="2"/>
  <c r="G46" i="2"/>
  <c r="V46" i="2"/>
  <c r="O46" i="2"/>
  <c r="AI46" i="2"/>
  <c r="Y46" i="2"/>
  <c r="H46" i="2"/>
  <c r="A46" i="2"/>
  <c r="P46" i="2"/>
  <c r="R46" i="2"/>
  <c r="K46" i="2"/>
  <c r="E46" i="2"/>
  <c r="BK45" i="2"/>
  <c r="Z46" i="2"/>
  <c r="D46" i="2"/>
  <c r="B46" i="2"/>
  <c r="AE46" i="2"/>
  <c r="N46" i="2"/>
  <c r="AF46" i="2"/>
  <c r="AG46" i="2"/>
  <c r="AD46" i="2"/>
  <c r="T46" i="2"/>
  <c r="W46" i="2"/>
  <c r="Q46" i="2"/>
  <c r="C46" i="2"/>
  <c r="J46" i="2"/>
  <c r="AB48" i="2"/>
  <c r="L48" i="2"/>
  <c r="AH48" i="2"/>
  <c r="M48" i="2"/>
  <c r="AA48" i="2"/>
  <c r="F48" i="2"/>
  <c r="U48" i="2"/>
  <c r="Y48" i="2"/>
  <c r="N48" i="2"/>
  <c r="X48" i="2"/>
  <c r="H48" i="2"/>
  <c r="AC48" i="2"/>
  <c r="G48" i="2"/>
  <c r="V48" i="2"/>
  <c r="A48" i="2"/>
  <c r="O48" i="2"/>
  <c r="C48" i="2"/>
  <c r="AD48" i="2"/>
  <c r="T48" i="2"/>
  <c r="D48" i="2"/>
  <c r="W48" i="2"/>
  <c r="B48" i="2"/>
  <c r="Q48" i="2"/>
  <c r="AE48" i="2"/>
  <c r="J48" i="2"/>
  <c r="S48" i="2"/>
  <c r="I48" i="2"/>
  <c r="R48" i="2"/>
  <c r="E48" i="2"/>
  <c r="P48" i="2"/>
  <c r="K48" i="2"/>
  <c r="AF48" i="2"/>
  <c r="AG48" i="2"/>
  <c r="AI48" i="2"/>
  <c r="BK47" i="2"/>
  <c r="Z48" i="2"/>
  <c r="AE52" i="2"/>
  <c r="O52" i="2"/>
  <c r="AH52" i="2"/>
  <c r="M52" i="2"/>
  <c r="Y52" i="2"/>
  <c r="AD52" i="2"/>
  <c r="A52" i="2"/>
  <c r="F52" i="2"/>
  <c r="L52" i="2"/>
  <c r="AA52" i="2"/>
  <c r="K52" i="2"/>
  <c r="AC52" i="2"/>
  <c r="H52" i="2"/>
  <c r="Q52" i="2"/>
  <c r="V52" i="2"/>
  <c r="AB52" i="2"/>
  <c r="BK51" i="2"/>
  <c r="AG52" i="2"/>
  <c r="AI52" i="2"/>
  <c r="C52" i="2"/>
  <c r="AF52" i="2"/>
  <c r="I52" i="2"/>
  <c r="T52" i="2"/>
  <c r="W52" i="2"/>
  <c r="X52" i="2"/>
  <c r="J52" i="2"/>
  <c r="U52" i="2"/>
  <c r="E52" i="2"/>
  <c r="S52" i="2"/>
  <c r="R52" i="2"/>
  <c r="D52" i="2"/>
  <c r="N52" i="2"/>
  <c r="P52" i="2"/>
  <c r="Z52" i="2"/>
  <c r="G52" i="2"/>
  <c r="B52" i="2"/>
  <c r="AB42" i="2"/>
  <c r="L42" i="2"/>
  <c r="AG42" i="2"/>
  <c r="K42" i="2"/>
  <c r="W42" i="2"/>
  <c r="AI42" i="2"/>
  <c r="G42" i="2"/>
  <c r="M42" i="2"/>
  <c r="Y42" i="2"/>
  <c r="X42" i="2"/>
  <c r="AA42" i="2"/>
  <c r="O42" i="2"/>
  <c r="AC42" i="2"/>
  <c r="E42" i="2"/>
  <c r="R42" i="2"/>
  <c r="H42" i="2"/>
  <c r="F42" i="2"/>
  <c r="AH42" i="2"/>
  <c r="P42" i="2"/>
  <c r="Q42" i="2"/>
  <c r="B42" i="2"/>
  <c r="S42" i="2"/>
  <c r="BK41" i="2"/>
  <c r="N42" i="2"/>
  <c r="D42" i="2"/>
  <c r="A42" i="2"/>
  <c r="U42" i="2"/>
  <c r="AE42" i="2"/>
  <c r="AF42" i="2"/>
  <c r="AD42" i="2"/>
  <c r="C42" i="2"/>
  <c r="T42" i="2"/>
  <c r="I42" i="2"/>
  <c r="Z42" i="2"/>
  <c r="J42" i="2"/>
  <c r="V42" i="2"/>
  <c r="AB13" i="2"/>
  <c r="L13" i="2"/>
  <c r="AI13" i="2"/>
  <c r="S13" i="2"/>
  <c r="C13" i="2"/>
  <c r="V13" i="2"/>
  <c r="F13" i="2"/>
  <c r="A13" i="2"/>
  <c r="Y13" i="2"/>
  <c r="X13" i="2"/>
  <c r="H13" i="2"/>
  <c r="AE13" i="2"/>
  <c r="O13" i="2"/>
  <c r="AH13" i="2"/>
  <c r="R13" i="2"/>
  <c r="B13" i="2"/>
  <c r="AC13" i="2"/>
  <c r="I13" i="2"/>
  <c r="P13" i="2"/>
  <c r="W13" i="2"/>
  <c r="Z13" i="2"/>
  <c r="Q13" i="2"/>
  <c r="D13" i="2"/>
  <c r="K13" i="2"/>
  <c r="N13" i="2"/>
  <c r="M13" i="2"/>
  <c r="AF13" i="2"/>
  <c r="BK12" i="2"/>
  <c r="G13" i="2"/>
  <c r="J13" i="2"/>
  <c r="U13" i="2"/>
  <c r="T13" i="2"/>
  <c r="E13" i="2"/>
  <c r="AA13" i="2"/>
  <c r="AD13" i="2"/>
  <c r="AG13" i="2"/>
  <c r="AB28" i="2"/>
  <c r="L28" i="2"/>
  <c r="AI28" i="2"/>
  <c r="S28" i="2"/>
  <c r="C28" i="2"/>
  <c r="V28" i="2"/>
  <c r="U28" i="2"/>
  <c r="R28" i="2"/>
  <c r="I28" i="2"/>
  <c r="X28" i="2"/>
  <c r="H28" i="2"/>
  <c r="AE28" i="2"/>
  <c r="O28" i="2"/>
  <c r="AH28" i="2"/>
  <c r="N28" i="2"/>
  <c r="M28" i="2"/>
  <c r="J28" i="2"/>
  <c r="Y28" i="2"/>
  <c r="T28" i="2"/>
  <c r="D28" i="2"/>
  <c r="AA28" i="2"/>
  <c r="K28" i="2"/>
  <c r="AD28" i="2"/>
  <c r="F28" i="2"/>
  <c r="E28" i="2"/>
  <c r="B28" i="2"/>
  <c r="Q28" i="2"/>
  <c r="BK27" i="2"/>
  <c r="AC28" i="2"/>
  <c r="AF28" i="2"/>
  <c r="A28" i="2"/>
  <c r="W28" i="2"/>
  <c r="Z28" i="2"/>
  <c r="G28" i="2"/>
  <c r="AG28" i="2"/>
  <c r="P28" i="2"/>
  <c r="AD37" i="2"/>
  <c r="N37" i="2"/>
  <c r="AI37" i="2"/>
  <c r="M37" i="2"/>
  <c r="AB37" i="2"/>
  <c r="G37" i="2"/>
  <c r="U37" i="2"/>
  <c r="BK36" i="2"/>
  <c r="D37" i="2"/>
  <c r="Z37" i="2"/>
  <c r="J37" i="2"/>
  <c r="AC37" i="2"/>
  <c r="H37" i="2"/>
  <c r="W37" i="2"/>
  <c r="A37" i="2"/>
  <c r="P37" i="2"/>
  <c r="AE37" i="2"/>
  <c r="T37" i="2"/>
  <c r="R37" i="2"/>
  <c r="S37" i="2"/>
  <c r="L37" i="2"/>
  <c r="E37" i="2"/>
  <c r="AA37" i="2"/>
  <c r="F37" i="2"/>
  <c r="C37" i="2"/>
  <c r="AF37" i="2"/>
  <c r="I37" i="2"/>
  <c r="AG37" i="2"/>
  <c r="X37" i="2"/>
  <c r="Q37" i="2"/>
  <c r="K37" i="2"/>
  <c r="AH37" i="2"/>
  <c r="B37" i="2"/>
  <c r="Y37" i="2"/>
  <c r="V37" i="2"/>
  <c r="O37" i="2"/>
  <c r="AB11" i="2"/>
  <c r="L11" i="2"/>
  <c r="AI11" i="2"/>
  <c r="S11" i="2"/>
  <c r="C11" i="2"/>
  <c r="F11" i="2"/>
  <c r="U11" i="2"/>
  <c r="Z11" i="2"/>
  <c r="AG11" i="2"/>
  <c r="X11" i="2"/>
  <c r="H11" i="2"/>
  <c r="AE11" i="2"/>
  <c r="O11" i="2"/>
  <c r="AD11" i="2"/>
  <c r="Y11" i="2"/>
  <c r="M11" i="2"/>
  <c r="R11" i="2"/>
  <c r="Q11" i="2"/>
  <c r="P11" i="2"/>
  <c r="W11" i="2"/>
  <c r="N11" i="2"/>
  <c r="AH11" i="2"/>
  <c r="D11" i="2"/>
  <c r="K11" i="2"/>
  <c r="I11" i="2"/>
  <c r="J11" i="2"/>
  <c r="AF11" i="2"/>
  <c r="BK10" i="2"/>
  <c r="G11" i="2"/>
  <c r="AC11" i="2"/>
  <c r="B11" i="2"/>
  <c r="V11" i="2"/>
  <c r="E11" i="2"/>
  <c r="T11" i="2"/>
  <c r="A11" i="2"/>
  <c r="AA11" i="2"/>
  <c r="AB27" i="2"/>
  <c r="L27" i="2"/>
  <c r="AI27" i="2"/>
  <c r="S27" i="2"/>
  <c r="C27" i="2"/>
  <c r="F27" i="2"/>
  <c r="E27" i="2"/>
  <c r="J27" i="2"/>
  <c r="A27" i="2"/>
  <c r="X27" i="2"/>
  <c r="H27" i="2"/>
  <c r="AE27" i="2"/>
  <c r="O27" i="2"/>
  <c r="AD27" i="2"/>
  <c r="AC27" i="2"/>
  <c r="AH27" i="2"/>
  <c r="B27" i="2"/>
  <c r="Y27" i="2"/>
  <c r="AF27" i="2"/>
  <c r="BK26" i="2"/>
  <c r="G27" i="2"/>
  <c r="M27" i="2"/>
  <c r="AG27" i="2"/>
  <c r="T27" i="2"/>
  <c r="AA27" i="2"/>
  <c r="V27" i="2"/>
  <c r="Z27" i="2"/>
  <c r="Q27" i="2"/>
  <c r="P27" i="2"/>
  <c r="W27" i="2"/>
  <c r="N27" i="2"/>
  <c r="R27" i="2"/>
  <c r="D27" i="2"/>
  <c r="K27" i="2"/>
  <c r="U27" i="2"/>
  <c r="I27" i="2"/>
  <c r="AC6" i="2"/>
  <c r="M6" i="2"/>
  <c r="AD6" i="2"/>
  <c r="AB6" i="2"/>
  <c r="L6" i="2"/>
  <c r="Z6" i="2"/>
  <c r="AA6" i="2"/>
  <c r="K6" i="2"/>
  <c r="V6" i="2"/>
  <c r="Y6" i="2"/>
  <c r="I6" i="2"/>
  <c r="N6" i="2"/>
  <c r="X6" i="2"/>
  <c r="H6" i="2"/>
  <c r="J6" i="2"/>
  <c r="W6" i="2"/>
  <c r="G6" i="2"/>
  <c r="R6" i="2"/>
  <c r="U6" i="2"/>
  <c r="E6" i="2"/>
  <c r="B6" i="2"/>
  <c r="T6" i="2"/>
  <c r="D6" i="2"/>
  <c r="AI6" i="2"/>
  <c r="S6" i="2"/>
  <c r="C6" i="2"/>
  <c r="F6" i="2"/>
  <c r="A6" i="2"/>
  <c r="AE6" i="2"/>
  <c r="AG6" i="2"/>
  <c r="AH6" i="2"/>
  <c r="AF6" i="2"/>
  <c r="O6" i="2"/>
  <c r="P6" i="2"/>
  <c r="BK5" i="2"/>
  <c r="Q6" i="2"/>
  <c r="AE23" i="2"/>
  <c r="O23" i="2"/>
  <c r="AG23" i="2"/>
  <c r="L23" i="2"/>
  <c r="Z23" i="2"/>
  <c r="E23" i="2"/>
  <c r="T23" i="2"/>
  <c r="AH23" i="2"/>
  <c r="X23" i="2"/>
  <c r="AA23" i="2"/>
  <c r="K23" i="2"/>
  <c r="AB23" i="2"/>
  <c r="F23" i="2"/>
  <c r="U23" i="2"/>
  <c r="BK22" i="2"/>
  <c r="N23" i="2"/>
  <c r="M23" i="2"/>
  <c r="B23" i="2"/>
  <c r="W23" i="2"/>
  <c r="G23" i="2"/>
  <c r="V23" i="2"/>
  <c r="A23" i="2"/>
  <c r="P23" i="2"/>
  <c r="AD23" i="2"/>
  <c r="I23" i="2"/>
  <c r="AC23" i="2"/>
  <c r="R23" i="2"/>
  <c r="C23" i="2"/>
  <c r="Y23" i="2"/>
  <c r="Q23" i="2"/>
  <c r="D23" i="2"/>
  <c r="S23" i="2"/>
  <c r="AF23" i="2"/>
  <c r="AI23" i="2"/>
  <c r="H23" i="2"/>
  <c r="J23" i="2"/>
  <c r="X45" i="2"/>
  <c r="H45" i="2"/>
  <c r="Z45" i="2"/>
  <c r="E45" i="2"/>
  <c r="S45" i="2"/>
  <c r="AA45" i="2"/>
  <c r="W45" i="2"/>
  <c r="V45" i="2"/>
  <c r="AC45" i="2"/>
  <c r="T45" i="2"/>
  <c r="D45" i="2"/>
  <c r="U45" i="2"/>
  <c r="AI45" i="2"/>
  <c r="N45" i="2"/>
  <c r="Q45" i="2"/>
  <c r="M45" i="2"/>
  <c r="K45" i="2"/>
  <c r="R45" i="2"/>
  <c r="L45" i="2"/>
  <c r="J45" i="2"/>
  <c r="C45" i="2"/>
  <c r="AG45" i="2"/>
  <c r="AF45" i="2"/>
  <c r="BK44" i="2"/>
  <c r="AD45" i="2"/>
  <c r="F45" i="2"/>
  <c r="A45" i="2"/>
  <c r="O45" i="2"/>
  <c r="B45" i="2"/>
  <c r="AB45" i="2"/>
  <c r="Y45" i="2"/>
  <c r="G45" i="2"/>
  <c r="AE45" i="2"/>
  <c r="AH45" i="2"/>
  <c r="P45" i="2"/>
  <c r="I45" i="2"/>
  <c r="AG7" i="2"/>
  <c r="Q7" i="2"/>
  <c r="A7" i="2"/>
  <c r="W7" i="2"/>
  <c r="B7" i="2"/>
  <c r="P7" i="2"/>
  <c r="AD7" i="2"/>
  <c r="Z7" i="2"/>
  <c r="D7" i="2"/>
  <c r="Y7" i="2"/>
  <c r="E7" i="2"/>
  <c r="R7" i="2"/>
  <c r="AA7" i="2"/>
  <c r="BK6" i="2"/>
  <c r="T7" i="2"/>
  <c r="N7" i="2"/>
  <c r="I7" i="2"/>
  <c r="L7" i="2"/>
  <c r="K7" i="2"/>
  <c r="AE7" i="2"/>
  <c r="C7" i="2"/>
  <c r="AC7" i="2"/>
  <c r="AF7" i="2"/>
  <c r="G7" i="2"/>
  <c r="F7" i="2"/>
  <c r="O7" i="2"/>
  <c r="M7" i="2"/>
  <c r="V7" i="2"/>
  <c r="X7" i="2"/>
  <c r="AI7" i="2"/>
  <c r="S7" i="2"/>
  <c r="AB7" i="2"/>
  <c r="H7" i="2"/>
  <c r="U7" i="2"/>
  <c r="AH7" i="2"/>
  <c r="J7" i="2"/>
  <c r="AE24" i="2"/>
  <c r="O24" i="2"/>
  <c r="AD24" i="2"/>
  <c r="I24" i="2"/>
  <c r="X24" i="2"/>
  <c r="B24" i="2"/>
  <c r="Q24" i="2"/>
  <c r="P24" i="2"/>
  <c r="Z24" i="2"/>
  <c r="AA24" i="2"/>
  <c r="Y24" i="2"/>
  <c r="D24" i="2"/>
  <c r="R24" i="2"/>
  <c r="L24" i="2"/>
  <c r="U24" i="2"/>
  <c r="E24" i="2"/>
  <c r="K24" i="2"/>
  <c r="AG24" i="2"/>
  <c r="AI24" i="2"/>
  <c r="C24" i="2"/>
  <c r="AC24" i="2"/>
  <c r="V24" i="2"/>
  <c r="J24" i="2"/>
  <c r="N24" i="2"/>
  <c r="A24" i="2"/>
  <c r="W24" i="2"/>
  <c r="T24" i="2"/>
  <c r="M24" i="2"/>
  <c r="F24" i="2"/>
  <c r="BK23" i="2"/>
  <c r="H24" i="2"/>
  <c r="AH24" i="2"/>
  <c r="AB24" i="2"/>
  <c r="S24" i="2"/>
  <c r="G24" i="2"/>
  <c r="AF24" i="2"/>
  <c r="X43" i="2"/>
  <c r="H43" i="2"/>
  <c r="AD43" i="2"/>
  <c r="I43" i="2"/>
  <c r="R43" i="2"/>
  <c r="W43" i="2"/>
  <c r="AC43" i="2"/>
  <c r="A43" i="2"/>
  <c r="F43" i="2"/>
  <c r="P43" i="2"/>
  <c r="AI43" i="2"/>
  <c r="C43" i="2"/>
  <c r="E43" i="2"/>
  <c r="B43" i="2"/>
  <c r="U43" i="2"/>
  <c r="AF43" i="2"/>
  <c r="L43" i="2"/>
  <c r="Y43" i="2"/>
  <c r="AG43" i="2"/>
  <c r="AE43" i="2"/>
  <c r="V43" i="2"/>
  <c r="M43" i="2"/>
  <c r="T43" i="2"/>
  <c r="N43" i="2"/>
  <c r="J43" i="2"/>
  <c r="AA43" i="2"/>
  <c r="D43" i="2"/>
  <c r="Z43" i="2"/>
  <c r="O43" i="2"/>
  <c r="BK42" i="2"/>
  <c r="K43" i="2"/>
  <c r="G43" i="2"/>
  <c r="S43" i="2"/>
  <c r="Q43" i="2"/>
  <c r="AH43" i="2"/>
  <c r="AB43" i="2"/>
  <c r="AE54" i="2"/>
  <c r="O54" i="2"/>
  <c r="AH54" i="2"/>
  <c r="M54" i="2"/>
  <c r="V54" i="2"/>
  <c r="AB54" i="2"/>
  <c r="BK53" i="2"/>
  <c r="L54" i="2"/>
  <c r="Y54" i="2"/>
  <c r="AA54" i="2"/>
  <c r="K54" i="2"/>
  <c r="AC54" i="2"/>
  <c r="H54" i="2"/>
  <c r="P54" i="2"/>
  <c r="U54" i="2"/>
  <c r="AG54" i="2"/>
  <c r="E54" i="2"/>
  <c r="Q54" i="2"/>
  <c r="AI54" i="2"/>
  <c r="C54" i="2"/>
  <c r="AD54" i="2"/>
  <c r="F54" i="2"/>
  <c r="D54" i="2"/>
  <c r="W54" i="2"/>
  <c r="X54" i="2"/>
  <c r="I54" i="2"/>
  <c r="Z54" i="2"/>
  <c r="J54" i="2"/>
  <c r="S54" i="2"/>
  <c r="R54" i="2"/>
  <c r="A54" i="2"/>
  <c r="T54" i="2"/>
  <c r="G54" i="2"/>
  <c r="B54" i="2"/>
  <c r="N54" i="2"/>
  <c r="AF54" i="2"/>
  <c r="AE22" i="2"/>
  <c r="O22" i="2"/>
  <c r="AD22" i="2"/>
  <c r="I22" i="2"/>
  <c r="X22" i="2"/>
  <c r="B22" i="2"/>
  <c r="Q22" i="2"/>
  <c r="AF22" i="2"/>
  <c r="U22" i="2"/>
  <c r="AA22" i="2"/>
  <c r="K22" i="2"/>
  <c r="Y22" i="2"/>
  <c r="D22" i="2"/>
  <c r="R22" i="2"/>
  <c r="AG22" i="2"/>
  <c r="L22" i="2"/>
  <c r="J22" i="2"/>
  <c r="BK21" i="2"/>
  <c r="AI22" i="2"/>
  <c r="C22" i="2"/>
  <c r="AC22" i="2"/>
  <c r="V22" i="2"/>
  <c r="E22" i="2"/>
  <c r="W22" i="2"/>
  <c r="T22" i="2"/>
  <c r="M22" i="2"/>
  <c r="F22" i="2"/>
  <c r="P22" i="2"/>
  <c r="S22" i="2"/>
  <c r="N22" i="2"/>
  <c r="H22" i="2"/>
  <c r="A22" i="2"/>
  <c r="Z22" i="2"/>
  <c r="G22" i="2"/>
  <c r="AH22" i="2"/>
  <c r="AB22" i="2"/>
  <c r="AB19" i="2"/>
  <c r="L19" i="2"/>
  <c r="AI19" i="2"/>
  <c r="S19" i="2"/>
  <c r="C19" i="2"/>
  <c r="V19" i="2"/>
  <c r="F19" i="2"/>
  <c r="A19" i="2"/>
  <c r="Y19" i="2"/>
  <c r="X19" i="2"/>
  <c r="H19" i="2"/>
  <c r="AE19" i="2"/>
  <c r="O19" i="2"/>
  <c r="AH19" i="2"/>
  <c r="R19" i="2"/>
  <c r="B19" i="2"/>
  <c r="U19" i="2"/>
  <c r="I19" i="2"/>
  <c r="AF19" i="2"/>
  <c r="BK18" i="2"/>
  <c r="G19" i="2"/>
  <c r="J19" i="2"/>
  <c r="M19" i="2"/>
  <c r="T19" i="2"/>
  <c r="AA19" i="2"/>
  <c r="AD19" i="2"/>
  <c r="AG19" i="2"/>
  <c r="E19" i="2"/>
  <c r="P19" i="2"/>
  <c r="W19" i="2"/>
  <c r="Z19" i="2"/>
  <c r="Q19" i="2"/>
  <c r="K19" i="2"/>
  <c r="N19" i="2"/>
  <c r="AC19" i="2"/>
  <c r="D19" i="2"/>
  <c r="AB16" i="2"/>
  <c r="L16" i="2"/>
  <c r="AI16" i="2"/>
  <c r="S16" i="2"/>
  <c r="C16" i="2"/>
  <c r="V16" i="2"/>
  <c r="F16" i="2"/>
  <c r="M16" i="2"/>
  <c r="Q16" i="2"/>
  <c r="X16" i="2"/>
  <c r="H16" i="2"/>
  <c r="AE16" i="2"/>
  <c r="O16" i="2"/>
  <c r="AH16" i="2"/>
  <c r="R16" i="2"/>
  <c r="B16" i="2"/>
  <c r="U16" i="2"/>
  <c r="A16" i="2"/>
  <c r="T16" i="2"/>
  <c r="D16" i="2"/>
  <c r="AA16" i="2"/>
  <c r="K16" i="2"/>
  <c r="AD16" i="2"/>
  <c r="N16" i="2"/>
  <c r="Y16" i="2"/>
  <c r="E16" i="2"/>
  <c r="AC16" i="2"/>
  <c r="AF16" i="2"/>
  <c r="G16" i="2"/>
  <c r="AG16" i="2"/>
  <c r="P16" i="2"/>
  <c r="Z16" i="2"/>
  <c r="BK15" i="2"/>
  <c r="W16" i="2"/>
  <c r="J16" i="2"/>
  <c r="I16" i="2"/>
  <c r="AF14" i="2"/>
  <c r="P14" i="2"/>
  <c r="BK13" i="2"/>
  <c r="W14" i="2"/>
  <c r="G14" i="2"/>
  <c r="Z14" i="2"/>
  <c r="J14" i="2"/>
  <c r="I14" i="2"/>
  <c r="AG14" i="2"/>
  <c r="L14" i="2"/>
  <c r="AE14" i="2"/>
  <c r="K14" i="2"/>
  <c r="V14" i="2"/>
  <c r="B14" i="2"/>
  <c r="E14" i="2"/>
  <c r="H14" i="2"/>
  <c r="S14" i="2"/>
  <c r="AD14" i="2"/>
  <c r="Y14" i="2"/>
  <c r="A14" i="2"/>
  <c r="AB14" i="2"/>
  <c r="D14" i="2"/>
  <c r="O14" i="2"/>
  <c r="R14" i="2"/>
  <c r="AC14" i="2"/>
  <c r="M14" i="2"/>
  <c r="T14" i="2"/>
  <c r="AH14" i="2"/>
  <c r="Q14" i="2"/>
  <c r="AI14" i="2"/>
  <c r="N14" i="2"/>
  <c r="AA14" i="2"/>
  <c r="F14" i="2"/>
  <c r="X14" i="2"/>
  <c r="C14" i="2"/>
  <c r="U14" i="2"/>
  <c r="AB17" i="2"/>
  <c r="L17" i="2"/>
  <c r="AI17" i="2"/>
  <c r="S17" i="2"/>
  <c r="C17" i="2"/>
  <c r="V17" i="2"/>
  <c r="F17" i="2"/>
  <c r="A17" i="2"/>
  <c r="Y17" i="2"/>
  <c r="X17" i="2"/>
  <c r="H17" i="2"/>
  <c r="AE17" i="2"/>
  <c r="O17" i="2"/>
  <c r="AH17" i="2"/>
  <c r="R17" i="2"/>
  <c r="B17" i="2"/>
  <c r="E17" i="2"/>
  <c r="I17" i="2"/>
  <c r="AF17" i="2"/>
  <c r="BK16" i="2"/>
  <c r="G17" i="2"/>
  <c r="J17" i="2"/>
  <c r="M17" i="2"/>
  <c r="P17" i="2"/>
  <c r="Q17" i="2"/>
  <c r="T17" i="2"/>
  <c r="AA17" i="2"/>
  <c r="AD17" i="2"/>
  <c r="AG17" i="2"/>
  <c r="U17" i="2"/>
  <c r="W17" i="2"/>
  <c r="D17" i="2"/>
  <c r="K17" i="2"/>
  <c r="AC17" i="2"/>
  <c r="Z17" i="2"/>
  <c r="N17" i="2"/>
  <c r="AB32" i="2"/>
  <c r="L32" i="2"/>
  <c r="AI32" i="2"/>
  <c r="S32" i="2"/>
  <c r="C32" i="2"/>
  <c r="V32" i="2"/>
  <c r="F32" i="2"/>
  <c r="A32" i="2"/>
  <c r="I32" i="2"/>
  <c r="X32" i="2"/>
  <c r="H32" i="2"/>
  <c r="AE32" i="2"/>
  <c r="O32" i="2"/>
  <c r="AH32" i="2"/>
  <c r="R32" i="2"/>
  <c r="B32" i="2"/>
  <c r="AC32" i="2"/>
  <c r="E32" i="2"/>
  <c r="P32" i="2"/>
  <c r="W32" i="2"/>
  <c r="Z32" i="2"/>
  <c r="Q32" i="2"/>
  <c r="D32" i="2"/>
  <c r="K32" i="2"/>
  <c r="N32" i="2"/>
  <c r="M32" i="2"/>
  <c r="AF32" i="2"/>
  <c r="BK31" i="2"/>
  <c r="G32" i="2"/>
  <c r="J32" i="2"/>
  <c r="Y32" i="2"/>
  <c r="AG32" i="2"/>
  <c r="T32" i="2"/>
  <c r="U32" i="2"/>
  <c r="AA32" i="2"/>
  <c r="AD32" i="2"/>
  <c r="AF44" i="2"/>
  <c r="P44" i="2"/>
  <c r="BK43" i="2"/>
  <c r="R44" i="2"/>
  <c r="Q44" i="2"/>
  <c r="AI44" i="2"/>
  <c r="AE44" i="2"/>
  <c r="AD44" i="2"/>
  <c r="I44" i="2"/>
  <c r="AB44" i="2"/>
  <c r="H44" i="2"/>
  <c r="W44" i="2"/>
  <c r="K44" i="2"/>
  <c r="N44" i="2"/>
  <c r="E44" i="2"/>
  <c r="B44" i="2"/>
  <c r="D44" i="2"/>
  <c r="AA44" i="2"/>
  <c r="Y44" i="2"/>
  <c r="S44" i="2"/>
  <c r="O44" i="2"/>
  <c r="X44" i="2"/>
  <c r="AH44" i="2"/>
  <c r="V44" i="2"/>
  <c r="G44" i="2"/>
  <c r="J44" i="2"/>
  <c r="AG44" i="2"/>
  <c r="M44" i="2"/>
  <c r="T44" i="2"/>
  <c r="F44" i="2"/>
  <c r="C44" i="2"/>
  <c r="L44" i="2"/>
  <c r="A44" i="2"/>
  <c r="Z44" i="2"/>
  <c r="AC44" i="2"/>
  <c r="U44" i="2"/>
  <c r="AB15" i="2"/>
  <c r="L15" i="2"/>
  <c r="AI15" i="2"/>
  <c r="S15" i="2"/>
  <c r="C15" i="2"/>
  <c r="V15" i="2"/>
  <c r="F15" i="2"/>
  <c r="A15" i="2"/>
  <c r="Y15" i="2"/>
  <c r="X15" i="2"/>
  <c r="H15" i="2"/>
  <c r="AE15" i="2"/>
  <c r="O15" i="2"/>
  <c r="AH15" i="2"/>
  <c r="R15" i="2"/>
  <c r="B15" i="2"/>
  <c r="U15" i="2"/>
  <c r="I15" i="2"/>
  <c r="T15" i="2"/>
  <c r="D15" i="2"/>
  <c r="AA15" i="2"/>
  <c r="K15" i="2"/>
  <c r="AD15" i="2"/>
  <c r="N15" i="2"/>
  <c r="AG15" i="2"/>
  <c r="AC15" i="2"/>
  <c r="E15" i="2"/>
  <c r="W15" i="2"/>
  <c r="Q15" i="2"/>
  <c r="P15" i="2"/>
  <c r="AF15" i="2"/>
  <c r="G15" i="2"/>
  <c r="M15" i="2"/>
  <c r="Z15" i="2"/>
  <c r="BK14" i="2"/>
  <c r="J15" i="2"/>
  <c r="AB30" i="2"/>
  <c r="L30" i="2"/>
  <c r="AI30" i="2"/>
  <c r="S30" i="2"/>
  <c r="X30" i="2"/>
  <c r="H30" i="2"/>
  <c r="AE30" i="2"/>
  <c r="O30" i="2"/>
  <c r="AH30" i="2"/>
  <c r="R30" i="2"/>
  <c r="B30" i="2"/>
  <c r="AC30" i="2"/>
  <c r="U30" i="2"/>
  <c r="P30" i="2"/>
  <c r="W30" i="2"/>
  <c r="AD30" i="2"/>
  <c r="J30" i="2"/>
  <c r="A30" i="2"/>
  <c r="E30" i="2"/>
  <c r="D30" i="2"/>
  <c r="K30" i="2"/>
  <c r="Z30" i="2"/>
  <c r="F30" i="2"/>
  <c r="M30" i="2"/>
  <c r="AF30" i="2"/>
  <c r="BK29" i="2"/>
  <c r="G30" i="2"/>
  <c r="V30" i="2"/>
  <c r="AG30" i="2"/>
  <c r="Y30" i="2"/>
  <c r="T30" i="2"/>
  <c r="Q30" i="2"/>
  <c r="AA30" i="2"/>
  <c r="I30" i="2"/>
  <c r="C30" i="2"/>
  <c r="N30" i="2"/>
  <c r="AB12" i="2"/>
  <c r="L12" i="2"/>
  <c r="AI12" i="2"/>
  <c r="S12" i="2"/>
  <c r="C12" i="2"/>
  <c r="F12" i="2"/>
  <c r="AC12" i="2"/>
  <c r="AH12" i="2"/>
  <c r="B12" i="2"/>
  <c r="X12" i="2"/>
  <c r="H12" i="2"/>
  <c r="AE12" i="2"/>
  <c r="O12" i="2"/>
  <c r="AD12" i="2"/>
  <c r="AG12" i="2"/>
  <c r="U12" i="2"/>
  <c r="Z12" i="2"/>
  <c r="Y12" i="2"/>
  <c r="T12" i="2"/>
  <c r="D12" i="2"/>
  <c r="AA12" i="2"/>
  <c r="K12" i="2"/>
  <c r="V12" i="2"/>
  <c r="Q12" i="2"/>
  <c r="M12" i="2"/>
  <c r="R12" i="2"/>
  <c r="I12" i="2"/>
  <c r="P12" i="2"/>
  <c r="N12" i="2"/>
  <c r="W12" i="2"/>
  <c r="E12" i="2"/>
  <c r="BK11" i="2"/>
  <c r="A12" i="2"/>
  <c r="AF12" i="2"/>
  <c r="J12" i="2"/>
  <c r="G12" i="2"/>
  <c r="AI39" i="2"/>
  <c r="R39" i="2"/>
  <c r="B39" i="2"/>
  <c r="M39" i="2"/>
  <c r="AB39" i="2"/>
  <c r="G39" i="2"/>
  <c r="U39" i="2"/>
  <c r="BK38" i="2"/>
  <c r="Y39" i="2"/>
  <c r="AD39" i="2"/>
  <c r="N39" i="2"/>
  <c r="H39" i="2"/>
  <c r="W39" i="2"/>
  <c r="A39" i="2"/>
  <c r="O39" i="2"/>
  <c r="D39" i="2"/>
  <c r="AC39" i="2"/>
  <c r="P39" i="2"/>
  <c r="AF39" i="2"/>
  <c r="F39" i="2"/>
  <c r="AH39" i="2"/>
  <c r="AA39" i="2"/>
  <c r="I39" i="2"/>
  <c r="S39" i="2"/>
  <c r="E39" i="2"/>
  <c r="Z39" i="2"/>
  <c r="X39" i="2"/>
  <c r="Q39" i="2"/>
  <c r="K39" i="2"/>
  <c r="T39" i="2"/>
  <c r="L39" i="2"/>
  <c r="J39" i="2"/>
  <c r="AG39" i="2"/>
  <c r="V39" i="2"/>
  <c r="C39" i="2"/>
  <c r="AE39" i="2"/>
  <c r="Z36" i="2"/>
  <c r="J36" i="2"/>
  <c r="AA36" i="2"/>
  <c r="E36" i="2"/>
  <c r="T36" i="2"/>
  <c r="AI36" i="2"/>
  <c r="M36" i="2"/>
  <c r="G36" i="2"/>
  <c r="V36" i="2"/>
  <c r="F36" i="2"/>
  <c r="U36" i="2"/>
  <c r="BK35" i="2"/>
  <c r="O36" i="2"/>
  <c r="AC36" i="2"/>
  <c r="H36" i="2"/>
  <c r="W36" i="2"/>
  <c r="AD36" i="2"/>
  <c r="AF36" i="2"/>
  <c r="Y36" i="2"/>
  <c r="S36" i="2"/>
  <c r="Q36" i="2"/>
  <c r="R36" i="2"/>
  <c r="P36" i="2"/>
  <c r="I36" i="2"/>
  <c r="C36" i="2"/>
  <c r="AG36" i="2"/>
  <c r="B36" i="2"/>
  <c r="X36" i="2"/>
  <c r="K36" i="2"/>
  <c r="AB36" i="2"/>
  <c r="D36" i="2"/>
  <c r="L36" i="2"/>
  <c r="AH36" i="2"/>
  <c r="AE36" i="2"/>
  <c r="A36" i="2"/>
  <c r="N36" i="2"/>
  <c r="AF10" i="2"/>
  <c r="P10" i="2"/>
  <c r="BK9" i="2"/>
  <c r="W10" i="2"/>
  <c r="G10" i="2"/>
  <c r="N10" i="2"/>
  <c r="AC10" i="2"/>
  <c r="Y10" i="2"/>
  <c r="J10" i="2"/>
  <c r="T10" i="2"/>
  <c r="AI10" i="2"/>
  <c r="O10" i="2"/>
  <c r="V10" i="2"/>
  <c r="U10" i="2"/>
  <c r="Z10" i="2"/>
  <c r="A10" i="2"/>
  <c r="H10" i="2"/>
  <c r="S10" i="2"/>
  <c r="F10" i="2"/>
  <c r="E10" i="2"/>
  <c r="Q10" i="2"/>
  <c r="AB10" i="2"/>
  <c r="D10" i="2"/>
  <c r="K10" i="2"/>
  <c r="AG10" i="2"/>
  <c r="AH10" i="2"/>
  <c r="AA10" i="2"/>
  <c r="M10" i="2"/>
  <c r="X10" i="2"/>
  <c r="C10" i="2"/>
  <c r="R10" i="2"/>
  <c r="L10" i="2"/>
  <c r="AD10" i="2"/>
  <c r="B10" i="2"/>
  <c r="I10" i="2"/>
  <c r="AE10" i="2"/>
  <c r="AF26" i="2"/>
  <c r="W26" i="2"/>
  <c r="G26" i="2"/>
  <c r="T26" i="2"/>
  <c r="AC26" i="2"/>
  <c r="H26" i="2"/>
  <c r="V26" i="2"/>
  <c r="A26" i="2"/>
  <c r="P26" i="2"/>
  <c r="AE26" i="2"/>
  <c r="K26" i="2"/>
  <c r="N26" i="2"/>
  <c r="R26" i="2"/>
  <c r="AB26" i="2"/>
  <c r="U26" i="2"/>
  <c r="J26" i="2"/>
  <c r="S26" i="2"/>
  <c r="Y26" i="2"/>
  <c r="M26" i="2"/>
  <c r="L26" i="2"/>
  <c r="AG26" i="2"/>
  <c r="O26" i="2"/>
  <c r="I26" i="2"/>
  <c r="B26" i="2"/>
  <c r="F26" i="2"/>
  <c r="Z26" i="2"/>
  <c r="AA26" i="2"/>
  <c r="X26" i="2"/>
  <c r="E26" i="2"/>
  <c r="C26" i="2"/>
  <c r="AH26" i="2"/>
  <c r="AD26" i="2"/>
  <c r="Q26" i="2"/>
  <c r="BK25" i="2"/>
  <c r="AI26" i="2"/>
  <c r="D26" i="2"/>
  <c r="AA53" i="2"/>
  <c r="AI53" i="2"/>
  <c r="O53" i="2"/>
  <c r="AF53" i="2"/>
  <c r="J53" i="2"/>
  <c r="AB53" i="2"/>
  <c r="AG53" i="2"/>
  <c r="D53" i="2"/>
  <c r="I53" i="2"/>
  <c r="AC53" i="2"/>
  <c r="AE53" i="2"/>
  <c r="K53" i="2"/>
  <c r="Z53" i="2"/>
  <c r="E53" i="2"/>
  <c r="T53" i="2"/>
  <c r="Y53" i="2"/>
  <c r="AD53" i="2"/>
  <c r="B53" i="2"/>
  <c r="A53" i="2"/>
  <c r="C53" i="2"/>
  <c r="AH53" i="2"/>
  <c r="L53" i="2"/>
  <c r="H53" i="2"/>
  <c r="W53" i="2"/>
  <c r="U53" i="2"/>
  <c r="M53" i="2"/>
  <c r="X53" i="2"/>
  <c r="V53" i="2"/>
  <c r="S53" i="2"/>
  <c r="P53" i="2"/>
  <c r="F53" i="2"/>
  <c r="Q53" i="2"/>
  <c r="BK52" i="2"/>
  <c r="R53" i="2"/>
  <c r="N53" i="2"/>
  <c r="G53" i="2"/>
  <c r="AD35" i="2"/>
  <c r="X35" i="2"/>
  <c r="H35" i="2"/>
  <c r="AB35" i="2"/>
  <c r="K35" i="2"/>
  <c r="AA35" i="2"/>
  <c r="J35" i="2"/>
  <c r="Z35" i="2"/>
  <c r="T35" i="2"/>
  <c r="D35" i="2"/>
  <c r="W35" i="2"/>
  <c r="G35" i="2"/>
  <c r="V35" i="2"/>
  <c r="F35" i="2"/>
  <c r="P35" i="2"/>
  <c r="S35" i="2"/>
  <c r="R35" i="2"/>
  <c r="I35" i="2"/>
  <c r="A35" i="2"/>
  <c r="AH35" i="2"/>
  <c r="L35" i="2"/>
  <c r="O35" i="2"/>
  <c r="N35" i="2"/>
  <c r="U35" i="2"/>
  <c r="M35" i="2"/>
  <c r="AI35" i="2"/>
  <c r="BK34" i="2"/>
  <c r="C35" i="2"/>
  <c r="B35" i="2"/>
  <c r="E35" i="2"/>
  <c r="AE35" i="2"/>
  <c r="AG35" i="2"/>
  <c r="Y35" i="2"/>
  <c r="AF35" i="2"/>
  <c r="AC35" i="2"/>
  <c r="Q35" i="2"/>
</calcChain>
</file>

<file path=xl/sharedStrings.xml><?xml version="1.0" encoding="utf-8"?>
<sst xmlns="http://schemas.openxmlformats.org/spreadsheetml/2006/main" count="336" uniqueCount="141">
  <si>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</si>
  <si>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</si>
  <si>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</si>
  <si>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</si>
  <si>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</si>
  <si>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</si>
  <si>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</si>
  <si>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</si>
  <si>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</si>
  <si>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</si>
  <si>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</si>
  <si>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</si>
  <si>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</si>
  <si>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</si>
  <si>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</si>
  <si>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</si>
  <si>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</si>
  <si>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</si>
  <si>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</si>
  <si>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</si>
  <si>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</si>
  <si>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</si>
  <si>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</si>
  <si>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</si>
  <si>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</si>
  <si>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</si>
  <si>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</si>
  <si>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</si>
  <si>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</si>
  <si>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</si>
  <si>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</si>
  <si>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</si>
  <si>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</si>
  <si>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</si>
  <si>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</si>
  <si>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</si>
  <si>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</si>
  <si>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</si>
  <si>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</si>
  <si>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</si>
  <si>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</si>
  <si>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</si>
  <si>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</si>
  <si>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</si>
  <si>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</si>
  <si>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</si>
  <si>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</si>
  <si>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</si>
  <si>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</si>
  <si>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</si>
  <si>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</si>
  <si>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</si>
  <si>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</si>
  <si>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</si>
  <si>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</si>
  <si>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</si>
  <si>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</si>
  <si>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</si>
  <si>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</si>
  <si>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</si>
  <si>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</si>
  <si>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</si>
  <si>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</si>
  <si>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</si>
  <si>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</si>
  <si>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</si>
  <si>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</si>
  <si>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</si>
  <si>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</si>
  <si>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</si>
  <si>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</si>
  <si>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</si>
  <si>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</si>
  <si>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</si>
  <si>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</si>
  <si>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</si>
  <si>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</si>
  <si>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</si>
  <si>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</si>
  <si>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</si>
  <si>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</si>
  <si>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</si>
  <si>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</si>
  <si>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</si>
  <si>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</si>
  <si>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</si>
  <si>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</si>
  <si>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</si>
  <si>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</si>
  <si>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</si>
  <si>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</si>
  <si>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</si>
  <si>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</si>
  <si>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</si>
  <si>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</si>
  <si>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</si>
  <si>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</si>
  <si>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</si>
  <si>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</si>
  <si>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</si>
  <si>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</si>
  <si>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</si>
  <si>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</si>
  <si>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</si>
  <si>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</si>
  <si>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</si>
  <si>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</si>
  <si>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</si>
  <si>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</si>
  <si>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</si>
  <si>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</si>
  <si>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</si>
  <si>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</si>
  <si>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</si>
  <si>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</si>
  <si>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</si>
  <si>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</si>
  <si>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</si>
  <si>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</si>
  <si>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</si>
  <si>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</si>
  <si>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</si>
  <si>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</si>
  <si>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</si>
  <si>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</si>
  <si>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</si>
  <si>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</si>
  <si>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</si>
  <si>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</si>
  <si>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</si>
  <si>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</si>
  <si>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</si>
  <si>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</si>
  <si>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</si>
  <si>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</si>
  <si>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</si>
  <si>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</si>
  <si>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</si>
  <si>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</si>
  <si>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</si>
  <si>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>SCRAP COPPER OF T/F WINDING (Oil impregnated paper insulated T/F winding)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</si>
</sst>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H4" activePane="bottomRight" state="frozen"/>
      <selection pane="topRight"/>
      <selection pane="bottomLeft"/>
      <selection pane="bottomRight" activeCell="B10" sqref="B10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6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140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C14" sqref="C14"/>
    </sheetView>
  </sheetViews>
  <sheetFormatPr defaultRowHeight="15" outlineLevelCol="1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6" width="13.42578125" customWidth="1" outlineLevel="1"/>
    <col min="17" max="17" width="13.42578125" customWidth="1"/>
    <col min="18" max="18" width="13.42578125" customWidth="1" outlineLevel="1"/>
    <col min="19" max="20" width="13.42578125" customWidth="1"/>
    <col min="21" max="21" width="13.42578125" customWidth="1" outlineLevel="1"/>
    <col min="22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/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37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◀ type in the yellow box B3 or a yellow cell above any header - a lot no., a buyer, a lot name... several values: comma or / = ANY of them, + or &amp; = ALL of them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/>
      </c>
      <c r="AR4" t="str">
        <f>$AQ$4</f>
        <v/>
      </c>
      <c r="AS4" t="str">
        <f>IF(OR($AR$4="",$AR$5=99999),"",MID($AR$4,$AR$5+1,99999))</f>
        <v/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0</v>
      </c>
      <c r="BE4">
        <v>5</v>
      </c>
      <c r="BF4">
        <f t="shared" ref="BF4:BF13" si="0">IF($BD4=0,0,$BE4+$BD4)</f>
        <v>0</v>
      </c>
      <c r="BG4">
        <f>IF($BD12=0,$BE12,$BF12+1)</f>
        <v>43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SCRAP COPPER OF T/F WINDING (Oil impregnated paper insulated T/F winding)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1</v>
      </c>
      <c r="AO5" t="s">
        <v>6</v>
      </c>
      <c r="AR5">
        <f>IF($AR$4="",99999,MIN(IFERROR(FIND(",",$AR$4),99999),IFERROR(FIND("+",$AR$4),99999)))</f>
        <v>99999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9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5</v>
      </c>
      <c r="BC5">
        <v>4</v>
      </c>
      <c r="BD5">
        <f>COUNTIF($AZ$5:$AZ$41,2)</f>
        <v>0</v>
      </c>
      <c r="BE5">
        <f t="shared" ref="BE5:BE12" si="5">IF($BD4=0,$BE4,$BF4+1)</f>
        <v>5</v>
      </c>
      <c r="BF5">
        <f t="shared" si="0"/>
        <v>0</v>
      </c>
      <c r="BG5">
        <f>IF($BD13=0,$BE13,$BF13+1)</f>
        <v>44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4</v>
      </c>
      <c r="BK5">
        <f>IF($BJ5&gt;0,IF(INDEX($AZ$5:$AZ$41,MATCH(5,$BB$5:$BB$41,0))=10,1,0),IF($BH5=10,1,0))</f>
        <v>0</v>
      </c>
      <c r="BL5">
        <f>IF(5=$BG$4,1,0)</f>
        <v>0</v>
      </c>
      <c r="BM5">
        <f t="shared" ref="BM5:BM41" si="6"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1763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AL HAMD TRADE CORPORATION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COPPER OF T/F WINDING (Oil impregnated paper insulated T/F winding)</v>
      </c>
      <c r="E6" s="69">
        <f>IF($BJ5&gt;0,IF(INDEX('Final Calculation Sheet'!$D$4:$D$40,$BJ5-3)="","",INDEX('Final Calculation Sheet'!$D$4:$D$40,$BJ5-3)),IF(OR($BI5=1,$BL5=1,$BH5&gt;0),"–",""))</f>
        <v>21980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669</v>
      </c>
      <c r="G6" s="69" t="str">
        <f>IF($BJ5&gt;0,IF(INDEX('Final Calculation Sheet'!$E$4:$E$40,$BJ5-3)="","",INDEX('Final Calculation Sheet'!$E$4:$E$40,$BJ5-3)),IF(OR($BI5=1,$BL5=1,$BH5&gt;0),"–",""))</f>
        <v>KG</v>
      </c>
      <c r="H6" s="70">
        <f>IF($BJ5&gt;0,IF(INDEX('Final Calculation Sheet'!$C$4:$C$40,$BJ5-3)="","",INDEX('Final Calculation Sheet'!$C$4:$C$40,$BJ5-3)),IF(OR($BI5=1,$BL5=1,$BH5&gt;0),"–",""))</f>
        <v>1181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790089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142216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932305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18646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790.08900000000006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20976.862949999999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355.54005000000001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20621.322899999999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21411</v>
      </c>
      <c r="R6" s="72">
        <f>IF($BJ5&gt;0,IF(INDEX('Final Calculation Sheet'!$Q$4:$Q$40,$BJ5-3)="","",INDEX('Final Calculation Sheet'!$Q$4:$Q$40,$BJ5-3)),IF(OR($BI5=1,$BL5=1,$BH5&gt;0),"–",""))</f>
        <v>0.02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15802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913738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197522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197522</v>
      </c>
      <c r="W6" s="70" t="str">
        <f>IF($BJ5&gt;0,IF(INDEX('Final Calculation Sheet'!$V$4:$V$40,$BJ5-3)="","",INDEX('Final Calculation Sheet'!$V$4:$V$40,$BJ5-3)),IF(OR($BI5=1,$BL5=1,$BH5&gt;0),"–",""))</f>
        <v>24.08.2026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716215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716216</v>
      </c>
      <c r="Z6" s="70" t="str">
        <f>IF($BJ5&gt;0,IF(INDEX('Final Calculation Sheet'!$Y$4:$Y$40,$BJ5-3)="","",INDEX('Final Calculation Sheet'!$Y$4:$Y$40,$BJ5-3)),IF(OR($BI5=1,$BL5=1,$BH5&gt;0),"–",""))</f>
        <v>18.08.2026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913738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DR2640100029</v>
      </c>
      <c r="AG6" s="74">
        <f>IF($BJ5&gt;0,IF(INDEX('Final Calculation Sheet'!$AF$4:$AF$40,$BJ5-3)="","",INDEX('Final Calculation Sheet'!$AF$4:$AF$40,$BJ5-3)),IF(OR($BI5=1,$BL5=1,$BH5&gt;0),"–",""))</f>
        <v>1800003271</v>
      </c>
      <c r="AH6" s="70" t="str">
        <f>IF($BJ5&gt;0,IF(INDEX('Final Calculation Sheet'!$AG$4:$AG$40,$BJ5-3)="","",INDEX('Final Calculation Sheet'!$AG$4:$AG$40,$BJ5-3)),IF(OR($BI5=1,$BL5=1,$BH5&gt;0),"–",""))</f>
        <v>24.08.2026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/>
      </c>
      <c r="AS6" t="str">
        <f>IF($AS$4="","",IF($AS$5=99999,TRIM($AS$4),TRIM(LEFT($AS$4,$AS$5-1))))</f>
        <v/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9</v>
      </c>
      <c r="BA6">
        <f t="shared" si="3"/>
        <v>2</v>
      </c>
      <c r="BB6">
        <f t="shared" si="4"/>
        <v>6</v>
      </c>
      <c r="BC6">
        <v>5</v>
      </c>
      <c r="BD6">
        <f>COUNTIF($AZ$5:$AZ$41,3)</f>
        <v>0</v>
      </c>
      <c r="BE6">
        <f t="shared" si="5"/>
        <v>5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5</v>
      </c>
      <c r="BK6">
        <f>IF($BJ6&gt;0,IF(INDEX($AZ$5:$AZ$41,MATCH(6,$BB$5:$BB$41,0))=10,1,0),IF($BH6=10,1,0))</f>
        <v>0</v>
      </c>
      <c r="BL6">
        <f>IF(6=$BG$4,1,0)</f>
        <v>0</v>
      </c>
      <c r="BM6">
        <f t="shared" si="6"/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1874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NATIONAL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270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580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156600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28188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184788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3696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156.6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4157.7299999999996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70.47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4087.2599999999998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4244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184240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39150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39150</v>
      </c>
      <c r="W7" s="70" t="str">
        <f>IF($BJ6&gt;0,IF(INDEX('Final Calculation Sheet'!$V$4:$V$40,$BJ6-3)="","",INDEX('Final Calculation Sheet'!$V$4:$V$40,$BJ6-3)),IF(OR($BI6=1,$BL6=1,$BH6&gt;0),"–",""))</f>
        <v>13.08.2026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145090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145090</v>
      </c>
      <c r="Z7" s="70" t="str">
        <f>IF($BJ6&gt;0,IF(INDEX('Final Calculation Sheet'!$Y$4:$Y$40,$BJ6-3)="","",INDEX('Final Calculation Sheet'!$Y$4:$Y$40,$BJ6-3)),IF(OR($BI6=1,$BL6=1,$BH6&gt;0),"–",""))</f>
        <v>24.08.2026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184240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DR2640100030</v>
      </c>
      <c r="AG7" s="74">
        <f>IF($BJ6&gt;0,IF(INDEX('Final Calculation Sheet'!$AF$4:$AF$40,$BJ6-3)="","",INDEX('Final Calculation Sheet'!$AF$4:$AF$40,$BJ6-3)),IF(OR($BI6=1,$BL6=1,$BH6&gt;0),"–",""))</f>
        <v>1800003302</v>
      </c>
      <c r="AH7" s="70" t="str">
        <f>IF($BJ6&gt;0,IF(INDEX('Final Calculation Sheet'!$AG$4:$AG$40,$BJ6-3)="","",INDEX('Final Calculation Sheet'!$AG$4:$AG$40,$BJ6-3)),IF(OR($BI6=1,$BL6=1,$BH6&gt;0),"–",""))</f>
        <v>27.08.2026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1</v>
      </c>
      <c r="AO7" t="s">
        <v>2</v>
      </c>
      <c r="AR7" t="str">
        <f>IF($AR$4="","",IF($AR$5=99999,"",MID($AR$4,$AR$5,1)))</f>
        <v/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9</v>
      </c>
      <c r="BA7">
        <f t="shared" si="3"/>
        <v>3</v>
      </c>
      <c r="BB7">
        <f t="shared" si="4"/>
        <v>7</v>
      </c>
      <c r="BC7">
        <v>6</v>
      </c>
      <c r="BD7">
        <f>COUNTIF($AZ$5:$AZ$41,4)</f>
        <v>0</v>
      </c>
      <c r="BE7">
        <f t="shared" si="5"/>
        <v>5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6</v>
      </c>
      <c r="BK7">
        <f>IF($BJ7&gt;0,IF(INDEX($AZ$5:$AZ$41,MATCH(7,$BB$5:$BB$41,0))=10,1,0),IF($BH7=10,1,0))</f>
        <v>0</v>
      </c>
      <c r="BL7">
        <f>IF(7=$BG$4,1,0)</f>
        <v>0</v>
      </c>
      <c r="BM7">
        <f t="shared" si="6"/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1875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F R KHANS ENTERPRISES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of Copper of faulty AC compressor</v>
      </c>
      <c r="E8" s="69">
        <f>IF($BJ7&gt;0,IF(INDEX('Final Calculation Sheet'!$D$4:$D$40,$BJ7-3)="","",INDEX('Final Calculation Sheet'!$D$4:$D$40,$BJ7-3)),IF(OR($BI7=1,$BL7=1,$BH7&gt;0),"–",""))</f>
        <v>21977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28</v>
      </c>
      <c r="G8" s="69" t="str">
        <f>IF($BJ7&gt;0,IF(INDEX('Final Calculation Sheet'!$E$4:$E$40,$BJ7-3)="","",INDEX('Final Calculation Sheet'!$E$4:$E$40,$BJ7-3)),IF(OR($BI7=1,$BL7=1,$BH7&gt;0),"–",""))</f>
        <v>KG</v>
      </c>
      <c r="H8" s="70">
        <f>IF($BJ7&gt;0,IF(INDEX('Final Calculation Sheet'!$C$4:$C$40,$BJ7-3)="","",INDEX('Final Calculation Sheet'!$C$4:$C$40,$BJ7-3)),IF(OR($BI7=1,$BL7=1,$BH7&gt;0),"–",""))</f>
        <v>1456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40768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7338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48106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962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40.768000000000001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1082.3904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18.345600000000001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1064.0447999999999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1105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47964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10192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10192</v>
      </c>
      <c r="W8" s="70" t="str">
        <f>IF($BJ7&gt;0,IF(INDEX('Final Calculation Sheet'!$V$4:$V$40,$BJ7-3)="","",INDEX('Final Calculation Sheet'!$V$4:$V$40,$BJ7-3)),IF(OR($BI7=1,$BL7=1,$BH7&gt;0),"–",""))</f>
        <v>11.08.2026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37772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37772</v>
      </c>
      <c r="Z8" s="70" t="str">
        <f>IF($BJ7&gt;0,IF(INDEX('Final Calculation Sheet'!$Y$4:$Y$40,$BJ7-3)="","",INDEX('Final Calculation Sheet'!$Y$4:$Y$40,$BJ7-3)),IF(OR($BI7=1,$BL7=1,$BH7&gt;0),"–",""))</f>
        <v>20.08.2026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47964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DR2640100047</v>
      </c>
      <c r="AG8" s="74">
        <f>IF($BJ7&gt;0,IF(INDEX('Final Calculation Sheet'!$AF$4:$AF$40,$BJ7-3)="","",INDEX('Final Calculation Sheet'!$AF$4:$AF$40,$BJ7-3)),IF(OR($BI7=1,$BL7=1,$BH7&gt;0),"–",""))</f>
        <v>1800003346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1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9</v>
      </c>
      <c r="BA8">
        <f t="shared" si="3"/>
        <v>4</v>
      </c>
      <c r="BB8">
        <f t="shared" si="4"/>
        <v>8</v>
      </c>
      <c r="BC8">
        <v>7</v>
      </c>
      <c r="BD8">
        <f>COUNTIF($AZ$5:$AZ$41,5)</f>
        <v>0</v>
      </c>
      <c r="BE8">
        <f t="shared" si="5"/>
        <v>5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7</v>
      </c>
      <c r="BK8">
        <f>IF($BJ8&gt;0,IF(INDEX($AZ$5:$AZ$41,MATCH(8,$BB$5:$BB$41,0))=10,1,0),IF($BH8=10,1,0))</f>
        <v>0</v>
      </c>
      <c r="BL8">
        <f>IF(8=$BG$4,1,0)</f>
        <v>0</v>
      </c>
      <c r="BM8">
        <f t="shared" si="6"/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1876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F R KHANS ENTERPRISES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MS (extracted from equip cage and empty Sf6 gas cylinder)</v>
      </c>
      <c r="E9" s="69">
        <f>IF($BJ8&gt;0,IF(INDEX('Final Calculation Sheet'!$D$4:$D$40,$BJ8-3)="","",INDEX('Final Calculation Sheet'!$D$4:$D$40,$BJ8-3)),IF(OR($BI8=1,$BL8=1,$BH8&gt;0),"–",""))</f>
        <v>21977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3000</v>
      </c>
      <c r="G9" s="69" t="str">
        <f>IF($BJ8&gt;0,IF(INDEX('Final Calculation Sheet'!$E$4:$E$40,$BJ8-3)="","",INDEX('Final Calculation Sheet'!$E$4:$E$40,$BJ8-3)),IF(OR($BI8=1,$BL8=1,$BH8&gt;0),"–",""))</f>
        <v>KG</v>
      </c>
      <c r="H9" s="70">
        <f>IF($BJ8&gt;0,IF(INDEX('Final Calculation Sheet'!$C$4:$C$40,$BJ8-3)="","",INDEX('Final Calculation Sheet'!$C$4:$C$40,$BJ8-3)),IF(OR($BI8=1,$BL8=1,$BH8&gt;0),"–",""))</f>
        <v>66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198000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35640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233640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4673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198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5256.9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89.100000000000009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5167.7999999999993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5366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232947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49500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49500</v>
      </c>
      <c r="W9" s="70" t="str">
        <f>IF($BJ8&gt;0,IF(INDEX('Final Calculation Sheet'!$V$4:$V$40,$BJ8-3)="","",INDEX('Final Calculation Sheet'!$V$4:$V$40,$BJ8-3)),IF(OR($BI8=1,$BL8=1,$BH8&gt;0),"–",""))</f>
        <v>11.08.2026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183447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183446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232946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1</v>
      </c>
      <c r="AF9" s="70" t="str">
        <f>IF($BJ8&gt;0,IF(INDEX('Final Calculation Sheet'!$AE$4:$AE$40,$BJ8-3)="","",INDEX('Final Calculation Sheet'!$AE$4:$AE$40,$BJ8-3)),IF(OR($BI8=1,$BL8=1,$BH8&gt;0),"–",""))</f>
        <v>DR2640100048</v>
      </c>
      <c r="AG9" s="74">
        <f>IF($BJ8&gt;0,IF(INDEX('Final Calculation Sheet'!$AF$4:$AF$40,$BJ8-3)="","",INDEX('Final Calculation Sheet'!$AF$4:$AF$40,$BJ8-3)),IF(OR($BI8=1,$BL8=1,$BH8&gt;0),"–",""))</f>
        <v>1800003347</v>
      </c>
      <c r="AH9" s="70" t="str">
        <f>IF($BJ8&gt;0,IF(INDEX('Final Calculation Sheet'!$AG$4:$AG$40,$BJ8-3)="","",INDEX('Final Calculation Sheet'!$AG$4:$AG$40,$BJ8-3)),IF(OR($BI8=1,$BL8=1,$BH8&gt;0),"–",""))</f>
        <v>27.08.2026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OUTSTANDING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1</v>
      </c>
      <c r="AO9" t="s">
        <v>5</v>
      </c>
      <c r="AR9">
        <f>IF($AR$6="",0,$AR$8)</f>
        <v>0</v>
      </c>
      <c r="AS9">
        <f>IF($AS$6="",0,$AS$8)</f>
        <v>0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9</v>
      </c>
      <c r="BA9">
        <f t="shared" si="3"/>
        <v>5</v>
      </c>
      <c r="BB9">
        <f t="shared" si="4"/>
        <v>9</v>
      </c>
      <c r="BC9">
        <v>8</v>
      </c>
      <c r="BD9">
        <f>COUNTIF($AZ$5:$AZ$41,6)</f>
        <v>0</v>
      </c>
      <c r="BE9">
        <f t="shared" si="5"/>
        <v>5</v>
      </c>
      <c r="BF9">
        <f t="shared" si="0"/>
        <v>0</v>
      </c>
      <c r="BH9">
        <f>IFERROR(MATCH(9,$BF$4:$BF$13,0),0)</f>
        <v>0</v>
      </c>
      <c r="BI9">
        <f>IF(9=$BG$5,1,0)</f>
        <v>0</v>
      </c>
      <c r="BJ9">
        <f>IF(OR($BH9&gt;0,$BI9=1,$BL9=1),0,IFERROR(INDEX($BC$5:$BC$41,MATCH(9,$BB$5:$BB$41,0)),0))</f>
        <v>8</v>
      </c>
      <c r="BK9">
        <f>IF($BJ9&gt;0,IF(INDEX($AZ$5:$AZ$41,MATCH(9,$BB$5:$BB$41,0))=10,1,0),IF($BH9=10,1,0))</f>
        <v>0</v>
      </c>
      <c r="BL9">
        <f>IF(9=$BG$4,1,0)</f>
        <v>0</v>
      </c>
      <c r="BM9">
        <f t="shared" si="6"/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>
        <f>IF($BJ9&gt;0,INDEX($BA$5:$BA$41,MATCH(9,$BB$5:$BB$41,0)),IF(OR($BI9=1,$BL9=1,$BH9&gt;0),"∑",""))</f>
        <v>5</v>
      </c>
      <c r="B10" s="68">
        <f>IF($BJ9&gt;0,IF(INDEX('Final Calculation Sheet'!$F$4:$F$40,$BJ9-3)="","",INDEX('Final Calculation Sheet'!$F$4:$F$40,$BJ9-3)),"")</f>
        <v>1923</v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OMKAR STEELS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SCRAP ACSR CONDUCTORS (Conductor Pieces)</v>
      </c>
      <c r="E10" s="69">
        <f>IF($BJ9&gt;0,IF(INDEX('Final Calculation Sheet'!$D$4:$D$40,$BJ9-3)="","",INDEX('Final Calculation Sheet'!$D$4:$D$40,$BJ9-3)),IF(OR($BI9=1,$BL9=1,$BH9&gt;0),"–",""))</f>
        <v>21980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7253</v>
      </c>
      <c r="G10" s="69" t="str">
        <f>IF($BJ9&gt;0,IF(INDEX('Final Calculation Sheet'!$E$4:$E$40,$BJ9-3)="","",INDEX('Final Calculation Sheet'!$E$4:$E$40,$BJ9-3)),IF(OR($BI9=1,$BL9=1,$BH9&gt;0),"–",""))</f>
        <v>KG</v>
      </c>
      <c r="H10" s="70">
        <f>IF($BJ9&gt;0,IF(INDEX('Final Calculation Sheet'!$C$4:$C$40,$BJ9-3)="","",INDEX('Final Calculation Sheet'!$C$4:$C$40,$BJ9-3)),IF(OR($BI9=1,$BL9=1,$BH9&gt;0),"–",""))</f>
        <v>227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1646431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296358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1942789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38856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1646.431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43712.743049999997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740.89395000000002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42971.849099999999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44618</v>
      </c>
      <c r="R10" s="72">
        <f>IF($BJ9&gt;0,IF(INDEX('Final Calculation Sheet'!$Q$4:$Q$40,$BJ9-3)="","",INDEX('Final Calculation Sheet'!$Q$4:$Q$40,$BJ9-3)),IF(OR($BI9=1,$BL9=1,$BH9&gt;0),"–",""))</f>
        <v>0.02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32929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1904097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411608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411608</v>
      </c>
      <c r="W10" s="70" t="str">
        <f>IF($BJ9&gt;0,IF(INDEX('Final Calculation Sheet'!$V$4:$V$40,$BJ9-3)="","",INDEX('Final Calculation Sheet'!$V$4:$V$40,$BJ9-3)),IF(OR($BI9=1,$BL9=1,$BH9&gt;0),"–",""))</f>
        <v>14.08.2026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1492489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1492490</v>
      </c>
      <c r="Z10" s="70" t="str">
        <f>IF($BJ9&gt;0,IF(INDEX('Final Calculation Sheet'!$Y$4:$Y$40,$BJ9-3)="","",INDEX('Final Calculation Sheet'!$Y$4:$Y$40,$BJ9-3)),IF(OR($BI9=1,$BL9=1,$BH9&gt;0),"–",""))</f>
        <v>24.08.2026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 t="str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/>
      </c>
      <c r="AC10" s="70" t="str">
        <f>IF($BJ9&gt;0,IF(INDEX('Final Calculation Sheet'!$AB$4:$AB$40,$BJ9-3)="","",INDEX('Final Calculation Sheet'!$AB$4:$AB$40,$BJ9-3)),IF(OR($BI9=1,$BL9=1,$BH9&gt;0),"–",""))</f>
        <v/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1904098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-1</v>
      </c>
      <c r="AF10" s="70" t="str">
        <f>IF($BJ9&gt;0,IF(INDEX('Final Calculation Sheet'!$AE$4:$AE$40,$BJ9-3)="","",INDEX('Final Calculation Sheet'!$AE$4:$AE$40,$BJ9-3)),IF(OR($BI9=1,$BL9=1,$BH9&gt;0),"–",""))</f>
        <v>DR2640100045</v>
      </c>
      <c r="AG10" s="74">
        <f>IF($BJ9&gt;0,IF(INDEX('Final Calculation Sheet'!$AF$4:$AF$40,$BJ9-3)="","",INDEX('Final Calculation Sheet'!$AF$4:$AF$40,$BJ9-3)),IF(OR($BI9=1,$BL9=1,$BH9&gt;0),"–",""))</f>
        <v>1800003315</v>
      </c>
      <c r="AH10" s="70" t="str">
        <f>IF($BJ9&gt;0,IF(INDEX('Final Calculation Sheet'!$AG$4:$AG$40,$BJ9-3)="","",INDEX('Final Calculation Sheet'!$AG$4:$AG$40,$BJ9-3)),IF(OR($BI9=1,$BL9=1,$BH9&gt;0),"–",""))</f>
        <v>27.08.2026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1</v>
      </c>
      <c r="AZ10">
        <f t="shared" si="2"/>
        <v>9</v>
      </c>
      <c r="BA10">
        <f t="shared" si="3"/>
        <v>6</v>
      </c>
      <c r="BB10">
        <f t="shared" si="4"/>
        <v>10</v>
      </c>
      <c r="BC10">
        <v>9</v>
      </c>
      <c r="BD10">
        <f>COUNTIF($AZ$5:$AZ$41,7)</f>
        <v>0</v>
      </c>
      <c r="BE10">
        <f t="shared" si="5"/>
        <v>5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9</v>
      </c>
      <c r="BK10">
        <f>IF($BJ10&gt;0,IF(INDEX($AZ$5:$AZ$41,MATCH(10,$BB$5:$BB$41,0))=10,1,0),IF($BH10=10,1,0))</f>
        <v>0</v>
      </c>
      <c r="BL10">
        <f>IF(10=$BG$4,1,0)</f>
        <v>0</v>
      </c>
      <c r="BM10">
        <f t="shared" si="6"/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6</v>
      </c>
      <c r="B11" s="68">
        <f>IF($BJ10&gt;0,IF(INDEX('Final Calculation Sheet'!$F$4:$F$40,$BJ10-3)="","",INDEX('Final Calculation Sheet'!$F$4:$F$40,$BJ10-3)),"")</f>
        <v>1976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SHAR JAHAN TRADERS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Power Transformer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1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2787314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2787314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501717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3289031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65781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2787.3139999999999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74003.186699999991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1254.2912999999999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72748.895399999994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75536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3279275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696829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696829</v>
      </c>
      <c r="W11" s="70" t="str">
        <f>IF($BJ10&gt;0,IF(INDEX('Final Calculation Sheet'!$V$4:$V$40,$BJ10-3)="","",INDEX('Final Calculation Sheet'!$V$4:$V$40,$BJ10-3)),IF(OR($BI10=1,$BL10=1,$BH10&gt;0),"–",""))</f>
        <v>13.08.2026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2582446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2582447.0942916102</v>
      </c>
      <c r="Z11" s="70" t="str">
        <f>IF($BJ10&gt;0,IF(INDEX('Final Calculation Sheet'!$Y$4:$Y$40,$BJ10-3)="","",INDEX('Final Calculation Sheet'!$Y$4:$Y$40,$BJ10-3)),IF(OR($BI10=1,$BL10=1,$BH10&gt;0),"–",""))</f>
        <v>13.08.2026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3279276.0942916102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-1.0942916101776063</v>
      </c>
      <c r="AF11" s="70" t="str">
        <f>IF($BJ10&gt;0,IF(INDEX('Final Calculation Sheet'!$AE$4:$AE$40,$BJ10-3)="","",INDEX('Final Calculation Sheet'!$AE$4:$AE$40,$BJ10-3)),IF(OR($BI10=1,$BL10=1,$BH10&gt;0),"–",""))</f>
        <v>DR2640100023</v>
      </c>
      <c r="AG11" s="74">
        <f>IF($BJ10&gt;0,IF(INDEX('Final Calculation Sheet'!$AF$4:$AF$40,$BJ10-3)="","",INDEX('Final Calculation Sheet'!$AF$4:$AF$40,$BJ10-3)),IF(OR($BI10=1,$BL10=1,$BH10&gt;0),"–",""))</f>
        <v>1800003194</v>
      </c>
      <c r="AH11" s="70" t="str">
        <f>IF($BJ10&gt;0,IF(INDEX('Final Calculation Sheet'!$AG$4:$AG$40,$BJ10-3)="","",INDEX('Final Calculation Sheet'!$AG$4:$AG$40,$BJ10-3)),IF(OR($BI10=1,$BL10=1,$BH10&gt;0),"–",""))</f>
        <v>17.08.2026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SETTLED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1</v>
      </c>
      <c r="AZ11">
        <f t="shared" si="2"/>
        <v>9</v>
      </c>
      <c r="BA11">
        <f t="shared" si="3"/>
        <v>7</v>
      </c>
      <c r="BB11">
        <f t="shared" si="4"/>
        <v>11</v>
      </c>
      <c r="BC11">
        <v>10</v>
      </c>
      <c r="BD11">
        <f>COUNTIF($AZ$5:$AZ$41,8)</f>
        <v>0</v>
      </c>
      <c r="BE11">
        <f t="shared" si="5"/>
        <v>5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10</v>
      </c>
      <c r="BK11">
        <f>IF($BJ11&gt;0,IF(INDEX($AZ$5:$AZ$41,MATCH(11,$BB$5:$BB$41,0))=10,1,0),IF($BH11=10,1,0))</f>
        <v>0</v>
      </c>
      <c r="BL11">
        <f>IF(11=$BG$4,1,0)</f>
        <v>0</v>
      </c>
      <c r="BM11">
        <f t="shared" si="6"/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7</v>
      </c>
      <c r="B12" s="68">
        <f>IF($BJ11&gt;0,IF(INDEX('Final Calculation Sheet'!$F$4:$F$40,$BJ11-3)="","",INDEX('Final Calculation Sheet'!$F$4:$F$40,$BJ11-3)),"")</f>
        <v>2002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NATIONAL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132 KV CT</v>
      </c>
      <c r="E12" s="69">
        <f>IF($BJ11&gt;0,IF(INDEX('Final Calculation Sheet'!$D$4:$D$40,$BJ11-3)="","",INDEX('Final Calculation Sheet'!$D$4:$D$40,$BJ11-3)),IF(OR($BI11=1,$BL11=1,$BH11&gt;0),"–",""))</f>
        <v>21977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4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51511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206044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37088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243132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4863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206.04400000000001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5470.4681999999993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92.719799999999992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5377.7483999999995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5584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242411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51511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51511</v>
      </c>
      <c r="W12" s="70" t="str">
        <f>IF($BJ11&gt;0,IF(INDEX('Final Calculation Sheet'!$V$4:$V$40,$BJ11-3)="","",INDEX('Final Calculation Sheet'!$V$4:$V$40,$BJ11-3)),IF(OR($BI11=1,$BL11=1,$BH11&gt;0),"–",""))</f>
        <v>13.08.2026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190900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190900</v>
      </c>
      <c r="Z12" s="70" t="str">
        <f>IF($BJ11&gt;0,IF(INDEX('Final Calculation Sheet'!$Y$4:$Y$40,$BJ11-3)="","",INDEX('Final Calculation Sheet'!$Y$4:$Y$40,$BJ11-3)),IF(OR($BI11=1,$BL11=1,$BH11&gt;0),"–",""))</f>
        <v>24.08.2026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242411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DR2640100031</v>
      </c>
      <c r="AG12" s="74">
        <f>IF($BJ11&gt;0,IF(INDEX('Final Calculation Sheet'!$AF$4:$AF$40,$BJ11-3)="","",INDEX('Final Calculation Sheet'!$AF$4:$AF$40,$BJ11-3)),IF(OR($BI11=1,$BL11=1,$BH11&gt;0),"–",""))</f>
        <v>1800003303</v>
      </c>
      <c r="AH12" s="70" t="str">
        <f>IF($BJ11&gt;0,IF(INDEX('Final Calculation Sheet'!$AG$4:$AG$40,$BJ11-3)="","",INDEX('Final Calculation Sheet'!$AG$4:$AG$40,$BJ11-3)),IF(OR($BI11=1,$BL11=1,$BH11&gt;0),"–",""))</f>
        <v>27.08.2026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1</v>
      </c>
      <c r="AZ12">
        <f t="shared" si="2"/>
        <v>9</v>
      </c>
      <c r="BA12">
        <f t="shared" si="3"/>
        <v>8</v>
      </c>
      <c r="BB12">
        <f t="shared" si="4"/>
        <v>12</v>
      </c>
      <c r="BC12">
        <v>11</v>
      </c>
      <c r="BD12">
        <f>COUNTIF($AZ$5:$AZ$41,9)</f>
        <v>37</v>
      </c>
      <c r="BE12">
        <f t="shared" si="5"/>
        <v>5</v>
      </c>
      <c r="BF12">
        <f t="shared" si="0"/>
        <v>42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11</v>
      </c>
      <c r="BK12">
        <f>IF($BJ12&gt;0,IF(INDEX($AZ$5:$AZ$41,MATCH(12,$BB$5:$BB$41,0))=10,1,0),IF($BH12=10,1,0))</f>
        <v>0</v>
      </c>
      <c r="BL12">
        <f>IF(12=$BG$4,1,0)</f>
        <v>0</v>
      </c>
      <c r="BM12">
        <f t="shared" si="6"/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8</v>
      </c>
      <c r="B13" s="68">
        <f>IF($BJ12&gt;0,IF(INDEX('Final Calculation Sheet'!$F$4:$F$40,$BJ12-3)="","",INDEX('Final Calculation Sheet'!$F$4:$F$40,$BJ12-3)),"")</f>
        <v>2003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NATIONAL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145 KV CB</v>
      </c>
      <c r="E13" s="69">
        <f>IF($BJ12&gt;0,IF(INDEX('Final Calculation Sheet'!$D$4:$D$40,$BJ12-3)="","",INDEX('Final Calculation Sheet'!$D$4:$D$40,$BJ12-3)),IF(OR($BI12=1,$BL12=1,$BH12&gt;0),"–",""))</f>
        <v>21977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1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65007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65007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11701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76708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1534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65.007000000000005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1725.9358499999998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29.253150000000002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1696.6826999999998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1762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76481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16252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16252</v>
      </c>
      <c r="W13" s="70" t="str">
        <f>IF($BJ12&gt;0,IF(INDEX('Final Calculation Sheet'!$V$4:$V$40,$BJ12-3)="","",INDEX('Final Calculation Sheet'!$V$4:$V$40,$BJ12-3)),IF(OR($BI12=1,$BL12=1,$BH12&gt;0),"–",""))</f>
        <v>13.08.2026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60229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60229</v>
      </c>
      <c r="Z13" s="70" t="str">
        <f>IF($BJ12&gt;0,IF(INDEX('Final Calculation Sheet'!$Y$4:$Y$40,$BJ12-3)="","",INDEX('Final Calculation Sheet'!$Y$4:$Y$40,$BJ12-3)),IF(OR($BI12=1,$BL12=1,$BH12&gt;0),"–",""))</f>
        <v>24.08.2026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76481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0</v>
      </c>
      <c r="AF13" s="70" t="str">
        <f>IF($BJ12&gt;0,IF(INDEX('Final Calculation Sheet'!$AE$4:$AE$40,$BJ12-3)="","",INDEX('Final Calculation Sheet'!$AE$4:$AE$40,$BJ12-3)),IF(OR($BI12=1,$BL12=1,$BH12&gt;0),"–",""))</f>
        <v>DR2640100032</v>
      </c>
      <c r="AG13" s="74">
        <f>IF($BJ12&gt;0,IF(INDEX('Final Calculation Sheet'!$AF$4:$AF$40,$BJ12-3)="","",INDEX('Final Calculation Sheet'!$AF$4:$AF$40,$BJ12-3)),IF(OR($BI12=1,$BL12=1,$BH12&gt;0),"–",""))</f>
        <v>1800003304</v>
      </c>
      <c r="AH13" s="70" t="str">
        <f>IF($BJ12&gt;0,IF(INDEX('Final Calculation Sheet'!$AG$4:$AG$40,$BJ12-3)="","",INDEX('Final Calculation Sheet'!$AG$4:$AG$40,$BJ12-3)),IF(OR($BI12=1,$BL12=1,$BH12&gt;0),"–",""))</f>
        <v>27.08.2026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1</v>
      </c>
      <c r="AZ13">
        <f t="shared" si="2"/>
        <v>9</v>
      </c>
      <c r="BA13">
        <f t="shared" si="3"/>
        <v>9</v>
      </c>
      <c r="BB13">
        <f t="shared" si="4"/>
        <v>13</v>
      </c>
      <c r="BC13">
        <v>12</v>
      </c>
      <c r="BD13">
        <f>COUNTIF($AZ$5:$AZ$41,10)</f>
        <v>0</v>
      </c>
      <c r="BE13">
        <f>$BG$4+1</f>
        <v>44</v>
      </c>
      <c r="BF13">
        <f t="shared" si="0"/>
        <v>0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12</v>
      </c>
      <c r="BK13">
        <f>IF($BJ13&gt;0,IF(INDEX($AZ$5:$AZ$41,MATCH(13,$BB$5:$BB$41,0))=10,1,0),IF($BH13=10,1,0))</f>
        <v>0</v>
      </c>
      <c r="BL13">
        <f>IF(13=$BG$4,1,0)</f>
        <v>0</v>
      </c>
      <c r="BM13">
        <f t="shared" si="6"/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9</v>
      </c>
      <c r="B14" s="68">
        <f>IF($BJ13&gt;0,IF(INDEX('Final Calculation Sheet'!$F$4:$F$40,$BJ13-3)="","",INDEX('Final Calculation Sheet'!$F$4:$F$40,$BJ13-3)),"")</f>
        <v>2005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NATIONAL ENTERPRISES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220KV CT</v>
      </c>
      <c r="E14" s="69">
        <f>IF($BJ13&gt;0,IF(INDEX('Final Calculation Sheet'!$D$4:$D$40,$BJ13-3)="","",INDEX('Final Calculation Sheet'!$D$4:$D$40,$BJ13-3)),IF(OR($BI13=1,$BL13=1,$BH13&gt;0),"–",""))</f>
        <v>21977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1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70006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70006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12601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82607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1652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70.006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1858.6592999999998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31.502700000000001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1827.1565999999998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1897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82362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17502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17502</v>
      </c>
      <c r="W14" s="70" t="str">
        <f>IF($BJ13&gt;0,IF(INDEX('Final Calculation Sheet'!$V$4:$V$40,$BJ13-3)="","",INDEX('Final Calculation Sheet'!$V$4:$V$40,$BJ13-3)),IF(OR($BI13=1,$BL13=1,$BH13&gt;0),"–",""))</f>
        <v>13.08.2026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64861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64859</v>
      </c>
      <c r="Z14" s="70" t="str">
        <f>IF($BJ13&gt;0,IF(INDEX('Final Calculation Sheet'!$Y$4:$Y$40,$BJ13-3)="","",INDEX('Final Calculation Sheet'!$Y$4:$Y$40,$BJ13-3)),IF(OR($BI13=1,$BL13=1,$BH13&gt;0),"–",""))</f>
        <v>24.08.2026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82361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1</v>
      </c>
      <c r="AF14" s="70" t="str">
        <f>IF($BJ13&gt;0,IF(INDEX('Final Calculation Sheet'!$AE$4:$AE$40,$BJ13-3)="","",INDEX('Final Calculation Sheet'!$AE$4:$AE$40,$BJ13-3)),IF(OR($BI13=1,$BL13=1,$BH13&gt;0),"–",""))</f>
        <v>DR2640100033</v>
      </c>
      <c r="AG14" s="74">
        <f>IF($BJ13&gt;0,IF(INDEX('Final Calculation Sheet'!$AF$4:$AF$40,$BJ13-3)="","",INDEX('Final Calculation Sheet'!$AF$4:$AF$40,$BJ13-3)),IF(OR($BI13=1,$BL13=1,$BH13&gt;0),"–",""))</f>
        <v>1800003305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OUTSTANDING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9</v>
      </c>
      <c r="BA14">
        <f t="shared" si="3"/>
        <v>10</v>
      </c>
      <c r="BB14">
        <f t="shared" si="4"/>
        <v>14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13</v>
      </c>
      <c r="BK14">
        <f>IF($BJ14&gt;0,IF(INDEX($AZ$5:$AZ$41,MATCH(14,$BB$5:$BB$41,0))=10,1,0),IF($BH14=10,1,0))</f>
        <v>0</v>
      </c>
      <c r="BL14">
        <f>IF(14=$BG$4,1,0)</f>
        <v>0</v>
      </c>
      <c r="BM14">
        <f t="shared" si="6"/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10</v>
      </c>
      <c r="B15" s="68">
        <f>IF($BJ14&gt;0,IF(INDEX('Final Calculation Sheet'!$F$4:$F$40,$BJ14-3)="","",INDEX('Final Calculation Sheet'!$F$4:$F$40,$BJ14-3)),"")</f>
        <v>2006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drums</v>
      </c>
      <c r="E15" s="69">
        <f>IF($BJ14&gt;0,IF(INDEX('Final Calculation Sheet'!$D$4:$D$40,$BJ14-3)="","",INDEX('Final Calculation Sheet'!$D$4:$D$40,$BJ14-3)),IF(OR($BI14=1,$BL14=1,$BH14&gt;0),"–",""))</f>
        <v>21977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25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700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17500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3150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20650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413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17.5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464.625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7.875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456.75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474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20589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4375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4375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16214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16214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20589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DR2640100018</v>
      </c>
      <c r="AG15" s="74">
        <f>IF($BJ14&gt;0,IF(INDEX('Final Calculation Sheet'!$AF$4:$AF$40,$BJ14-3)="","",INDEX('Final Calculation Sheet'!$AF$4:$AF$40,$BJ14-3)),IF(OR($BI14=1,$BL14=1,$BH14&gt;0),"–",""))</f>
        <v>1800003156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1</v>
      </c>
      <c r="AZ15">
        <f t="shared" si="2"/>
        <v>9</v>
      </c>
      <c r="BA15">
        <f t="shared" si="3"/>
        <v>11</v>
      </c>
      <c r="BB15">
        <f t="shared" si="4"/>
        <v>15</v>
      </c>
      <c r="BC15">
        <v>14</v>
      </c>
      <c r="BH15">
        <f>IFERROR(MATCH(15,$BF$4:$BF$13,0),0)</f>
        <v>0</v>
      </c>
      <c r="BI15">
        <f>IF(15=$BG$5,1,0)</f>
        <v>0</v>
      </c>
      <c r="BJ15">
        <f>IF(OR($BH15&gt;0,$BI15=1,$BL15=1),0,IFERROR(INDEX($BC$5:$BC$41,MATCH(15,$BB$5:$BB$41,0)),0))</f>
        <v>14</v>
      </c>
      <c r="BK15">
        <f>IF($BJ15&gt;0,IF(INDEX($AZ$5:$AZ$41,MATCH(15,$BB$5:$BB$41,0))=10,1,0),IF($BH15=10,1,0))</f>
        <v>0</v>
      </c>
      <c r="BL15">
        <f>IF(15=$BG$4,1,0)</f>
        <v>0</v>
      </c>
      <c r="BM15">
        <f t="shared" si="6"/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>
        <f>IF($BJ15&gt;0,INDEX($BA$5:$BA$41,MATCH(15,$BB$5:$BB$41,0)),IF(OR($BI15=1,$BL15=1,$BH15&gt;0),"∑",""))</f>
        <v>11</v>
      </c>
      <c r="B16" s="68">
        <f>IF($BJ15&gt;0,IF(INDEX('Final Calculation Sheet'!$F$4:$F$40,$BJ15-3)="","",INDEX('Final Calculation Sheet'!$F$4:$F$40,$BJ15-3)),"")</f>
        <v>2007</v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SHAR JAHAN TRADERS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SCRAP POWER TRANSFORMER</v>
      </c>
      <c r="E16" s="69">
        <f>IF($BJ15&gt;0,IF(INDEX('Final Calculation Sheet'!$D$4:$D$40,$BJ15-3)="","",INDEX('Final Calculation Sheet'!$D$4:$D$40,$BJ15-3)),IF(OR($BI15=1,$BL15=1,$BH15&gt;0),"–",""))</f>
        <v>21977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1</v>
      </c>
      <c r="G16" s="69" t="str">
        <f>IF($BJ15&gt;0,IF(INDEX('Final Calculation Sheet'!$E$4:$E$40,$BJ15-3)="","",INDEX('Final Calculation Sheet'!$E$4:$E$40,$BJ15-3)),IF(OR($BI15=1,$BL15=1,$BH15&gt;0),"–",""))</f>
        <v>NO</v>
      </c>
      <c r="H16" s="70">
        <f>IF($BJ15&gt;0,IF(INDEX('Final Calculation Sheet'!$C$4:$C$40,$BJ15-3)="","",INDEX('Final Calculation Sheet'!$C$4:$C$40,$BJ15-3)),IF(OR($BI15=1,$BL15=1,$BH15&gt;0),"–",""))</f>
        <v>3857116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3857116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694281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4551397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91028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3857.116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102406.4298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1735.7021999999999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100670.7276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104528</v>
      </c>
      <c r="R16" s="72">
        <f>IF($BJ15&gt;0,IF(INDEX('Final Calculation Sheet'!$Q$4:$Q$40,$BJ15-3)="","",INDEX('Final Calculation Sheet'!$Q$4:$Q$40,$BJ15-3)),IF(OR($BI15=1,$BL15=1,$BH15&gt;0),"–",""))</f>
        <v>0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4537897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964279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964279</v>
      </c>
      <c r="W16" s="70" t="str">
        <f>IF($BJ15&gt;0,IF(INDEX('Final Calculation Sheet'!$V$4:$V$40,$BJ15-3)="","",INDEX('Final Calculation Sheet'!$V$4:$V$40,$BJ15-3)),IF(OR($BI15=1,$BL15=1,$BH15&gt;0),"–",""))</f>
        <v>13.08.2026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3573618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3573618.9057083898</v>
      </c>
      <c r="Z16" s="70" t="str">
        <f>IF($BJ15&gt;0,IF(INDEX('Final Calculation Sheet'!$Y$4:$Y$40,$BJ15-3)="","",INDEX('Final Calculation Sheet'!$Y$4:$Y$40,$BJ15-3)),IF(OR($BI15=1,$BL15=1,$BH15&gt;0),"–",""))</f>
        <v>13.08.2026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 t="str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/>
      </c>
      <c r="AC16" s="70" t="str">
        <f>IF($BJ15&gt;0,IF(INDEX('Final Calculation Sheet'!$AB$4:$AB$40,$BJ15-3)="","",INDEX('Final Calculation Sheet'!$AB$4:$AB$40,$BJ15-3)),IF(OR($BI15=1,$BL15=1,$BH15&gt;0),"–",""))</f>
        <v/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4537897.9057083894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-0.90570838935673237</v>
      </c>
      <c r="AF16" s="70" t="str">
        <f>IF($BJ15&gt;0,IF(INDEX('Final Calculation Sheet'!$AE$4:$AE$40,$BJ15-3)="","",INDEX('Final Calculation Sheet'!$AE$4:$AE$40,$BJ15-3)),IF(OR($BI15=1,$BL15=1,$BH15&gt;0),"–",""))</f>
        <v>DR2640100024</v>
      </c>
      <c r="AG16" s="74">
        <f>IF($BJ15&gt;0,IF(INDEX('Final Calculation Sheet'!$AF$4:$AF$40,$BJ15-3)="","",INDEX('Final Calculation Sheet'!$AF$4:$AF$40,$BJ15-3)),IF(OR($BI15=1,$BL15=1,$BH15&gt;0),"–",""))</f>
        <v>1800003196</v>
      </c>
      <c r="AH16" s="70" t="str">
        <f>IF($BJ15&gt;0,IF(INDEX('Final Calculation Sheet'!$AG$4:$AG$40,$BJ15-3)="","",INDEX('Final Calculation Sheet'!$AG$4:$AG$40,$BJ15-3)),IF(OR($BI15=1,$BL15=1,$BH15&gt;0),"–",""))</f>
        <v>17.08.2026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1</v>
      </c>
      <c r="AZ16">
        <f t="shared" si="2"/>
        <v>9</v>
      </c>
      <c r="BA16">
        <f t="shared" si="3"/>
        <v>12</v>
      </c>
      <c r="BB16">
        <f t="shared" si="4"/>
        <v>16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15</v>
      </c>
      <c r="BK16">
        <f>IF($BJ16&gt;0,IF(INDEX($AZ$5:$AZ$41,MATCH(16,$BB$5:$BB$41,0))=10,1,0),IF($BH16=10,1,0))</f>
        <v>0</v>
      </c>
      <c r="BL16">
        <f>IF(16=$BG$4,1,0)</f>
        <v>0</v>
      </c>
      <c r="BM16">
        <f t="shared" si="6"/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>
        <f>IF($BJ16&gt;0,INDEX($BA$5:$BA$41,MATCH(16,$BB$5:$BB$41,0)),IF(OR($BI16=1,$BL16=1,$BH16&gt;0),"∑",""))</f>
        <v>12</v>
      </c>
      <c r="B17" s="68">
        <f>IF($BJ16&gt;0,IF(INDEX('Final Calculation Sheet'!$F$4:$F$40,$BJ16-3)="","",INDEX('Final Calculation Sheet'!$F$4:$F$40,$BJ16-3)),"")</f>
        <v>2008</v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HIND TRADERS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Scrap of empty oil Druam</v>
      </c>
      <c r="E17" s="69">
        <f>IF($BJ16&gt;0,IF(INDEX('Final Calculation Sheet'!$D$4:$D$40,$BJ16-3)="","",INDEX('Final Calculation Sheet'!$D$4:$D$40,$BJ16-3)),IF(OR($BI16=1,$BL16=1,$BH16&gt;0),"–",""))</f>
        <v>21977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250</v>
      </c>
      <c r="G17" s="69" t="str">
        <f>IF($BJ16&gt;0,IF(INDEX('Final Calculation Sheet'!$E$4:$E$40,$BJ16-3)="","",INDEX('Final Calculation Sheet'!$E$4:$E$40,$BJ16-3)),IF(OR($BI16=1,$BL16=1,$BH16&gt;0),"–",""))</f>
        <v>NO</v>
      </c>
      <c r="H17" s="70">
        <f>IF($BJ16&gt;0,IF(INDEX('Final Calculation Sheet'!$C$4:$C$40,$BJ16-3)="","",INDEX('Final Calculation Sheet'!$C$4:$C$40,$BJ16-3)),IF(OR($BI16=1,$BL16=1,$BH16&gt;0),"–",""))</f>
        <v>543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135750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24435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160185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3204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135.75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3604.1624999999999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61.087499999999999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3543.0749999999998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3679</v>
      </c>
      <c r="R17" s="72">
        <f>IF($BJ16&gt;0,IF(INDEX('Final Calculation Sheet'!$Q$4:$Q$40,$BJ16-3)="","",INDEX('Final Calculation Sheet'!$Q$4:$Q$40,$BJ16-3)),IF(OR($BI16=1,$BL16=1,$BH16&gt;0),"–",""))</f>
        <v>0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159710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33938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33938</v>
      </c>
      <c r="W17" s="70" t="str">
        <f>IF($BJ16&gt;0,IF(INDEX('Final Calculation Sheet'!$V$4:$V$40,$BJ16-3)="","",INDEX('Final Calculation Sheet'!$V$4:$V$40,$BJ16-3)),IF(OR($BI16=1,$BL16=1,$BH16&gt;0),"–",""))</f>
        <v>14.08.2026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125772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125772</v>
      </c>
      <c r="Z17" s="70" t="str">
        <f>IF($BJ16&gt;0,IF(INDEX('Final Calculation Sheet'!$Y$4:$Y$40,$BJ16-3)="","",INDEX('Final Calculation Sheet'!$Y$4:$Y$40,$BJ16-3)),IF(OR($BI16=1,$BL16=1,$BH16&gt;0),"–",""))</f>
        <v>18.08.2026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 t="str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/>
      </c>
      <c r="AC17" s="70" t="str">
        <f>IF($BJ16&gt;0,IF(INDEX('Final Calculation Sheet'!$AB$4:$AB$40,$BJ16-3)="","",INDEX('Final Calculation Sheet'!$AB$4:$AB$40,$BJ16-3)),IF(OR($BI16=1,$BL16=1,$BH16&gt;0),"–",""))</f>
        <v/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159710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0</v>
      </c>
      <c r="AF17" s="70" t="str">
        <f>IF($BJ16&gt;0,IF(INDEX('Final Calculation Sheet'!$AE$4:$AE$40,$BJ16-3)="","",INDEX('Final Calculation Sheet'!$AE$4:$AE$40,$BJ16-3)),IF(OR($BI16=1,$BL16=1,$BH16&gt;0),"–",""))</f>
        <v>DR2640100026</v>
      </c>
      <c r="AG17" s="74">
        <f>IF($BJ16&gt;0,IF(INDEX('Final Calculation Sheet'!$AF$4:$AF$40,$BJ16-3)="","",INDEX('Final Calculation Sheet'!$AF$4:$AF$40,$BJ16-3)),IF(OR($BI16=1,$BL16=1,$BH16&gt;0),"–",""))</f>
        <v>1800003247</v>
      </c>
      <c r="AH17" s="70" t="str">
        <f>IF($BJ16&gt;0,IF(INDEX('Final Calculation Sheet'!$AG$4:$AG$40,$BJ16-3)="","",INDEX('Final Calculation Sheet'!$AG$4:$AG$40,$BJ16-3)),IF(OR($BI16=1,$BL16=1,$BH16&gt;0),"–",""))</f>
        <v>20.08.2026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9</v>
      </c>
      <c r="BA17">
        <f t="shared" si="3"/>
        <v>13</v>
      </c>
      <c r="BB17">
        <f t="shared" si="4"/>
        <v>17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16</v>
      </c>
      <c r="BK17">
        <f>IF($BJ17&gt;0,IF(INDEX($AZ$5:$AZ$41,MATCH(17,$BB$5:$BB$41,0))=10,1,0),IF($BH17=10,1,0))</f>
        <v>0</v>
      </c>
      <c r="BL17">
        <f>IF(17=$BG$4,1,0)</f>
        <v>0</v>
      </c>
      <c r="BM17">
        <f t="shared" si="6"/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13</v>
      </c>
      <c r="B18" s="68">
        <f>IF($BJ17&gt;0,IF(INDEX('Final Calculation Sheet'!$F$4:$F$40,$BJ17-3)="","",INDEX('Final Calculation Sheet'!$F$4:$F$40,$BJ17-3)),"")</f>
        <v>2011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STERLING ENTERPRISES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Scrap of empty oil Barrel</v>
      </c>
      <c r="E18" s="69">
        <f>IF($BJ17&gt;0,IF(INDEX('Final Calculation Sheet'!$D$4:$D$40,$BJ17-3)="","",INDEX('Final Calculation Sheet'!$D$4:$D$40,$BJ17-3)),IF(OR($BI17=1,$BL17=1,$BH17&gt;0),"–",""))</f>
        <v>21977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22</v>
      </c>
      <c r="G18" s="69" t="str">
        <f>IF($BJ17&gt;0,IF(INDEX('Final Calculation Sheet'!$E$4:$E$40,$BJ17-3)="","",INDEX('Final Calculation Sheet'!$E$4:$E$40,$BJ17-3)),IF(OR($BI17=1,$BL17=1,$BH17&gt;0),"–",""))</f>
        <v>NO</v>
      </c>
      <c r="H18" s="70">
        <f>IF($BJ17&gt;0,IF(INDEX('Final Calculation Sheet'!$C$4:$C$40,$BJ17-3)="","",INDEX('Final Calculation Sheet'!$C$4:$C$40,$BJ17-3)),IF(OR($BI17=1,$BL17=1,$BH17&gt;0),"–",""))</f>
        <v>700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15400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2772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18172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363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15.4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408.87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6.93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401.94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417</v>
      </c>
      <c r="R18" s="72">
        <f>IF($BJ17&gt;0,IF(INDEX('Final Calculation Sheet'!$Q$4:$Q$40,$BJ17-3)="","",INDEX('Final Calculation Sheet'!$Q$4:$Q$40,$BJ17-3)),IF(OR($BI17=1,$BL17=1,$BH17&gt;0),"–",""))</f>
        <v>0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0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18118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3850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3850</v>
      </c>
      <c r="W18" s="70" t="str">
        <f>IF($BJ17&gt;0,IF(INDEX('Final Calculation Sheet'!$V$4:$V$40,$BJ17-3)="","",INDEX('Final Calculation Sheet'!$V$4:$V$40,$BJ17-3)),IF(OR($BI17=1,$BL17=1,$BH17&gt;0),"–",""))</f>
        <v>11.08.2026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14268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14267</v>
      </c>
      <c r="Z18" s="70" t="str">
        <f>IF($BJ17&gt;0,IF(INDEX('Final Calculation Sheet'!$Y$4:$Y$40,$BJ17-3)="","",INDEX('Final Calculation Sheet'!$Y$4:$Y$40,$BJ17-3)),IF(OR($BI17=1,$BL17=1,$BH17&gt;0),"–",""))</f>
        <v>11.08.2026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18117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1</v>
      </c>
      <c r="AF18" s="70" t="str">
        <f>IF($BJ17&gt;0,IF(INDEX('Final Calculation Sheet'!$AE$4:$AE$40,$BJ17-3)="","",INDEX('Final Calculation Sheet'!$AE$4:$AE$40,$BJ17-3)),IF(OR($BI17=1,$BL17=1,$BH17&gt;0),"–",""))</f>
        <v>DR2640100019</v>
      </c>
      <c r="AG18" s="74">
        <f>IF($BJ17&gt;0,IF(INDEX('Final Calculation Sheet'!$AF$4:$AF$40,$BJ17-3)="","",INDEX('Final Calculation Sheet'!$AF$4:$AF$40,$BJ17-3)),IF(OR($BI17=1,$BL17=1,$BH17&gt;0),"–",""))</f>
        <v>1800003157</v>
      </c>
      <c r="AH18" s="70" t="str">
        <f>IF($BJ17&gt;0,IF(INDEX('Final Calculation Sheet'!$AG$4:$AG$40,$BJ17-3)="","",INDEX('Final Calculation Sheet'!$AG$4:$AG$40,$BJ17-3)),IF(OR($BI17=1,$BL17=1,$BH17&gt;0),"–",""))</f>
        <v>14.08.2026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OUTSTANDING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9</v>
      </c>
      <c r="BA18">
        <f t="shared" si="3"/>
        <v>14</v>
      </c>
      <c r="BB18">
        <f t="shared" si="4"/>
        <v>18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17</v>
      </c>
      <c r="BK18">
        <f>IF($BJ18&gt;0,IF(INDEX($AZ$5:$AZ$41,MATCH(18,$BB$5:$BB$41,0))=10,1,0),IF($BH18=10,1,0))</f>
        <v>0</v>
      </c>
      <c r="BL18">
        <f>IF(18=$BG$4,1,0)</f>
        <v>0</v>
      </c>
      <c r="BM18">
        <f t="shared" si="6"/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14</v>
      </c>
      <c r="B19" s="68">
        <f>IF($BJ18&gt;0,IF(INDEX('Final Calculation Sheet'!$F$4:$F$40,$BJ18-3)="","",INDEX('Final Calculation Sheet'!$F$4:$F$40,$BJ18-3)),"")</f>
        <v>2015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STERLING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empty oil Barrels</v>
      </c>
      <c r="E19" s="69">
        <f>IF($BJ18&gt;0,IF(INDEX('Final Calculation Sheet'!$D$4:$D$40,$BJ18-3)="","",INDEX('Final Calculation Sheet'!$D$4:$D$40,$BJ18-3)),IF(OR($BI18=1,$BL18=1,$BH18&gt;0),"–",""))</f>
        <v>21978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100</v>
      </c>
      <c r="G19" s="69" t="str">
        <f>IF($BJ18&gt;0,IF(INDEX('Final Calculation Sheet'!$E$4:$E$40,$BJ18-3)="","",INDEX('Final Calculation Sheet'!$E$4:$E$40,$BJ18-3)),IF(OR($BI18=1,$BL18=1,$BH18&gt;0),"–",""))</f>
        <v>NO</v>
      </c>
      <c r="H19" s="70">
        <f>IF($BJ18&gt;0,IF(INDEX('Final Calculation Sheet'!$C$4:$C$40,$BJ18-3)="","",INDEX('Final Calculation Sheet'!$C$4:$C$40,$BJ18-3)),IF(OR($BI18=1,$BL18=1,$BH18&gt;0),"–",""))</f>
        <v>710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71000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12780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83780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1676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71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1885.05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31.95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1853.1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1924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83532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17750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17750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65782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65782</v>
      </c>
      <c r="Z19" s="70" t="str">
        <f>IF($BJ18&gt;0,IF(INDEX('Final Calculation Sheet'!$Y$4:$Y$40,$BJ18-3)="","",INDEX('Final Calculation Sheet'!$Y$4:$Y$40,$BJ18-3)),IF(OR($BI18=1,$BL18=1,$BH18&gt;0),"–",""))</f>
        <v>11.08.2026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83532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DR2640100020</v>
      </c>
      <c r="AG19" s="74">
        <f>IF($BJ18&gt;0,IF(INDEX('Final Calculation Sheet'!$AF$4:$AF$40,$BJ18-3)="","",INDEX('Final Calculation Sheet'!$AF$4:$AF$40,$BJ18-3)),IF(OR($BI18=1,$BL18=1,$BH18&gt;0),"–",""))</f>
        <v>1800003158</v>
      </c>
      <c r="AH19" s="70" t="str">
        <f>IF($BJ18&gt;0,IF(INDEX('Final Calculation Sheet'!$AG$4:$AG$40,$BJ18-3)="","",INDEX('Final Calculation Sheet'!$AG$4:$AG$40,$BJ18-3)),IF(OR($BI18=1,$BL18=1,$BH18&gt;0),"–",""))</f>
        <v>14.08.2026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1</v>
      </c>
      <c r="AZ19">
        <f t="shared" si="2"/>
        <v>9</v>
      </c>
      <c r="BA19">
        <f t="shared" si="3"/>
        <v>15</v>
      </c>
      <c r="BB19">
        <f t="shared" si="4"/>
        <v>19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18</v>
      </c>
      <c r="BK19">
        <f>IF($BJ19&gt;0,IF(INDEX($AZ$5:$AZ$41,MATCH(19,$BB$5:$BB$41,0))=10,1,0),IF($BH19=10,1,0))</f>
        <v>0</v>
      </c>
      <c r="BL19">
        <f>IF(19=$BG$4,1,0)</f>
        <v>0</v>
      </c>
      <c r="BM19">
        <f t="shared" si="6"/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15</v>
      </c>
      <c r="B20" s="68">
        <f>IF($BJ19&gt;0,IF(INDEX('Final Calculation Sheet'!$F$4:$F$40,$BJ19-3)="","",INDEX('Final Calculation Sheet'!$F$4:$F$40,$BJ19-3)),"")</f>
        <v>2018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NATIONAL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220 KV Circuit Breaker</v>
      </c>
      <c r="E20" s="69">
        <f>IF($BJ19&gt;0,IF(INDEX('Final Calculation Sheet'!$D$4:$D$40,$BJ19-3)="","",INDEX('Final Calculation Sheet'!$D$4:$D$40,$BJ19-3)),IF(OR($BI19=1,$BL19=1,$BH19&gt;0),"–",""))</f>
        <v>21978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1</v>
      </c>
      <c r="G20" s="69" t="str">
        <f>IF($BJ19&gt;0,IF(INDEX('Final Calculation Sheet'!$E$4:$E$40,$BJ19-3)="","",INDEX('Final Calculation Sheet'!$E$4:$E$40,$BJ19-3)),IF(OR($BI19=1,$BL19=1,$BH19&gt;0),"–",""))</f>
        <v>NO</v>
      </c>
      <c r="H20" s="70">
        <f>IF($BJ19&gt;0,IF(INDEX('Final Calculation Sheet'!$C$4:$C$40,$BJ19-3)="","",INDEX('Final Calculation Sheet'!$C$4:$C$40,$BJ19-3)),IF(OR($BI19=1,$BL19=1,$BH19&gt;0),"–",""))</f>
        <v>220001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220001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39600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259601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5192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220.001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5841.0265499999996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99.000450000000001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5742.0260999999991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5962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258831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55000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55000</v>
      </c>
      <c r="W20" s="70" t="str">
        <f>IF($BJ19&gt;0,IF(INDEX('Final Calculation Sheet'!$V$4:$V$40,$BJ19-3)="","",INDEX('Final Calculation Sheet'!$V$4:$V$40,$BJ19-3)),IF(OR($BI19=1,$BL19=1,$BH19&gt;0),"–",""))</f>
        <v>13.08.2026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203831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203831</v>
      </c>
      <c r="Z20" s="70" t="str">
        <f>IF($BJ19&gt;0,IF(INDEX('Final Calculation Sheet'!$Y$4:$Y$40,$BJ19-3)="","",INDEX('Final Calculation Sheet'!$Y$4:$Y$40,$BJ19-3)),IF(OR($BI19=1,$BL19=1,$BH19&gt;0),"–",""))</f>
        <v>24.08.2026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258831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0</v>
      </c>
      <c r="AF20" s="70" t="str">
        <f>IF($BJ19&gt;0,IF(INDEX('Final Calculation Sheet'!$AE$4:$AE$40,$BJ19-3)="","",INDEX('Final Calculation Sheet'!$AE$4:$AE$40,$BJ19-3)),IF(OR($BI19=1,$BL19=1,$BH19&gt;0),"–",""))</f>
        <v>DR2640100034</v>
      </c>
      <c r="AG20" s="74">
        <f>IF($BJ19&gt;0,IF(INDEX('Final Calculation Sheet'!$AF$4:$AF$40,$BJ19-3)="","",INDEX('Final Calculation Sheet'!$AF$4:$AF$40,$BJ19-3)),IF(OR($BI19=1,$BL19=1,$BH19&gt;0),"–",""))</f>
        <v>1800003306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SETTLED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1</v>
      </c>
      <c r="AZ20">
        <f t="shared" si="2"/>
        <v>9</v>
      </c>
      <c r="BA20">
        <f t="shared" si="3"/>
        <v>16</v>
      </c>
      <c r="BB20">
        <f t="shared" si="4"/>
        <v>20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19</v>
      </c>
      <c r="BK20">
        <f>IF($BJ20&gt;0,IF(INDEX($AZ$5:$AZ$41,MATCH(20,$BB$5:$BB$41,0))=10,1,0),IF($BH20=10,1,0))</f>
        <v>0</v>
      </c>
      <c r="BL20">
        <f>IF(20=$BG$4,1,0)</f>
        <v>0</v>
      </c>
      <c r="BM20">
        <f t="shared" si="6"/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16</v>
      </c>
      <c r="B21" s="68">
        <f>IF($BJ20&gt;0,IF(INDEX('Final Calculation Sheet'!$F$4:$F$40,$BJ20-3)="","",INDEX('Final Calculation Sheet'!$F$4:$F$40,$BJ20-3)),"")</f>
        <v>2019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NATIONAL ENTERPRISES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of 220 KV Circuit Breaker</v>
      </c>
      <c r="E21" s="69">
        <f>IF($BJ20&gt;0,IF(INDEX('Final Calculation Sheet'!$D$4:$D$40,$BJ20-3)="","",INDEX('Final Calculation Sheet'!$D$4:$D$40,$BJ20-3)),IF(OR($BI20=1,$BL20=1,$BH20&gt;0),"–",""))</f>
        <v>21978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1</v>
      </c>
      <c r="G21" s="69" t="str">
        <f>IF($BJ20&gt;0,IF(INDEX('Final Calculation Sheet'!$E$4:$E$40,$BJ20-3)="","",INDEX('Final Calculation Sheet'!$E$4:$E$40,$BJ20-3)),IF(OR($BI20=1,$BL20=1,$BH20&gt;0),"–",""))</f>
        <v>NO</v>
      </c>
      <c r="H21" s="70">
        <f>IF($BJ20&gt;0,IF(INDEX('Final Calculation Sheet'!$C$4:$C$40,$BJ20-3)="","",INDEX('Final Calculation Sheet'!$C$4:$C$40,$BJ20-3)),IF(OR($BI20=1,$BL20=1,$BH20&gt;0),"–",""))</f>
        <v>210001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210001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37800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247801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4956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210.001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5575.5265499999996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94.500450000000001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5481.0260999999991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5691</v>
      </c>
      <c r="R21" s="72">
        <f>IF($BJ20&gt;0,IF(INDEX('Final Calculation Sheet'!$Q$4:$Q$40,$BJ20-3)="","",INDEX('Final Calculation Sheet'!$Q$4:$Q$40,$BJ20-3)),IF(OR($BI20=1,$BL20=1,$BH20&gt;0),"–",""))</f>
        <v>0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0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247066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52500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52500</v>
      </c>
      <c r="W21" s="70" t="str">
        <f>IF($BJ20&gt;0,IF(INDEX('Final Calculation Sheet'!$V$4:$V$40,$BJ20-3)="","",INDEX('Final Calculation Sheet'!$V$4:$V$40,$BJ20-3)),IF(OR($BI20=1,$BL20=1,$BH20&gt;0),"–",""))</f>
        <v>13.08.2026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194566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194566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247066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0</v>
      </c>
      <c r="AF21" s="70" t="str">
        <f>IF($BJ20&gt;0,IF(INDEX('Final Calculation Sheet'!$AE$4:$AE$40,$BJ20-3)="","",INDEX('Final Calculation Sheet'!$AE$4:$AE$40,$BJ20-3)),IF(OR($BI20=1,$BL20=1,$BH20&gt;0),"–",""))</f>
        <v>DR2640100035</v>
      </c>
      <c r="AG21" s="74">
        <f>IF($BJ20&gt;0,IF(INDEX('Final Calculation Sheet'!$AF$4:$AF$40,$BJ20-3)="","",INDEX('Final Calculation Sheet'!$AF$4:$AF$40,$BJ20-3)),IF(OR($BI20=1,$BL20=1,$BH20&gt;0),"–",""))</f>
        <v>1800003307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1</v>
      </c>
      <c r="AZ21">
        <f t="shared" si="2"/>
        <v>9</v>
      </c>
      <c r="BA21">
        <f t="shared" si="3"/>
        <v>17</v>
      </c>
      <c r="BB21">
        <f t="shared" si="4"/>
        <v>21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20</v>
      </c>
      <c r="BK21">
        <f>IF($BJ21&gt;0,IF(INDEX($AZ$5:$AZ$41,MATCH(21,$BB$5:$BB$41,0))=10,1,0),IF($BH21=10,1,0))</f>
        <v>0</v>
      </c>
      <c r="BL21">
        <f>IF(21=$BG$4,1,0)</f>
        <v>0</v>
      </c>
      <c r="BM21">
        <f t="shared" si="6"/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17</v>
      </c>
      <c r="B22" s="68">
        <f>IF($BJ21&gt;0,IF(INDEX('Final Calculation Sheet'!$F$4:$F$40,$BJ21-3)="","",INDEX('Final Calculation Sheet'!$F$4:$F$40,$BJ21-3)),"")</f>
        <v>2020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OMKAR STEELS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80MM² AAAC EARTHWIRE</v>
      </c>
      <c r="E22" s="69">
        <f>IF($BJ21&gt;0,IF(INDEX('Final Calculation Sheet'!$D$4:$D$40,$BJ21-3)="","",INDEX('Final Calculation Sheet'!$D$4:$D$40,$BJ21-3)),IF(OR($BI21=1,$BL21=1,$BH21&gt;0),"–",""))</f>
        <v>21978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3500</v>
      </c>
      <c r="G22" s="69" t="str">
        <f>IF($BJ21&gt;0,IF(INDEX('Final Calculation Sheet'!$E$4:$E$40,$BJ21-3)="","",INDEX('Final Calculation Sheet'!$E$4:$E$40,$BJ21-3)),IF(OR($BI21=1,$BL21=1,$BH21&gt;0),"–",""))</f>
        <v>KG</v>
      </c>
      <c r="H22" s="70">
        <f>IF($BJ21&gt;0,IF(INDEX('Final Calculation Sheet'!$C$4:$C$40,$BJ21-3)="","",INDEX('Final Calculation Sheet'!$C$4:$C$40,$BJ21-3)),IF(OR($BI21=1,$BL21=1,$BH21&gt;0),"–",""))</f>
        <v>333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1165500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209790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1375290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27506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1165.5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30944.024999999998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524.47500000000002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30419.55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31585</v>
      </c>
      <c r="R22" s="72">
        <f>IF($BJ21&gt;0,IF(INDEX('Final Calculation Sheet'!$Q$4:$Q$40,$BJ21-3)="","",INDEX('Final Calculation Sheet'!$Q$4:$Q$40,$BJ21-3)),IF(OR($BI21=1,$BL21=1,$BH21&gt;0),"–",""))</f>
        <v>0.02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23310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1347901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291375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291375</v>
      </c>
      <c r="W22" s="70" t="str">
        <f>IF($BJ21&gt;0,IF(INDEX('Final Calculation Sheet'!$V$4:$V$40,$BJ21-3)="","",INDEX('Final Calculation Sheet'!$V$4:$V$40,$BJ21-3)),IF(OR($BI21=1,$BL21=1,$BH21&gt;0),"–",""))</f>
        <v>10.08.2026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1056526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1056525</v>
      </c>
      <c r="Z22" s="70" t="str">
        <f>IF($BJ21&gt;0,IF(INDEX('Final Calculation Sheet'!$Y$4:$Y$40,$BJ21-3)="","",INDEX('Final Calculation Sheet'!$Y$4:$Y$40,$BJ21-3)),IF(OR($BI21=1,$BL21=1,$BH21&gt;0),"–",""))</f>
        <v>10.08.2026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1347900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1</v>
      </c>
      <c r="AF22" s="70" t="str">
        <f>IF($BJ21&gt;0,IF(INDEX('Final Calculation Sheet'!$AE$4:$AE$40,$BJ21-3)="","",INDEX('Final Calculation Sheet'!$AE$4:$AE$40,$BJ21-3)),IF(OR($BI21=1,$BL21=1,$BH21&gt;0),"–",""))</f>
        <v>DR2640100017</v>
      </c>
      <c r="AG22" s="74">
        <f>IF($BJ21&gt;0,IF(INDEX('Final Calculation Sheet'!$AF$4:$AF$40,$BJ21-3)="","",INDEX('Final Calculation Sheet'!$AF$4:$AF$40,$BJ21-3)),IF(OR($BI21=1,$BL21=1,$BH21&gt;0),"–",""))</f>
        <v>1800003065</v>
      </c>
      <c r="AH22" s="70" t="str">
        <f>IF($BJ21&gt;0,IF(INDEX('Final Calculation Sheet'!$AG$4:$AG$40,$BJ21-3)="","",INDEX('Final Calculation Sheet'!$AG$4:$AG$40,$BJ21-3)),IF(OR($BI21=1,$BL21=1,$BH21&gt;0),"–",""))</f>
        <v>12.08.2026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OUTSTANDING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1</v>
      </c>
      <c r="AZ22">
        <f t="shared" si="2"/>
        <v>9</v>
      </c>
      <c r="BA22">
        <f t="shared" si="3"/>
        <v>18</v>
      </c>
      <c r="BB22">
        <f t="shared" si="4"/>
        <v>22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21</v>
      </c>
      <c r="BK22">
        <f>IF($BJ22&gt;0,IF(INDEX($AZ$5:$AZ$41,MATCH(22,$BB$5:$BB$41,0))=10,1,0),IF($BH22=10,1,0))</f>
        <v>0</v>
      </c>
      <c r="BL22">
        <f>IF(22=$BG$4,1,0)</f>
        <v>0</v>
      </c>
      <c r="BM22">
        <f t="shared" si="6"/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18</v>
      </c>
      <c r="B23" s="68">
        <f>IF($BJ22&gt;0,IF(INDEX('Final Calculation Sheet'!$F$4:$F$40,$BJ22-3)="","",INDEX('Final Calculation Sheet'!$F$4:$F$40,$BJ22-3)),"")</f>
        <v>2022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SCRAP AND BUILDING MATERIAL SUPPLIER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21978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3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110200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330600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59508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390108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7802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330.6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8777.43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148.77000000000001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8628.66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8959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388951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82650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82650</v>
      </c>
      <c r="W23" s="70" t="str">
        <f>IF($BJ22&gt;0,IF(INDEX('Final Calculation Sheet'!$V$4:$V$40,$BJ22-3)="","",INDEX('Final Calculation Sheet'!$V$4:$V$40,$BJ22-3)),IF(OR($BI22=1,$BL22=1,$BH22&gt;0),"–",""))</f>
        <v>14.08.2026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306301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306301</v>
      </c>
      <c r="Z23" s="70" t="str">
        <f>IF($BJ22&gt;0,IF(INDEX('Final Calculation Sheet'!$Y$4:$Y$40,$BJ22-3)="","",INDEX('Final Calculation Sheet'!$Y$4:$Y$40,$BJ22-3)),IF(OR($BI22=1,$BL22=1,$BH22&gt;0),"–",""))</f>
        <v>21.08.2026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388951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DR2640100028</v>
      </c>
      <c r="AG23" s="74">
        <f>IF($BJ22&gt;0,IF(INDEX('Final Calculation Sheet'!$AF$4:$AF$40,$BJ22-3)="","",INDEX('Final Calculation Sheet'!$AF$4:$AF$40,$BJ22-3)),IF(OR($BI22=1,$BL22=1,$BH22&gt;0),"–",""))</f>
        <v>1800003269</v>
      </c>
      <c r="AH23" s="70" t="str">
        <f>IF($BJ22&gt;0,IF(INDEX('Final Calculation Sheet'!$AG$4:$AG$40,$BJ22-3)="","",INDEX('Final Calculation Sheet'!$AG$4:$AG$40,$BJ22-3)),IF(OR($BI22=1,$BL22=1,$BH22&gt;0),"–",""))</f>
        <v>24.08.2026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1</v>
      </c>
      <c r="AZ23">
        <f t="shared" si="2"/>
        <v>9</v>
      </c>
      <c r="BA23">
        <f t="shared" si="3"/>
        <v>19</v>
      </c>
      <c r="BB23">
        <f t="shared" si="4"/>
        <v>23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22</v>
      </c>
      <c r="BK23">
        <f>IF($BJ23&gt;0,IF(INDEX($AZ$5:$AZ$41,MATCH(23,$BB$5:$BB$41,0))=10,1,0),IF($BH23=10,1,0))</f>
        <v>0</v>
      </c>
      <c r="BL23">
        <f>IF(23=$BG$4,1,0)</f>
        <v>0</v>
      </c>
      <c r="BM23">
        <f t="shared" si="6"/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19</v>
      </c>
      <c r="B24" s="68">
        <f>IF($BJ23&gt;0,IF(INDEX('Final Calculation Sheet'!$F$4:$F$40,$BJ23-3)="","",INDEX('Final Calculation Sheet'!$F$4:$F$40,$BJ23-3)),"")</f>
        <v>2023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132 KV CT</v>
      </c>
      <c r="E24" s="69">
        <f>IF($BJ23&gt;0,IF(INDEX('Final Calculation Sheet'!$D$4:$D$40,$BJ23-3)="","",INDEX('Final Calculation Sheet'!$D$4:$D$40,$BJ23-3)),IF(OR($BI23=1,$BL23=1,$BH23&gt;0),"–",""))</f>
        <v>21978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3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83743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251229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45221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296450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5929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251.22900000000001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6670.1299499999996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113.05305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6557.0768999999991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6808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295571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62807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62807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232764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232764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295571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DR2640100044</v>
      </c>
      <c r="AG24" s="74">
        <f>IF($BJ23&gt;0,IF(INDEX('Final Calculation Sheet'!$AF$4:$AF$40,$BJ23-3)="","",INDEX('Final Calculation Sheet'!$AF$4:$AF$40,$BJ23-3)),IF(OR($BI23=1,$BL23=1,$BH23&gt;0),"–",""))</f>
        <v>1800003308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9</v>
      </c>
      <c r="BA24">
        <f t="shared" si="3"/>
        <v>20</v>
      </c>
      <c r="BB24">
        <f t="shared" si="4"/>
        <v>24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23</v>
      </c>
      <c r="BK24">
        <f>IF($BJ24&gt;0,IF(INDEX($AZ$5:$AZ$41,MATCH(24,$BB$5:$BB$41,0))=10,1,0),IF($BH24=10,1,0))</f>
        <v>0</v>
      </c>
      <c r="BL24">
        <f>IF(24=$BG$4,1,0)</f>
        <v>0</v>
      </c>
      <c r="BM24">
        <f t="shared" si="6"/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20</v>
      </c>
      <c r="B25" s="68">
        <f>IF($BJ24&gt;0,IF(INDEX('Final Calculation Sheet'!$F$4:$F$40,$BJ24-3)="","",INDEX('Final Calculation Sheet'!$F$4:$F$40,$BJ24-3)),"")</f>
        <v>2025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STERLING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empty oil Barrels</v>
      </c>
      <c r="E25" s="69">
        <f>IF($BJ24&gt;0,IF(INDEX('Final Calculation Sheet'!$D$4:$D$40,$BJ24-3)="","",INDEX('Final Calculation Sheet'!$D$4:$D$40,$BJ24-3)),IF(OR($BI24=1,$BL24=1,$BH24&gt;0),"–",""))</f>
        <v>21978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90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63000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11340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74340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1487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63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1672.6499999999999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28.35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1644.3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1707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74120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15750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15750</v>
      </c>
      <c r="W25" s="70" t="str">
        <f>IF($BJ24&gt;0,IF(INDEX('Final Calculation Sheet'!$V$4:$V$40,$BJ24-3)="","",INDEX('Final Calculation Sheet'!$V$4:$V$40,$BJ24-3)),IF(OR($BI24=1,$BL24=1,$BH24&gt;0),"–",""))</f>
        <v>11.08.2026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58370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58418</v>
      </c>
      <c r="Z25" s="70" t="str">
        <f>IF($BJ24&gt;0,IF(INDEX('Final Calculation Sheet'!$Y$4:$Y$40,$BJ24-3)="","",INDEX('Final Calculation Sheet'!$Y$4:$Y$40,$BJ24-3)),IF(OR($BI24=1,$BL24=1,$BH24&gt;0),"–",""))</f>
        <v>11.08.2026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74168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-48</v>
      </c>
      <c r="AF25" s="70" t="str">
        <f>IF($BJ24&gt;0,IF(INDEX('Final Calculation Sheet'!$AE$4:$AE$40,$BJ24-3)="","",INDEX('Final Calculation Sheet'!$AE$4:$AE$40,$BJ24-3)),IF(OR($BI24=1,$BL24=1,$BH24&gt;0),"–",""))</f>
        <v>DR2640100021</v>
      </c>
      <c r="AG25" s="74">
        <f>IF($BJ24&gt;0,IF(INDEX('Final Calculation Sheet'!$AF$4:$AF$40,$BJ24-3)="","",INDEX('Final Calculation Sheet'!$AF$4:$AF$40,$BJ24-3)),IF(OR($BI24=1,$BL24=1,$BH24&gt;0),"–",""))</f>
        <v>1800003160</v>
      </c>
      <c r="AH25" s="70" t="str">
        <f>IF($BJ24&gt;0,IF(INDEX('Final Calculation Sheet'!$AG$4:$AG$40,$BJ24-3)="","",INDEX('Final Calculation Sheet'!$AG$4:$AG$40,$BJ24-3)),IF(OR($BI24=1,$BL24=1,$BH24&gt;0),"–",""))</f>
        <v>14.08.2026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SETTLED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1</v>
      </c>
      <c r="AZ25">
        <f t="shared" si="2"/>
        <v>9</v>
      </c>
      <c r="BA25">
        <f t="shared" si="3"/>
        <v>21</v>
      </c>
      <c r="BB25">
        <f t="shared" si="4"/>
        <v>25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24</v>
      </c>
      <c r="BK25">
        <f>IF($BJ25&gt;0,IF(INDEX($AZ$5:$AZ$41,MATCH(25,$BB$5:$BB$41,0))=10,1,0),IF($BH25=10,1,0))</f>
        <v>0</v>
      </c>
      <c r="BL25">
        <f>IF(25=$BG$4,1,0)</f>
        <v>0</v>
      </c>
      <c r="BM25">
        <f t="shared" si="6"/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21</v>
      </c>
      <c r="B26" s="68">
        <f>IF($BJ25&gt;0,IF(INDEX('Final Calculation Sheet'!$F$4:$F$40,$BJ25-3)="","",INDEX('Final Calculation Sheet'!$F$4:$F$40,$BJ25-3)),"")</f>
        <v>2027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NATIONAL ENTERPRISES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of 132 KV CT</v>
      </c>
      <c r="E26" s="69">
        <f>IF($BJ25&gt;0,IF(INDEX('Final Calculation Sheet'!$D$4:$D$40,$BJ25-3)="","",INDEX('Final Calculation Sheet'!$D$4:$D$40,$BJ25-3)),IF(OR($BI25=1,$BL25=1,$BH25&gt;0),"–",""))</f>
        <v>21978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50003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50003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9001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59004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1180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50.003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1327.5796499999999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22.501349999999999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1305.0782999999999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1355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58829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12501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12501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46328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46328</v>
      </c>
      <c r="Z26" s="70" t="str">
        <f>IF($BJ25&gt;0,IF(INDEX('Final Calculation Sheet'!$Y$4:$Y$40,$BJ25-3)="","",INDEX('Final Calculation Sheet'!$Y$4:$Y$40,$BJ25-3)),IF(OR($BI25=1,$BL25=1,$BH25&gt;0),"–",""))</f>
        <v>24.08.2026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58829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0</v>
      </c>
      <c r="AF26" s="70" t="str">
        <f>IF($BJ25&gt;0,IF(INDEX('Final Calculation Sheet'!$AE$4:$AE$40,$BJ25-3)="","",INDEX('Final Calculation Sheet'!$AE$4:$AE$40,$BJ25-3)),IF(OR($BI25=1,$BL25=1,$BH25&gt;0),"–",""))</f>
        <v>DR2640100036</v>
      </c>
      <c r="AG26" s="74">
        <f>IF($BJ25&gt;0,IF(INDEX('Final Calculation Sheet'!$AF$4:$AF$40,$BJ25-3)="","",INDEX('Final Calculation Sheet'!$AF$4:$AF$40,$BJ25-3)),IF(OR($BI25=1,$BL25=1,$BH25&gt;0),"–",""))</f>
        <v>1800003309</v>
      </c>
      <c r="AH26" s="70" t="str">
        <f>IF($BJ25&gt;0,IF(INDEX('Final Calculation Sheet'!$AG$4:$AG$40,$BJ25-3)="","",INDEX('Final Calculation Sheet'!$AG$4:$AG$40,$BJ25-3)),IF(OR($BI25=1,$BL25=1,$BH25&gt;0),"–",""))</f>
        <v>27.08.2026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9</v>
      </c>
      <c r="BA26">
        <f t="shared" si="3"/>
        <v>22</v>
      </c>
      <c r="BB26">
        <f t="shared" si="4"/>
        <v>26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25</v>
      </c>
      <c r="BK26">
        <f>IF($BJ26&gt;0,IF(INDEX($AZ$5:$AZ$41,MATCH(26,$BB$5:$BB$41,0))=10,1,0),IF($BH26=10,1,0))</f>
        <v>0</v>
      </c>
      <c r="BL26">
        <f>IF(26=$BG$4,1,0)</f>
        <v>0</v>
      </c>
      <c r="BM26">
        <f t="shared" si="6"/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22</v>
      </c>
      <c r="B27" s="68">
        <f>IF($BJ26&gt;0,IF(INDEX('Final Calculation Sheet'!$F$4:$F$40,$BJ26-3)="","",INDEX('Final Calculation Sheet'!$F$4:$F$40,$BJ26-3)),"")</f>
        <v>2033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WATAN SCRAP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Empty Oil Drum/ Barrel</v>
      </c>
      <c r="E27" s="69">
        <f>IF($BJ26&gt;0,IF(INDEX('Final Calculation Sheet'!$D$4:$D$40,$BJ26-3)="","",INDEX('Final Calculation Sheet'!$D$4:$D$40,$BJ26-3)),IF(OR($BI26=1,$BL26=1,$BH26&gt;0),"–",""))</f>
        <v>21978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1000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517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517000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93060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610060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12201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517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13726.349999999999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232.65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13493.699999999999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14011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608251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129250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129250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479001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479001</v>
      </c>
      <c r="Z27" s="70" t="str">
        <f>IF($BJ26&gt;0,IF(INDEX('Final Calculation Sheet'!$Y$4:$Y$40,$BJ26-3)="","",INDEX('Final Calculation Sheet'!$Y$4:$Y$40,$BJ26-3)),IF(OR($BI26=1,$BL26=1,$BH26&gt;0),"–",""))</f>
        <v>21.08.2026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608251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DR2640100042</v>
      </c>
      <c r="AG27" s="74">
        <f>IF($BJ26&gt;0,IF(INDEX('Final Calculation Sheet'!$AF$4:$AF$40,$BJ26-3)="","",INDEX('Final Calculation Sheet'!$AF$4:$AF$40,$BJ26-3)),IF(OR($BI26=1,$BL26=1,$BH26&gt;0),"–",""))</f>
        <v>1800003317</v>
      </c>
      <c r="AH27" s="70" t="str">
        <f>IF($BJ26&gt;0,IF(INDEX('Final Calculation Sheet'!$AG$4:$AG$40,$BJ26-3)="","",INDEX('Final Calculation Sheet'!$AG$4:$AG$40,$BJ26-3)),IF(OR($BI26=1,$BL26=1,$BH26&gt;0),"–",""))</f>
        <v>27.08.2026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1</v>
      </c>
      <c r="AZ27">
        <f t="shared" si="2"/>
        <v>9</v>
      </c>
      <c r="BA27">
        <f t="shared" si="3"/>
        <v>23</v>
      </c>
      <c r="BB27">
        <f t="shared" si="4"/>
        <v>27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26</v>
      </c>
      <c r="BK27">
        <f>IF($BJ27&gt;0,IF(INDEX($AZ$5:$AZ$41,MATCH(27,$BB$5:$BB$41,0))=10,1,0),IF($BH27=10,1,0))</f>
        <v>0</v>
      </c>
      <c r="BL27">
        <f>IF(27=$BG$4,1,0)</f>
        <v>0</v>
      </c>
      <c r="BM27">
        <f t="shared" si="6"/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23</v>
      </c>
      <c r="B28" s="68">
        <f>IF($BJ27&gt;0,IF(INDEX('Final Calculation Sheet'!$F$4:$F$40,$BJ27-3)="","",INDEX('Final Calculation Sheet'!$F$4:$F$40,$BJ27-3)),"")</f>
        <v>2035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132 KV Wave Trap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2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14001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28002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5040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33042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661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28.001999999999999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743.45309999999995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12.600899999999999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730.85219999999993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759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32944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7001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7001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25944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25943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32944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DR2640100037</v>
      </c>
      <c r="AG28" s="74">
        <f>IF($BJ27&gt;0,IF(INDEX('Final Calculation Sheet'!$AF$4:$AF$40,$BJ27-3)="","",INDEX('Final Calculation Sheet'!$AF$4:$AF$40,$BJ27-3)),IF(OR($BI27=1,$BL27=1,$BH27&gt;0),"–",""))</f>
        <v>1800003310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1</v>
      </c>
      <c r="AZ28">
        <f t="shared" si="2"/>
        <v>9</v>
      </c>
      <c r="BA28">
        <f t="shared" si="3"/>
        <v>24</v>
      </c>
      <c r="BB28">
        <f t="shared" si="4"/>
        <v>28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27</v>
      </c>
      <c r="BK28">
        <f>IF($BJ28&gt;0,IF(INDEX($AZ$5:$AZ$41,MATCH(28,$BB$5:$BB$41,0))=10,1,0),IF($BH28=10,1,0))</f>
        <v>0</v>
      </c>
      <c r="BL28">
        <f>IF(28=$BG$4,1,0)</f>
        <v>0</v>
      </c>
      <c r="BM28">
        <f t="shared" si="6"/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24</v>
      </c>
      <c r="B29" s="68">
        <f>IF($BJ28&gt;0,IF(INDEX('Final Calculation Sheet'!$F$4:$F$40,$BJ28-3)="","",INDEX('Final Calculation Sheet'!$F$4:$F$40,$BJ28-3)),"")</f>
        <v>2036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M I SCRAP TRADERS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Mix Scrap (Tower angles &amp; 0.2 ACSR Condutor pieces)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8.1999999999999993</v>
      </c>
      <c r="G29" s="69" t="str">
        <f>IF($BJ28&gt;0,IF(INDEX('Final Calculation Sheet'!$E$4:$E$40,$BJ28-3)="","",INDEX('Final Calculation Sheet'!$E$4:$E$40,$BJ28-3)),IF(OR($BI28=1,$BL28=1,$BH28&gt;0),"–",""))</f>
        <v>MT</v>
      </c>
      <c r="H29" s="70">
        <f>IF($BJ28&gt;0,IF(INDEX('Final Calculation Sheet'!$C$4:$C$40,$BJ28-3)="","",INDEX('Final Calculation Sheet'!$C$4:$C$40,$BJ28-3)),IF(OR($BI28=1,$BL28=1,$BH28&gt;0),"–",""))</f>
        <v>67000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549400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98892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648292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12966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549.4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14586.57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247.23000000000002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14339.34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14889</v>
      </c>
      <c r="R29" s="72">
        <f>IF($BJ28&gt;0,IF(INDEX('Final Calculation Sheet'!$Q$4:$Q$40,$BJ28-3)="","",INDEX('Final Calculation Sheet'!$Q$4:$Q$40,$BJ28-3)),IF(OR($BI28=1,$BL28=1,$BH28&gt;0),"–",""))</f>
        <v>0.02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10988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635381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137350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137350</v>
      </c>
      <c r="W29" s="70" t="str">
        <f>IF($BJ28&gt;0,IF(INDEX('Final Calculation Sheet'!$V$4:$V$40,$BJ28-3)="","",INDEX('Final Calculation Sheet'!$V$4:$V$40,$BJ28-3)),IF(OR($BI28=1,$BL28=1,$BH28&gt;0),"–",""))</f>
        <v>14.08.2026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498031</v>
      </c>
      <c r="Y29" s="70" t="str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/>
      </c>
      <c r="Z29" s="70">
        <f>IF($BJ28&gt;0,IF(INDEX('Final Calculation Sheet'!$Y$4:$Y$40,$BJ28-3)="","",INDEX('Final Calculation Sheet'!$Y$4:$Y$40,$BJ28-3)),IF(OR($BI28=1,$BL28=1,$BH28&gt;0),"–",""))</f>
        <v>0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19448.760000000002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137350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498031</v>
      </c>
      <c r="AF29" s="70" t="str">
        <f>IF($BJ28&gt;0,IF(INDEX('Final Calculation Sheet'!$AE$4:$AE$40,$BJ28-3)="","",INDEX('Final Calculation Sheet'!$AE$4:$AE$40,$BJ28-3)),IF(OR($BI28=1,$BL28=1,$BH28&gt;0),"–",""))</f>
        <v/>
      </c>
      <c r="AG29" s="74" t="str">
        <f>IF($BJ28&gt;0,IF(INDEX('Final Calculation Sheet'!$AF$4:$AF$40,$BJ28-3)="","",INDEX('Final Calculation Sheet'!$AF$4:$AF$40,$BJ28-3)),IF(OR($BI28=1,$BL28=1,$BH28&gt;0),"–",""))</f>
        <v/>
      </c>
      <c r="AH29" s="70" t="str">
        <f>IF($BJ28&gt;0,IF(INDEX('Final Calculation Sheet'!$AG$4:$AG$40,$BJ28-3)="","",INDEX('Final Calculation Sheet'!$AG$4:$AG$40,$BJ28-3)),IF(OR($BI28=1,$BL28=1,$BH28&gt;0),"–",""))</f>
        <v/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OUTSTANDING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9</v>
      </c>
      <c r="BA29">
        <f t="shared" si="3"/>
        <v>25</v>
      </c>
      <c r="BB29">
        <f t="shared" si="4"/>
        <v>29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28</v>
      </c>
      <c r="BK29">
        <f>IF($BJ29&gt;0,IF(INDEX($AZ$5:$AZ$41,MATCH(29,$BB$5:$BB$41,0))=10,1,0),IF($BH29=10,1,0))</f>
        <v>0</v>
      </c>
      <c r="BL29">
        <f>IF(29=$BG$4,1,0)</f>
        <v>0</v>
      </c>
      <c r="BM29">
        <f t="shared" si="6"/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25</v>
      </c>
      <c r="B30" s="68">
        <f>IF($BJ29&gt;0,IF(INDEX('Final Calculation Sheet'!$F$4:$F$40,$BJ29-3)="","",INDEX('Final Calculation Sheet'!$F$4:$F$40,$BJ29-3)),"")</f>
        <v>2037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WATAN SCRAP TRADERS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of empty oil Barrels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50</v>
      </c>
      <c r="G30" s="69" t="str">
        <f>IF($BJ29&gt;0,IF(INDEX('Final Calculation Sheet'!$E$4:$E$40,$BJ29-3)="","",INDEX('Final Calculation Sheet'!$E$4:$E$40,$BJ29-3)),IF(OR($BI29=1,$BL29=1,$BH29&gt;0),"–",""))</f>
        <v>NO</v>
      </c>
      <c r="H30" s="70">
        <f>IF($BJ29&gt;0,IF(INDEX('Final Calculation Sheet'!$C$4:$C$40,$BJ29-3)="","",INDEX('Final Calculation Sheet'!$C$4:$C$40,$BJ29-3)),IF(OR($BI29=1,$BL29=1,$BH29&gt;0),"–",""))</f>
        <v>531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26550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4779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31329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627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26.55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704.90249999999992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11.9475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692.95499999999993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720</v>
      </c>
      <c r="R30" s="72">
        <f>IF($BJ29&gt;0,IF(INDEX('Final Calculation Sheet'!$Q$4:$Q$40,$BJ29-3)="","",INDEX('Final Calculation Sheet'!$Q$4:$Q$40,$BJ29-3)),IF(OR($BI29=1,$BL29=1,$BH29&gt;0),"–",""))</f>
        <v>0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31236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6638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6638</v>
      </c>
      <c r="W30" s="70" t="str">
        <f>IF($BJ29&gt;0,IF(INDEX('Final Calculation Sheet'!$V$4:$V$40,$BJ29-3)="","",INDEX('Final Calculation Sheet'!$V$4:$V$40,$BJ29-3)),IF(OR($BI29=1,$BL29=1,$BH29&gt;0),"–",""))</f>
        <v>14.08.2026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24599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24598</v>
      </c>
      <c r="Z30" s="70" t="str">
        <f>IF($BJ29&gt;0,IF(INDEX('Final Calculation Sheet'!$Y$4:$Y$40,$BJ29-3)="","",INDEX('Final Calculation Sheet'!$Y$4:$Y$40,$BJ29-3)),IF(OR($BI29=1,$BL29=1,$BH29&gt;0),"–",""))</f>
        <v>21.08.2026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31236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0</v>
      </c>
      <c r="AF30" s="70" t="str">
        <f>IF($BJ29&gt;0,IF(INDEX('Final Calculation Sheet'!$AE$4:$AE$40,$BJ29-3)="","",INDEX('Final Calculation Sheet'!$AE$4:$AE$40,$BJ29-3)),IF(OR($BI29=1,$BL29=1,$BH29&gt;0),"–",""))</f>
        <v>DR2640100043</v>
      </c>
      <c r="AG30" s="74">
        <f>IF($BJ29&gt;0,IF(INDEX('Final Calculation Sheet'!$AF$4:$AF$40,$BJ29-3)="","",INDEX('Final Calculation Sheet'!$AF$4:$AF$40,$BJ29-3)),IF(OR($BI29=1,$BL29=1,$BH29&gt;0),"–",""))</f>
        <v>1800003318</v>
      </c>
      <c r="AH30" s="70" t="str">
        <f>IF($BJ29&gt;0,IF(INDEX('Final Calculation Sheet'!$AG$4:$AG$40,$BJ29-3)="","",INDEX('Final Calculation Sheet'!$AG$4:$AG$40,$BJ29-3)),IF(OR($BI29=1,$BL29=1,$BH29&gt;0),"–",""))</f>
        <v>27.08.2026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SETTLED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1</v>
      </c>
      <c r="AZ30">
        <f t="shared" si="2"/>
        <v>9</v>
      </c>
      <c r="BA30">
        <f t="shared" si="3"/>
        <v>26</v>
      </c>
      <c r="BB30">
        <f t="shared" si="4"/>
        <v>30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29</v>
      </c>
      <c r="BK30">
        <f>IF($BJ30&gt;0,IF(INDEX($AZ$5:$AZ$41,MATCH(30,$BB$5:$BB$41,0))=10,1,0),IF($BH30=10,1,0))</f>
        <v>0</v>
      </c>
      <c r="BL30">
        <f>IF(30=$BG$4,1,0)</f>
        <v>0</v>
      </c>
      <c r="BM30">
        <f t="shared" si="6"/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26</v>
      </c>
      <c r="B31" s="68">
        <f>IF($BJ30&gt;0,IF(INDEX('Final Calculation Sheet'!$F$4:$F$40,$BJ30-3)="","",INDEX('Final Calculation Sheet'!$F$4:$F$40,$BJ30-3)),"")</f>
        <v>2040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STERLING ENTERPRISES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33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90002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270006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48601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318607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6372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270.00600000000003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7168.6593000000003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121.5027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7047.1566000000003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7317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317662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67502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67502</v>
      </c>
      <c r="W31" s="70" t="str">
        <f>IF($BJ30&gt;0,IF(INDEX('Final Calculation Sheet'!$V$4:$V$40,$BJ30-3)="","",INDEX('Final Calculation Sheet'!$V$4:$V$40,$BJ30-3)),IF(OR($BI30=1,$BL30=1,$BH30&gt;0),"–",""))</f>
        <v>11.08.2026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250161</v>
      </c>
      <c r="Y31" s="70" t="str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/>
      </c>
      <c r="Z31" s="70">
        <f>IF($BJ30&gt;0,IF(INDEX('Final Calculation Sheet'!$Y$4:$Y$40,$BJ30-3)="","",INDEX('Final Calculation Sheet'!$Y$4:$Y$40,$BJ30-3)),IF(OR($BI30=1,$BL30=1,$BH30&gt;0),"–",""))</f>
        <v>0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9558.2124000000003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67502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250160</v>
      </c>
      <c r="AF31" s="70" t="str">
        <f>IF($BJ30&gt;0,IF(INDEX('Final Calculation Sheet'!$AE$4:$AE$40,$BJ30-3)="","",INDEX('Final Calculation Sheet'!$AE$4:$AE$40,$BJ30-3)),IF(OR($BI30=1,$BL30=1,$BH30&gt;0),"–",""))</f>
        <v/>
      </c>
      <c r="AG31" s="74" t="str">
        <f>IF($BJ30&gt;0,IF(INDEX('Final Calculation Sheet'!$AF$4:$AF$40,$BJ30-3)="","",INDEX('Final Calculation Sheet'!$AF$4:$AF$40,$BJ30-3)),IF(OR($BI30=1,$BL30=1,$BH30&gt;0),"–",""))</f>
        <v/>
      </c>
      <c r="AH31" s="70" t="str">
        <f>IF($BJ30&gt;0,IF(INDEX('Final Calculation Sheet'!$AG$4:$AG$40,$BJ30-3)="","",INDEX('Final Calculation Sheet'!$AG$4:$AG$40,$BJ30-3)),IF(OR($BI30=1,$BL30=1,$BH30&gt;0),"–",""))</f>
        <v/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OUTSTANDING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1</v>
      </c>
      <c r="AZ31">
        <f t="shared" si="2"/>
        <v>9</v>
      </c>
      <c r="BA31">
        <f t="shared" si="3"/>
        <v>27</v>
      </c>
      <c r="BB31">
        <f t="shared" si="4"/>
        <v>31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30</v>
      </c>
      <c r="BK31">
        <f>IF($BJ31&gt;0,IF(INDEX($AZ$5:$AZ$41,MATCH(31,$BB$5:$BB$41,0))=10,1,0),IF($BH31=10,1,0))</f>
        <v>0</v>
      </c>
      <c r="BL31">
        <f>IF(31=$BG$4,1,0)</f>
        <v>0</v>
      </c>
      <c r="BM31">
        <f t="shared" si="6"/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27</v>
      </c>
      <c r="B32" s="68">
        <f>IF($BJ31&gt;0,IF(INDEX('Final Calculation Sheet'!$F$4:$F$40,$BJ31-3)="","",INDEX('Final Calculation Sheet'!$F$4:$F$40,$BJ31-3)),"")</f>
        <v>2043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21979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5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80000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400000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72000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472000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9440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400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10620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180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10440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10840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470600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100000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100000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370600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370600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470600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DR2640100038</v>
      </c>
      <c r="AG32" s="74">
        <f>IF($BJ31&gt;0,IF(INDEX('Final Calculation Sheet'!$AF$4:$AF$40,$BJ31-3)="","",INDEX('Final Calculation Sheet'!$AF$4:$AF$40,$BJ31-3)),IF(OR($BI31=1,$BL31=1,$BH31&gt;0),"–",""))</f>
        <v>1800003311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1</v>
      </c>
      <c r="AZ32">
        <f t="shared" si="2"/>
        <v>9</v>
      </c>
      <c r="BA32">
        <f t="shared" si="3"/>
        <v>28</v>
      </c>
      <c r="BB32">
        <f t="shared" si="4"/>
        <v>32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31</v>
      </c>
      <c r="BK32">
        <f>IF($BJ32&gt;0,IF(INDEX($AZ$5:$AZ$41,MATCH(32,$BB$5:$BB$41,0))=10,1,0),IF($BH32=10,1,0))</f>
        <v>0</v>
      </c>
      <c r="BL32">
        <f>IF(32=$BG$4,1,0)</f>
        <v>0</v>
      </c>
      <c r="BM32">
        <f t="shared" si="6"/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28</v>
      </c>
      <c r="B33" s="68">
        <f>IF($BJ32&gt;0,IF(INDEX('Final Calculation Sheet'!$F$4:$F$40,$BJ32-3)="","",INDEX('Final Calculation Sheet'!$F$4:$F$40,$BJ32-3)),"")</f>
        <v>2046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SAHARA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AAAC Earth wire</v>
      </c>
      <c r="E33" s="69">
        <f>IF($BJ32&gt;0,IF(INDEX('Final Calculation Sheet'!$D$4:$D$40,$BJ32-3)="","",INDEX('Final Calculation Sheet'!$D$4:$D$40,$BJ32-3)),IF(OR($BI32=1,$BL32=1,$BH32&gt;0),"–",""))</f>
        <v>21979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670</v>
      </c>
      <c r="G33" s="69" t="str">
        <f>IF($BJ32&gt;0,IF(INDEX('Final Calculation Sheet'!$E$4:$E$40,$BJ32-3)="","",INDEX('Final Calculation Sheet'!$E$4:$E$40,$BJ32-3)),IF(OR($BI32=1,$BL32=1,$BH32&gt;0),"–",""))</f>
        <v>KG</v>
      </c>
      <c r="H33" s="70">
        <f>IF($BJ32&gt;0,IF(INDEX('Final Calculation Sheet'!$C$4:$C$40,$BJ32-3)="","",INDEX('Final Calculation Sheet'!$C$4:$C$40,$BJ32-3)),IF(OR($BI32=1,$BL32=1,$BH32&gt;0),"–",""))</f>
        <v>309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207030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37265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244295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4886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207.03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5496.6464999999998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93.163499999999999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5403.4830000000002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5611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243571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51758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51758</v>
      </c>
      <c r="W33" s="70" t="str">
        <f>IF($BJ32&gt;0,IF(INDEX('Final Calculation Sheet'!$V$4:$V$40,$BJ32-3)="","",INDEX('Final Calculation Sheet'!$V$4:$V$40,$BJ32-3)),IF(OR($BI32=1,$BL32=1,$BH32&gt;0),"–",""))</f>
        <v>11.08.2026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191813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191812</v>
      </c>
      <c r="Z33" s="70" t="str">
        <f>IF($BJ32&gt;0,IF(INDEX('Final Calculation Sheet'!$Y$4:$Y$40,$BJ32-3)="","",INDEX('Final Calculation Sheet'!$Y$4:$Y$40,$BJ32-3)),IF(OR($BI32=1,$BL32=1,$BH32&gt;0),"–",""))</f>
        <v>21.08.2026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243570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1</v>
      </c>
      <c r="AF33" s="70" t="str">
        <f>IF($BJ32&gt;0,IF(INDEX('Final Calculation Sheet'!$AE$4:$AE$40,$BJ32-3)="","",INDEX('Final Calculation Sheet'!$AE$4:$AE$40,$BJ32-3)),IF(OR($BI32=1,$BL32=1,$BH32&gt;0),"–",""))</f>
        <v>DR2640100041</v>
      </c>
      <c r="AG33" s="74">
        <f>IF($BJ32&gt;0,IF(INDEX('Final Calculation Sheet'!$AF$4:$AF$40,$BJ32-3)="","",INDEX('Final Calculation Sheet'!$AF$4:$AF$40,$BJ32-3)),IF(OR($BI32=1,$BL32=1,$BH32&gt;0),"–",""))</f>
        <v>1800003316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OUTSTANDING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1</v>
      </c>
      <c r="AZ33">
        <f t="shared" si="2"/>
        <v>9</v>
      </c>
      <c r="BA33">
        <f t="shared" si="3"/>
        <v>29</v>
      </c>
      <c r="BB33">
        <f t="shared" si="4"/>
        <v>33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32</v>
      </c>
      <c r="BK33">
        <f>IF($BJ33&gt;0,IF(INDEX($AZ$5:$AZ$41,MATCH(33,$BB$5:$BB$41,0))=10,1,0),IF($BH33=10,1,0))</f>
        <v>0</v>
      </c>
      <c r="BL33">
        <f>IF(33=$BG$4,1,0)</f>
        <v>0</v>
      </c>
      <c r="BM33">
        <f t="shared" si="6"/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29</v>
      </c>
      <c r="B34" s="68">
        <f>IF($BJ33&gt;0,IF(INDEX('Final Calculation Sheet'!$F$4:$F$40,$BJ33-3)="","",INDEX('Final Calculation Sheet'!$F$4:$F$40,$BJ33-3)),"")</f>
        <v>2055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220 KV CT</v>
      </c>
      <c r="E34" s="69">
        <f>IF($BJ33&gt;0,IF(INDEX('Final Calculation Sheet'!$D$4:$D$40,$BJ33-3)="","",INDEX('Final Calculation Sheet'!$D$4:$D$40,$BJ33-3)),IF(OR($BI33=1,$BL33=1,$BH33&gt;0),"–",""))</f>
        <v>21979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80006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160012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28802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188814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3776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160.012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4248.3185999999996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72.005399999999995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4176.3131999999996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4336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188254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40003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40003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148251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148251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188254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DR2640100039</v>
      </c>
      <c r="AG34" s="74">
        <f>IF($BJ33&gt;0,IF(INDEX('Final Calculation Sheet'!$AF$4:$AF$40,$BJ33-3)="","",INDEX('Final Calculation Sheet'!$AF$4:$AF$40,$BJ33-3)),IF(OR($BI33=1,$BL33=1,$BH33&gt;0),"–",""))</f>
        <v>1800003312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1</v>
      </c>
      <c r="AZ34">
        <f t="shared" si="2"/>
        <v>9</v>
      </c>
      <c r="BA34">
        <f t="shared" si="3"/>
        <v>30</v>
      </c>
      <c r="BB34">
        <f t="shared" si="4"/>
        <v>34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33</v>
      </c>
      <c r="BK34">
        <f>IF($BJ34&gt;0,IF(INDEX($AZ$5:$AZ$41,MATCH(34,$BB$5:$BB$41,0))=10,1,0),IF($BH34=10,1,0))</f>
        <v>0</v>
      </c>
      <c r="BL34">
        <f>IF(34=$BG$4,1,0)</f>
        <v>0</v>
      </c>
      <c r="BM34">
        <f t="shared" si="6"/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30</v>
      </c>
      <c r="B35" s="68">
        <f>IF($BJ34&gt;0,IF(INDEX('Final Calculation Sheet'!$F$4:$F$40,$BJ34-3)="","",INDEX('Final Calculation Sheet'!$F$4:$F$40,$BJ34-3)),"")</f>
        <v>2059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NATIONAL ENTERPRISES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Scrap of 33 KV GCB</v>
      </c>
      <c r="E35" s="69">
        <f>IF($BJ34&gt;0,IF(INDEX('Final Calculation Sheet'!$D$4:$D$40,$BJ34-3)="","",INDEX('Final Calculation Sheet'!$D$4:$D$40,$BJ34-3)),IF(OR($BI34=1,$BL34=1,$BH34&gt;0),"–",""))</f>
        <v>21979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1</v>
      </c>
      <c r="G35" s="69" t="str">
        <f>IF($BJ34&gt;0,IF(INDEX('Final Calculation Sheet'!$E$4:$E$40,$BJ34-3)="","",INDEX('Final Calculation Sheet'!$E$4:$E$40,$BJ34-3)),IF(OR($BI34=1,$BL34=1,$BH34&gt;0),"–",""))</f>
        <v>NO</v>
      </c>
      <c r="H35" s="70">
        <f>IF($BJ34&gt;0,IF(INDEX('Final Calculation Sheet'!$C$4:$C$40,$BJ34-3)="","",INDEX('Final Calculation Sheet'!$C$4:$C$40,$BJ34-3)),IF(OR($BI34=1,$BL34=1,$BH34&gt;0),"–",""))</f>
        <v>29502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29502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5310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34812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696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29.501999999999999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783.27809999999988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13.2759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770.0021999999999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800</v>
      </c>
      <c r="R35" s="72">
        <f>IF($BJ34&gt;0,IF(INDEX('Final Calculation Sheet'!$Q$4:$Q$40,$BJ34-3)="","",INDEX('Final Calculation Sheet'!$Q$4:$Q$40,$BJ34-3)),IF(OR($BI34=1,$BL34=1,$BH34&gt;0),"–",""))</f>
        <v>0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0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34709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7376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7376</v>
      </c>
      <c r="W35" s="70" t="str">
        <f>IF($BJ34&gt;0,IF(INDEX('Final Calculation Sheet'!$V$4:$V$40,$BJ34-3)="","",INDEX('Final Calculation Sheet'!$V$4:$V$40,$BJ34-3)),IF(OR($BI34=1,$BL34=1,$BH34&gt;0),"–",""))</f>
        <v>13.08.2026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27334</v>
      </c>
      <c r="Y35" s="70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>27332</v>
      </c>
      <c r="Z35" s="70" t="str">
        <f>IF($BJ34&gt;0,IF(INDEX('Final Calculation Sheet'!$Y$4:$Y$40,$BJ34-3)="","",INDEX('Final Calculation Sheet'!$Y$4:$Y$40,$BJ34-3)),IF(OR($BI34=1,$BL34=1,$BH34&gt;0),"–",""))</f>
        <v>24.08.2026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0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34708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1</v>
      </c>
      <c r="AF35" s="70" t="str">
        <f>IF($BJ34&gt;0,IF(INDEX('Final Calculation Sheet'!$AE$4:$AE$40,$BJ34-3)="","",INDEX('Final Calculation Sheet'!$AE$4:$AE$40,$BJ34-3)),IF(OR($BI34=1,$BL34=1,$BH34&gt;0),"–",""))</f>
        <v>DR2640100046</v>
      </c>
      <c r="AG35" s="74">
        <f>IF($BJ34&gt;0,IF(INDEX('Final Calculation Sheet'!$AF$4:$AF$40,$BJ34-3)="","",INDEX('Final Calculation Sheet'!$AF$4:$AF$40,$BJ34-3)),IF(OR($BI34=1,$BL34=1,$BH34&gt;0),"–",""))</f>
        <v>1800003313</v>
      </c>
      <c r="AH35" s="70" t="str">
        <f>IF($BJ34&gt;0,IF(INDEX('Final Calculation Sheet'!$AG$4:$AG$40,$BJ34-3)="","",INDEX('Final Calculation Sheet'!$AG$4:$AG$40,$BJ34-3)),IF(OR($BI34=1,$BL34=1,$BH34&gt;0),"–",""))</f>
        <v>27.08.2026</v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9</v>
      </c>
      <c r="BA35">
        <f t="shared" si="3"/>
        <v>31</v>
      </c>
      <c r="BB35">
        <f t="shared" si="4"/>
        <v>35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34</v>
      </c>
      <c r="BK35">
        <f>IF($BJ35&gt;0,IF(INDEX($AZ$5:$AZ$41,MATCH(35,$BB$5:$BB$41,0))=10,1,0),IF($BH35=10,1,0))</f>
        <v>0</v>
      </c>
      <c r="BL35">
        <f>IF(35=$BG$4,1,0)</f>
        <v>0</v>
      </c>
      <c r="BM35">
        <f t="shared" si="6"/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31</v>
      </c>
      <c r="B36" s="68">
        <f>IF($BJ35&gt;0,IF(INDEX('Final Calculation Sheet'!$F$4:$F$40,$BJ35-3)="","",INDEX('Final Calculation Sheet'!$F$4:$F$40,$BJ35-3)),"")</f>
        <v>2062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Empty oil Barrels</v>
      </c>
      <c r="E36" s="69">
        <f>IF($BJ35&gt;0,IF(INDEX('Final Calculation Sheet'!$D$4:$D$40,$BJ35-3)="","",INDEX('Final Calculation Sheet'!$D$4:$D$40,$BJ35-3)),IF(OR($BI35=1,$BL35=1,$BH35&gt;0),"–",""))</f>
        <v>21979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30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702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21060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3791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24851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497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21.06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559.14299999999992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9.4770000000000003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549.66599999999994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571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24777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5265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5265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19512</v>
      </c>
      <c r="Y36" s="70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>19512</v>
      </c>
      <c r="Z36" s="70" t="str">
        <f>IF($BJ35&gt;0,IF(INDEX('Final Calculation Sheet'!$Y$4:$Y$40,$BJ35-3)="","",INDEX('Final Calculation Sheet'!$Y$4:$Y$40,$BJ35-3)),IF(OR($BI35=1,$BL35=1,$BH35&gt;0),"–",""))</f>
        <v>11.08.2026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0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24777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0</v>
      </c>
      <c r="AF36" s="70" t="str">
        <f>IF($BJ35&gt;0,IF(INDEX('Final Calculation Sheet'!$AE$4:$AE$40,$BJ35-3)="","",INDEX('Final Calculation Sheet'!$AE$4:$AE$40,$BJ35-3)),IF(OR($BI35=1,$BL35=1,$BH35&gt;0),"–",""))</f>
        <v>DR2640100022</v>
      </c>
      <c r="AG36" s="74">
        <f>IF($BJ35&gt;0,IF(INDEX('Final Calculation Sheet'!$AF$4:$AF$40,$BJ35-3)="","",INDEX('Final Calculation Sheet'!$AF$4:$AF$40,$BJ35-3)),IF(OR($BI35=1,$BL35=1,$BH35&gt;0),"–",""))</f>
        <v>1800003161</v>
      </c>
      <c r="AH36" s="70" t="str">
        <f>IF($BJ35&gt;0,IF(INDEX('Final Calculation Sheet'!$AG$4:$AG$40,$BJ35-3)="","",INDEX('Final Calculation Sheet'!$AG$4:$AG$40,$BJ35-3)),IF(OR($BI35=1,$BL35=1,$BH35&gt;0),"–",""))</f>
        <v>14.08.2026</v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SETTLED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9</v>
      </c>
      <c r="BA36">
        <f t="shared" si="3"/>
        <v>32</v>
      </c>
      <c r="BB36">
        <f t="shared" si="4"/>
        <v>36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35</v>
      </c>
      <c r="BK36">
        <f>IF($BJ36&gt;0,IF(INDEX($AZ$5:$AZ$41,MATCH(36,$BB$5:$BB$41,0))=10,1,0),IF($BH36=10,1,0))</f>
        <v>0</v>
      </c>
      <c r="BL36">
        <f>IF(36=$BG$4,1,0)</f>
        <v>0</v>
      </c>
      <c r="BM36">
        <f t="shared" si="6"/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32</v>
      </c>
      <c r="B37" s="68">
        <f>IF($BJ36&gt;0,IF(INDEX('Final Calculation Sheet'!$F$4:$F$40,$BJ36-3)="","",INDEX('Final Calculation Sheet'!$F$4:$F$40,$BJ36-3)),"")</f>
        <v>2067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WATAN SCRAP TRADERS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empty oil drums</v>
      </c>
      <c r="E37" s="69">
        <f>IF($BJ36&gt;0,IF(INDEX('Final Calculation Sheet'!$D$4:$D$40,$BJ36-3)="","",INDEX('Final Calculation Sheet'!$D$4:$D$40,$BJ36-3)),IF(OR($BI36=1,$BL36=1,$BH36&gt;0),"–",""))</f>
        <v>21980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150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571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85650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15417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101067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2021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85.65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2274.0074999999997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38.542500000000004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2235.4649999999997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2321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100767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21413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21413</v>
      </c>
      <c r="W37" s="70" t="str">
        <f>IF($BJ36&gt;0,IF(INDEX('Final Calculation Sheet'!$V$4:$V$40,$BJ36-3)="","",INDEX('Final Calculation Sheet'!$V$4:$V$40,$BJ36-3)),IF(OR($BI36=1,$BL36=1,$BH36&gt;0),"–",""))</f>
        <v>14.08.2026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79355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79354</v>
      </c>
      <c r="Z37" s="70" t="str">
        <f>IF($BJ36&gt;0,IF(INDEX('Final Calculation Sheet'!$Y$4:$Y$40,$BJ36-3)="","",INDEX('Final Calculation Sheet'!$Y$4:$Y$40,$BJ36-3)),IF(OR($BI36=1,$BL36=1,$BH36&gt;0),"–",""))</f>
        <v>20.08.2026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100767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DR2640100027</v>
      </c>
      <c r="AG37" s="74">
        <f>IF($BJ36&gt;0,IF(INDEX('Final Calculation Sheet'!$AF$4:$AF$40,$BJ36-3)="","",INDEX('Final Calculation Sheet'!$AF$4:$AF$40,$BJ36-3)),IF(OR($BI36=1,$BL36=1,$BH36&gt;0),"–",""))</f>
        <v>1800003248</v>
      </c>
      <c r="AH37" s="70" t="str">
        <f>IF($BJ36&gt;0,IF(INDEX('Final Calculation Sheet'!$AG$4:$AG$40,$BJ36-3)="","",INDEX('Final Calculation Sheet'!$AG$4:$AG$40,$BJ36-3)),IF(OR($BI36=1,$BL36=1,$BH36&gt;0),"–",""))</f>
        <v>20.08.2026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1</v>
      </c>
      <c r="AZ37">
        <f t="shared" si="2"/>
        <v>9</v>
      </c>
      <c r="BA37">
        <f t="shared" si="3"/>
        <v>33</v>
      </c>
      <c r="BB37">
        <f t="shared" si="4"/>
        <v>37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36</v>
      </c>
      <c r="BK37">
        <f>IF($BJ37&gt;0,IF(INDEX($AZ$5:$AZ$41,MATCH(37,$BB$5:$BB$41,0))=10,1,0),IF($BH37=10,1,0))</f>
        <v>0</v>
      </c>
      <c r="BL37">
        <f>IF(37=$BG$4,1,0)</f>
        <v>0</v>
      </c>
      <c r="BM37">
        <f t="shared" si="6"/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33</v>
      </c>
      <c r="B38" s="68">
        <f>IF($BJ37&gt;0,IF(INDEX('Final Calculation Sheet'!$F$4:$F$40,$BJ37-3)="","",INDEX('Final Calculation Sheet'!$F$4:$F$40,$BJ37-3)),"")</f>
        <v>2069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STERLING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33 KV CB</v>
      </c>
      <c r="E38" s="69">
        <f>IF($BJ37&gt;0,IF(INDEX('Final Calculation Sheet'!$D$4:$D$40,$BJ37-3)="","",INDEX('Final Calculation Sheet'!$D$4:$D$40,$BJ37-3)),IF(OR($BI37=1,$BL37=1,$BH37&gt;0),"–",""))</f>
        <v>21980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1</v>
      </c>
      <c r="G38" s="69" t="str">
        <f>IF($BJ37&gt;0,IF(INDEX('Final Calculation Sheet'!$E$4:$E$40,$BJ37-3)="","",INDEX('Final Calculation Sheet'!$E$4:$E$40,$BJ37-3)),IF(OR($BI37=1,$BL37=1,$BH37&gt;0),"–",""))</f>
        <v>NO</v>
      </c>
      <c r="H38" s="70">
        <f>IF($BJ37&gt;0,IF(INDEX('Final Calculation Sheet'!$C$4:$C$40,$BJ37-3)="","",INDEX('Final Calculation Sheet'!$C$4:$C$40,$BJ37-3)),IF(OR($BI37=1,$BL37=1,$BH37&gt;0),"–",""))</f>
        <v>54000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54000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9720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63720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1274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54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1433.6999999999998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24.3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1409.3999999999999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1463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63531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13500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13500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50031</v>
      </c>
      <c r="Y38" s="70" t="str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/>
      </c>
      <c r="Z38" s="70">
        <f>IF($BJ37&gt;0,IF(INDEX('Final Calculation Sheet'!$Y$4:$Y$40,$BJ37-3)="","",INDEX('Final Calculation Sheet'!$Y$4:$Y$40,$BJ37-3)),IF(OR($BI37=1,$BL37=1,$BH37&gt;0),"–",""))</f>
        <v>0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1911.6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13500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50031</v>
      </c>
      <c r="AF38" s="70" t="str">
        <f>IF($BJ37&gt;0,IF(INDEX('Final Calculation Sheet'!$AE$4:$AE$40,$BJ37-3)="","",INDEX('Final Calculation Sheet'!$AE$4:$AE$40,$BJ37-3)),IF(OR($BI37=1,$BL37=1,$BH37&gt;0),"–",""))</f>
        <v/>
      </c>
      <c r="AG38" s="74" t="str">
        <f>IF($BJ37&gt;0,IF(INDEX('Final Calculation Sheet'!$AF$4:$AF$40,$BJ37-3)="","",INDEX('Final Calculation Sheet'!$AF$4:$AF$40,$BJ37-3)),IF(OR($BI37=1,$BL37=1,$BH37&gt;0),"–",""))</f>
        <v/>
      </c>
      <c r="AH38" s="70" t="str">
        <f>IF($BJ37&gt;0,IF(INDEX('Final Calculation Sheet'!$AG$4:$AG$40,$BJ37-3)="","",INDEX('Final Calculation Sheet'!$AG$4:$AG$40,$BJ37-3)),IF(OR($BI37=1,$BL37=1,$BH37&gt;0),"–",""))</f>
        <v/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1</v>
      </c>
      <c r="AZ38">
        <f t="shared" si="2"/>
        <v>9</v>
      </c>
      <c r="BA38">
        <f t="shared" si="3"/>
        <v>34</v>
      </c>
      <c r="BB38">
        <f t="shared" si="4"/>
        <v>38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37</v>
      </c>
      <c r="BK38">
        <f>IF($BJ38&gt;0,IF(INDEX($AZ$5:$AZ$41,MATCH(38,$BB$5:$BB$41,0))=10,1,0),IF($BH38=10,1,0))</f>
        <v>0</v>
      </c>
      <c r="BL38">
        <f>IF(38=$BG$4,1,0)</f>
        <v>0</v>
      </c>
      <c r="BM38">
        <f t="shared" si="6"/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34</v>
      </c>
      <c r="B39" s="68">
        <f>IF($BJ38&gt;0,IF(INDEX('Final Calculation Sheet'!$F$4:$F$40,$BJ38-3)="","",INDEX('Final Calculation Sheet'!$F$4:$F$40,$BJ38-3)),"")</f>
        <v>2071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66 KV Isolater</v>
      </c>
      <c r="E39" s="69">
        <f>IF($BJ38&gt;0,IF(INDEX('Final Calculation Sheet'!$D$4:$D$40,$BJ38-3)="","",INDEX('Final Calculation Sheet'!$D$4:$D$40,$BJ38-3)),IF(OR($BI38=1,$BL38=1,$BH38&gt;0),"–",""))</f>
        <v>21980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3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25001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75003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13501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88504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1770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75.003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1991.3296499999997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33.751349999999995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1957.5782999999997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2033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88241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18751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18751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69490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69491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88242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-1</v>
      </c>
      <c r="AF39" s="70" t="str">
        <f>IF($BJ38&gt;0,IF(INDEX('Final Calculation Sheet'!$AE$4:$AE$40,$BJ38-3)="","",INDEX('Final Calculation Sheet'!$AE$4:$AE$40,$BJ38-3)),IF(OR($BI38=1,$BL38=1,$BH38&gt;0),"–",""))</f>
        <v>DR2640100040</v>
      </c>
      <c r="AG39" s="74">
        <f>IF($BJ38&gt;0,IF(INDEX('Final Calculation Sheet'!$AF$4:$AF$40,$BJ38-3)="","",INDEX('Final Calculation Sheet'!$AF$4:$AF$40,$BJ38-3)),IF(OR($BI38=1,$BL38=1,$BH38&gt;0),"–",""))</f>
        <v>1800003314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1</v>
      </c>
      <c r="AZ39">
        <f t="shared" si="2"/>
        <v>9</v>
      </c>
      <c r="BA39">
        <f t="shared" si="3"/>
        <v>35</v>
      </c>
      <c r="BB39">
        <f t="shared" si="4"/>
        <v>39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38</v>
      </c>
      <c r="BK39">
        <f>IF($BJ39&gt;0,IF(INDEX($AZ$5:$AZ$41,MATCH(39,$BB$5:$BB$41,0))=10,1,0),IF($BH39=10,1,0))</f>
        <v>0</v>
      </c>
      <c r="BL39">
        <f>IF(39=$BG$4,1,0)</f>
        <v>0</v>
      </c>
      <c r="BM39">
        <f t="shared" si="6"/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35</v>
      </c>
      <c r="B40" s="68">
        <f>IF($BJ39&gt;0,IF(INDEX('Final Calculation Sheet'!$F$4:$F$40,$BJ39-3)="","",INDEX('Final Calculation Sheet'!$F$4:$F$40,$BJ39-3)),"")</f>
        <v>2086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KASHYAP TRADING CO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132 KV CT</v>
      </c>
      <c r="E40" s="69">
        <f>IF($BJ39&gt;0,IF(INDEX('Final Calculation Sheet'!$D$4:$D$40,$BJ39-3)="","",INDEX('Final Calculation Sheet'!$D$4:$D$40,$BJ39-3)),IF(OR($BI39=1,$BL39=1,$BH39&gt;0),"–",""))</f>
        <v>21980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3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70001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210003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37801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247804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4956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210.00300000000001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5575.5796499999997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94.501350000000002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5481.0782999999992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5691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247069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52501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52501</v>
      </c>
      <c r="W40" s="70" t="str">
        <f>IF($BJ39&gt;0,IF(INDEX('Final Calculation Sheet'!$V$4:$V$40,$BJ39-3)="","",INDEX('Final Calculation Sheet'!$V$4:$V$40,$BJ39-3)),IF(OR($BI39=1,$BL39=1,$BH39&gt;0),"–",""))</f>
        <v>17.08.2026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194568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194568</v>
      </c>
      <c r="Z40" s="70" t="str">
        <f>IF($BJ39&gt;0,IF(INDEX('Final Calculation Sheet'!$Y$4:$Y$40,$BJ39-3)="","",INDEX('Final Calculation Sheet'!$Y$4:$Y$40,$BJ39-3)),IF(OR($BI39=1,$BL39=1,$BH39&gt;0),"–",""))</f>
        <v>17.08.2026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247069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0</v>
      </c>
      <c r="AF40" s="70" t="str">
        <f>IF($BJ39&gt;0,IF(INDEX('Final Calculation Sheet'!$AE$4:$AE$40,$BJ39-3)="","",INDEX('Final Calculation Sheet'!$AE$4:$AE$40,$BJ39-3)),IF(OR($BI39=1,$BL39=1,$BH39&gt;0),"–",""))</f>
        <v>DR2640100025</v>
      </c>
      <c r="AG40" s="74">
        <f>IF($BJ39&gt;0,IF(INDEX('Final Calculation Sheet'!$AF$4:$AF$40,$BJ39-3)="","",INDEX('Final Calculation Sheet'!$AF$4:$AF$40,$BJ39-3)),IF(OR($BI39=1,$BL39=1,$BH39&gt;0),"–",""))</f>
        <v>1800003226</v>
      </c>
      <c r="AH40" s="70" t="str">
        <f>IF($BJ39&gt;0,IF(INDEX('Final Calculation Sheet'!$AG$4:$AG$40,$BJ39-3)="","",INDEX('Final Calculation Sheet'!$AG$4:$AG$40,$BJ39-3)),IF(OR($BI39=1,$BL39=1,$BH39&gt;0),"–",""))</f>
        <v>19.08.2026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SETTLED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1</v>
      </c>
      <c r="AZ40">
        <f t="shared" si="2"/>
        <v>9</v>
      </c>
      <c r="BA40">
        <f t="shared" si="3"/>
        <v>36</v>
      </c>
      <c r="BB40">
        <f t="shared" si="4"/>
        <v>40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39</v>
      </c>
      <c r="BK40">
        <f>IF($BJ40&gt;0,IF(INDEX($AZ$5:$AZ$41,MATCH(40,$BB$5:$BB$41,0))=10,1,0),IF($BH40=10,1,0))</f>
        <v>0</v>
      </c>
      <c r="BL40">
        <f>IF(40=$BG$4,1,0)</f>
        <v>0</v>
      </c>
      <c r="BM40">
        <f t="shared" si="6"/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36</v>
      </c>
      <c r="B41" s="68">
        <f>IF($BJ40&gt;0,IF(INDEX('Final Calculation Sheet'!$F$4:$F$40,$BJ40-3)="","",INDEX('Final Calculation Sheet'!$F$4:$F$40,$BJ40-3)),"")</f>
        <v>2089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 M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66 kv TBC C &amp; R Panel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2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15006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30012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5402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35414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708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30.012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796.81859999999995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13.5054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783.31319999999994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813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35309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7503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7503</v>
      </c>
      <c r="W41" s="70" t="str">
        <f>IF($BJ40&gt;0,IF(INDEX('Final Calculation Sheet'!$V$4:$V$40,$BJ40-3)="","",INDEX('Final Calculation Sheet'!$V$4:$V$40,$BJ40-3)),IF(OR($BI40=1,$BL40=1,$BH40&gt;0),"–",""))</f>
        <v>14.08.2026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27806</v>
      </c>
      <c r="Y41" s="70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>27806</v>
      </c>
      <c r="Z41" s="70" t="str">
        <f>IF($BJ40&gt;0,IF(INDEX('Final Calculation Sheet'!$Y$4:$Y$40,$BJ40-3)="","",INDEX('Final Calculation Sheet'!$Y$4:$Y$40,$BJ40-3)),IF(OR($BI40=1,$BL40=1,$BH40&gt;0),"–",""))</f>
        <v>01.09.2026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708.28319999999997</v>
      </c>
      <c r="AB41" s="70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>708</v>
      </c>
      <c r="AC41" s="70" t="str">
        <f>IF($BJ40&gt;0,IF(INDEX('Final Calculation Sheet'!$AB$4:$AB$40,$BJ40-3)="","",INDEX('Final Calculation Sheet'!$AB$4:$AB$40,$BJ40-3)),IF(OR($BI40=1,$BL40=1,$BH40&gt;0),"–",""))</f>
        <v>01.09.2026</v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36017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-708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SETTLED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1</v>
      </c>
      <c r="AZ41">
        <f t="shared" si="2"/>
        <v>9</v>
      </c>
      <c r="BA41">
        <f t="shared" si="3"/>
        <v>37</v>
      </c>
      <c r="BB41">
        <f t="shared" si="4"/>
        <v>41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40</v>
      </c>
      <c r="BK41">
        <f>IF($BJ41&gt;0,IF(INDEX($AZ$5:$AZ$41,MATCH(41,$BB$5:$BB$41,0))=10,1,0),IF($BH41=10,1,0))</f>
        <v>0</v>
      </c>
      <c r="BL41">
        <f>IF(41=$BG$4,1,0)</f>
        <v>0</v>
      </c>
      <c r="BM41">
        <f t="shared" si="6"/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37</v>
      </c>
      <c r="B42" s="68">
        <f>IF($BJ41&gt;0,IF(INDEX('Final Calculation Sheet'!$F$4:$F$40,$BJ41-3)="","",INDEX('Final Calculation Sheet'!$F$4:$F$40,$BJ41-3)),"")</f>
        <v>2091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S M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132 KV CT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40003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120009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21602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141611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2832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120.009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3186.2389499999995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54.004049999999999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3132.2348999999995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3252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141191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30002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30002</v>
      </c>
      <c r="W42" s="70" t="str">
        <f>IF($BJ41&gt;0,IF(INDEX('Final Calculation Sheet'!$V$4:$V$40,$BJ41-3)="","",INDEX('Final Calculation Sheet'!$V$4:$V$40,$BJ41-3)),IF(OR($BI41=1,$BL41=1,$BH41&gt;0),"–",""))</f>
        <v>14.08.2026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111188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111189</v>
      </c>
      <c r="Z42" s="70" t="str">
        <f>IF($BJ41&gt;0,IF(INDEX('Final Calculation Sheet'!$Y$4:$Y$40,$BJ41-3)="","",INDEX('Final Calculation Sheet'!$Y$4:$Y$40,$BJ41-3)),IF(OR($BI41=1,$BL41=1,$BH41&gt;0),"–",""))</f>
        <v>01.09.2026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2832.2123999999999</v>
      </c>
      <c r="AB42" s="70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>2832</v>
      </c>
      <c r="AC42" s="70" t="str">
        <f>IF($BJ41&gt;0,IF(INDEX('Final Calculation Sheet'!$AB$4:$AB$40,$BJ41-3)="","",INDEX('Final Calculation Sheet'!$AB$4:$AB$40,$BJ41-3)),IF(OR($BI41=1,$BL41=1,$BH41&gt;0),"–",""))</f>
        <v>01.09.2026</v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144023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-2832</v>
      </c>
      <c r="AF42" s="70" t="str">
        <f>IF($BJ41&gt;0,IF(INDEX('Final Calculation Sheet'!$AE$4:$AE$40,$BJ41-3)="","",INDEX('Final Calculation Sheet'!$AE$4:$AE$40,$BJ41-3)),IF(OR($BI41=1,$BL41=1,$BH41&gt;0),"–",""))</f>
        <v/>
      </c>
      <c r="AG42" s="74" t="str">
        <f>IF($BJ41&gt;0,IF(INDEX('Final Calculation Sheet'!$AF$4:$AF$40,$BJ41-3)="","",INDEX('Final Calculation Sheet'!$AF$4:$AF$40,$BJ41-3)),IF(OR($BI41=1,$BL41=1,$BH41&gt;0),"–",""))</f>
        <v/>
      </c>
      <c r="AH42" s="70" t="str">
        <f>IF($BJ41&gt;0,IF(INDEX('Final Calculation Sheet'!$AG$4:$AG$40,$BJ41-3)="","",INDEX('Final Calculation Sheet'!$AG$4:$AG$40,$BJ41-3)),IF(OR($BI41=1,$BL41=1,$BH41&gt;0),"–",""))</f>
        <v/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9</v>
      </c>
      <c r="BI42">
        <f>IF(42=$BG$5,1,0)</f>
        <v>0</v>
      </c>
      <c r="BJ42">
        <f>IF(OR($BH42&gt;0,$BI42=1,$BL42=1),0,IFERROR(INDEX($BC$5:$BC$41,MATCH(42,$BB$5:$BB$41,0)),0))</f>
        <v>0</v>
      </c>
      <c r="BK42">
        <f>IF($BJ42&gt;0,IF(INDEX($AZ$5:$AZ$41,MATCH(42,$BB$5:$BB$41,0))=10,1,0),IF($BH42=10,1,0))</f>
        <v>0</v>
      </c>
      <c r="BL42">
        <f>IF(42=$BG$4,1,0)</f>
        <v>0</v>
      </c>
    </row>
    <row r="43" spans="1:99" ht="15" customHeight="1" x14ac:dyDescent="0.25">
      <c r="A43" s="67" t="str">
        <f>IF($BJ42&gt;0,INDEX($BA$5:$BA$41,MATCH(42,$BB$5:$BB$41,0)),IF(OR($BI42=1,$BL42=1,$BH42&gt;0),"∑",""))</f>
        <v>∑</v>
      </c>
      <c r="B43" s="68" t="str">
        <f>IF($BJ42&gt;0,IF(INDEX('Final Calculation Sheet'!$F$4:$F$40,$BJ42-3)="","",INDEX('Final Calculation Sheet'!$F$4:$F$40,$BJ42-3)),"")</f>
        <v/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37 lot(s)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ALL LOTS  —  nothing typed in the box</v>
      </c>
      <c r="E43" s="69" t="str">
        <f>IF($BJ42&gt;0,IF(INDEX('Final Calculation Sheet'!$D$4:$D$40,$BJ42-3)="","",INDEX('Final Calculation Sheet'!$D$4:$D$40,$BJ42-3)),IF(OR($BI42=1,$BL42=1,$BH42&gt;0),"–",""))</f>
        <v>–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17157.2</v>
      </c>
      <c r="G43" s="69" t="str">
        <f>IF($BJ42&gt;0,IF(INDEX('Final Calculation Sheet'!$E$4:$E$40,$BJ42-3)="","",INDEX('Final Calculation Sheet'!$E$4:$E$40,$BJ42-3)),IF(OR($BI42=1,$BL42=1,$BH42&gt;0),"–",""))</f>
        <v>–</v>
      </c>
      <c r="H43" s="70" t="str">
        <f>IF($BJ42&gt;0,IF(INDEX('Final Calculation Sheet'!$C$4:$C$40,$BJ42-3)="","",INDEX('Final Calculation Sheet'!$C$4:$C$40,$BJ42-3)),IF(OR($BI42=1,$BL42=1,$BH42&gt;0),"–",""))</f>
        <v>–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15130598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2723508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17854106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357082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15130.598000000002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401717.37689999992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6808.7690999999977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394908.6078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410039</v>
      </c>
      <c r="R43" s="72" t="str">
        <f>IF($BJ42&gt;0,IF(INDEX('Final Calculation Sheet'!$Q$4:$Q$40,$BJ42-3)="","",INDEX('Final Calculation Sheet'!$Q$4:$Q$40,$BJ42-3)),IF(OR($BI42=1,$BL42=1,$BH42&gt;0),"–",""))</f>
        <v>–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83029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17718123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3782654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3782654</v>
      </c>
      <c r="W43" s="70" t="str">
        <f>IF($BJ42&gt;0,IF(INDEX('Final Calculation Sheet'!$V$4:$V$40,$BJ42-3)="","",INDEX('Final Calculation Sheet'!$V$4:$V$40,$BJ42-3)),IF(OR($BI42=1,$BL42=1,$BH42&gt;0),"–",""))</f>
        <v>–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13935473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13137293</v>
      </c>
      <c r="Z43" s="70" t="str">
        <f>IF($BJ42&gt;0,IF(INDEX('Final Calculation Sheet'!$Y$4:$Y$40,$BJ42-3)="","",INDEX('Final Calculation Sheet'!$Y$4:$Y$40,$BJ42-3)),IF(OR($BI42=1,$BL42=1,$BH42&gt;0),"–",""))</f>
        <v>–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34459.067999999999</v>
      </c>
      <c r="AB43" s="70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>3540</v>
      </c>
      <c r="AC43" s="70" t="str">
        <f>IF($BJ42&gt;0,IF(INDEX('Final Calculation Sheet'!$AB$4:$AB$40,$BJ42-3)="","",INDEX('Final Calculation Sheet'!$AB$4:$AB$40,$BJ42-3)),IF(OR($BI42=1,$BL42=1,$BH42&gt;0),"–",""))</f>
        <v>–</v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16923487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794636.00000000047</v>
      </c>
      <c r="AF43" s="70" t="str">
        <f>IF($BJ42&gt;0,IF(INDEX('Final Calculation Sheet'!$AE$4:$AE$40,$BJ42-3)="","",INDEX('Final Calculation Sheet'!$AE$4:$AE$40,$BJ42-3)),IF(OR($BI42=1,$BL42=1,$BH42&gt;0),"–",""))</f>
        <v>–</v>
      </c>
      <c r="AG43" s="74" t="str">
        <f>IF($BJ42&gt;0,IF(INDEX('Final Calculation Sheet'!$AF$4:$AF$40,$BJ42-3)="","",INDEX('Final Calculation Sheet'!$AF$4:$AF$40,$BJ42-3)),IF(OR($BI42=1,$BL42=1,$BH42&gt;0),"–",""))</f>
        <v>–</v>
      </c>
      <c r="AH43" s="70" t="str">
        <f>IF($BJ42&gt;0,IF(INDEX('Final Calculation Sheet'!$AG$4:$AG$40,$BJ42-3)="","",INDEX('Final Calculation Sheet'!$AG$4:$AG$40,$BJ42-3)),IF(OR($BI42=1,$BL42=1,$BH42&gt;0),"–",""))</f>
        <v>–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OUTSTANDING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0</v>
      </c>
      <c r="BK43">
        <f>IF($BJ43&gt;0,IF(INDEX($AZ$5:$AZ$41,MATCH(43,$BB$5:$BB$41,0))=10,1,0),IF($BH43=10,1,0))</f>
        <v>0</v>
      </c>
      <c r="BL43">
        <f>IF(43=$BG$4,1,0)</f>
        <v>1</v>
      </c>
    </row>
    <row r="44" spans="1:99" ht="15" customHeight="1" x14ac:dyDescent="0.25">
      <c r="A44" s="67" t="str">
        <f>IF($BJ43&gt;0,INDEX($BA$5:$BA$41,MATCH(43,$BB$5:$BB$41,0)),IF(OR($BI43=1,$BL43=1,$BH43&gt;0),"∑",""))</f>
        <v>∑</v>
      </c>
      <c r="B44" s="68" t="str">
        <f>IF($BJ43&gt;0,IF(INDEX('Final Calculation Sheet'!$F$4:$F$40,$BJ43-3)="","",INDEX('Final Calculation Sheet'!$F$4:$F$40,$BJ43-3)),"")</f>
        <v/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37 lot(s)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TOTAL MATCHED  —  every group together</v>
      </c>
      <c r="E44" s="69" t="str">
        <f>IF($BJ43&gt;0,IF(INDEX('Final Calculation Sheet'!$D$4:$D$40,$BJ43-3)="","",INDEX('Final Calculation Sheet'!$D$4:$D$40,$BJ43-3)),IF(OR($BI43=1,$BL43=1,$BH43&gt;0),"–",""))</f>
        <v>–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17157.2</v>
      </c>
      <c r="G44" s="69" t="str">
        <f>IF($BJ43&gt;0,IF(INDEX('Final Calculation Sheet'!$E$4:$E$40,$BJ43-3)="","",INDEX('Final Calculation Sheet'!$E$4:$E$40,$BJ43-3)),IF(OR($BI43=1,$BL43=1,$BH43&gt;0),"–",""))</f>
        <v>–</v>
      </c>
      <c r="H44" s="70" t="str">
        <f>IF($BJ43&gt;0,IF(INDEX('Final Calculation Sheet'!$C$4:$C$40,$BJ43-3)="","",INDEX('Final Calculation Sheet'!$C$4:$C$40,$BJ43-3)),IF(OR($BI43=1,$BL43=1,$BH43&gt;0),"–",""))</f>
        <v>–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15130598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2723508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17854106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357082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15130.598000000002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401717.37689999992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6808.7690999999977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394908.6078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410039</v>
      </c>
      <c r="R44" s="72" t="str">
        <f>IF($BJ43&gt;0,IF(INDEX('Final Calculation Sheet'!$Q$4:$Q$40,$BJ43-3)="","",INDEX('Final Calculation Sheet'!$Q$4:$Q$40,$BJ43-3)),IF(OR($BI43=1,$BL43=1,$BH43&gt;0),"–",""))</f>
        <v>–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83029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17718123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3782654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3782654</v>
      </c>
      <c r="W44" s="70" t="str">
        <f>IF($BJ43&gt;0,IF(INDEX('Final Calculation Sheet'!$V$4:$V$40,$BJ43-3)="","",INDEX('Final Calculation Sheet'!$V$4:$V$40,$BJ43-3)),IF(OR($BI43=1,$BL43=1,$BH43&gt;0),"–",""))</f>
        <v>–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13935473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13137293</v>
      </c>
      <c r="Z44" s="70" t="str">
        <f>IF($BJ43&gt;0,IF(INDEX('Final Calculation Sheet'!$Y$4:$Y$40,$BJ43-3)="","",INDEX('Final Calculation Sheet'!$Y$4:$Y$40,$BJ43-3)),IF(OR($BI43=1,$BL43=1,$BH43&gt;0),"–",""))</f>
        <v>–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34459.067999999999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3540</v>
      </c>
      <c r="AC44" s="70" t="str">
        <f>IF($BJ43&gt;0,IF(INDEX('Final Calculation Sheet'!$AB$4:$AB$40,$BJ43-3)="","",INDEX('Final Calculation Sheet'!$AB$4:$AB$40,$BJ43-3)),IF(OR($BI43=1,$BL43=1,$BH43&gt;0),"–",""))</f>
        <v>–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16923487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794636.00000000047</v>
      </c>
      <c r="AF44" s="70" t="str">
        <f>IF($BJ43&gt;0,IF(INDEX('Final Calculation Sheet'!$AE$4:$AE$40,$BJ43-3)="","",INDEX('Final Calculation Sheet'!$AE$4:$AE$40,$BJ43-3)),IF(OR($BI43=1,$BL43=1,$BH43&gt;0),"–",""))</f>
        <v>–</v>
      </c>
      <c r="AG44" s="74" t="str">
        <f>IF($BJ43&gt;0,IF(INDEX('Final Calculation Sheet'!$AF$4:$AF$40,$BJ43-3)="","",INDEX('Final Calculation Sheet'!$AF$4:$AF$40,$BJ43-3)),IF(OR($BI43=1,$BL43=1,$BH43&gt;0),"–",""))</f>
        <v>–</v>
      </c>
      <c r="AH44" s="70" t="str">
        <f>IF($BJ43&gt;0,IF(INDEX('Final Calculation Sheet'!$AG$4:$AG$40,$BJ43-3)="","",INDEX('Final Calculation Sheet'!$AG$4:$AG$40,$BJ43-3)),IF(OR($BI43=1,$BL43=1,$BH43&gt;0),"–",""))</f>
        <v>–</v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OUTSTANDING</v>
      </c>
      <c r="BH44">
        <f>IFERROR(MATCH(44,$BF$4:$BF$13,0),0)</f>
        <v>0</v>
      </c>
      <c r="BI44">
        <f>IF(44=$BG$5,1,0)</f>
        <v>1</v>
      </c>
      <c r="BJ44">
        <f>IF(OR($BH44&gt;0,$BI44=1,$BL44=1),0,IFERROR(INDEX($BC$5:$BC$41,MATCH(44,$BB$5:$BB$41,0)),0))</f>
        <v>0</v>
      </c>
      <c r="BK44">
        <f>IF($BJ44&gt;0,IF(INDEX($AZ$5:$AZ$41,MATCH(44,$BB$5:$BB$41,0))=10,1,0),IF($BH44=10,1,0))</f>
        <v>0</v>
      </c>
      <c r="BL44">
        <f>IF(44=$BG$4,1,0)</f>
        <v>0</v>
      </c>
    </row>
    <row r="45" spans="1:99" ht="15" customHeight="1" x14ac:dyDescent="0.25">
      <c r="A45" s="67" t="str">
        <f>IF($BJ44&gt;0,INDEX($BA$5:$BA$41,MATCH(44,$BB$5:$BB$41,0)),IF(OR($BI44=1,$BL44=1,$BH44&gt;0),"∑",""))</f>
        <v>∑</v>
      </c>
      <c r="B45" s="68" t="str">
        <f>IF($BJ44&gt;0,IF(INDEX('Final Calculation Sheet'!$F$4:$F$40,$BJ44-3)="","",INDEX('Final Calculation Sheet'!$F$4:$F$40,$BJ44-3)),"")</f>
        <v/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37 lot(s)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GRAND TOTAL  —  matching + remaining</v>
      </c>
      <c r="E45" s="69" t="str">
        <f>IF($BJ44&gt;0,IF(INDEX('Final Calculation Sheet'!$D$4:$D$40,$BJ44-3)="","",INDEX('Final Calculation Sheet'!$D$4:$D$40,$BJ44-3)),IF(OR($BI44=1,$BL44=1,$BH44&gt;0),"–",""))</f>
        <v>–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17157.2</v>
      </c>
      <c r="G45" s="69" t="str">
        <f>IF($BJ44&gt;0,IF(INDEX('Final Calculation Sheet'!$E$4:$E$40,$BJ44-3)="","",INDEX('Final Calculation Sheet'!$E$4:$E$40,$BJ44-3)),IF(OR($BI44=1,$BL44=1,$BH44&gt;0),"–",""))</f>
        <v>–</v>
      </c>
      <c r="H45" s="70" t="str">
        <f>IF($BJ44&gt;0,IF(INDEX('Final Calculation Sheet'!$C$4:$C$40,$BJ44-3)="","",INDEX('Final Calculation Sheet'!$C$4:$C$40,$BJ44-3)),IF(OR($BI44=1,$BL44=1,$BH44&gt;0),"–",""))</f>
        <v>–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15130598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2723508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17854106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357082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15130.598000000002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401717.37689999992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6808.7690999999977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394908.6078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410039</v>
      </c>
      <c r="R45" s="72" t="str">
        <f>IF($BJ44&gt;0,IF(INDEX('Final Calculation Sheet'!$Q$4:$Q$40,$BJ44-3)="","",INDEX('Final Calculation Sheet'!$Q$4:$Q$40,$BJ44-3)),IF(OR($BI44=1,$BL44=1,$BH44&gt;0),"–",""))</f>
        <v>–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83029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17718123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3782654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3782654</v>
      </c>
      <c r="W45" s="70" t="str">
        <f>IF($BJ44&gt;0,IF(INDEX('Final Calculation Sheet'!$V$4:$V$40,$BJ44-3)="","",INDEX('Final Calculation Sheet'!$V$4:$V$40,$BJ44-3)),IF(OR($BI44=1,$BL44=1,$BH44&gt;0),"–",""))</f>
        <v>–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13935473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13137293</v>
      </c>
      <c r="Z45" s="70" t="str">
        <f>IF($BJ44&gt;0,IF(INDEX('Final Calculation Sheet'!$Y$4:$Y$40,$BJ44-3)="","",INDEX('Final Calculation Sheet'!$Y$4:$Y$40,$BJ44-3)),IF(OR($BI44=1,$BL44=1,$BH44&gt;0),"–",""))</f>
        <v>–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34459.067999999999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3540</v>
      </c>
      <c r="AC45" s="70" t="str">
        <f>IF($BJ44&gt;0,IF(INDEX('Final Calculation Sheet'!$AB$4:$AB$40,$BJ44-3)="","",INDEX('Final Calculation Sheet'!$AB$4:$AB$40,$BJ44-3)),IF(OR($BI44=1,$BL44=1,$BH44&gt;0),"–",""))</f>
        <v>–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16923487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794636.00000000047</v>
      </c>
      <c r="AF45" s="70" t="str">
        <f>IF($BJ44&gt;0,IF(INDEX('Final Calculation Sheet'!$AE$4:$AE$40,$BJ44-3)="","",INDEX('Final Calculation Sheet'!$AE$4:$AE$40,$BJ44-3)),IF(OR($BI44=1,$BL44=1,$BH44&gt;0),"–",""))</f>
        <v>–</v>
      </c>
      <c r="AG45" s="74" t="str">
        <f>IF($BJ44&gt;0,IF(INDEX('Final Calculation Sheet'!$AF$4:$AF$40,$BJ44-3)="","",INDEX('Final Calculation Sheet'!$AF$4:$AF$40,$BJ44-3)),IF(OR($BI44=1,$BL44=1,$BH44&gt;0),"–",""))</f>
        <v>–</v>
      </c>
      <c r="AH45" s="70" t="str">
        <f>IF($BJ44&gt;0,IF(INDEX('Final Calculation Sheet'!$AG$4:$AG$40,$BJ44-3)="","",INDEX('Final Calculation Sheet'!$AG$4:$AG$40,$BJ44-3)),IF(OR($BI44=1,$BL44=1,$BH44&gt;0),"–",""))</f>
        <v>–</v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OUTSTANDING</v>
      </c>
      <c r="BH45">
        <f>IFERROR(MATCH(45,$BF$4:$BF$13,0),0)</f>
        <v>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0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/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/>
      </c>
      <c r="E46" s="69" t="str">
        <f>IF($BJ45&gt;0,IF(INDEX('Final Calculation Sheet'!$D$4:$D$40,$BJ45-3)="","",INDEX('Final Calculation Sheet'!$D$4:$D$40,$BJ45-3)),IF(OR($BI45=1,$BL45=1,$BH45&gt;0),"–",""))</f>
        <v/>
      </c>
      <c r="F46" s="69" t="str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/>
      </c>
      <c r="G46" s="69" t="str">
        <f>IF($BJ45&gt;0,IF(INDEX('Final Calculation Sheet'!$E$4:$E$40,$BJ45-3)="","",INDEX('Final Calculation Sheet'!$E$4:$E$40,$BJ45-3)),IF(OR($BI45=1,$BL45=1,$BH45&gt;0),"–",""))</f>
        <v/>
      </c>
      <c r="H46" s="70" t="str">
        <f>IF($BJ45&gt;0,IF(INDEX('Final Calculation Sheet'!$C$4:$C$40,$BJ45-3)="","",INDEX('Final Calculation Sheet'!$C$4:$C$40,$BJ45-3)),IF(OR($BI45=1,$BL45=1,$BH45&gt;0),"–",""))</f>
        <v/>
      </c>
      <c r="I46" s="70" t="str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/>
      </c>
      <c r="J46" s="70" t="str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/>
      </c>
      <c r="K46" s="70" t="str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/>
      </c>
      <c r="L46" s="70" t="str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/>
      </c>
      <c r="M46" s="70" t="str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/>
      </c>
      <c r="N46" s="70" t="str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/>
      </c>
      <c r="O46" s="71" t="str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/>
      </c>
      <c r="P46" s="70" t="str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/>
      </c>
      <c r="Q46" s="70" t="str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/>
      </c>
      <c r="R46" s="72" t="str">
        <f>IF($BJ45&gt;0,IF(INDEX('Final Calculation Sheet'!$Q$4:$Q$40,$BJ45-3)="","",INDEX('Final Calculation Sheet'!$Q$4:$Q$40,$BJ45-3)),IF(OR($BI45=1,$BL45=1,$BH45&gt;0),"–",""))</f>
        <v/>
      </c>
      <c r="S46" s="70" t="str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/>
      </c>
      <c r="T46" s="70" t="str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/>
      </c>
      <c r="U46" s="70" t="str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/>
      </c>
      <c r="V46" s="73" t="str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/>
      </c>
      <c r="W46" s="70" t="str">
        <f>IF($BJ45&gt;0,IF(INDEX('Final Calculation Sheet'!$V$4:$V$40,$BJ45-3)="","",INDEX('Final Calculation Sheet'!$V$4:$V$40,$BJ45-3)),IF(OR($BI45=1,$BL45=1,$BH45&gt;0),"–",""))</f>
        <v/>
      </c>
      <c r="X46" s="70" t="str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/>
      </c>
      <c r="Y46" s="70" t="str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/>
      </c>
      <c r="Z46" s="70" t="str">
        <f>IF($BJ45&gt;0,IF(INDEX('Final Calculation Sheet'!$Y$4:$Y$40,$BJ45-3)="","",INDEX('Final Calculation Sheet'!$Y$4:$Y$40,$BJ45-3)),IF(OR($BI45=1,$BL45=1,$BH45&gt;0),"–",""))</f>
        <v/>
      </c>
      <c r="AA46" s="70" t="str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/>
      </c>
      <c r="AB46" s="70" t="str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/>
      </c>
      <c r="AC46" s="70" t="str">
        <f>IF($BJ45&gt;0,IF(INDEX('Final Calculation Sheet'!$AB$4:$AB$40,$BJ45-3)="","",INDEX('Final Calculation Sheet'!$AB$4:$AB$40,$BJ45-3)),IF(OR($BI45=1,$BL45=1,$BH45&gt;0),"–",""))</f>
        <v/>
      </c>
      <c r="AD46" s="70" t="str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/>
      </c>
      <c r="AE46" s="70" t="str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/>
      </c>
      <c r="AF46" s="70" t="str">
        <f>IF($BJ45&gt;0,IF(INDEX('Final Calculation Sheet'!$AE$4:$AE$40,$BJ45-3)="","",INDEX('Final Calculation Sheet'!$AE$4:$AE$40,$BJ45-3)),IF(OR($BI45=1,$BL45=1,$BH45&gt;0),"–",""))</f>
        <v/>
      </c>
      <c r="AG46" s="74" t="str">
        <f>IF($BJ45&gt;0,IF(INDEX('Final Calculation Sheet'!$AF$4:$AF$40,$BJ45-3)="","",INDEX('Final Calculation Sheet'!$AF$4:$AF$40,$BJ45-3)),IF(OR($BI45=1,$BL45=1,$BH45&gt;0),"–",""))</f>
        <v/>
      </c>
      <c r="AH46" s="70" t="str">
        <f>IF($BJ45&gt;0,IF(INDEX('Final Calculation Sheet'!$AG$4:$AG$40,$BJ45-3)="","",INDEX('Final Calculation Sheet'!$AG$4:$AG$40,$BJ45-3)),IF(OR($BI45=1,$BL45=1,$BH45&gt;0),"–",""))</f>
        <v/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/>
      </c>
      <c r="BH46">
        <f>IFERROR(MATCH(46,$BF$4:$BF$13,0),0)</f>
        <v>0</v>
      </c>
      <c r="BI46">
        <f>IF(46=$BG$5,1,0)</f>
        <v>0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/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/>
      </c>
      <c r="E47" s="69" t="str">
        <f>IF($BJ46&gt;0,IF(INDEX('Final Calculation Sheet'!$D$4:$D$40,$BJ46-3)="","",INDEX('Final Calculation Sheet'!$D$4:$D$40,$BJ46-3)),IF(OR($BI46=1,$BL46=1,$BH46&gt;0),"–",""))</f>
        <v/>
      </c>
      <c r="F47" s="69" t="str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/>
      </c>
      <c r="G47" s="69" t="str">
        <f>IF($BJ46&gt;0,IF(INDEX('Final Calculation Sheet'!$E$4:$E$40,$BJ46-3)="","",INDEX('Final Calculation Sheet'!$E$4:$E$40,$BJ46-3)),IF(OR($BI46=1,$BL46=1,$BH46&gt;0),"–",""))</f>
        <v/>
      </c>
      <c r="H47" s="70" t="str">
        <f>IF($BJ46&gt;0,IF(INDEX('Final Calculation Sheet'!$C$4:$C$40,$BJ46-3)="","",INDEX('Final Calculation Sheet'!$C$4:$C$40,$BJ46-3)),IF(OR($BI46=1,$BL46=1,$BH46&gt;0),"–",""))</f>
        <v/>
      </c>
      <c r="I47" s="70" t="str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/>
      </c>
      <c r="J47" s="70" t="str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/>
      </c>
      <c r="K47" s="70" t="str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/>
      </c>
      <c r="L47" s="70" t="str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/>
      </c>
      <c r="M47" s="70" t="str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/>
      </c>
      <c r="N47" s="70" t="str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/>
      </c>
      <c r="O47" s="71" t="str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/>
      </c>
      <c r="P47" s="70" t="str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/>
      </c>
      <c r="Q47" s="70" t="str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/>
      </c>
      <c r="R47" s="72" t="str">
        <f>IF($BJ46&gt;0,IF(INDEX('Final Calculation Sheet'!$Q$4:$Q$40,$BJ46-3)="","",INDEX('Final Calculation Sheet'!$Q$4:$Q$40,$BJ46-3)),IF(OR($BI46=1,$BL46=1,$BH46&gt;0),"–",""))</f>
        <v/>
      </c>
      <c r="S47" s="70" t="str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/>
      </c>
      <c r="T47" s="70" t="str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/>
      </c>
      <c r="U47" s="70" t="str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/>
      </c>
      <c r="V47" s="73" t="str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/>
      </c>
      <c r="W47" s="70" t="str">
        <f>IF($BJ46&gt;0,IF(INDEX('Final Calculation Sheet'!$V$4:$V$40,$BJ46-3)="","",INDEX('Final Calculation Sheet'!$V$4:$V$40,$BJ46-3)),IF(OR($BI46=1,$BL46=1,$BH46&gt;0),"–",""))</f>
        <v/>
      </c>
      <c r="X47" s="70" t="str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/>
      </c>
      <c r="Y47" s="70" t="str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/>
      </c>
      <c r="Z47" s="70" t="str">
        <f>IF($BJ46&gt;0,IF(INDEX('Final Calculation Sheet'!$Y$4:$Y$40,$BJ46-3)="","",INDEX('Final Calculation Sheet'!$Y$4:$Y$40,$BJ46-3)),IF(OR($BI46=1,$BL46=1,$BH46&gt;0),"–",""))</f>
        <v/>
      </c>
      <c r="AA47" s="70" t="str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/>
      </c>
      <c r="AB47" s="70" t="str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/>
      </c>
      <c r="AC47" s="70" t="str">
        <f>IF($BJ46&gt;0,IF(INDEX('Final Calculation Sheet'!$AB$4:$AB$40,$BJ46-3)="","",INDEX('Final Calculation Sheet'!$AB$4:$AB$40,$BJ46-3)),IF(OR($BI46=1,$BL46=1,$BH46&gt;0),"–",""))</f>
        <v/>
      </c>
      <c r="AD47" s="70" t="str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/>
      </c>
      <c r="AE47" s="70" t="str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/>
      </c>
      <c r="AF47" s="70" t="str">
        <f>IF($BJ46&gt;0,IF(INDEX('Final Calculation Sheet'!$AE$4:$AE$40,$BJ46-3)="","",INDEX('Final Calculation Sheet'!$AE$4:$AE$40,$BJ46-3)),IF(OR($BI46=1,$BL46=1,$BH46&gt;0),"–",""))</f>
        <v/>
      </c>
      <c r="AG47" s="74" t="str">
        <f>IF($BJ46&gt;0,IF(INDEX('Final Calculation Sheet'!$AF$4:$AF$40,$BJ46-3)="","",INDEX('Final Calculation Sheet'!$AF$4:$AF$40,$BJ46-3)),IF(OR($BI46=1,$BL46=1,$BH46&gt;0),"–",""))</f>
        <v/>
      </c>
      <c r="AH47" s="70" t="str">
        <f>IF($BJ46&gt;0,IF(INDEX('Final Calculation Sheet'!$AG$4:$AG$40,$BJ46-3)="","",INDEX('Final Calculation Sheet'!$AG$4:$AG$40,$BJ46-3)),IF(OR($BI46=1,$BL46=1,$BH46&gt;0),"–",""))</f>
        <v/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/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64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64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64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64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64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64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6:AI54">
    <cfRule type="expression" dxfId="3" priority="11">
      <formula>OR($BJ5&gt;0,$BH5&gt;0,$BI5=1,$BL5=1)</formula>
    </cfRule>
  </conditionalFormatting>
  <conditionalFormatting sqref="AE6:AE54">
    <cfRule type="cellIs" dxfId="2" priority="8" operator="greaterThan">
      <formula>0</formula>
    </cfRule>
  </conditionalFormatting>
  <conditionalFormatting sqref="AI6:AI54">
    <cfRule type="cellIs" dxfId="1" priority="9" operator="equal">
      <formula>"SETTLED"</formula>
    </cfRule>
    <cfRule type="cellIs" dxfId="0" priority="10" operator="equal">
      <formula>"OUTSTANDING"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promptTitle="Column wildcard search" prompt="Type text; comma or / means ANY. Use * for any text or ? for one character." sqref="A4:AI4" xr:uid="{00000000-0002-0000-0100-000001000000}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2026-09-09T07:04:33Z</dcterms:modified>
  <dc:language>en-US</dc:language>
</cp:coreProperties>
</file>