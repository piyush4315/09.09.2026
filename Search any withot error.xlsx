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1385" tabRatio="500" firstSheet="0" activeTab="1" autoFilterDateGrouping="1"/>
  </bookViews>
  <sheets>
    <sheet name="Final Calculation Sheet" sheetId="1" state="visible" r:id="rId1"/>
    <sheet name="Live Search" sheetId="2" state="visible" r:id="rId2"/>
    <sheet name="Buyer Groups" sheetId="3" state="visible" r:id="rId3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8" fullCalcOnLoad="1" iterateDelta="0.0001" forceFullCalc="1"/>
</workbook>
</file>

<file path=xl/styles.xml><?xml version="1.0" encoding="utf-8"?>
<styleSheet xmlns="http://schemas.openxmlformats.org/spreadsheetml/2006/main">
  <numFmts count="2">
    <numFmt numFmtId="164" formatCode="#,##0;\(#,##0\)"/>
    <numFmt numFmtId="165" formatCode="_ * #,##0_ ;_ * \-#,##0_ ;_ * \-??_ ;_ @_ "/>
  </numFmts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libri"/>
      <b val="1"/>
      <color rgb="FFFFFFFF"/>
      <sz val="15"/>
    </font>
    <font>
      <name val="Calibri"/>
      <i val="1"/>
      <color rgb="FF1F3864"/>
      <sz val="9"/>
    </font>
    <font>
      <name val="Calibri"/>
      <b val="1"/>
      <color rgb="FFFFFFFF"/>
      <sz val="11"/>
    </font>
    <font>
      <name val="Calibri"/>
      <b val="1"/>
      <color rgb="FF1F3864"/>
      <sz val="13"/>
    </font>
    <font>
      <name val="Calibri"/>
      <b val="1"/>
      <color rgb="FFFFFFFF"/>
      <sz val="10"/>
    </font>
    <font>
      <name val="Calibri"/>
      <b val="1"/>
      <color rgb="FF1F3864"/>
      <sz val="10"/>
    </font>
    <font>
      <name val="Calibri"/>
      <b val="1"/>
      <color rgb="FF1F3864"/>
      <sz val="12"/>
    </font>
    <font>
      <name val="Calibri"/>
      <b val="1"/>
      <color rgb="FFFFFFFF"/>
      <sz val="9"/>
    </font>
    <font>
      <name val="Calibri"/>
      <b val="1"/>
      <color rgb="FF666666"/>
      <sz val="9"/>
    </font>
    <font>
      <name val="Calibri"/>
      <b val="1"/>
      <color rgb="FF333333"/>
      <sz val="10"/>
    </font>
    <font>
      <name val="Calibri"/>
      <color rgb="FF333333"/>
      <sz val="10"/>
    </font>
    <font>
      <name val="Calibri"/>
      <b val="1"/>
      <sz val="10"/>
    </font>
    <font>
      <name val="Calibri"/>
      <i val="1"/>
      <color rgb="FF808080"/>
      <sz val="8"/>
    </font>
  </fonts>
  <fills count="1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375623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9" fillId="4" borderId="0" applyAlignment="1" pivotButton="0" quotePrefix="0" xfId="0">
      <alignment horizontal="right" vertical="center"/>
    </xf>
    <xf numFmtId="0" fontId="11" fillId="7" borderId="0" applyAlignment="1" pivotButton="0" quotePrefix="0" xfId="0">
      <alignment horizontal="right" vertical="center"/>
    </xf>
    <xf numFmtId="0" fontId="12" fillId="8" borderId="17" applyAlignment="1" pivotButton="0" quotePrefix="0" xfId="0">
      <alignment horizontal="center" vertical="center" wrapText="1"/>
    </xf>
    <xf numFmtId="0" fontId="13" fillId="9" borderId="17" applyAlignment="1" pivotButton="0" quotePrefix="0" xfId="0">
      <alignment horizontal="center" vertical="center" wrapText="1"/>
    </xf>
    <xf numFmtId="0" fontId="19" fillId="0" borderId="0" pivotButton="0" quotePrefix="0" xfId="0"/>
    <xf numFmtId="0" fontId="14" fillId="10" borderId="18" applyAlignment="1" pivotButton="0" quotePrefix="0" xfId="0">
      <alignment horizontal="center" vertical="center" wrapText="1"/>
    </xf>
    <xf numFmtId="0" fontId="14" fillId="11" borderId="18" applyAlignment="1" pivotButton="0" quotePrefix="0" xfId="0">
      <alignment horizontal="center" vertical="center" wrapText="1"/>
    </xf>
    <xf numFmtId="0" fontId="14" fillId="12" borderId="18" applyAlignment="1" pivotButton="0" quotePrefix="0" xfId="0">
      <alignment horizontal="center" vertical="center" wrapText="1"/>
    </xf>
    <xf numFmtId="1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9" fontId="17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6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2" fillId="9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1" fontId="14" fillId="13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left" vertical="center"/>
    </xf>
    <xf numFmtId="164" fontId="11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right" vertical="center"/>
    </xf>
    <xf numFmtId="9" fontId="11" fillId="13" borderId="0" applyAlignment="1" pivotButton="0" quotePrefix="0" xfId="0">
      <alignment horizontal="right" vertical="center"/>
    </xf>
    <xf numFmtId="165" fontId="11" fillId="13" borderId="0" applyAlignment="1" pivotButton="0" quotePrefix="0" xfId="0">
      <alignment horizontal="right" vertical="center"/>
    </xf>
    <xf numFmtId="1" fontId="11" fillId="13" borderId="0" applyAlignment="1" pivotButton="0" quotePrefix="0" xfId="0">
      <alignment horizontal="right" vertical="center"/>
    </xf>
    <xf numFmtId="0" fontId="11" fillId="13" borderId="0" applyAlignment="1" pivotButton="0" quotePrefix="0" xfId="0">
      <alignment horizontal="center" vertical="center" wrapText="1"/>
    </xf>
    <xf numFmtId="1" fontId="14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/>
    </xf>
    <xf numFmtId="164" fontId="11" fillId="14" borderId="0" applyAlignment="1" pivotButton="0" quotePrefix="0" xfId="0">
      <alignment horizontal="right" vertical="center"/>
    </xf>
    <xf numFmtId="3" fontId="11" fillId="14" borderId="0" applyAlignment="1" pivotButton="0" quotePrefix="0" xfId="0">
      <alignment horizontal="right" vertical="center"/>
    </xf>
    <xf numFmtId="9" fontId="11" fillId="14" borderId="0" applyAlignment="1" pivotButton="0" quotePrefix="0" xfId="0">
      <alignment horizontal="right" vertical="center"/>
    </xf>
    <xf numFmtId="165" fontId="11" fillId="14" borderId="0" applyAlignment="1" pivotButton="0" quotePrefix="0" xfId="0">
      <alignment horizontal="right" vertical="center"/>
    </xf>
    <xf numFmtId="1" fontId="11" fillId="14" borderId="0" applyAlignment="1" pivotButton="0" quotePrefix="0" xfId="0">
      <alignment horizontal="right" vertical="center"/>
    </xf>
    <xf numFmtId="0" fontId="11" fillId="14" borderId="0" applyAlignment="1" pivotButton="0" quotePrefix="0" xfId="0">
      <alignment horizontal="center" vertical="center" wrapText="1"/>
    </xf>
    <xf numFmtId="1" fontId="14" fillId="15" borderId="0" applyAlignment="1" pivotButton="0" quotePrefix="0" xfId="0">
      <alignment horizontal="center" vertical="center" wrapText="1"/>
    </xf>
    <xf numFmtId="0" fontId="11" fillId="15" borderId="0" applyAlignment="1" pivotButton="0" quotePrefix="0" xfId="0">
      <alignment horizontal="left" vertical="center"/>
    </xf>
    <xf numFmtId="164" fontId="11" fillId="15" borderId="0" applyAlignment="1" pivotButton="0" quotePrefix="0" xfId="0">
      <alignment horizontal="right" vertical="center"/>
    </xf>
    <xf numFmtId="3" fontId="11" fillId="15" borderId="0" applyAlignment="1" pivotButton="0" quotePrefix="0" xfId="0">
      <alignment horizontal="right" vertical="center"/>
    </xf>
    <xf numFmtId="9" fontId="11" fillId="15" borderId="0" applyAlignment="1" pivotButton="0" quotePrefix="0" xfId="0">
      <alignment horizontal="right" vertical="center"/>
    </xf>
    <xf numFmtId="165" fontId="11" fillId="15" borderId="0" applyAlignment="1" pivotButton="0" quotePrefix="0" xfId="0">
      <alignment horizontal="right" vertical="center"/>
    </xf>
    <xf numFmtId="1" fontId="11" fillId="15" borderId="0" applyAlignment="1" pivotButton="0" quotePrefix="0" xfId="0">
      <alignment horizontal="right" vertical="center"/>
    </xf>
    <xf numFmtId="0" fontId="11" fillId="1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3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</dxf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FFFFFF"/>
      </font>
      <fill>
        <patternFill patternType="solid">
          <fgColor rgb="FF1F3864"/>
          <bgColor rgb="FF1F3864"/>
        </patternFill>
      </fill>
    </dxf>
    <dxf>
      <font>
        <b val="1"/>
        <color rgb="FFFFFFFF"/>
      </font>
      <fill>
        <patternFill patternType="solid">
          <fgColor rgb="FF2E75B6"/>
          <bgColor rgb="FF2E75B6"/>
        </patternFill>
      </fill>
    </dxf>
    <dxf>
      <font>
        <b val="1"/>
        <color rgb="FFFFFFFF"/>
      </font>
      <fill>
        <patternFill patternType="solid">
          <fgColor rgb="FF375623"/>
          <bgColor rgb="FF375623"/>
        </patternFill>
      </fill>
    </dxf>
    <dxf>
      <font>
        <b val="1"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zoomScale="85" zoomScaleNormal="85" workbookViewId="0">
      <pane xSplit="7" ySplit="3" topLeftCell="H4" activePane="bottomRight" state="frozen"/>
      <selection pane="topRight" activeCell="A1" sqref="A1"/>
      <selection pane="bottomLeft" activeCell="A1" sqref="A1"/>
      <selection pane="bottomRight" activeCell="B10" sqref="B10"/>
    </sheetView>
  </sheetViews>
  <sheetFormatPr baseColWidth="8" defaultColWidth="8.7109375" defaultRowHeight="15"/>
  <cols>
    <col width="13.7109375" bestFit="1" customWidth="1" style="77" min="1" max="1"/>
    <col width="29.42578125" customWidth="1" style="77" min="2" max="2"/>
    <col width="9.140625" customWidth="1" style="77" min="3" max="3"/>
    <col width="9.42578125" customWidth="1" style="77" min="4" max="4"/>
    <col width="10" bestFit="1" customWidth="1" style="77" min="5" max="5"/>
    <col width="12.42578125" bestFit="1" customWidth="1" style="77" min="6" max="6"/>
    <col width="25" customWidth="1" style="77" min="7" max="7"/>
    <col width="15.5703125" bestFit="1" customWidth="1" style="77" min="8" max="8"/>
    <col width="9.85546875" bestFit="1" customWidth="1" style="77" min="9" max="9"/>
    <col width="17.140625" bestFit="1" customWidth="1" style="77" min="10" max="10"/>
    <col width="9.5703125" bestFit="1" customWidth="1" style="77" min="11" max="11"/>
    <col width="6.85546875" customWidth="1" style="77" min="12" max="12"/>
    <col width="8.28515625" customWidth="1" style="77" min="13" max="13"/>
    <col width="6.7109375" customWidth="1" style="77" min="14" max="14"/>
    <col width="9.140625" customWidth="1" style="77" min="15" max="15"/>
    <col width="8.28515625" customWidth="1" style="1" min="16" max="16"/>
    <col width="8.140625" customWidth="1" style="1" min="17" max="17"/>
    <col width="8.140625" customWidth="1" style="77" min="18" max="18"/>
    <col width="11.5703125" customWidth="1" style="77" min="19" max="19"/>
    <col width="9.85546875" customWidth="1" style="77" min="20" max="20"/>
    <col width="10" customWidth="1" style="2" min="21" max="21"/>
    <col width="10.140625" customWidth="1" style="2" min="22" max="22"/>
    <col width="10.7109375" customWidth="1" style="77" min="23" max="23"/>
    <col width="10.5703125" customWidth="1" style="77" min="24" max="24"/>
    <col width="10.140625" customWidth="1" style="77" min="25" max="28"/>
    <col width="14.140625" bestFit="1" customWidth="1" style="77" min="29" max="29"/>
    <col width="11.5703125" customWidth="1" style="77" min="30" max="30"/>
    <col width="13.7109375" customWidth="1" style="77" min="31" max="31"/>
    <col width="14.140625" customWidth="1" style="77" min="32" max="32"/>
    <col width="10.140625" customWidth="1" style="77" min="33" max="33"/>
  </cols>
  <sheetData>
    <row r="1" ht="15.75" customHeight="1" s="77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 s="77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 s="77">
      <c r="A3" s="4" t="inlineStr">
        <is>
          <t>Quantity</t>
        </is>
      </c>
      <c r="B3" s="5" t="inlineStr">
        <is>
          <t>Lot No.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 s="77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 s="77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 s="77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 s="77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 s="77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 s="77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 s="77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 s="77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 s="77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 s="77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 s="77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 s="77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 s="77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 s="77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 s="77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 s="77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 s="77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 s="77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 s="77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 s="77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 s="77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 s="77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 s="77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 s="77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 s="77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 s="77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 s="77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 s="77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 s="77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 s="77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 s="77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 s="77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 s="77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 s="77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 s="77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 s="77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 s="77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 s="77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 s="77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 s="77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 s="77">
      <c r="U44" s="58" t="n"/>
    </row>
    <row r="46" ht="14.25" customHeight="1" s="77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5"/>
  <cols>
    <col width="14.85546875" bestFit="1" customWidth="1" style="77" min="1" max="1"/>
    <col width="10" customWidth="1" style="77" min="2" max="2"/>
    <col width="30" customWidth="1" style="77" min="3" max="3"/>
    <col outlineLevel="1" width="42" customWidth="1" style="77" min="4" max="4"/>
    <col outlineLevel="1" width="11.7109375" bestFit="1" customWidth="1" style="77" min="5" max="5"/>
    <col outlineLevel="1" width="12" bestFit="1" customWidth="1" style="77" min="6" max="6"/>
    <col outlineLevel="1" width="11" bestFit="1" customWidth="1" style="77" min="7" max="7"/>
    <col outlineLevel="1" width="8.85546875" bestFit="1" customWidth="1" style="77" min="8" max="8"/>
    <col width="10.28515625" bestFit="1" customWidth="1" style="77" min="9" max="9"/>
    <col outlineLevel="1" width="8.85546875" bestFit="1" customWidth="1" style="77" min="10" max="10"/>
    <col outlineLevel="1" width="13.42578125" customWidth="1" style="77" min="11" max="16"/>
    <col width="13" customWidth="1" style="77" min="12" max="12"/>
    <col width="13" customWidth="1" style="77" min="13" max="13"/>
    <col width="13" customWidth="1" style="77" min="14" max="14"/>
    <col width="13" customWidth="1" style="77" min="15" max="15"/>
    <col width="13" customWidth="1" style="77" min="16" max="16"/>
    <col width="13.42578125" customWidth="1" style="77" min="17" max="17"/>
    <col outlineLevel="1" width="13.42578125" customWidth="1" style="77" min="18" max="18"/>
    <col width="13.42578125" customWidth="1" style="77" min="19" max="20"/>
    <col width="13" customWidth="1" style="77" min="20" max="20"/>
    <col outlineLevel="1" width="13.42578125" customWidth="1" style="77" min="21" max="21"/>
    <col width="13.42578125" customWidth="1" style="77" min="22" max="34"/>
    <col width="13" customWidth="1" style="77" min="23" max="23"/>
    <col width="13" customWidth="1" style="77" min="24" max="24"/>
    <col width="13" customWidth="1" style="77" min="25" max="25"/>
    <col width="13" customWidth="1" style="77" min="26" max="26"/>
    <col width="13" customWidth="1" style="77" min="27" max="27"/>
    <col width="13" customWidth="1" style="77" min="28" max="28"/>
    <col width="13" customWidth="1" style="77" min="29" max="29"/>
    <col width="13" customWidth="1" style="77" min="30" max="30"/>
    <col width="13" customWidth="1" style="77" min="31" max="31"/>
    <col width="13" customWidth="1" style="77" min="32" max="32"/>
    <col width="13" customWidth="1" style="77" min="33" max="33"/>
    <col width="13" customWidth="1" style="77" min="34" max="34"/>
    <col width="13" customWidth="1" style="77" min="35" max="35"/>
    <col hidden="1" width="12" customWidth="1" style="77" min="37" max="99"/>
  </cols>
  <sheetData>
    <row r="1" ht="30" customHeight="1" s="77">
      <c r="A1" s="81" t="inlineStr">
        <is>
          <t>MSTC LIMITED  •  LIVE SEARCH   (results grouped by the value you typed, each group totalled, TOTAL MATCHED beneath them, the misses greyed in a REMAINING block, a GRAND TOTAL of both at the foot)</t>
        </is>
      </c>
    </row>
    <row r="2" ht="44.1" customHeight="1" s="77">
      <c r="A2" s="76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   •   Also see the Buyer Groups sheet for the same lots grouped by buyer with subtotals.</t>
        </is>
      </c>
    </row>
    <row r="3" ht="30" customHeight="1" s="77">
      <c r="A3" s="59" t="inlineStr">
        <is>
          <t>🔍  SEARCH  ▸</t>
        </is>
      </c>
      <c r="B3" s="78" t="n"/>
      <c r="C3" s="82" t="n"/>
      <c r="D3" s="83" t="n"/>
      <c r="E3" s="60" t="inlineStr">
        <is>
          <t>SEARCH IN  ▸</t>
        </is>
      </c>
      <c r="F3" s="61" t="inlineStr">
        <is>
          <t>Lot No. + Buyer + Name</t>
        </is>
      </c>
      <c r="G3" s="60" t="inlineStr">
        <is>
          <t>MATCHES  ▸</t>
        </is>
      </c>
      <c r="H3" s="62">
        <f>SUM($AM$5:$AM$41)&amp;" of 37"</f>
        <v/>
      </c>
      <c r="I3" s="80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/>
      </c>
      <c r="AK3" s="63" t="inlineStr">
        <is>
          <t>the text this lot is searched in</t>
        </is>
      </c>
      <c r="AM3" s="63" t="inlineStr">
        <is>
          <t>1 = this lot matches the search box</t>
        </is>
      </c>
      <c r="AO3" s="63" t="inlineStr">
        <is>
          <t>the 'search in' list</t>
        </is>
      </c>
      <c r="AQ3" s="63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30" customHeight="1" s="77">
      <c r="A4" s="61" t="n"/>
      <c r="B4" s="61" t="n"/>
      <c r="C4" s="61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  <c r="X4" s="61" t="n"/>
      <c r="Y4" s="61" t="n"/>
      <c r="Z4" s="61" t="n"/>
      <c r="AA4" s="61" t="n"/>
      <c r="AB4" s="61" t="n"/>
      <c r="AC4" s="61" t="n"/>
      <c r="AD4" s="61" t="n"/>
      <c r="AE4" s="61" t="n"/>
      <c r="AF4" s="61" t="n"/>
      <c r="AG4" s="61" t="n"/>
      <c r="AH4" s="61" t="n"/>
      <c r="AI4" s="61" t="n"/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IF($BD12=0,$BE12,$BF12+1)</f>
        <v/>
      </c>
    </row>
    <row r="5" ht="44.1" customHeight="1" s="77">
      <c r="A5" s="64" t="inlineStr">
        <is>
          <t>#</t>
        </is>
      </c>
      <c r="B5" s="65" t="inlineStr">
        <is>
          <t>Lot No.</t>
        </is>
      </c>
      <c r="C5" s="65" t="inlineStr">
        <is>
          <t>Buyer</t>
        </is>
      </c>
      <c r="D5" s="65" t="inlineStr">
        <is>
          <t>Lot Name</t>
        </is>
      </c>
      <c r="E5" s="65" t="inlineStr">
        <is>
          <t>Bid Sheet</t>
        </is>
      </c>
      <c r="F5" s="65" t="inlineStr">
        <is>
          <t>Quantity</t>
        </is>
      </c>
      <c r="G5" s="65" t="inlineStr">
        <is>
          <t>Unit</t>
        </is>
      </c>
      <c r="H5" s="65" t="inlineStr">
        <is>
          <t>Rate</t>
        </is>
      </c>
      <c r="I5" s="65" t="inlineStr">
        <is>
          <t>Mat. Value</t>
        </is>
      </c>
      <c r="J5" s="65" t="inlineStr">
        <is>
          <t>GST</t>
        </is>
      </c>
      <c r="K5" s="65" t="inlineStr">
        <is>
          <t>Mat. Value + GST</t>
        </is>
      </c>
      <c r="L5" s="65" t="inlineStr">
        <is>
          <t>TCS</t>
        </is>
      </c>
      <c r="M5" s="65" t="inlineStr">
        <is>
          <t>TDS u/s 194(O)</t>
        </is>
      </c>
      <c r="N5" s="65" t="inlineStr">
        <is>
          <t>Service Charge to MSTC</t>
        </is>
      </c>
      <c r="O5" s="65" t="inlineStr">
        <is>
          <t>TDS u/s 194(H)</t>
        </is>
      </c>
      <c r="P5" s="65" t="inlineStr">
        <is>
          <t>Net Service Charge (post TDS 194H)</t>
        </is>
      </c>
      <c r="Q5" s="65" t="inlineStr">
        <is>
          <t>Service charge to MSTC</t>
        </is>
      </c>
      <c r="R5" s="65" t="inlineStr">
        <is>
          <t>GST TDS Rate</t>
        </is>
      </c>
      <c r="S5" s="65" t="inlineStr">
        <is>
          <t>GST TDS</t>
        </is>
      </c>
      <c r="T5" s="65" t="inlineStr">
        <is>
          <t>Total Receivables in Cash</t>
        </is>
      </c>
      <c r="U5" s="65" t="inlineStr">
        <is>
          <t>Security Deposit (Expected)</t>
        </is>
      </c>
      <c r="V5" s="65" t="inlineStr">
        <is>
          <t>Security Deposit (Received)</t>
        </is>
      </c>
      <c r="W5" s="65" t="inlineStr">
        <is>
          <t>Date of Receipt (col V)</t>
        </is>
      </c>
      <c r="X5" s="65" t="inlineStr">
        <is>
          <t>Final Payment (Expected)</t>
        </is>
      </c>
      <c r="Y5" s="65" t="inlineStr">
        <is>
          <t>Final Payment (Received)</t>
        </is>
      </c>
      <c r="Z5" s="65" t="inlineStr">
        <is>
          <t>Date of Receipt (col Y)</t>
        </is>
      </c>
      <c r="AA5" s="65" t="inlineStr">
        <is>
          <t>LPP Expected</t>
        </is>
      </c>
      <c r="AB5" s="65" t="inlineStr">
        <is>
          <t>LPP Received</t>
        </is>
      </c>
      <c r="AC5" s="65" t="inlineStr">
        <is>
          <t>Date of Recepit of LPP</t>
        </is>
      </c>
      <c r="AD5" s="65" t="inlineStr">
        <is>
          <t>Total Received</t>
        </is>
      </c>
      <c r="AE5" s="65" t="inlineStr">
        <is>
          <t>Outstanding</t>
        </is>
      </c>
      <c r="AF5" s="65" t="inlineStr">
        <is>
          <t>Invoice No.</t>
        </is>
      </c>
      <c r="AG5" s="65" t="inlineStr">
        <is>
          <t>SAP Document</t>
        </is>
      </c>
      <c r="AH5" s="65" t="inlineStr">
        <is>
          <t>Doc./Invoice Date</t>
        </is>
      </c>
      <c r="AI5" s="66" t="inlineStr">
        <is>
          <t>Payment Status</t>
        </is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SUMPRODUCT(($AZ$5:$AZ$41=$AZ5)*($BC$5:$BC$41&lt;$BC5))+1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G5">
        <f>IF($BD13=0,$BE13,$BF13+1)</f>
        <v/>
      </c>
      <c r="BH5">
        <f>IFERROR(MATCH(5,$BF$4:$BF$13,0),0)</f>
        <v/>
      </c>
      <c r="BI5">
        <f>IF(5=$BG$5,1,0)</f>
        <v/>
      </c>
      <c r="BJ5">
        <f>IF(OR($BH5&gt;0,$BI5=1,$BL5=1),0,IFERROR(INDEX($BC$5:$BC$41,MATCH(5,$BB$5:$BB$41,0)),0))</f>
        <v/>
      </c>
      <c r="BK5">
        <f>IF($BJ5&gt;0,IF(INDEX($AZ$5:$AZ$41,MATCH(5,$BB$5:$BB$41,0))=10,1,0),IF($BH5=10,1,0))</f>
        <v/>
      </c>
      <c r="BL5">
        <f>IF(5=$BG$4,1,0)</f>
        <v/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/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/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/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/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/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/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/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/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/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/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/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/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/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/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/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/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/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/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/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/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/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/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/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/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/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/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/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/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/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/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/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/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/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/>
      </c>
    </row>
    <row r="6" ht="15" customHeight="1" s="77">
      <c r="A6" s="67">
        <f>IF($BJ5&gt;0,INDEX($BA$5:$BA$41,MATCH(5,$BB$5:$BB$41,0)),IF(OR($BI5=1,$BL5=1,$BH5&gt;0),"∑",""))</f>
        <v/>
      </c>
      <c r="B6" s="68">
        <f>IF($BJ5&gt;0,IF(INDEX('Final Calculation Sheet'!$F$4:$F$40,$BJ5-3)="","",INDEX('Final Calculation Sheet'!$F$4:$F$40,$BJ5-3)),"")</f>
        <v/>
      </c>
      <c r="C6" s="68">
        <f>IF($BJ5&gt;0,IF(INDEX('Final Calculation Sheet'!$G$4:$G$40,$BJ5-3)="","",INDEX('Final Calculation Sheet'!$G$4:$G$40,$BJ5-3)),IF(OR($BI5=1,$BL5=1,$BH5&gt;0),IF($BI5=1,37,IF($BL5=1,37-INDEX($BD$4:$BD$13,10),INDEX($BD$4:$BD$13,$BH5)))&amp;" lot(s)",""))</f>
        <v/>
      </c>
      <c r="D6" s="69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/>
      </c>
      <c r="E6" s="69">
        <f>IF($BJ5&gt;0,IF(INDEX('Final Calculation Sheet'!$D$4:$D$40,$BJ5-3)="","",INDEX('Final Calculation Sheet'!$D$4:$D$40,$BJ5-3)),IF(OR($BI5=1,$BL5=1,$BH5&gt;0),"–",""))</f>
        <v/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/>
      </c>
      <c r="G6" s="69">
        <f>IF($BJ5&gt;0,IF(INDEX('Final Calculation Sheet'!$E$4:$E$40,$BJ5-3)="","",INDEX('Final Calculation Sheet'!$E$4:$E$40,$BJ5-3)),IF(OR($BI5=1,$BL5=1,$BH5&gt;0),"–",""))</f>
        <v/>
      </c>
      <c r="H6" s="70">
        <f>IF($BJ5&gt;0,IF(INDEX('Final Calculation Sheet'!$C$4:$C$40,$BJ5-3)="","",INDEX('Final Calculation Sheet'!$C$4:$C$40,$BJ5-3)),IF(OR($BI5=1,$BL5=1,$BH5&gt;0),"–",""))</f>
        <v/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/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/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/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/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/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/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/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/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/>
      </c>
      <c r="R6" s="72">
        <f>IF($BJ5&gt;0,IF(INDEX('Final Calculation Sheet'!$Q$4:$Q$40,$BJ5-3)="","",INDEX('Final Calculation Sheet'!$Q$4:$Q$40,$BJ5-3)),IF(OR($BI5=1,$BL5=1,$BH5&gt;0),"–",""))</f>
        <v/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/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/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/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/>
      </c>
      <c r="W6" s="70">
        <f>IF($BJ5&gt;0,IF(INDEX('Final Calculation Sheet'!$V$4:$V$40,$BJ5-3)="","",INDEX('Final Calculation Sheet'!$V$4:$V$40,$BJ5-3)),IF(OR($BI5=1,$BL5=1,$BH5&gt;0),"–",""))</f>
        <v/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/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/>
      </c>
      <c r="Z6" s="70">
        <f>IF($BJ5&gt;0,IF(INDEX('Final Calculation Sheet'!$Y$4:$Y$40,$BJ5-3)="","",INDEX('Final Calculation Sheet'!$Y$4:$Y$40,$BJ5-3)),IF(OR($BI5=1,$BL5=1,$BH5&gt;0),"–",""))</f>
        <v/>
      </c>
      <c r="AA6" s="70">
        <f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/>
      </c>
      <c r="AB6" s="70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/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/>
      </c>
      <c r="AF6" s="70">
        <f>IF($BJ5&gt;0,IF(INDEX('Final Calculation Sheet'!$AE$4:$AE$40,$BJ5-3)="","",INDEX('Final Calculation Sheet'!$AE$4:$AE$40,$BJ5-3)),IF(OR($BI5=1,$BL5=1,$BH5&gt;0),"–",""))</f>
        <v/>
      </c>
      <c r="AG6" s="74">
        <f>IF($BJ5&gt;0,IF(INDEX('Final Calculation Sheet'!$AF$4:$AF$40,$BJ5-3)="","",INDEX('Final Calculation Sheet'!$AF$4:$AF$40,$BJ5-3)),IF(OR($BI5=1,$BL5=1,$BH5&gt;0),"–",""))</f>
        <v/>
      </c>
      <c r="AH6" s="70">
        <f>IF($BJ5&gt;0,IF(INDEX('Final Calculation Sheet'!$AG$4:$AG$40,$BJ5-3)="","",INDEX('Final Calculation Sheet'!$AG$4:$AG$40,$BJ5-3)),IF(OR($BI5=1,$BL5=1,$BH5&gt;0),"–",""))</f>
        <v/>
      </c>
      <c r="AI6" s="75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COUNTIF($BM6:$CU6,0)&gt;0,0,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IF(COUNTIF($A$4:$AI$4,"&lt;&gt;")=0,9,IF($AM6=1,9,10))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SUMPRODUCT(($AZ$5:$AZ$41=$AZ6)*($BC$5:$BC$41&lt;$BC6))+1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IF(6=$BG$5,1,0)</f>
        <v/>
      </c>
      <c r="BJ6">
        <f>IF(OR($BH6&gt;0,$BI6=1,$BL6=1),0,IFERROR(INDEX($BC$5:$BC$41,MATCH(6,$BB$5:$BB$41,0)),0))</f>
        <v/>
      </c>
      <c r="BK6">
        <f>IF($BJ6&gt;0,IF(INDEX($AZ$5:$AZ$41,MATCH(6,$BB$5:$BB$41,0))=10,1,0),IF($BH6=10,1,0))</f>
        <v/>
      </c>
      <c r="BL6">
        <f>IF(6=$BG$4,1,0)</f>
        <v/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/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/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/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/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/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/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/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/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/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/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/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/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/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/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/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/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/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/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/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/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/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/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/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/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/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/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/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/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/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/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/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/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/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/>
      </c>
    </row>
    <row r="7" ht="15" customHeight="1" s="77">
      <c r="A7" s="67">
        <f>IF($BJ6&gt;0,INDEX($BA$5:$BA$41,MATCH(6,$BB$5:$BB$41,0)),IF(OR($BI6=1,$BL6=1,$BH6&gt;0),"∑",""))</f>
        <v/>
      </c>
      <c r="B7" s="68">
        <f>IF($BJ6&gt;0,IF(INDEX('Final Calculation Sheet'!$F$4:$F$40,$BJ6-3)="","",INDEX('Final Calculation Sheet'!$F$4:$F$40,$BJ6-3)),"")</f>
        <v/>
      </c>
      <c r="C7" s="68">
        <f>IF($BJ6&gt;0,IF(INDEX('Final Calculation Sheet'!$G$4:$G$40,$BJ6-3)="","",INDEX('Final Calculation Sheet'!$G$4:$G$40,$BJ6-3)),IF(OR($BI6=1,$BL6=1,$BH6&gt;0),IF($BI6=1,37,IF($BL6=1,37-INDEX($BD$4:$BD$13,10),INDEX($BD$4:$BD$13,$BH6)))&amp;" lot(s)",""))</f>
        <v/>
      </c>
      <c r="D7" s="69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/>
      </c>
      <c r="E7" s="69">
        <f>IF($BJ6&gt;0,IF(INDEX('Final Calculation Sheet'!$D$4:$D$40,$BJ6-3)="","",INDEX('Final Calculation Sheet'!$D$4:$D$40,$BJ6-3)),IF(OR($BI6=1,$BL6=1,$BH6&gt;0),"–",""))</f>
        <v/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/>
      </c>
      <c r="G7" s="69">
        <f>IF($BJ6&gt;0,IF(INDEX('Final Calculation Sheet'!$E$4:$E$40,$BJ6-3)="","",INDEX('Final Calculation Sheet'!$E$4:$E$40,$BJ6-3)),IF(OR($BI6=1,$BL6=1,$BH6&gt;0),"–",""))</f>
        <v/>
      </c>
      <c r="H7" s="70">
        <f>IF($BJ6&gt;0,IF(INDEX('Final Calculation Sheet'!$C$4:$C$40,$BJ6-3)="","",INDEX('Final Calculation Sheet'!$C$4:$C$40,$BJ6-3)),IF(OR($BI6=1,$BL6=1,$BH6&gt;0),"–",""))</f>
        <v/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/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/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/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/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/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/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/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/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/>
      </c>
      <c r="R7" s="72">
        <f>IF($BJ6&gt;0,IF(INDEX('Final Calculation Sheet'!$Q$4:$Q$40,$BJ6-3)="","",INDEX('Final Calculation Sheet'!$Q$4:$Q$40,$BJ6-3)),IF(OR($BI6=1,$BL6=1,$BH6&gt;0),"–",""))</f>
        <v/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/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/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/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/>
      </c>
      <c r="W7" s="70">
        <f>IF($BJ6&gt;0,IF(INDEX('Final Calculation Sheet'!$V$4:$V$40,$BJ6-3)="","",INDEX('Final Calculation Sheet'!$V$4:$V$40,$BJ6-3)),IF(OR($BI6=1,$BL6=1,$BH6&gt;0),"–",""))</f>
        <v/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/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/>
      </c>
      <c r="Z7" s="70">
        <f>IF($BJ6&gt;0,IF(INDEX('Final Calculation Sheet'!$Y$4:$Y$40,$BJ6-3)="","",INDEX('Final Calculation Sheet'!$Y$4:$Y$40,$BJ6-3)),IF(OR($BI6=1,$BL6=1,$BH6&gt;0),"–",""))</f>
        <v/>
      </c>
      <c r="AA7" s="70">
        <f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/>
      </c>
      <c r="AB7" s="70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/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/>
      </c>
      <c r="AF7" s="70">
        <f>IF($BJ6&gt;0,IF(INDEX('Final Calculation Sheet'!$AE$4:$AE$40,$BJ6-3)="","",INDEX('Final Calculation Sheet'!$AE$4:$AE$40,$BJ6-3)),IF(OR($BI6=1,$BL6=1,$BH6&gt;0),"–",""))</f>
        <v/>
      </c>
      <c r="AG7" s="74">
        <f>IF($BJ6&gt;0,IF(INDEX('Final Calculation Sheet'!$AF$4:$AF$40,$BJ6-3)="","",INDEX('Final Calculation Sheet'!$AF$4:$AF$40,$BJ6-3)),IF(OR($BI6=1,$BL6=1,$BH6&gt;0),"–",""))</f>
        <v/>
      </c>
      <c r="AH7" s="70">
        <f>IF($BJ6&gt;0,IF(INDEX('Final Calculation Sheet'!$AG$4:$AG$40,$BJ6-3)="","",INDEX('Final Calculation Sheet'!$AG$4:$AG$40,$BJ6-3)),IF(OR($BI6=1,$BL6=1,$BH6&gt;0),"–",""))</f>
        <v/>
      </c>
      <c r="AI7" s="75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COUNTIF($BM7:$CU7,0)&gt;0,0,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IF(COUNTIF($A$4:$AI$4,"&lt;&gt;")=0,9,IF($AM7=1,9,10))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SUMPRODUCT(($AZ$5:$AZ$41=$AZ7)*($BC$5:$BC$41&lt;$BC7))+1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IF(7=$BG$5,1,0)</f>
        <v/>
      </c>
      <c r="BJ7">
        <f>IF(OR($BH7&gt;0,$BI7=1,$BL7=1),0,IFERROR(INDEX($BC$5:$BC$41,MATCH(7,$BB$5:$BB$41,0)),0))</f>
        <v/>
      </c>
      <c r="BK7">
        <f>IF($BJ7&gt;0,IF(INDEX($AZ$5:$AZ$41,MATCH(7,$BB$5:$BB$41,0))=10,1,0),IF($BH7=10,1,0))</f>
        <v/>
      </c>
      <c r="BL7">
        <f>IF(7=$BG$4,1,0)</f>
        <v/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/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/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/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/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/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/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/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/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/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/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/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/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/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/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/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/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/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/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/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/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/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/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/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/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/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/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/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/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/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/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/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/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/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/>
      </c>
    </row>
    <row r="8" ht="15" customHeight="1" s="77">
      <c r="A8" s="67">
        <f>IF($BJ7&gt;0,INDEX($BA$5:$BA$41,MATCH(7,$BB$5:$BB$41,0)),IF(OR($BI7=1,$BL7=1,$BH7&gt;0),"∑",""))</f>
        <v/>
      </c>
      <c r="B8" s="68">
        <f>IF($BJ7&gt;0,IF(INDEX('Final Calculation Sheet'!$F$4:$F$40,$BJ7-3)="","",INDEX('Final Calculation Sheet'!$F$4:$F$40,$BJ7-3)),"")</f>
        <v/>
      </c>
      <c r="C8" s="68">
        <f>IF($BJ7&gt;0,IF(INDEX('Final Calculation Sheet'!$G$4:$G$40,$BJ7-3)="","",INDEX('Final Calculation Sheet'!$G$4:$G$40,$BJ7-3)),IF(OR($BI7=1,$BL7=1,$BH7&gt;0),IF($BI7=1,37,IF($BL7=1,37-INDEX($BD$4:$BD$13,10),INDEX($BD$4:$BD$13,$BH7)))&amp;" lot(s)",""))</f>
        <v/>
      </c>
      <c r="D8" s="69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/>
      </c>
      <c r="E8" s="69">
        <f>IF($BJ7&gt;0,IF(INDEX('Final Calculation Sheet'!$D$4:$D$40,$BJ7-3)="","",INDEX('Final Calculation Sheet'!$D$4:$D$40,$BJ7-3)),IF(OR($BI7=1,$BL7=1,$BH7&gt;0),"–",""))</f>
        <v/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/>
      </c>
      <c r="G8" s="69">
        <f>IF($BJ7&gt;0,IF(INDEX('Final Calculation Sheet'!$E$4:$E$40,$BJ7-3)="","",INDEX('Final Calculation Sheet'!$E$4:$E$40,$BJ7-3)),IF(OR($BI7=1,$BL7=1,$BH7&gt;0),"–",""))</f>
        <v/>
      </c>
      <c r="H8" s="70">
        <f>IF($BJ7&gt;0,IF(INDEX('Final Calculation Sheet'!$C$4:$C$40,$BJ7-3)="","",INDEX('Final Calculation Sheet'!$C$4:$C$40,$BJ7-3)),IF(OR($BI7=1,$BL7=1,$BH7&gt;0),"–",""))</f>
        <v/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/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/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/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/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/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/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/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/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/>
      </c>
      <c r="R8" s="72">
        <f>IF($BJ7&gt;0,IF(INDEX('Final Calculation Sheet'!$Q$4:$Q$40,$BJ7-3)="","",INDEX('Final Calculation Sheet'!$Q$4:$Q$40,$BJ7-3)),IF(OR($BI7=1,$BL7=1,$BH7&gt;0),"–",""))</f>
        <v/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/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/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/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/>
      </c>
      <c r="W8" s="70">
        <f>IF($BJ7&gt;0,IF(INDEX('Final Calculation Sheet'!$V$4:$V$40,$BJ7-3)="","",INDEX('Final Calculation Sheet'!$V$4:$V$40,$BJ7-3)),IF(OR($BI7=1,$BL7=1,$BH7&gt;0),"–",""))</f>
        <v/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/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/>
      </c>
      <c r="Z8" s="70">
        <f>IF($BJ7&gt;0,IF(INDEX('Final Calculation Sheet'!$Y$4:$Y$40,$BJ7-3)="","",INDEX('Final Calculation Sheet'!$Y$4:$Y$40,$BJ7-3)),IF(OR($BI7=1,$BL7=1,$BH7&gt;0),"–",""))</f>
        <v/>
      </c>
      <c r="AA8" s="70">
        <f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/>
      </c>
      <c r="AB8" s="70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/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/>
      </c>
      <c r="AF8" s="70">
        <f>IF($BJ7&gt;0,IF(INDEX('Final Calculation Sheet'!$AE$4:$AE$40,$BJ7-3)="","",INDEX('Final Calculation Sheet'!$AE$4:$AE$40,$BJ7-3)),IF(OR($BI7=1,$BL7=1,$BH7&gt;0),"–",""))</f>
        <v/>
      </c>
      <c r="AG8" s="74">
        <f>IF($BJ7&gt;0,IF(INDEX('Final Calculation Sheet'!$AF$4:$AF$40,$BJ7-3)="","",INDEX('Final Calculation Sheet'!$AF$4:$AF$40,$BJ7-3)),IF(OR($BI7=1,$BL7=1,$BH7&gt;0),"–",""))</f>
        <v/>
      </c>
      <c r="AH8" s="70">
        <f>IF($BJ7&gt;0,IF(INDEX('Final Calculation Sheet'!$AG$4:$AG$40,$BJ7-3)="","",INDEX('Final Calculation Sheet'!$AG$4:$AG$40,$BJ7-3)),IF(OR($BI7=1,$BL7=1,$BH7&gt;0),"–",""))</f>
        <v/>
      </c>
      <c r="AI8" s="75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COUNTIF($BM8:$CU8,0)&gt;0,0,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IF(COUNTIF($A$4:$AI$4,"&lt;&gt;")=0,9,IF($AM8=1,9,10))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SUMPRODUCT(($AZ$5:$AZ$41=$AZ8)*($BC$5:$BC$41&lt;$BC8))+1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IF(8=$BG$5,1,0)</f>
        <v/>
      </c>
      <c r="BJ8">
        <f>IF(OR($BH8&gt;0,$BI8=1,$BL8=1),0,IFERROR(INDEX($BC$5:$BC$41,MATCH(8,$BB$5:$BB$41,0)),0))</f>
        <v/>
      </c>
      <c r="BK8">
        <f>IF($BJ8&gt;0,IF(INDEX($AZ$5:$AZ$41,MATCH(8,$BB$5:$BB$41,0))=10,1,0),IF($BH8=10,1,0))</f>
        <v/>
      </c>
      <c r="BL8">
        <f>IF(8=$BG$4,1,0)</f>
        <v/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/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/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/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/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/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/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/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/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/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/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/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/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/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/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/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/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/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/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/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/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/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/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/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/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/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/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/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/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/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/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/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/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/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/>
      </c>
    </row>
    <row r="9" ht="15" customHeight="1" s="77">
      <c r="A9" s="67">
        <f>IF($BJ8&gt;0,INDEX($BA$5:$BA$41,MATCH(8,$BB$5:$BB$41,0)),IF(OR($BI8=1,$BL8=1,$BH8&gt;0),"∑",""))</f>
        <v/>
      </c>
      <c r="B9" s="68">
        <f>IF($BJ8&gt;0,IF(INDEX('Final Calculation Sheet'!$F$4:$F$40,$BJ8-3)="","",INDEX('Final Calculation Sheet'!$F$4:$F$40,$BJ8-3)),"")</f>
        <v/>
      </c>
      <c r="C9" s="68">
        <f>IF($BJ8&gt;0,IF(INDEX('Final Calculation Sheet'!$G$4:$G$40,$BJ8-3)="","",INDEX('Final Calculation Sheet'!$G$4:$G$40,$BJ8-3)),IF(OR($BI8=1,$BL8=1,$BH8&gt;0),IF($BI8=1,37,IF($BL8=1,37-INDEX($BD$4:$BD$13,10),INDEX($BD$4:$BD$13,$BH8)))&amp;" lot(s)",""))</f>
        <v/>
      </c>
      <c r="D9" s="69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/>
      </c>
      <c r="E9" s="69">
        <f>IF($BJ8&gt;0,IF(INDEX('Final Calculation Sheet'!$D$4:$D$40,$BJ8-3)="","",INDEX('Final Calculation Sheet'!$D$4:$D$40,$BJ8-3)),IF(OR($BI8=1,$BL8=1,$BH8&gt;0),"–",""))</f>
        <v/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/>
      </c>
      <c r="G9" s="69">
        <f>IF($BJ8&gt;0,IF(INDEX('Final Calculation Sheet'!$E$4:$E$40,$BJ8-3)="","",INDEX('Final Calculation Sheet'!$E$4:$E$40,$BJ8-3)),IF(OR($BI8=1,$BL8=1,$BH8&gt;0),"–",""))</f>
        <v/>
      </c>
      <c r="H9" s="70">
        <f>IF($BJ8&gt;0,IF(INDEX('Final Calculation Sheet'!$C$4:$C$40,$BJ8-3)="","",INDEX('Final Calculation Sheet'!$C$4:$C$40,$BJ8-3)),IF(OR($BI8=1,$BL8=1,$BH8&gt;0),"–",""))</f>
        <v/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/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/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/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/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/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/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/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/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/>
      </c>
      <c r="R9" s="72">
        <f>IF($BJ8&gt;0,IF(INDEX('Final Calculation Sheet'!$Q$4:$Q$40,$BJ8-3)="","",INDEX('Final Calculation Sheet'!$Q$4:$Q$40,$BJ8-3)),IF(OR($BI8=1,$BL8=1,$BH8&gt;0),"–",""))</f>
        <v/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/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/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/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/>
      </c>
      <c r="W9" s="70">
        <f>IF($BJ8&gt;0,IF(INDEX('Final Calculation Sheet'!$V$4:$V$40,$BJ8-3)="","",INDEX('Final Calculation Sheet'!$V$4:$V$40,$BJ8-3)),IF(OR($BI8=1,$BL8=1,$BH8&gt;0),"–",""))</f>
        <v/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/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/>
      </c>
      <c r="Z9" s="70">
        <f>IF($BJ8&gt;0,IF(INDEX('Final Calculation Sheet'!$Y$4:$Y$40,$BJ8-3)="","",INDEX('Final Calculation Sheet'!$Y$4:$Y$40,$BJ8-3)),IF(OR($BI8=1,$BL8=1,$BH8&gt;0),"–",""))</f>
        <v/>
      </c>
      <c r="AA9" s="70">
        <f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/>
      </c>
      <c r="AB9" s="70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/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/>
      </c>
      <c r="AF9" s="70">
        <f>IF($BJ8&gt;0,IF(INDEX('Final Calculation Sheet'!$AE$4:$AE$40,$BJ8-3)="","",INDEX('Final Calculation Sheet'!$AE$4:$AE$40,$BJ8-3)),IF(OR($BI8=1,$BL8=1,$BH8&gt;0),"–",""))</f>
        <v/>
      </c>
      <c r="AG9" s="74">
        <f>IF($BJ8&gt;0,IF(INDEX('Final Calculation Sheet'!$AF$4:$AF$40,$BJ8-3)="","",INDEX('Final Calculation Sheet'!$AF$4:$AF$40,$BJ8-3)),IF(OR($BI8=1,$BL8=1,$BH8&gt;0),"–",""))</f>
        <v/>
      </c>
      <c r="AH9" s="70">
        <f>IF($BJ8&gt;0,IF(INDEX('Final Calculation Sheet'!$AG$4:$AG$40,$BJ8-3)="","",INDEX('Final Calculation Sheet'!$AG$4:$AG$40,$BJ8-3)),IF(OR($BI8=1,$BL8=1,$BH8&gt;0),"–",""))</f>
        <v/>
      </c>
      <c r="AI9" s="75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COUNTIF($BM9:$CU9,0)&gt;0,0,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IF(COUNTIF($A$4:$AI$4,"&lt;&gt;")=0,9,IF($AM9=1,9,10))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SUMPRODUCT(($AZ$5:$AZ$41=$AZ9)*($BC$5:$BC$41&lt;$BC9))+1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IF(9=$BG$5,1,0)</f>
        <v/>
      </c>
      <c r="BJ9">
        <f>IF(OR($BH9&gt;0,$BI9=1,$BL9=1),0,IFERROR(INDEX($BC$5:$BC$41,MATCH(9,$BB$5:$BB$41,0)),0))</f>
        <v/>
      </c>
      <c r="BK9">
        <f>IF($BJ9&gt;0,IF(INDEX($AZ$5:$AZ$41,MATCH(9,$BB$5:$BB$41,0))=10,1,0),IF($BH9=10,1,0))</f>
        <v/>
      </c>
      <c r="BL9">
        <f>IF(9=$BG$4,1,0)</f>
        <v/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/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/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/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/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/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/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/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/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/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/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/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/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/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/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/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/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/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/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/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/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/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/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/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/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/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/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/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/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/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/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/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/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/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/>
      </c>
    </row>
    <row r="10" ht="15" customHeight="1" s="77">
      <c r="A10" s="67">
        <f>IF($BJ9&gt;0,INDEX($BA$5:$BA$41,MATCH(9,$BB$5:$BB$41,0)),IF(OR($BI9=1,$BL9=1,$BH9&gt;0),"∑",""))</f>
        <v/>
      </c>
      <c r="B10" s="68">
        <f>IF($BJ9&gt;0,IF(INDEX('Final Calculation Sheet'!$F$4:$F$40,$BJ9-3)="","",INDEX('Final Calculation Sheet'!$F$4:$F$40,$BJ9-3)),"")</f>
        <v/>
      </c>
      <c r="C10" s="68">
        <f>IF($BJ9&gt;0,IF(INDEX('Final Calculation Sheet'!$G$4:$G$40,$BJ9-3)="","",INDEX('Final Calculation Sheet'!$G$4:$G$40,$BJ9-3)),IF(OR($BI9=1,$BL9=1,$BH9&gt;0),IF($BI9=1,37,IF($BL9=1,37-INDEX($BD$4:$BD$13,10),INDEX($BD$4:$BD$13,$BH9)))&amp;" lot(s)",""))</f>
        <v/>
      </c>
      <c r="D10" s="69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/>
      </c>
      <c r="E10" s="69">
        <f>IF($BJ9&gt;0,IF(INDEX('Final Calculation Sheet'!$D$4:$D$40,$BJ9-3)="","",INDEX('Final Calculation Sheet'!$D$4:$D$40,$BJ9-3)),IF(OR($BI9=1,$BL9=1,$BH9&gt;0),"–",""))</f>
        <v/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/>
      </c>
      <c r="G10" s="69">
        <f>IF($BJ9&gt;0,IF(INDEX('Final Calculation Sheet'!$E$4:$E$40,$BJ9-3)="","",INDEX('Final Calculation Sheet'!$E$4:$E$40,$BJ9-3)),IF(OR($BI9=1,$BL9=1,$BH9&gt;0),"–",""))</f>
        <v/>
      </c>
      <c r="H10" s="70">
        <f>IF($BJ9&gt;0,IF(INDEX('Final Calculation Sheet'!$C$4:$C$40,$BJ9-3)="","",INDEX('Final Calculation Sheet'!$C$4:$C$40,$BJ9-3)),IF(OR($BI9=1,$BL9=1,$BH9&gt;0),"–",""))</f>
        <v/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/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/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/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/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/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/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/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/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/>
      </c>
      <c r="R10" s="72">
        <f>IF($BJ9&gt;0,IF(INDEX('Final Calculation Sheet'!$Q$4:$Q$40,$BJ9-3)="","",INDEX('Final Calculation Sheet'!$Q$4:$Q$40,$BJ9-3)),IF(OR($BI9=1,$BL9=1,$BH9&gt;0),"–",""))</f>
        <v/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/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/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/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/>
      </c>
      <c r="W10" s="70">
        <f>IF($BJ9&gt;0,IF(INDEX('Final Calculation Sheet'!$V$4:$V$40,$BJ9-3)="","",INDEX('Final Calculation Sheet'!$V$4:$V$40,$BJ9-3)),IF(OR($BI9=1,$BL9=1,$BH9&gt;0),"–",""))</f>
        <v/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/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/>
      </c>
      <c r="Z10" s="70">
        <f>IF($BJ9&gt;0,IF(INDEX('Final Calculation Sheet'!$Y$4:$Y$40,$BJ9-3)="","",INDEX('Final Calculation Sheet'!$Y$4:$Y$40,$BJ9-3)),IF(OR($BI9=1,$BL9=1,$BH9&gt;0),"–",""))</f>
        <v/>
      </c>
      <c r="AA10" s="70">
        <f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/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/>
      </c>
      <c r="AC10" s="70">
        <f>IF($BJ9&gt;0,IF(INDEX('Final Calculation Sheet'!$AB$4:$AB$40,$BJ9-3)="","",INDEX('Final Calculation Sheet'!$AB$4:$AB$40,$BJ9-3)),IF(OR($BI9=1,$BL9=1,$BH9&gt;0),"–",""))</f>
        <v/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/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/>
      </c>
      <c r="AF10" s="70">
        <f>IF($BJ9&gt;0,IF(INDEX('Final Calculation Sheet'!$AE$4:$AE$40,$BJ9-3)="","",INDEX('Final Calculation Sheet'!$AE$4:$AE$40,$BJ9-3)),IF(OR($BI9=1,$BL9=1,$BH9&gt;0),"–",""))</f>
        <v/>
      </c>
      <c r="AG10" s="74">
        <f>IF($BJ9&gt;0,IF(INDEX('Final Calculation Sheet'!$AF$4:$AF$40,$BJ9-3)="","",INDEX('Final Calculation Sheet'!$AF$4:$AF$40,$BJ9-3)),IF(OR($BI9=1,$BL9=1,$BH9&gt;0),"–",""))</f>
        <v/>
      </c>
      <c r="AH10" s="70">
        <f>IF($BJ9&gt;0,IF(INDEX('Final Calculation Sheet'!$AG$4:$AG$40,$BJ9-3)="","",INDEX('Final Calculation Sheet'!$AG$4:$AG$40,$BJ9-3)),IF(OR($BI9=1,$BL9=1,$BH9&gt;0),"–",""))</f>
        <v/>
      </c>
      <c r="AI10" s="75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COUNTIF($BM10:$CU10,0)&gt;0,0,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)</f>
        <v/>
      </c>
      <c r="AZ10">
        <f>IF($B$3="",IF(COUNTIF($A$4:$AI$4,"&lt;&gt;")=0,9,IF($AM10=1,9,10))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SUMPRODUCT(($AZ$5:$AZ$41=$AZ10)*($BC$5:$BC$41&lt;$BC10))+1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IF(10=$BG$5,1,0)</f>
        <v/>
      </c>
      <c r="BJ10">
        <f>IF(OR($BH10&gt;0,$BI10=1,$BL10=1),0,IFERROR(INDEX($BC$5:$BC$41,MATCH(10,$BB$5:$BB$41,0)),0))</f>
        <v/>
      </c>
      <c r="BK10">
        <f>IF($BJ10&gt;0,IF(INDEX($AZ$5:$AZ$41,MATCH(10,$BB$5:$BB$41,0))=10,1,0),IF($BH10=10,1,0))</f>
        <v/>
      </c>
      <c r="BL10">
        <f>IF(10=$BG$4,1,0)</f>
        <v/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/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/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/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/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/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/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/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/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/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/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/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/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/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/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/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/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/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/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/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/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/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/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/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/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/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/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/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/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/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/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/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/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/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/>
      </c>
    </row>
    <row r="11" ht="15" customHeight="1" s="77">
      <c r="A11" s="67">
        <f>IF($BJ10&gt;0,INDEX($BA$5:$BA$41,MATCH(10,$BB$5:$BB$41,0)),IF(OR($BI10=1,$BL10=1,$BH10&gt;0),"∑",""))</f>
        <v/>
      </c>
      <c r="B11" s="68">
        <f>IF($BJ10&gt;0,IF(INDEX('Final Calculation Sheet'!$F$4:$F$40,$BJ10-3)="","",INDEX('Final Calculation Sheet'!$F$4:$F$40,$BJ10-3)),"")</f>
        <v/>
      </c>
      <c r="C11" s="68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/>
      </c>
      <c r="D11" s="69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/>
      </c>
      <c r="E11" s="69">
        <f>IF($BJ10&gt;0,IF(INDEX('Final Calculation Sheet'!$D$4:$D$40,$BJ10-3)="","",INDEX('Final Calculation Sheet'!$D$4:$D$40,$BJ10-3)),IF(OR($BI10=1,$BL10=1,$BH10&gt;0),"–",""))</f>
        <v/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/>
      </c>
      <c r="G11" s="69">
        <f>IF($BJ10&gt;0,IF(INDEX('Final Calculation Sheet'!$E$4:$E$40,$BJ10-3)="","",INDEX('Final Calculation Sheet'!$E$4:$E$40,$BJ10-3)),IF(OR($BI10=1,$BL10=1,$BH10&gt;0),"–",""))</f>
        <v/>
      </c>
      <c r="H11" s="70">
        <f>IF($BJ10&gt;0,IF(INDEX('Final Calculation Sheet'!$C$4:$C$40,$BJ10-3)="","",INDEX('Final Calculation Sheet'!$C$4:$C$40,$BJ10-3)),IF(OR($BI10=1,$BL10=1,$BH10&gt;0),"–",""))</f>
        <v/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/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/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/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/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/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/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/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/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/>
      </c>
      <c r="R11" s="72">
        <f>IF($BJ10&gt;0,IF(INDEX('Final Calculation Sheet'!$Q$4:$Q$40,$BJ10-3)="","",INDEX('Final Calculation Sheet'!$Q$4:$Q$40,$BJ10-3)),IF(OR($BI10=1,$BL10=1,$BH10&gt;0),"–",""))</f>
        <v/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/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/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/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/>
      </c>
      <c r="W11" s="70">
        <f>IF($BJ10&gt;0,IF(INDEX('Final Calculation Sheet'!$V$4:$V$40,$BJ10-3)="","",INDEX('Final Calculation Sheet'!$V$4:$V$40,$BJ10-3)),IF(OR($BI10=1,$BL10=1,$BH10&gt;0),"–",""))</f>
        <v/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/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/>
      </c>
      <c r="Z11" s="70">
        <f>IF($BJ10&gt;0,IF(INDEX('Final Calculation Sheet'!$Y$4:$Y$40,$BJ10-3)="","",INDEX('Final Calculation Sheet'!$Y$4:$Y$40,$BJ10-3)),IF(OR($BI10=1,$BL10=1,$BH10&gt;0),"–",""))</f>
        <v/>
      </c>
      <c r="AA11" s="70">
        <f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/>
      </c>
      <c r="AB11" s="70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/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/>
      </c>
      <c r="AF11" s="70">
        <f>IF($BJ10&gt;0,IF(INDEX('Final Calculation Sheet'!$AE$4:$AE$40,$BJ10-3)="","",INDEX('Final Calculation Sheet'!$AE$4:$AE$40,$BJ10-3)),IF(OR($BI10=1,$BL10=1,$BH10&gt;0),"–",""))</f>
        <v/>
      </c>
      <c r="AG11" s="74">
        <f>IF($BJ10&gt;0,IF(INDEX('Final Calculation Sheet'!$AF$4:$AF$40,$BJ10-3)="","",INDEX('Final Calculation Sheet'!$AF$4:$AF$40,$BJ10-3)),IF(OR($BI10=1,$BL10=1,$BH10&gt;0),"–",""))</f>
        <v/>
      </c>
      <c r="AH11" s="70">
        <f>IF($BJ10&gt;0,IF(INDEX('Final Calculation Sheet'!$AG$4:$AG$40,$BJ10-3)="","",INDEX('Final Calculation Sheet'!$AG$4:$AG$40,$BJ10-3)),IF(OR($BI10=1,$BL10=1,$BH10&gt;0),"–",""))</f>
        <v/>
      </c>
      <c r="AI11" s="75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COUNTIF($BM11:$CU11,0)&gt;0,0,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)</f>
        <v/>
      </c>
      <c r="AZ11">
        <f>IF($B$3="",IF(COUNTIF($A$4:$AI$4,"&lt;&gt;")=0,9,IF($AM11=1,9,10))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SUMPRODUCT(($AZ$5:$AZ$41=$AZ11)*($BC$5:$BC$41&lt;$BC11))+1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IF(11=$BG$5,1,0)</f>
        <v/>
      </c>
      <c r="BJ11">
        <f>IF(OR($BH11&gt;0,$BI11=1,$BL11=1),0,IFERROR(INDEX($BC$5:$BC$41,MATCH(11,$BB$5:$BB$41,0)),0))</f>
        <v/>
      </c>
      <c r="BK11">
        <f>IF($BJ11&gt;0,IF(INDEX($AZ$5:$AZ$41,MATCH(11,$BB$5:$BB$41,0))=10,1,0),IF($BH11=10,1,0))</f>
        <v/>
      </c>
      <c r="BL11">
        <f>IF(11=$BG$4,1,0)</f>
        <v/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/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/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/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/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/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/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/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/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/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/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/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/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/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/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/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/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/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/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/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/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/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/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/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/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/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/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/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/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/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/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/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/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/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/>
      </c>
    </row>
    <row r="12" ht="15" customHeight="1" s="77">
      <c r="A12" s="67">
        <f>IF($BJ11&gt;0,INDEX($BA$5:$BA$41,MATCH(11,$BB$5:$BB$41,0)),IF(OR($BI11=1,$BL11=1,$BH11&gt;0),"∑",""))</f>
        <v/>
      </c>
      <c r="B12" s="68">
        <f>IF($BJ11&gt;0,IF(INDEX('Final Calculation Sheet'!$F$4:$F$40,$BJ11-3)="","",INDEX('Final Calculation Sheet'!$F$4:$F$40,$BJ11-3)),"")</f>
        <v/>
      </c>
      <c r="C12" s="68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/>
      </c>
      <c r="D12" s="69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/>
      </c>
      <c r="E12" s="69">
        <f>IF($BJ11&gt;0,IF(INDEX('Final Calculation Sheet'!$D$4:$D$40,$BJ11-3)="","",INDEX('Final Calculation Sheet'!$D$4:$D$40,$BJ11-3)),IF(OR($BI11=1,$BL11=1,$BH11&gt;0),"–",""))</f>
        <v/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/>
      </c>
      <c r="G12" s="69">
        <f>IF($BJ11&gt;0,IF(INDEX('Final Calculation Sheet'!$E$4:$E$40,$BJ11-3)="","",INDEX('Final Calculation Sheet'!$E$4:$E$40,$BJ11-3)),IF(OR($BI11=1,$BL11=1,$BH11&gt;0),"–",""))</f>
        <v/>
      </c>
      <c r="H12" s="70">
        <f>IF($BJ11&gt;0,IF(INDEX('Final Calculation Sheet'!$C$4:$C$40,$BJ11-3)="","",INDEX('Final Calculation Sheet'!$C$4:$C$40,$BJ11-3)),IF(OR($BI11=1,$BL11=1,$BH11&gt;0),"–",""))</f>
        <v/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/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/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/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/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/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/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/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/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/>
      </c>
      <c r="R12" s="72">
        <f>IF($BJ11&gt;0,IF(INDEX('Final Calculation Sheet'!$Q$4:$Q$40,$BJ11-3)="","",INDEX('Final Calculation Sheet'!$Q$4:$Q$40,$BJ11-3)),IF(OR($BI11=1,$BL11=1,$BH11&gt;0),"–",""))</f>
        <v/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/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/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/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/>
      </c>
      <c r="W12" s="70">
        <f>IF($BJ11&gt;0,IF(INDEX('Final Calculation Sheet'!$V$4:$V$40,$BJ11-3)="","",INDEX('Final Calculation Sheet'!$V$4:$V$40,$BJ11-3)),IF(OR($BI11=1,$BL11=1,$BH11&gt;0),"–",""))</f>
        <v/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/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/>
      </c>
      <c r="Z12" s="70">
        <f>IF($BJ11&gt;0,IF(INDEX('Final Calculation Sheet'!$Y$4:$Y$40,$BJ11-3)="","",INDEX('Final Calculation Sheet'!$Y$4:$Y$40,$BJ11-3)),IF(OR($BI11=1,$BL11=1,$BH11&gt;0),"–",""))</f>
        <v/>
      </c>
      <c r="AA12" s="70">
        <f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/>
      </c>
      <c r="AB12" s="70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/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/>
      </c>
      <c r="AF12" s="70">
        <f>IF($BJ11&gt;0,IF(INDEX('Final Calculation Sheet'!$AE$4:$AE$40,$BJ11-3)="","",INDEX('Final Calculation Sheet'!$AE$4:$AE$40,$BJ11-3)),IF(OR($BI11=1,$BL11=1,$BH11&gt;0),"–",""))</f>
        <v/>
      </c>
      <c r="AG12" s="74">
        <f>IF($BJ11&gt;0,IF(INDEX('Final Calculation Sheet'!$AF$4:$AF$40,$BJ11-3)="","",INDEX('Final Calculation Sheet'!$AF$4:$AF$40,$BJ11-3)),IF(OR($BI11=1,$BL11=1,$BH11&gt;0),"–",""))</f>
        <v/>
      </c>
      <c r="AH12" s="70">
        <f>IF($BJ11&gt;0,IF(INDEX('Final Calculation Sheet'!$AG$4:$AG$40,$BJ11-3)="","",INDEX('Final Calculation Sheet'!$AG$4:$AG$40,$BJ11-3)),IF(OR($BI11=1,$BL11=1,$BH11&gt;0),"–",""))</f>
        <v/>
      </c>
      <c r="AI12" s="75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COUNTIF($BM12:$CU12,0)&gt;0,0,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)</f>
        <v/>
      </c>
      <c r="AZ12">
        <f>IF($B$3="",IF(COUNTIF($A$4:$AI$4,"&lt;&gt;")=0,9,IF($AM12=1,9,10))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SUMPRODUCT(($AZ$5:$AZ$41=$AZ12)*($BC$5:$BC$41&lt;$BC12))+1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IF(12=$BG$5,1,0)</f>
        <v/>
      </c>
      <c r="BJ12">
        <f>IF(OR($BH12&gt;0,$BI12=1,$BL12=1),0,IFERROR(INDEX($BC$5:$BC$41,MATCH(12,$BB$5:$BB$41,0)),0))</f>
        <v/>
      </c>
      <c r="BK12">
        <f>IF($BJ12&gt;0,IF(INDEX($AZ$5:$AZ$41,MATCH(12,$BB$5:$BB$41,0))=10,1,0),IF($BH12=10,1,0))</f>
        <v/>
      </c>
      <c r="BL12">
        <f>IF(12=$BG$4,1,0)</f>
        <v/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/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/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/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/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/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/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/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/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/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/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/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/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/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/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/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/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/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/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/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/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/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/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/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/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/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/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/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/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/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/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/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/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/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/>
      </c>
    </row>
    <row r="13" ht="15" customHeight="1" s="77">
      <c r="A13" s="67">
        <f>IF($BJ12&gt;0,INDEX($BA$5:$BA$41,MATCH(12,$BB$5:$BB$41,0)),IF(OR($BI12=1,$BL12=1,$BH12&gt;0),"∑",""))</f>
        <v/>
      </c>
      <c r="B13" s="68">
        <f>IF($BJ12&gt;0,IF(INDEX('Final Calculation Sheet'!$F$4:$F$40,$BJ12-3)="","",INDEX('Final Calculation Sheet'!$F$4:$F$40,$BJ12-3)),"")</f>
        <v/>
      </c>
      <c r="C13" s="68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/>
      </c>
      <c r="D13" s="69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/>
      </c>
      <c r="E13" s="69">
        <f>IF($BJ12&gt;0,IF(INDEX('Final Calculation Sheet'!$D$4:$D$40,$BJ12-3)="","",INDEX('Final Calculation Sheet'!$D$4:$D$40,$BJ12-3)),IF(OR($BI12=1,$BL12=1,$BH12&gt;0),"–",""))</f>
        <v/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/>
      </c>
      <c r="G13" s="69">
        <f>IF($BJ12&gt;0,IF(INDEX('Final Calculation Sheet'!$E$4:$E$40,$BJ12-3)="","",INDEX('Final Calculation Sheet'!$E$4:$E$40,$BJ12-3)),IF(OR($BI12=1,$BL12=1,$BH12&gt;0),"–",""))</f>
        <v/>
      </c>
      <c r="H13" s="70">
        <f>IF($BJ12&gt;0,IF(INDEX('Final Calculation Sheet'!$C$4:$C$40,$BJ12-3)="","",INDEX('Final Calculation Sheet'!$C$4:$C$40,$BJ12-3)),IF(OR($BI12=1,$BL12=1,$BH12&gt;0),"–",""))</f>
        <v/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/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/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/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/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/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/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/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/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/>
      </c>
      <c r="R13" s="72">
        <f>IF($BJ12&gt;0,IF(INDEX('Final Calculation Sheet'!$Q$4:$Q$40,$BJ12-3)="","",INDEX('Final Calculation Sheet'!$Q$4:$Q$40,$BJ12-3)),IF(OR($BI12=1,$BL12=1,$BH12&gt;0),"–",""))</f>
        <v/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/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/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/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/>
      </c>
      <c r="W13" s="70">
        <f>IF($BJ12&gt;0,IF(INDEX('Final Calculation Sheet'!$V$4:$V$40,$BJ12-3)="","",INDEX('Final Calculation Sheet'!$V$4:$V$40,$BJ12-3)),IF(OR($BI12=1,$BL12=1,$BH12&gt;0),"–",""))</f>
        <v/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/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/>
      </c>
      <c r="Z13" s="70">
        <f>IF($BJ12&gt;0,IF(INDEX('Final Calculation Sheet'!$Y$4:$Y$40,$BJ12-3)="","",INDEX('Final Calculation Sheet'!$Y$4:$Y$40,$BJ12-3)),IF(OR($BI12=1,$BL12=1,$BH12&gt;0),"–",""))</f>
        <v/>
      </c>
      <c r="AA13" s="70">
        <f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/>
      </c>
      <c r="AB13" s="70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/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/>
      </c>
      <c r="AF13" s="70">
        <f>IF($BJ12&gt;0,IF(INDEX('Final Calculation Sheet'!$AE$4:$AE$40,$BJ12-3)="","",INDEX('Final Calculation Sheet'!$AE$4:$AE$40,$BJ12-3)),IF(OR($BI12=1,$BL12=1,$BH12&gt;0),"–",""))</f>
        <v/>
      </c>
      <c r="AG13" s="74">
        <f>IF($BJ12&gt;0,IF(INDEX('Final Calculation Sheet'!$AF$4:$AF$40,$BJ12-3)="","",INDEX('Final Calculation Sheet'!$AF$4:$AF$40,$BJ12-3)),IF(OR($BI12=1,$BL12=1,$BH12&gt;0),"–",""))</f>
        <v/>
      </c>
      <c r="AH13" s="70">
        <f>IF($BJ12&gt;0,IF(INDEX('Final Calculation Sheet'!$AG$4:$AG$40,$BJ12-3)="","",INDEX('Final Calculation Sheet'!$AG$4:$AG$40,$BJ12-3)),IF(OR($BI12=1,$BL12=1,$BH12&gt;0),"–",""))</f>
        <v/>
      </c>
      <c r="AI13" s="75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COUNTIF($BM13:$CU13,0)&gt;0,0,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)</f>
        <v/>
      </c>
      <c r="AZ13">
        <f>IF($B$3="",IF(COUNTIF($A$4:$AI$4,"&lt;&gt;")=0,9,IF($AM13=1,9,10))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SUMPRODUCT(($AZ$5:$AZ$41=$AZ13)*($BC$5:$BC$41&lt;$BC13))+1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$BG$4+1</f>
        <v/>
      </c>
      <c r="BF13">
        <f>IF($BD13=0,0,$BE13+$BD13)</f>
        <v/>
      </c>
      <c r="BH13">
        <f>IFERROR(MATCH(13,$BF$4:$BF$13,0),0)</f>
        <v/>
      </c>
      <c r="BI13">
        <f>IF(13=$BG$5,1,0)</f>
        <v/>
      </c>
      <c r="BJ13">
        <f>IF(OR($BH13&gt;0,$BI13=1,$BL13=1),0,IFERROR(INDEX($BC$5:$BC$41,MATCH(13,$BB$5:$BB$41,0)),0))</f>
        <v/>
      </c>
      <c r="BK13">
        <f>IF($BJ13&gt;0,IF(INDEX($AZ$5:$AZ$41,MATCH(13,$BB$5:$BB$41,0))=10,1,0),IF($BH13=10,1,0))</f>
        <v/>
      </c>
      <c r="BL13">
        <f>IF(13=$BG$4,1,0)</f>
        <v/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/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/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/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/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/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/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/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/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/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/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/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/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/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/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/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/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/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/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/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/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/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/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/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/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/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/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/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/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/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/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/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/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/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/>
      </c>
    </row>
    <row r="14" ht="15" customHeight="1" s="77">
      <c r="A14" s="67">
        <f>IF($BJ13&gt;0,INDEX($BA$5:$BA$41,MATCH(13,$BB$5:$BB$41,0)),IF(OR($BI13=1,$BL13=1,$BH13&gt;0),"∑",""))</f>
        <v/>
      </c>
      <c r="B14" s="68">
        <f>IF($BJ13&gt;0,IF(INDEX('Final Calculation Sheet'!$F$4:$F$40,$BJ13-3)="","",INDEX('Final Calculation Sheet'!$F$4:$F$40,$BJ13-3)),"")</f>
        <v/>
      </c>
      <c r="C14" s="68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/>
      </c>
      <c r="D14" s="69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/>
      </c>
      <c r="E14" s="69">
        <f>IF($BJ13&gt;0,IF(INDEX('Final Calculation Sheet'!$D$4:$D$40,$BJ13-3)="","",INDEX('Final Calculation Sheet'!$D$4:$D$40,$BJ13-3)),IF(OR($BI13=1,$BL13=1,$BH13&gt;0),"–",""))</f>
        <v/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/>
      </c>
      <c r="G14" s="69">
        <f>IF($BJ13&gt;0,IF(INDEX('Final Calculation Sheet'!$E$4:$E$40,$BJ13-3)="","",INDEX('Final Calculation Sheet'!$E$4:$E$40,$BJ13-3)),IF(OR($BI13=1,$BL13=1,$BH13&gt;0),"–",""))</f>
        <v/>
      </c>
      <c r="H14" s="70">
        <f>IF($BJ13&gt;0,IF(INDEX('Final Calculation Sheet'!$C$4:$C$40,$BJ13-3)="","",INDEX('Final Calculation Sheet'!$C$4:$C$40,$BJ13-3)),IF(OR($BI13=1,$BL13=1,$BH13&gt;0),"–",""))</f>
        <v/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/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/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/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/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/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/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/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/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/>
      </c>
      <c r="R14" s="72">
        <f>IF($BJ13&gt;0,IF(INDEX('Final Calculation Sheet'!$Q$4:$Q$40,$BJ13-3)="","",INDEX('Final Calculation Sheet'!$Q$4:$Q$40,$BJ13-3)),IF(OR($BI13=1,$BL13=1,$BH13&gt;0),"–",""))</f>
        <v/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/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/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/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/>
      </c>
      <c r="W14" s="70">
        <f>IF($BJ13&gt;0,IF(INDEX('Final Calculation Sheet'!$V$4:$V$40,$BJ13-3)="","",INDEX('Final Calculation Sheet'!$V$4:$V$40,$BJ13-3)),IF(OR($BI13=1,$BL13=1,$BH13&gt;0),"–",""))</f>
        <v/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/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/>
      </c>
      <c r="Z14" s="70">
        <f>IF($BJ13&gt;0,IF(INDEX('Final Calculation Sheet'!$Y$4:$Y$40,$BJ13-3)="","",INDEX('Final Calculation Sheet'!$Y$4:$Y$40,$BJ13-3)),IF(OR($BI13=1,$BL13=1,$BH13&gt;0),"–",""))</f>
        <v/>
      </c>
      <c r="AA14" s="70">
        <f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/>
      </c>
      <c r="AB14" s="70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/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/>
      </c>
      <c r="AF14" s="70">
        <f>IF($BJ13&gt;0,IF(INDEX('Final Calculation Sheet'!$AE$4:$AE$40,$BJ13-3)="","",INDEX('Final Calculation Sheet'!$AE$4:$AE$40,$BJ13-3)),IF(OR($BI13=1,$BL13=1,$BH13&gt;0),"–",""))</f>
        <v/>
      </c>
      <c r="AG14" s="74">
        <f>IF($BJ13&gt;0,IF(INDEX('Final Calculation Sheet'!$AF$4:$AF$40,$BJ13-3)="","",INDEX('Final Calculation Sheet'!$AF$4:$AF$40,$BJ13-3)),IF(OR($BI13=1,$BL13=1,$BH13&gt;0),"–",""))</f>
        <v/>
      </c>
      <c r="AH14" s="70">
        <f>IF($BJ13&gt;0,IF(INDEX('Final Calculation Sheet'!$AG$4:$AG$40,$BJ13-3)="","",INDEX('Final Calculation Sheet'!$AG$4:$AG$40,$BJ13-3)),IF(OR($BI13=1,$BL13=1,$BH13&gt;0),"–",""))</f>
        <v/>
      </c>
      <c r="AI14" s="75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COUNTIF($BM14:$CU14,0)&gt;0,0,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)</f>
        <v/>
      </c>
      <c r="AZ14">
        <f>IF($B$3="",IF(COUNTIF($A$4:$AI$4,"&lt;&gt;")=0,9,IF($AM14=1,9,10))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SUMPRODUCT(($AZ$5:$AZ$41=$AZ14)*($BC$5:$BC$41&lt;$BC14))+1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IF(14=$BG$5,1,0)</f>
        <v/>
      </c>
      <c r="BJ14">
        <f>IF(OR($BH14&gt;0,$BI14=1,$BL14=1),0,IFERROR(INDEX($BC$5:$BC$41,MATCH(14,$BB$5:$BB$41,0)),0))</f>
        <v/>
      </c>
      <c r="BK14">
        <f>IF($BJ14&gt;0,IF(INDEX($AZ$5:$AZ$41,MATCH(14,$BB$5:$BB$41,0))=10,1,0),IF($BH14=10,1,0))</f>
        <v/>
      </c>
      <c r="BL14">
        <f>IF(14=$BG$4,1,0)</f>
        <v/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/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/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/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/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/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/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/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/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/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/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/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/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/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/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/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/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/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/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/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/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/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/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/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/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/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/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/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/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/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/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/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/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/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/>
      </c>
    </row>
    <row r="15" ht="15" customHeight="1" s="77">
      <c r="A15" s="67">
        <f>IF($BJ14&gt;0,INDEX($BA$5:$BA$41,MATCH(14,$BB$5:$BB$41,0)),IF(OR($BI14=1,$BL14=1,$BH14&gt;0),"∑",""))</f>
        <v/>
      </c>
      <c r="B15" s="68">
        <f>IF($BJ14&gt;0,IF(INDEX('Final Calculation Sheet'!$F$4:$F$40,$BJ14-3)="","",INDEX('Final Calculation Sheet'!$F$4:$F$40,$BJ14-3)),"")</f>
        <v/>
      </c>
      <c r="C15" s="68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/>
      </c>
      <c r="D15" s="69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/>
      </c>
      <c r="E15" s="69">
        <f>IF($BJ14&gt;0,IF(INDEX('Final Calculation Sheet'!$D$4:$D$40,$BJ14-3)="","",INDEX('Final Calculation Sheet'!$D$4:$D$40,$BJ14-3)),IF(OR($BI14=1,$BL14=1,$BH14&gt;0),"–",""))</f>
        <v/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/>
      </c>
      <c r="G15" s="69">
        <f>IF($BJ14&gt;0,IF(INDEX('Final Calculation Sheet'!$E$4:$E$40,$BJ14-3)="","",INDEX('Final Calculation Sheet'!$E$4:$E$40,$BJ14-3)),IF(OR($BI14=1,$BL14=1,$BH14&gt;0),"–",""))</f>
        <v/>
      </c>
      <c r="H15" s="70">
        <f>IF($BJ14&gt;0,IF(INDEX('Final Calculation Sheet'!$C$4:$C$40,$BJ14-3)="","",INDEX('Final Calculation Sheet'!$C$4:$C$40,$BJ14-3)),IF(OR($BI14=1,$BL14=1,$BH14&gt;0),"–",""))</f>
        <v/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/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/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/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/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/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/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/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/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/>
      </c>
      <c r="R15" s="72">
        <f>IF($BJ14&gt;0,IF(INDEX('Final Calculation Sheet'!$Q$4:$Q$40,$BJ14-3)="","",INDEX('Final Calculation Sheet'!$Q$4:$Q$40,$BJ14-3)),IF(OR($BI14=1,$BL14=1,$BH14&gt;0),"–",""))</f>
        <v/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/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/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/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/>
      </c>
      <c r="W15" s="70">
        <f>IF($BJ14&gt;0,IF(INDEX('Final Calculation Sheet'!$V$4:$V$40,$BJ14-3)="","",INDEX('Final Calculation Sheet'!$V$4:$V$40,$BJ14-3)),IF(OR($BI14=1,$BL14=1,$BH14&gt;0),"–",""))</f>
        <v/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/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/>
      </c>
      <c r="Z15" s="70">
        <f>IF($BJ14&gt;0,IF(INDEX('Final Calculation Sheet'!$Y$4:$Y$40,$BJ14-3)="","",INDEX('Final Calculation Sheet'!$Y$4:$Y$40,$BJ14-3)),IF(OR($BI14=1,$BL14=1,$BH14&gt;0),"–",""))</f>
        <v/>
      </c>
      <c r="AA15" s="70">
        <f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/>
      </c>
      <c r="AB15" s="70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/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/>
      </c>
      <c r="AF15" s="70">
        <f>IF($BJ14&gt;0,IF(INDEX('Final Calculation Sheet'!$AE$4:$AE$40,$BJ14-3)="","",INDEX('Final Calculation Sheet'!$AE$4:$AE$40,$BJ14-3)),IF(OR($BI14=1,$BL14=1,$BH14&gt;0),"–",""))</f>
        <v/>
      </c>
      <c r="AG15" s="74">
        <f>IF($BJ14&gt;0,IF(INDEX('Final Calculation Sheet'!$AF$4:$AF$40,$BJ14-3)="","",INDEX('Final Calculation Sheet'!$AF$4:$AF$40,$BJ14-3)),IF(OR($BI14=1,$BL14=1,$BH14&gt;0),"–",""))</f>
        <v/>
      </c>
      <c r="AH15" s="70">
        <f>IF($BJ14&gt;0,IF(INDEX('Final Calculation Sheet'!$AG$4:$AG$40,$BJ14-3)="","",INDEX('Final Calculation Sheet'!$AG$4:$AG$40,$BJ14-3)),IF(OR($BI14=1,$BL14=1,$BH14&gt;0),"–",""))</f>
        <v/>
      </c>
      <c r="AI15" s="75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COUNTIF($BM15:$CU15,0)&gt;0,0,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)</f>
        <v/>
      </c>
      <c r="AZ15">
        <f>IF($B$3="",IF(COUNTIF($A$4:$AI$4,"&lt;&gt;")=0,9,IF($AM15=1,9,10))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SUMPRODUCT(($AZ$5:$AZ$41=$AZ15)*($BC$5:$BC$41&lt;$BC15))+1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IF(15=$BG$5,1,0)</f>
        <v/>
      </c>
      <c r="BJ15">
        <f>IF(OR($BH15&gt;0,$BI15=1,$BL15=1),0,IFERROR(INDEX($BC$5:$BC$41,MATCH(15,$BB$5:$BB$41,0)),0))</f>
        <v/>
      </c>
      <c r="BK15">
        <f>IF($BJ15&gt;0,IF(INDEX($AZ$5:$AZ$41,MATCH(15,$BB$5:$BB$41,0))=10,1,0),IF($BH15=10,1,0))</f>
        <v/>
      </c>
      <c r="BL15">
        <f>IF(15=$BG$4,1,0)</f>
        <v/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/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/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/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/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/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/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/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/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/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/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/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/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/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/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/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/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/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/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/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/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/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/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/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/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/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/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/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/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/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/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/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/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/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/>
      </c>
    </row>
    <row r="16" ht="15" customHeight="1" s="77">
      <c r="A16" s="67">
        <f>IF($BJ15&gt;0,INDEX($BA$5:$BA$41,MATCH(15,$BB$5:$BB$41,0)),IF(OR($BI15=1,$BL15=1,$BH15&gt;0),"∑",""))</f>
        <v/>
      </c>
      <c r="B16" s="68">
        <f>IF($BJ15&gt;0,IF(INDEX('Final Calculation Sheet'!$F$4:$F$40,$BJ15-3)="","",INDEX('Final Calculation Sheet'!$F$4:$F$40,$BJ15-3)),"")</f>
        <v/>
      </c>
      <c r="C16" s="68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/>
      </c>
      <c r="D16" s="69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/>
      </c>
      <c r="E16" s="69">
        <f>IF($BJ15&gt;0,IF(INDEX('Final Calculation Sheet'!$D$4:$D$40,$BJ15-3)="","",INDEX('Final Calculation Sheet'!$D$4:$D$40,$BJ15-3)),IF(OR($BI15=1,$BL15=1,$BH15&gt;0),"–",""))</f>
        <v/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/>
      </c>
      <c r="G16" s="69">
        <f>IF($BJ15&gt;0,IF(INDEX('Final Calculation Sheet'!$E$4:$E$40,$BJ15-3)="","",INDEX('Final Calculation Sheet'!$E$4:$E$40,$BJ15-3)),IF(OR($BI15=1,$BL15=1,$BH15&gt;0),"–",""))</f>
        <v/>
      </c>
      <c r="H16" s="70">
        <f>IF($BJ15&gt;0,IF(INDEX('Final Calculation Sheet'!$C$4:$C$40,$BJ15-3)="","",INDEX('Final Calculation Sheet'!$C$4:$C$40,$BJ15-3)),IF(OR($BI15=1,$BL15=1,$BH15&gt;0),"–",""))</f>
        <v/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/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/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/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/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/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/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/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/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/>
      </c>
      <c r="R16" s="72">
        <f>IF($BJ15&gt;0,IF(INDEX('Final Calculation Sheet'!$Q$4:$Q$40,$BJ15-3)="","",INDEX('Final Calculation Sheet'!$Q$4:$Q$40,$BJ15-3)),IF(OR($BI15=1,$BL15=1,$BH15&gt;0),"–",""))</f>
        <v/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/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/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/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/>
      </c>
      <c r="W16" s="70">
        <f>IF($BJ15&gt;0,IF(INDEX('Final Calculation Sheet'!$V$4:$V$40,$BJ15-3)="","",INDEX('Final Calculation Sheet'!$V$4:$V$40,$BJ15-3)),IF(OR($BI15=1,$BL15=1,$BH15&gt;0),"–",""))</f>
        <v/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/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/>
      </c>
      <c r="Z16" s="70">
        <f>IF($BJ15&gt;0,IF(INDEX('Final Calculation Sheet'!$Y$4:$Y$40,$BJ15-3)="","",INDEX('Final Calculation Sheet'!$Y$4:$Y$40,$BJ15-3)),IF(OR($BI15=1,$BL15=1,$BH15&gt;0),"–",""))</f>
        <v/>
      </c>
      <c r="AA16" s="70">
        <f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/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/>
      </c>
      <c r="AC16" s="70">
        <f>IF($BJ15&gt;0,IF(INDEX('Final Calculation Sheet'!$AB$4:$AB$40,$BJ15-3)="","",INDEX('Final Calculation Sheet'!$AB$4:$AB$40,$BJ15-3)),IF(OR($BI15=1,$BL15=1,$BH15&gt;0),"–",""))</f>
        <v/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/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/>
      </c>
      <c r="AF16" s="70">
        <f>IF($BJ15&gt;0,IF(INDEX('Final Calculation Sheet'!$AE$4:$AE$40,$BJ15-3)="","",INDEX('Final Calculation Sheet'!$AE$4:$AE$40,$BJ15-3)),IF(OR($BI15=1,$BL15=1,$BH15&gt;0),"–",""))</f>
        <v/>
      </c>
      <c r="AG16" s="74">
        <f>IF($BJ15&gt;0,IF(INDEX('Final Calculation Sheet'!$AF$4:$AF$40,$BJ15-3)="","",INDEX('Final Calculation Sheet'!$AF$4:$AF$40,$BJ15-3)),IF(OR($BI15=1,$BL15=1,$BH15&gt;0),"–",""))</f>
        <v/>
      </c>
      <c r="AH16" s="70">
        <f>IF($BJ15&gt;0,IF(INDEX('Final Calculation Sheet'!$AG$4:$AG$40,$BJ15-3)="","",INDEX('Final Calculation Sheet'!$AG$4:$AG$40,$BJ15-3)),IF(OR($BI15=1,$BL15=1,$BH15&gt;0),"–",""))</f>
        <v/>
      </c>
      <c r="AI16" s="75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COUNTIF($BM16:$CU16,0)&gt;0,0,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)</f>
        <v/>
      </c>
      <c r="AZ16">
        <f>IF($B$3="",IF(COUNTIF($A$4:$AI$4,"&lt;&gt;")=0,9,IF($AM16=1,9,10))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SUMPRODUCT(($AZ$5:$AZ$41=$AZ16)*($BC$5:$BC$41&lt;$BC16))+1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IF(16=$BG$5,1,0)</f>
        <v/>
      </c>
      <c r="BJ16">
        <f>IF(OR($BH16&gt;0,$BI16=1,$BL16=1),0,IFERROR(INDEX($BC$5:$BC$41,MATCH(16,$BB$5:$BB$41,0)),0))</f>
        <v/>
      </c>
      <c r="BK16">
        <f>IF($BJ16&gt;0,IF(INDEX($AZ$5:$AZ$41,MATCH(16,$BB$5:$BB$41,0))=10,1,0),IF($BH16=10,1,0))</f>
        <v/>
      </c>
      <c r="BL16">
        <f>IF(16=$BG$4,1,0)</f>
        <v/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/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/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/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/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/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/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/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/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/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/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/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/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/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/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/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/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/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/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/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/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/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/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/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/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/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/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/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/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/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/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/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/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/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/>
      </c>
    </row>
    <row r="17" ht="15" customHeight="1" s="77">
      <c r="A17" s="67">
        <f>IF($BJ16&gt;0,INDEX($BA$5:$BA$41,MATCH(16,$BB$5:$BB$41,0)),IF(OR($BI16=1,$BL16=1,$BH16&gt;0),"∑",""))</f>
        <v/>
      </c>
      <c r="B17" s="68">
        <f>IF($BJ16&gt;0,IF(INDEX('Final Calculation Sheet'!$F$4:$F$40,$BJ16-3)="","",INDEX('Final Calculation Sheet'!$F$4:$F$40,$BJ16-3)),"")</f>
        <v/>
      </c>
      <c r="C17" s="68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/>
      </c>
      <c r="D17" s="69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/>
      </c>
      <c r="E17" s="69">
        <f>IF($BJ16&gt;0,IF(INDEX('Final Calculation Sheet'!$D$4:$D$40,$BJ16-3)="","",INDEX('Final Calculation Sheet'!$D$4:$D$40,$BJ16-3)),IF(OR($BI16=1,$BL16=1,$BH16&gt;0),"–",""))</f>
        <v/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/>
      </c>
      <c r="G17" s="69">
        <f>IF($BJ16&gt;0,IF(INDEX('Final Calculation Sheet'!$E$4:$E$40,$BJ16-3)="","",INDEX('Final Calculation Sheet'!$E$4:$E$40,$BJ16-3)),IF(OR($BI16=1,$BL16=1,$BH16&gt;0),"–",""))</f>
        <v/>
      </c>
      <c r="H17" s="70">
        <f>IF($BJ16&gt;0,IF(INDEX('Final Calculation Sheet'!$C$4:$C$40,$BJ16-3)="","",INDEX('Final Calculation Sheet'!$C$4:$C$40,$BJ16-3)),IF(OR($BI16=1,$BL16=1,$BH16&gt;0),"–",""))</f>
        <v/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/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/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/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/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/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/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/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/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/>
      </c>
      <c r="R17" s="72">
        <f>IF($BJ16&gt;0,IF(INDEX('Final Calculation Sheet'!$Q$4:$Q$40,$BJ16-3)="","",INDEX('Final Calculation Sheet'!$Q$4:$Q$40,$BJ16-3)),IF(OR($BI16=1,$BL16=1,$BH16&gt;0),"–",""))</f>
        <v/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/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/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/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/>
      </c>
      <c r="W17" s="70">
        <f>IF($BJ16&gt;0,IF(INDEX('Final Calculation Sheet'!$V$4:$V$40,$BJ16-3)="","",INDEX('Final Calculation Sheet'!$V$4:$V$40,$BJ16-3)),IF(OR($BI16=1,$BL16=1,$BH16&gt;0),"–",""))</f>
        <v/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/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/>
      </c>
      <c r="Z17" s="70">
        <f>IF($BJ16&gt;0,IF(INDEX('Final Calculation Sheet'!$Y$4:$Y$40,$BJ16-3)="","",INDEX('Final Calculation Sheet'!$Y$4:$Y$40,$BJ16-3)),IF(OR($BI16=1,$BL16=1,$BH16&gt;0),"–",""))</f>
        <v/>
      </c>
      <c r="AA17" s="70">
        <f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/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/>
      </c>
      <c r="AC17" s="70">
        <f>IF($BJ16&gt;0,IF(INDEX('Final Calculation Sheet'!$AB$4:$AB$40,$BJ16-3)="","",INDEX('Final Calculation Sheet'!$AB$4:$AB$40,$BJ16-3)),IF(OR($BI16=1,$BL16=1,$BH16&gt;0),"–",""))</f>
        <v/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/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/>
      </c>
      <c r="AF17" s="70">
        <f>IF($BJ16&gt;0,IF(INDEX('Final Calculation Sheet'!$AE$4:$AE$40,$BJ16-3)="","",INDEX('Final Calculation Sheet'!$AE$4:$AE$40,$BJ16-3)),IF(OR($BI16=1,$BL16=1,$BH16&gt;0),"–",""))</f>
        <v/>
      </c>
      <c r="AG17" s="74">
        <f>IF($BJ16&gt;0,IF(INDEX('Final Calculation Sheet'!$AF$4:$AF$40,$BJ16-3)="","",INDEX('Final Calculation Sheet'!$AF$4:$AF$40,$BJ16-3)),IF(OR($BI16=1,$BL16=1,$BH16&gt;0),"–",""))</f>
        <v/>
      </c>
      <c r="AH17" s="70">
        <f>IF($BJ16&gt;0,IF(INDEX('Final Calculation Sheet'!$AG$4:$AG$40,$BJ16-3)="","",INDEX('Final Calculation Sheet'!$AG$4:$AG$40,$BJ16-3)),IF(OR($BI16=1,$BL16=1,$BH16&gt;0),"–",""))</f>
        <v/>
      </c>
      <c r="AI17" s="75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COUNTIF($BM17:$CU17,0)&gt;0,0,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)</f>
        <v/>
      </c>
      <c r="AZ17">
        <f>IF($B$3="",IF(COUNTIF($A$4:$AI$4,"&lt;&gt;")=0,9,IF($AM17=1,9,10))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SUMPRODUCT(($AZ$5:$AZ$41=$AZ17)*($BC$5:$BC$41&lt;$BC17))+1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IF(17=$BG$5,1,0)</f>
        <v/>
      </c>
      <c r="BJ17">
        <f>IF(OR($BH17&gt;0,$BI17=1,$BL17=1),0,IFERROR(INDEX($BC$5:$BC$41,MATCH(17,$BB$5:$BB$41,0)),0))</f>
        <v/>
      </c>
      <c r="BK17">
        <f>IF($BJ17&gt;0,IF(INDEX($AZ$5:$AZ$41,MATCH(17,$BB$5:$BB$41,0))=10,1,0),IF($BH17=10,1,0))</f>
        <v/>
      </c>
      <c r="BL17">
        <f>IF(17=$BG$4,1,0)</f>
        <v/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/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/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/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/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/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/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/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/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/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/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/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/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/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/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/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/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/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/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/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/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/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/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/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/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/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/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/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/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/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/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/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/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/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/>
      </c>
    </row>
    <row r="18" ht="15" customHeight="1" s="77">
      <c r="A18" s="67">
        <f>IF($BJ17&gt;0,INDEX($BA$5:$BA$41,MATCH(17,$BB$5:$BB$41,0)),IF(OR($BI17=1,$BL17=1,$BH17&gt;0),"∑",""))</f>
        <v/>
      </c>
      <c r="B18" s="68">
        <f>IF($BJ17&gt;0,IF(INDEX('Final Calculation Sheet'!$F$4:$F$40,$BJ17-3)="","",INDEX('Final Calculation Sheet'!$F$4:$F$40,$BJ17-3)),"")</f>
        <v/>
      </c>
      <c r="C18" s="68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/>
      </c>
      <c r="D18" s="69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/>
      </c>
      <c r="E18" s="69">
        <f>IF($BJ17&gt;0,IF(INDEX('Final Calculation Sheet'!$D$4:$D$40,$BJ17-3)="","",INDEX('Final Calculation Sheet'!$D$4:$D$40,$BJ17-3)),IF(OR($BI17=1,$BL17=1,$BH17&gt;0),"–",""))</f>
        <v/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/>
      </c>
      <c r="G18" s="69">
        <f>IF($BJ17&gt;0,IF(INDEX('Final Calculation Sheet'!$E$4:$E$40,$BJ17-3)="","",INDEX('Final Calculation Sheet'!$E$4:$E$40,$BJ17-3)),IF(OR($BI17=1,$BL17=1,$BH17&gt;0),"–",""))</f>
        <v/>
      </c>
      <c r="H18" s="70">
        <f>IF($BJ17&gt;0,IF(INDEX('Final Calculation Sheet'!$C$4:$C$40,$BJ17-3)="","",INDEX('Final Calculation Sheet'!$C$4:$C$40,$BJ17-3)),IF(OR($BI17=1,$BL17=1,$BH17&gt;0),"–",""))</f>
        <v/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/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/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/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/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/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/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/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/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/>
      </c>
      <c r="R18" s="72">
        <f>IF($BJ17&gt;0,IF(INDEX('Final Calculation Sheet'!$Q$4:$Q$40,$BJ17-3)="","",INDEX('Final Calculation Sheet'!$Q$4:$Q$40,$BJ17-3)),IF(OR($BI17=1,$BL17=1,$BH17&gt;0),"–",""))</f>
        <v/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/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/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/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/>
      </c>
      <c r="W18" s="70">
        <f>IF($BJ17&gt;0,IF(INDEX('Final Calculation Sheet'!$V$4:$V$40,$BJ17-3)="","",INDEX('Final Calculation Sheet'!$V$4:$V$40,$BJ17-3)),IF(OR($BI17=1,$BL17=1,$BH17&gt;0),"–",""))</f>
        <v/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/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/>
      </c>
      <c r="Z18" s="70">
        <f>IF($BJ17&gt;0,IF(INDEX('Final Calculation Sheet'!$Y$4:$Y$40,$BJ17-3)="","",INDEX('Final Calculation Sheet'!$Y$4:$Y$40,$BJ17-3)),IF(OR($BI17=1,$BL17=1,$BH17&gt;0),"–",""))</f>
        <v/>
      </c>
      <c r="AA18" s="70">
        <f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/>
      </c>
      <c r="AB18" s="70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/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/>
      </c>
      <c r="AF18" s="70">
        <f>IF($BJ17&gt;0,IF(INDEX('Final Calculation Sheet'!$AE$4:$AE$40,$BJ17-3)="","",INDEX('Final Calculation Sheet'!$AE$4:$AE$40,$BJ17-3)),IF(OR($BI17=1,$BL17=1,$BH17&gt;0),"–",""))</f>
        <v/>
      </c>
      <c r="AG18" s="74">
        <f>IF($BJ17&gt;0,IF(INDEX('Final Calculation Sheet'!$AF$4:$AF$40,$BJ17-3)="","",INDEX('Final Calculation Sheet'!$AF$4:$AF$40,$BJ17-3)),IF(OR($BI17=1,$BL17=1,$BH17&gt;0),"–",""))</f>
        <v/>
      </c>
      <c r="AH18" s="70">
        <f>IF($BJ17&gt;0,IF(INDEX('Final Calculation Sheet'!$AG$4:$AG$40,$BJ17-3)="","",INDEX('Final Calculation Sheet'!$AG$4:$AG$40,$BJ17-3)),IF(OR($BI17=1,$BL17=1,$BH17&gt;0),"–",""))</f>
        <v/>
      </c>
      <c r="AI18" s="75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COUNTIF($BM18:$CU18,0)&gt;0,0,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)</f>
        <v/>
      </c>
      <c r="AZ18">
        <f>IF($B$3="",IF(COUNTIF($A$4:$AI$4,"&lt;&gt;")=0,9,IF($AM18=1,9,10))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SUMPRODUCT(($AZ$5:$AZ$41=$AZ18)*($BC$5:$BC$41&lt;$BC18))+1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IF(18=$BG$5,1,0)</f>
        <v/>
      </c>
      <c r="BJ18">
        <f>IF(OR($BH18&gt;0,$BI18=1,$BL18=1),0,IFERROR(INDEX($BC$5:$BC$41,MATCH(18,$BB$5:$BB$41,0)),0))</f>
        <v/>
      </c>
      <c r="BK18">
        <f>IF($BJ18&gt;0,IF(INDEX($AZ$5:$AZ$41,MATCH(18,$BB$5:$BB$41,0))=10,1,0),IF($BH18=10,1,0))</f>
        <v/>
      </c>
      <c r="BL18">
        <f>IF(18=$BG$4,1,0)</f>
        <v/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/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/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/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/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/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/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/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/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/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/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/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/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/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/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/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/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/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/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/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/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/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/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/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/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/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/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/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/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/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/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/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/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/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/>
      </c>
    </row>
    <row r="19" ht="15" customHeight="1" s="77">
      <c r="A19" s="67">
        <f>IF($BJ18&gt;0,INDEX($BA$5:$BA$41,MATCH(18,$BB$5:$BB$41,0)),IF(OR($BI18=1,$BL18=1,$BH18&gt;0),"∑",""))</f>
        <v/>
      </c>
      <c r="B19" s="68">
        <f>IF($BJ18&gt;0,IF(INDEX('Final Calculation Sheet'!$F$4:$F$40,$BJ18-3)="","",INDEX('Final Calculation Sheet'!$F$4:$F$40,$BJ18-3)),"")</f>
        <v/>
      </c>
      <c r="C19" s="68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/>
      </c>
      <c r="D19" s="69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/>
      </c>
      <c r="E19" s="69">
        <f>IF($BJ18&gt;0,IF(INDEX('Final Calculation Sheet'!$D$4:$D$40,$BJ18-3)="","",INDEX('Final Calculation Sheet'!$D$4:$D$40,$BJ18-3)),IF(OR($BI18=1,$BL18=1,$BH18&gt;0),"–",""))</f>
        <v/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/>
      </c>
      <c r="G19" s="69">
        <f>IF($BJ18&gt;0,IF(INDEX('Final Calculation Sheet'!$E$4:$E$40,$BJ18-3)="","",INDEX('Final Calculation Sheet'!$E$4:$E$40,$BJ18-3)),IF(OR($BI18=1,$BL18=1,$BH18&gt;0),"–",""))</f>
        <v/>
      </c>
      <c r="H19" s="70">
        <f>IF($BJ18&gt;0,IF(INDEX('Final Calculation Sheet'!$C$4:$C$40,$BJ18-3)="","",INDEX('Final Calculation Sheet'!$C$4:$C$40,$BJ18-3)),IF(OR($BI18=1,$BL18=1,$BH18&gt;0),"–",""))</f>
        <v/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/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/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/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/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/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/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/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/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/>
      </c>
      <c r="R19" s="72">
        <f>IF($BJ18&gt;0,IF(INDEX('Final Calculation Sheet'!$Q$4:$Q$40,$BJ18-3)="","",INDEX('Final Calculation Sheet'!$Q$4:$Q$40,$BJ18-3)),IF(OR($BI18=1,$BL18=1,$BH18&gt;0),"–",""))</f>
        <v/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/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/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/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/>
      </c>
      <c r="W19" s="70">
        <f>IF($BJ18&gt;0,IF(INDEX('Final Calculation Sheet'!$V$4:$V$40,$BJ18-3)="","",INDEX('Final Calculation Sheet'!$V$4:$V$40,$BJ18-3)),IF(OR($BI18=1,$BL18=1,$BH18&gt;0),"–",""))</f>
        <v/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/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/>
      </c>
      <c r="Z19" s="70">
        <f>IF($BJ18&gt;0,IF(INDEX('Final Calculation Sheet'!$Y$4:$Y$40,$BJ18-3)="","",INDEX('Final Calculation Sheet'!$Y$4:$Y$40,$BJ18-3)),IF(OR($BI18=1,$BL18=1,$BH18&gt;0),"–",""))</f>
        <v/>
      </c>
      <c r="AA19" s="70">
        <f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/>
      </c>
      <c r="AB19" s="70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/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/>
      </c>
      <c r="AF19" s="70">
        <f>IF($BJ18&gt;0,IF(INDEX('Final Calculation Sheet'!$AE$4:$AE$40,$BJ18-3)="","",INDEX('Final Calculation Sheet'!$AE$4:$AE$40,$BJ18-3)),IF(OR($BI18=1,$BL18=1,$BH18&gt;0),"–",""))</f>
        <v/>
      </c>
      <c r="AG19" s="74">
        <f>IF($BJ18&gt;0,IF(INDEX('Final Calculation Sheet'!$AF$4:$AF$40,$BJ18-3)="","",INDEX('Final Calculation Sheet'!$AF$4:$AF$40,$BJ18-3)),IF(OR($BI18=1,$BL18=1,$BH18&gt;0),"–",""))</f>
        <v/>
      </c>
      <c r="AH19" s="70">
        <f>IF($BJ18&gt;0,IF(INDEX('Final Calculation Sheet'!$AG$4:$AG$40,$BJ18-3)="","",INDEX('Final Calculation Sheet'!$AG$4:$AG$40,$BJ18-3)),IF(OR($BI18=1,$BL18=1,$BH18&gt;0),"–",""))</f>
        <v/>
      </c>
      <c r="AI19" s="75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COUNTIF($BM19:$CU19,0)&gt;0,0,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)</f>
        <v/>
      </c>
      <c r="AZ19">
        <f>IF($B$3="",IF(COUNTIF($A$4:$AI$4,"&lt;&gt;")=0,9,IF($AM19=1,9,10))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SUMPRODUCT(($AZ$5:$AZ$41=$AZ19)*($BC$5:$BC$41&lt;$BC19))+1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IF(19=$BG$5,1,0)</f>
        <v/>
      </c>
      <c r="BJ19">
        <f>IF(OR($BH19&gt;0,$BI19=1,$BL19=1),0,IFERROR(INDEX($BC$5:$BC$41,MATCH(19,$BB$5:$BB$41,0)),0))</f>
        <v/>
      </c>
      <c r="BK19">
        <f>IF($BJ19&gt;0,IF(INDEX($AZ$5:$AZ$41,MATCH(19,$BB$5:$BB$41,0))=10,1,0),IF($BH19=10,1,0))</f>
        <v/>
      </c>
      <c r="BL19">
        <f>IF(19=$BG$4,1,0)</f>
        <v/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/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/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/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/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/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/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/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/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/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/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/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/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/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/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/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/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/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/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/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/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/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/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/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/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/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/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/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/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/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/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/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/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/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/>
      </c>
    </row>
    <row r="20" ht="15" customHeight="1" s="77">
      <c r="A20" s="67">
        <f>IF($BJ19&gt;0,INDEX($BA$5:$BA$41,MATCH(19,$BB$5:$BB$41,0)),IF(OR($BI19=1,$BL19=1,$BH19&gt;0),"∑",""))</f>
        <v/>
      </c>
      <c r="B20" s="68">
        <f>IF($BJ19&gt;0,IF(INDEX('Final Calculation Sheet'!$F$4:$F$40,$BJ19-3)="","",INDEX('Final Calculation Sheet'!$F$4:$F$40,$BJ19-3)),"")</f>
        <v/>
      </c>
      <c r="C20" s="68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/>
      </c>
      <c r="D20" s="69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/>
      </c>
      <c r="E20" s="69">
        <f>IF($BJ19&gt;0,IF(INDEX('Final Calculation Sheet'!$D$4:$D$40,$BJ19-3)="","",INDEX('Final Calculation Sheet'!$D$4:$D$40,$BJ19-3)),IF(OR($BI19=1,$BL19=1,$BH19&gt;0),"–",""))</f>
        <v/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/>
      </c>
      <c r="G20" s="69">
        <f>IF($BJ19&gt;0,IF(INDEX('Final Calculation Sheet'!$E$4:$E$40,$BJ19-3)="","",INDEX('Final Calculation Sheet'!$E$4:$E$40,$BJ19-3)),IF(OR($BI19=1,$BL19=1,$BH19&gt;0),"–",""))</f>
        <v/>
      </c>
      <c r="H20" s="70">
        <f>IF($BJ19&gt;0,IF(INDEX('Final Calculation Sheet'!$C$4:$C$40,$BJ19-3)="","",INDEX('Final Calculation Sheet'!$C$4:$C$40,$BJ19-3)),IF(OR($BI19=1,$BL19=1,$BH19&gt;0),"–",""))</f>
        <v/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/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/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/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/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/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/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/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/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/>
      </c>
      <c r="R20" s="72">
        <f>IF($BJ19&gt;0,IF(INDEX('Final Calculation Sheet'!$Q$4:$Q$40,$BJ19-3)="","",INDEX('Final Calculation Sheet'!$Q$4:$Q$40,$BJ19-3)),IF(OR($BI19=1,$BL19=1,$BH19&gt;0),"–",""))</f>
        <v/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/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/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/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/>
      </c>
      <c r="W20" s="70">
        <f>IF($BJ19&gt;0,IF(INDEX('Final Calculation Sheet'!$V$4:$V$40,$BJ19-3)="","",INDEX('Final Calculation Sheet'!$V$4:$V$40,$BJ19-3)),IF(OR($BI19=1,$BL19=1,$BH19&gt;0),"–",""))</f>
        <v/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/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/>
      </c>
      <c r="Z20" s="70">
        <f>IF($BJ19&gt;0,IF(INDEX('Final Calculation Sheet'!$Y$4:$Y$40,$BJ19-3)="","",INDEX('Final Calculation Sheet'!$Y$4:$Y$40,$BJ19-3)),IF(OR($BI19=1,$BL19=1,$BH19&gt;0),"–",""))</f>
        <v/>
      </c>
      <c r="AA20" s="70">
        <f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/>
      </c>
      <c r="AB20" s="70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/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/>
      </c>
      <c r="AF20" s="70">
        <f>IF($BJ19&gt;0,IF(INDEX('Final Calculation Sheet'!$AE$4:$AE$40,$BJ19-3)="","",INDEX('Final Calculation Sheet'!$AE$4:$AE$40,$BJ19-3)),IF(OR($BI19=1,$BL19=1,$BH19&gt;0),"–",""))</f>
        <v/>
      </c>
      <c r="AG20" s="74">
        <f>IF($BJ19&gt;0,IF(INDEX('Final Calculation Sheet'!$AF$4:$AF$40,$BJ19-3)="","",INDEX('Final Calculation Sheet'!$AF$4:$AF$40,$BJ19-3)),IF(OR($BI19=1,$BL19=1,$BH19&gt;0),"–",""))</f>
        <v/>
      </c>
      <c r="AH20" s="70">
        <f>IF($BJ19&gt;0,IF(INDEX('Final Calculation Sheet'!$AG$4:$AG$40,$BJ19-3)="","",INDEX('Final Calculation Sheet'!$AG$4:$AG$40,$BJ19-3)),IF(OR($BI19=1,$BL19=1,$BH19&gt;0),"–",""))</f>
        <v/>
      </c>
      <c r="AI20" s="75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COUNTIF($BM20:$CU20,0)&gt;0,0,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)</f>
        <v/>
      </c>
      <c r="AZ20">
        <f>IF($B$3="",IF(COUNTIF($A$4:$AI$4,"&lt;&gt;")=0,9,IF($AM20=1,9,10))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SUMPRODUCT(($AZ$5:$AZ$41=$AZ20)*($BC$5:$BC$41&lt;$BC20))+1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IF(20=$BG$5,1,0)</f>
        <v/>
      </c>
      <c r="BJ20">
        <f>IF(OR($BH20&gt;0,$BI20=1,$BL20=1),0,IFERROR(INDEX($BC$5:$BC$41,MATCH(20,$BB$5:$BB$41,0)),0))</f>
        <v/>
      </c>
      <c r="BK20">
        <f>IF($BJ20&gt;0,IF(INDEX($AZ$5:$AZ$41,MATCH(20,$BB$5:$BB$41,0))=10,1,0),IF($BH20=10,1,0))</f>
        <v/>
      </c>
      <c r="BL20">
        <f>IF(20=$BG$4,1,0)</f>
        <v/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/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/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/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/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/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/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/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/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/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/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/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/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/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/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/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/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/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/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/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/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/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/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/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/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/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/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/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/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/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/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/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/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/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/>
      </c>
    </row>
    <row r="21" ht="15" customHeight="1" s="77">
      <c r="A21" s="67">
        <f>IF($BJ20&gt;0,INDEX($BA$5:$BA$41,MATCH(20,$BB$5:$BB$41,0)),IF(OR($BI20=1,$BL20=1,$BH20&gt;0),"∑",""))</f>
        <v/>
      </c>
      <c r="B21" s="68">
        <f>IF($BJ20&gt;0,IF(INDEX('Final Calculation Sheet'!$F$4:$F$40,$BJ20-3)="","",INDEX('Final Calculation Sheet'!$F$4:$F$40,$BJ20-3)),"")</f>
        <v/>
      </c>
      <c r="C21" s="68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/>
      </c>
      <c r="D21" s="69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/>
      </c>
      <c r="E21" s="69">
        <f>IF($BJ20&gt;0,IF(INDEX('Final Calculation Sheet'!$D$4:$D$40,$BJ20-3)="","",INDEX('Final Calculation Sheet'!$D$4:$D$40,$BJ20-3)),IF(OR($BI20=1,$BL20=1,$BH20&gt;0),"–",""))</f>
        <v/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/>
      </c>
      <c r="G21" s="69">
        <f>IF($BJ20&gt;0,IF(INDEX('Final Calculation Sheet'!$E$4:$E$40,$BJ20-3)="","",INDEX('Final Calculation Sheet'!$E$4:$E$40,$BJ20-3)),IF(OR($BI20=1,$BL20=1,$BH20&gt;0),"–",""))</f>
        <v/>
      </c>
      <c r="H21" s="70">
        <f>IF($BJ20&gt;0,IF(INDEX('Final Calculation Sheet'!$C$4:$C$40,$BJ20-3)="","",INDEX('Final Calculation Sheet'!$C$4:$C$40,$BJ20-3)),IF(OR($BI20=1,$BL20=1,$BH20&gt;0),"–",""))</f>
        <v/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/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/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/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/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/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/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/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/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/>
      </c>
      <c r="R21" s="72">
        <f>IF($BJ20&gt;0,IF(INDEX('Final Calculation Sheet'!$Q$4:$Q$40,$BJ20-3)="","",INDEX('Final Calculation Sheet'!$Q$4:$Q$40,$BJ20-3)),IF(OR($BI20=1,$BL20=1,$BH20&gt;0),"–",""))</f>
        <v/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/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/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/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/>
      </c>
      <c r="W21" s="70">
        <f>IF($BJ20&gt;0,IF(INDEX('Final Calculation Sheet'!$V$4:$V$40,$BJ20-3)="","",INDEX('Final Calculation Sheet'!$V$4:$V$40,$BJ20-3)),IF(OR($BI20=1,$BL20=1,$BH20&gt;0),"–",""))</f>
        <v/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/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/>
      </c>
      <c r="Z21" s="70">
        <f>IF($BJ20&gt;0,IF(INDEX('Final Calculation Sheet'!$Y$4:$Y$40,$BJ20-3)="","",INDEX('Final Calculation Sheet'!$Y$4:$Y$40,$BJ20-3)),IF(OR($BI20=1,$BL20=1,$BH20&gt;0),"–",""))</f>
        <v/>
      </c>
      <c r="AA21" s="70">
        <f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/>
      </c>
      <c r="AB21" s="70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/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/>
      </c>
      <c r="AF21" s="70">
        <f>IF($BJ20&gt;0,IF(INDEX('Final Calculation Sheet'!$AE$4:$AE$40,$BJ20-3)="","",INDEX('Final Calculation Sheet'!$AE$4:$AE$40,$BJ20-3)),IF(OR($BI20=1,$BL20=1,$BH20&gt;0),"–",""))</f>
        <v/>
      </c>
      <c r="AG21" s="74">
        <f>IF($BJ20&gt;0,IF(INDEX('Final Calculation Sheet'!$AF$4:$AF$40,$BJ20-3)="","",INDEX('Final Calculation Sheet'!$AF$4:$AF$40,$BJ20-3)),IF(OR($BI20=1,$BL20=1,$BH20&gt;0),"–",""))</f>
        <v/>
      </c>
      <c r="AH21" s="70">
        <f>IF($BJ20&gt;0,IF(INDEX('Final Calculation Sheet'!$AG$4:$AG$40,$BJ20-3)="","",INDEX('Final Calculation Sheet'!$AG$4:$AG$40,$BJ20-3)),IF(OR($BI20=1,$BL20=1,$BH20&gt;0),"–",""))</f>
        <v/>
      </c>
      <c r="AI21" s="75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COUNTIF($BM21:$CU21,0)&gt;0,0,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)</f>
        <v/>
      </c>
      <c r="AZ21">
        <f>IF($B$3="",IF(COUNTIF($A$4:$AI$4,"&lt;&gt;")=0,9,IF($AM21=1,9,10))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SUMPRODUCT(($AZ$5:$AZ$41=$AZ21)*($BC$5:$BC$41&lt;$BC21))+1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IF(21=$BG$5,1,0)</f>
        <v/>
      </c>
      <c r="BJ21">
        <f>IF(OR($BH21&gt;0,$BI21=1,$BL21=1),0,IFERROR(INDEX($BC$5:$BC$41,MATCH(21,$BB$5:$BB$41,0)),0))</f>
        <v/>
      </c>
      <c r="BK21">
        <f>IF($BJ21&gt;0,IF(INDEX($AZ$5:$AZ$41,MATCH(21,$BB$5:$BB$41,0))=10,1,0),IF($BH21=10,1,0))</f>
        <v/>
      </c>
      <c r="BL21">
        <f>IF(21=$BG$4,1,0)</f>
        <v/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/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/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/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/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/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/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/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/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/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/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/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/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/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/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/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/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/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/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/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/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/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/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/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/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/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/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/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/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/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/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/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/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/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/>
      </c>
    </row>
    <row r="22" ht="15" customHeight="1" s="77">
      <c r="A22" s="67">
        <f>IF($BJ21&gt;0,INDEX($BA$5:$BA$41,MATCH(21,$BB$5:$BB$41,0)),IF(OR($BI21=1,$BL21=1,$BH21&gt;0),"∑",""))</f>
        <v/>
      </c>
      <c r="B22" s="68">
        <f>IF($BJ21&gt;0,IF(INDEX('Final Calculation Sheet'!$F$4:$F$40,$BJ21-3)="","",INDEX('Final Calculation Sheet'!$F$4:$F$40,$BJ21-3)),"")</f>
        <v/>
      </c>
      <c r="C22" s="68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/>
      </c>
      <c r="D22" s="69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/>
      </c>
      <c r="E22" s="69">
        <f>IF($BJ21&gt;0,IF(INDEX('Final Calculation Sheet'!$D$4:$D$40,$BJ21-3)="","",INDEX('Final Calculation Sheet'!$D$4:$D$40,$BJ21-3)),IF(OR($BI21=1,$BL21=1,$BH21&gt;0),"–",""))</f>
        <v/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/>
      </c>
      <c r="G22" s="69">
        <f>IF($BJ21&gt;0,IF(INDEX('Final Calculation Sheet'!$E$4:$E$40,$BJ21-3)="","",INDEX('Final Calculation Sheet'!$E$4:$E$40,$BJ21-3)),IF(OR($BI21=1,$BL21=1,$BH21&gt;0),"–",""))</f>
        <v/>
      </c>
      <c r="H22" s="70">
        <f>IF($BJ21&gt;0,IF(INDEX('Final Calculation Sheet'!$C$4:$C$40,$BJ21-3)="","",INDEX('Final Calculation Sheet'!$C$4:$C$40,$BJ21-3)),IF(OR($BI21=1,$BL21=1,$BH21&gt;0),"–",""))</f>
        <v/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/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/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/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/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/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/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/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/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/>
      </c>
      <c r="R22" s="72">
        <f>IF($BJ21&gt;0,IF(INDEX('Final Calculation Sheet'!$Q$4:$Q$40,$BJ21-3)="","",INDEX('Final Calculation Sheet'!$Q$4:$Q$40,$BJ21-3)),IF(OR($BI21=1,$BL21=1,$BH21&gt;0),"–",""))</f>
        <v/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/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/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/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/>
      </c>
      <c r="W22" s="70">
        <f>IF($BJ21&gt;0,IF(INDEX('Final Calculation Sheet'!$V$4:$V$40,$BJ21-3)="","",INDEX('Final Calculation Sheet'!$V$4:$V$40,$BJ21-3)),IF(OR($BI21=1,$BL21=1,$BH21&gt;0),"–",""))</f>
        <v/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/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/>
      </c>
      <c r="Z22" s="70">
        <f>IF($BJ21&gt;0,IF(INDEX('Final Calculation Sheet'!$Y$4:$Y$40,$BJ21-3)="","",INDEX('Final Calculation Sheet'!$Y$4:$Y$40,$BJ21-3)),IF(OR($BI21=1,$BL21=1,$BH21&gt;0),"–",""))</f>
        <v/>
      </c>
      <c r="AA22" s="70">
        <f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/>
      </c>
      <c r="AB22" s="70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/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/>
      </c>
      <c r="AF22" s="70">
        <f>IF($BJ21&gt;0,IF(INDEX('Final Calculation Sheet'!$AE$4:$AE$40,$BJ21-3)="","",INDEX('Final Calculation Sheet'!$AE$4:$AE$40,$BJ21-3)),IF(OR($BI21=1,$BL21=1,$BH21&gt;0),"–",""))</f>
        <v/>
      </c>
      <c r="AG22" s="74">
        <f>IF($BJ21&gt;0,IF(INDEX('Final Calculation Sheet'!$AF$4:$AF$40,$BJ21-3)="","",INDEX('Final Calculation Sheet'!$AF$4:$AF$40,$BJ21-3)),IF(OR($BI21=1,$BL21=1,$BH21&gt;0),"–",""))</f>
        <v/>
      </c>
      <c r="AH22" s="70">
        <f>IF($BJ21&gt;0,IF(INDEX('Final Calculation Sheet'!$AG$4:$AG$40,$BJ21-3)="","",INDEX('Final Calculation Sheet'!$AG$4:$AG$40,$BJ21-3)),IF(OR($BI21=1,$BL21=1,$BH21&gt;0),"–",""))</f>
        <v/>
      </c>
      <c r="AI22" s="75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COUNTIF($BM22:$CU22,0)&gt;0,0,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)</f>
        <v/>
      </c>
      <c r="AZ22">
        <f>IF($B$3="",IF(COUNTIF($A$4:$AI$4,"&lt;&gt;")=0,9,IF($AM22=1,9,10))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SUMPRODUCT(($AZ$5:$AZ$41=$AZ22)*($BC$5:$BC$41&lt;$BC22))+1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IF(22=$BG$5,1,0)</f>
        <v/>
      </c>
      <c r="BJ22">
        <f>IF(OR($BH22&gt;0,$BI22=1,$BL22=1),0,IFERROR(INDEX($BC$5:$BC$41,MATCH(22,$BB$5:$BB$41,0)),0))</f>
        <v/>
      </c>
      <c r="BK22">
        <f>IF($BJ22&gt;0,IF(INDEX($AZ$5:$AZ$41,MATCH(22,$BB$5:$BB$41,0))=10,1,0),IF($BH22=10,1,0))</f>
        <v/>
      </c>
      <c r="BL22">
        <f>IF(22=$BG$4,1,0)</f>
        <v/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/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/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/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/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/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/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/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/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/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/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/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/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/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/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/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/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/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/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/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/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/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/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/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/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/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/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/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/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/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/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/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/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/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/>
      </c>
    </row>
    <row r="23" ht="15" customHeight="1" s="77">
      <c r="A23" s="67">
        <f>IF($BJ22&gt;0,INDEX($BA$5:$BA$41,MATCH(22,$BB$5:$BB$41,0)),IF(OR($BI22=1,$BL22=1,$BH22&gt;0),"∑",""))</f>
        <v/>
      </c>
      <c r="B23" s="68">
        <f>IF($BJ22&gt;0,IF(INDEX('Final Calculation Sheet'!$F$4:$F$40,$BJ22-3)="","",INDEX('Final Calculation Sheet'!$F$4:$F$40,$BJ22-3)),"")</f>
        <v/>
      </c>
      <c r="C23" s="68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/>
      </c>
      <c r="D23" s="69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/>
      </c>
      <c r="E23" s="69">
        <f>IF($BJ22&gt;0,IF(INDEX('Final Calculation Sheet'!$D$4:$D$40,$BJ22-3)="","",INDEX('Final Calculation Sheet'!$D$4:$D$40,$BJ22-3)),IF(OR($BI22=1,$BL22=1,$BH22&gt;0),"–",""))</f>
        <v/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/>
      </c>
      <c r="G23" s="69">
        <f>IF($BJ22&gt;0,IF(INDEX('Final Calculation Sheet'!$E$4:$E$40,$BJ22-3)="","",INDEX('Final Calculation Sheet'!$E$4:$E$40,$BJ22-3)),IF(OR($BI22=1,$BL22=1,$BH22&gt;0),"–",""))</f>
        <v/>
      </c>
      <c r="H23" s="70">
        <f>IF($BJ22&gt;0,IF(INDEX('Final Calculation Sheet'!$C$4:$C$40,$BJ22-3)="","",INDEX('Final Calculation Sheet'!$C$4:$C$40,$BJ22-3)),IF(OR($BI22=1,$BL22=1,$BH22&gt;0),"–",""))</f>
        <v/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/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/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/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/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/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/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/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/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/>
      </c>
      <c r="R23" s="72">
        <f>IF($BJ22&gt;0,IF(INDEX('Final Calculation Sheet'!$Q$4:$Q$40,$BJ22-3)="","",INDEX('Final Calculation Sheet'!$Q$4:$Q$40,$BJ22-3)),IF(OR($BI22=1,$BL22=1,$BH22&gt;0),"–",""))</f>
        <v/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/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/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/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/>
      </c>
      <c r="W23" s="70">
        <f>IF($BJ22&gt;0,IF(INDEX('Final Calculation Sheet'!$V$4:$V$40,$BJ22-3)="","",INDEX('Final Calculation Sheet'!$V$4:$V$40,$BJ22-3)),IF(OR($BI22=1,$BL22=1,$BH22&gt;0),"–",""))</f>
        <v/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/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/>
      </c>
      <c r="Z23" s="70">
        <f>IF($BJ22&gt;0,IF(INDEX('Final Calculation Sheet'!$Y$4:$Y$40,$BJ22-3)="","",INDEX('Final Calculation Sheet'!$Y$4:$Y$40,$BJ22-3)),IF(OR($BI22=1,$BL22=1,$BH22&gt;0),"–",""))</f>
        <v/>
      </c>
      <c r="AA23" s="70">
        <f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/>
      </c>
      <c r="AB23" s="70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/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/>
      </c>
      <c r="AF23" s="70">
        <f>IF($BJ22&gt;0,IF(INDEX('Final Calculation Sheet'!$AE$4:$AE$40,$BJ22-3)="","",INDEX('Final Calculation Sheet'!$AE$4:$AE$40,$BJ22-3)),IF(OR($BI22=1,$BL22=1,$BH22&gt;0),"–",""))</f>
        <v/>
      </c>
      <c r="AG23" s="74">
        <f>IF($BJ22&gt;0,IF(INDEX('Final Calculation Sheet'!$AF$4:$AF$40,$BJ22-3)="","",INDEX('Final Calculation Sheet'!$AF$4:$AF$40,$BJ22-3)),IF(OR($BI22=1,$BL22=1,$BH22&gt;0),"–",""))</f>
        <v/>
      </c>
      <c r="AH23" s="70">
        <f>IF($BJ22&gt;0,IF(INDEX('Final Calculation Sheet'!$AG$4:$AG$40,$BJ22-3)="","",INDEX('Final Calculation Sheet'!$AG$4:$AG$40,$BJ22-3)),IF(OR($BI22=1,$BL22=1,$BH22&gt;0),"–",""))</f>
        <v/>
      </c>
      <c r="AI23" s="75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COUNTIF($BM23:$CU23,0)&gt;0,0,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)</f>
        <v/>
      </c>
      <c r="AZ23">
        <f>IF($B$3="",IF(COUNTIF($A$4:$AI$4,"&lt;&gt;")=0,9,IF($AM23=1,9,10))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SUMPRODUCT(($AZ$5:$AZ$41=$AZ23)*($BC$5:$BC$41&lt;$BC23))+1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IF(23=$BG$5,1,0)</f>
        <v/>
      </c>
      <c r="BJ23">
        <f>IF(OR($BH23&gt;0,$BI23=1,$BL23=1),0,IFERROR(INDEX($BC$5:$BC$41,MATCH(23,$BB$5:$BB$41,0)),0))</f>
        <v/>
      </c>
      <c r="BK23">
        <f>IF($BJ23&gt;0,IF(INDEX($AZ$5:$AZ$41,MATCH(23,$BB$5:$BB$41,0))=10,1,0),IF($BH23=10,1,0))</f>
        <v/>
      </c>
      <c r="BL23">
        <f>IF(23=$BG$4,1,0)</f>
        <v/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/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/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/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/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/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/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/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/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/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/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/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/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/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/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/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/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/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/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/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/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/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/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/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/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/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/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/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/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/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/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/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/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/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/>
      </c>
    </row>
    <row r="24" ht="15" customHeight="1" s="77">
      <c r="A24" s="67">
        <f>IF($BJ23&gt;0,INDEX($BA$5:$BA$41,MATCH(23,$BB$5:$BB$41,0)),IF(OR($BI23=1,$BL23=1,$BH23&gt;0),"∑",""))</f>
        <v/>
      </c>
      <c r="B24" s="68">
        <f>IF($BJ23&gt;0,IF(INDEX('Final Calculation Sheet'!$F$4:$F$40,$BJ23-3)="","",INDEX('Final Calculation Sheet'!$F$4:$F$40,$BJ23-3)),"")</f>
        <v/>
      </c>
      <c r="C24" s="68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/>
      </c>
      <c r="D24" s="69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/>
      </c>
      <c r="E24" s="69">
        <f>IF($BJ23&gt;0,IF(INDEX('Final Calculation Sheet'!$D$4:$D$40,$BJ23-3)="","",INDEX('Final Calculation Sheet'!$D$4:$D$40,$BJ23-3)),IF(OR($BI23=1,$BL23=1,$BH23&gt;0),"–",""))</f>
        <v/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/>
      </c>
      <c r="G24" s="69">
        <f>IF($BJ23&gt;0,IF(INDEX('Final Calculation Sheet'!$E$4:$E$40,$BJ23-3)="","",INDEX('Final Calculation Sheet'!$E$4:$E$40,$BJ23-3)),IF(OR($BI23=1,$BL23=1,$BH23&gt;0),"–",""))</f>
        <v/>
      </c>
      <c r="H24" s="70">
        <f>IF($BJ23&gt;0,IF(INDEX('Final Calculation Sheet'!$C$4:$C$40,$BJ23-3)="","",INDEX('Final Calculation Sheet'!$C$4:$C$40,$BJ23-3)),IF(OR($BI23=1,$BL23=1,$BH23&gt;0),"–",""))</f>
        <v/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/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/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/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/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/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/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/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/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/>
      </c>
      <c r="R24" s="72">
        <f>IF($BJ23&gt;0,IF(INDEX('Final Calculation Sheet'!$Q$4:$Q$40,$BJ23-3)="","",INDEX('Final Calculation Sheet'!$Q$4:$Q$40,$BJ23-3)),IF(OR($BI23=1,$BL23=1,$BH23&gt;0),"–",""))</f>
        <v/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/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/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/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/>
      </c>
      <c r="W24" s="70">
        <f>IF($BJ23&gt;0,IF(INDEX('Final Calculation Sheet'!$V$4:$V$40,$BJ23-3)="","",INDEX('Final Calculation Sheet'!$V$4:$V$40,$BJ23-3)),IF(OR($BI23=1,$BL23=1,$BH23&gt;0),"–",""))</f>
        <v/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/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/>
      </c>
      <c r="Z24" s="70">
        <f>IF($BJ23&gt;0,IF(INDEX('Final Calculation Sheet'!$Y$4:$Y$40,$BJ23-3)="","",INDEX('Final Calculation Sheet'!$Y$4:$Y$40,$BJ23-3)),IF(OR($BI23=1,$BL23=1,$BH23&gt;0),"–",""))</f>
        <v/>
      </c>
      <c r="AA24" s="70">
        <f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/>
      </c>
      <c r="AB24" s="70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/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/>
      </c>
      <c r="AF24" s="70">
        <f>IF($BJ23&gt;0,IF(INDEX('Final Calculation Sheet'!$AE$4:$AE$40,$BJ23-3)="","",INDEX('Final Calculation Sheet'!$AE$4:$AE$40,$BJ23-3)),IF(OR($BI23=1,$BL23=1,$BH23&gt;0),"–",""))</f>
        <v/>
      </c>
      <c r="AG24" s="74">
        <f>IF($BJ23&gt;0,IF(INDEX('Final Calculation Sheet'!$AF$4:$AF$40,$BJ23-3)="","",INDEX('Final Calculation Sheet'!$AF$4:$AF$40,$BJ23-3)),IF(OR($BI23=1,$BL23=1,$BH23&gt;0),"–",""))</f>
        <v/>
      </c>
      <c r="AH24" s="70">
        <f>IF($BJ23&gt;0,IF(INDEX('Final Calculation Sheet'!$AG$4:$AG$40,$BJ23-3)="","",INDEX('Final Calculation Sheet'!$AG$4:$AG$40,$BJ23-3)),IF(OR($BI23=1,$BL23=1,$BH23&gt;0),"–",""))</f>
        <v/>
      </c>
      <c r="AI24" s="75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COUNTIF($BM24:$CU24,0)&gt;0,0,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)</f>
        <v/>
      </c>
      <c r="AZ24">
        <f>IF($B$3="",IF(COUNTIF($A$4:$AI$4,"&lt;&gt;")=0,9,IF($AM24=1,9,10))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SUMPRODUCT(($AZ$5:$AZ$41=$AZ24)*($BC$5:$BC$41&lt;$BC24))+1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IF(24=$BG$5,1,0)</f>
        <v/>
      </c>
      <c r="BJ24">
        <f>IF(OR($BH24&gt;0,$BI24=1,$BL24=1),0,IFERROR(INDEX($BC$5:$BC$41,MATCH(24,$BB$5:$BB$41,0)),0))</f>
        <v/>
      </c>
      <c r="BK24">
        <f>IF($BJ24&gt;0,IF(INDEX($AZ$5:$AZ$41,MATCH(24,$BB$5:$BB$41,0))=10,1,0),IF($BH24=10,1,0))</f>
        <v/>
      </c>
      <c r="BL24">
        <f>IF(24=$BG$4,1,0)</f>
        <v/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/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/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/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/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/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/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/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/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/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/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/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/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/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/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/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/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/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/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/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/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/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/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/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/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/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/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/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/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/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/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/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/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/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/>
      </c>
    </row>
    <row r="25" ht="15" customHeight="1" s="77">
      <c r="A25" s="67">
        <f>IF($BJ24&gt;0,INDEX($BA$5:$BA$41,MATCH(24,$BB$5:$BB$41,0)),IF(OR($BI24=1,$BL24=1,$BH24&gt;0),"∑",""))</f>
        <v/>
      </c>
      <c r="B25" s="68">
        <f>IF($BJ24&gt;0,IF(INDEX('Final Calculation Sheet'!$F$4:$F$40,$BJ24-3)="","",INDEX('Final Calculation Sheet'!$F$4:$F$40,$BJ24-3)),"")</f>
        <v/>
      </c>
      <c r="C25" s="68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/>
      </c>
      <c r="D25" s="69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/>
      </c>
      <c r="E25" s="69">
        <f>IF($BJ24&gt;0,IF(INDEX('Final Calculation Sheet'!$D$4:$D$40,$BJ24-3)="","",INDEX('Final Calculation Sheet'!$D$4:$D$40,$BJ24-3)),IF(OR($BI24=1,$BL24=1,$BH24&gt;0),"–",""))</f>
        <v/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/>
      </c>
      <c r="G25" s="69">
        <f>IF($BJ24&gt;0,IF(INDEX('Final Calculation Sheet'!$E$4:$E$40,$BJ24-3)="","",INDEX('Final Calculation Sheet'!$E$4:$E$40,$BJ24-3)),IF(OR($BI24=1,$BL24=1,$BH24&gt;0),"–",""))</f>
        <v/>
      </c>
      <c r="H25" s="70">
        <f>IF($BJ24&gt;0,IF(INDEX('Final Calculation Sheet'!$C$4:$C$40,$BJ24-3)="","",INDEX('Final Calculation Sheet'!$C$4:$C$40,$BJ24-3)),IF(OR($BI24=1,$BL24=1,$BH24&gt;0),"–",""))</f>
        <v/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/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/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/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/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/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/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/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/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/>
      </c>
      <c r="R25" s="72">
        <f>IF($BJ24&gt;0,IF(INDEX('Final Calculation Sheet'!$Q$4:$Q$40,$BJ24-3)="","",INDEX('Final Calculation Sheet'!$Q$4:$Q$40,$BJ24-3)),IF(OR($BI24=1,$BL24=1,$BH24&gt;0),"–",""))</f>
        <v/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/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/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/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/>
      </c>
      <c r="W25" s="70">
        <f>IF($BJ24&gt;0,IF(INDEX('Final Calculation Sheet'!$V$4:$V$40,$BJ24-3)="","",INDEX('Final Calculation Sheet'!$V$4:$V$40,$BJ24-3)),IF(OR($BI24=1,$BL24=1,$BH24&gt;0),"–",""))</f>
        <v/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/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/>
      </c>
      <c r="Z25" s="70">
        <f>IF($BJ24&gt;0,IF(INDEX('Final Calculation Sheet'!$Y$4:$Y$40,$BJ24-3)="","",INDEX('Final Calculation Sheet'!$Y$4:$Y$40,$BJ24-3)),IF(OR($BI24=1,$BL24=1,$BH24&gt;0),"–",""))</f>
        <v/>
      </c>
      <c r="AA25" s="70">
        <f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/>
      </c>
      <c r="AB25" s="70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/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/>
      </c>
      <c r="AF25" s="70">
        <f>IF($BJ24&gt;0,IF(INDEX('Final Calculation Sheet'!$AE$4:$AE$40,$BJ24-3)="","",INDEX('Final Calculation Sheet'!$AE$4:$AE$40,$BJ24-3)),IF(OR($BI24=1,$BL24=1,$BH24&gt;0),"–",""))</f>
        <v/>
      </c>
      <c r="AG25" s="74">
        <f>IF($BJ24&gt;0,IF(INDEX('Final Calculation Sheet'!$AF$4:$AF$40,$BJ24-3)="","",INDEX('Final Calculation Sheet'!$AF$4:$AF$40,$BJ24-3)),IF(OR($BI24=1,$BL24=1,$BH24&gt;0),"–",""))</f>
        <v/>
      </c>
      <c r="AH25" s="70">
        <f>IF($BJ24&gt;0,IF(INDEX('Final Calculation Sheet'!$AG$4:$AG$40,$BJ24-3)="","",INDEX('Final Calculation Sheet'!$AG$4:$AG$40,$BJ24-3)),IF(OR($BI24=1,$BL24=1,$BH24&gt;0),"–",""))</f>
        <v/>
      </c>
      <c r="AI25" s="75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COUNTIF($BM25:$CU25,0)&gt;0,0,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)</f>
        <v/>
      </c>
      <c r="AZ25">
        <f>IF($B$3="",IF(COUNTIF($A$4:$AI$4,"&lt;&gt;")=0,9,IF($AM25=1,9,10))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SUMPRODUCT(($AZ$5:$AZ$41=$AZ25)*($BC$5:$BC$41&lt;$BC25))+1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IF(25=$BG$5,1,0)</f>
        <v/>
      </c>
      <c r="BJ25">
        <f>IF(OR($BH25&gt;0,$BI25=1,$BL25=1),0,IFERROR(INDEX($BC$5:$BC$41,MATCH(25,$BB$5:$BB$41,0)),0))</f>
        <v/>
      </c>
      <c r="BK25">
        <f>IF($BJ25&gt;0,IF(INDEX($AZ$5:$AZ$41,MATCH(25,$BB$5:$BB$41,0))=10,1,0),IF($BH25=10,1,0))</f>
        <v/>
      </c>
      <c r="BL25">
        <f>IF(25=$BG$4,1,0)</f>
        <v/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/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/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/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/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/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/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/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/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/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/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/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/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/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/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/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/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/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/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/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/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/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/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/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/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/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/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/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/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/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/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/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/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/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/>
      </c>
    </row>
    <row r="26" ht="15" customHeight="1" s="77">
      <c r="A26" s="67">
        <f>IF($BJ25&gt;0,INDEX($BA$5:$BA$41,MATCH(25,$BB$5:$BB$41,0)),IF(OR($BI25=1,$BL25=1,$BH25&gt;0),"∑",""))</f>
        <v/>
      </c>
      <c r="B26" s="68">
        <f>IF($BJ25&gt;0,IF(INDEX('Final Calculation Sheet'!$F$4:$F$40,$BJ25-3)="","",INDEX('Final Calculation Sheet'!$F$4:$F$40,$BJ25-3)),"")</f>
        <v/>
      </c>
      <c r="C26" s="68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/>
      </c>
      <c r="D26" s="69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/>
      </c>
      <c r="E26" s="69">
        <f>IF($BJ25&gt;0,IF(INDEX('Final Calculation Sheet'!$D$4:$D$40,$BJ25-3)="","",INDEX('Final Calculation Sheet'!$D$4:$D$40,$BJ25-3)),IF(OR($BI25=1,$BL25=1,$BH25&gt;0),"–",""))</f>
        <v/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/>
      </c>
      <c r="G26" s="69">
        <f>IF($BJ25&gt;0,IF(INDEX('Final Calculation Sheet'!$E$4:$E$40,$BJ25-3)="","",INDEX('Final Calculation Sheet'!$E$4:$E$40,$BJ25-3)),IF(OR($BI25=1,$BL25=1,$BH25&gt;0),"–",""))</f>
        <v/>
      </c>
      <c r="H26" s="70">
        <f>IF($BJ25&gt;0,IF(INDEX('Final Calculation Sheet'!$C$4:$C$40,$BJ25-3)="","",INDEX('Final Calculation Sheet'!$C$4:$C$40,$BJ25-3)),IF(OR($BI25=1,$BL25=1,$BH25&gt;0),"–",""))</f>
        <v/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/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/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/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/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/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/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/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/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/>
      </c>
      <c r="R26" s="72">
        <f>IF($BJ25&gt;0,IF(INDEX('Final Calculation Sheet'!$Q$4:$Q$40,$BJ25-3)="","",INDEX('Final Calculation Sheet'!$Q$4:$Q$40,$BJ25-3)),IF(OR($BI25=1,$BL25=1,$BH25&gt;0),"–",""))</f>
        <v/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/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/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/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/>
      </c>
      <c r="W26" s="70">
        <f>IF($BJ25&gt;0,IF(INDEX('Final Calculation Sheet'!$V$4:$V$40,$BJ25-3)="","",INDEX('Final Calculation Sheet'!$V$4:$V$40,$BJ25-3)),IF(OR($BI25=1,$BL25=1,$BH25&gt;0),"–",""))</f>
        <v/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/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/>
      </c>
      <c r="Z26" s="70">
        <f>IF($BJ25&gt;0,IF(INDEX('Final Calculation Sheet'!$Y$4:$Y$40,$BJ25-3)="","",INDEX('Final Calculation Sheet'!$Y$4:$Y$40,$BJ25-3)),IF(OR($BI25=1,$BL25=1,$BH25&gt;0),"–",""))</f>
        <v/>
      </c>
      <c r="AA26" s="70">
        <f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/>
      </c>
      <c r="AB26" s="70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/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/>
      </c>
      <c r="AF26" s="70">
        <f>IF($BJ25&gt;0,IF(INDEX('Final Calculation Sheet'!$AE$4:$AE$40,$BJ25-3)="","",INDEX('Final Calculation Sheet'!$AE$4:$AE$40,$BJ25-3)),IF(OR($BI25=1,$BL25=1,$BH25&gt;0),"–",""))</f>
        <v/>
      </c>
      <c r="AG26" s="74">
        <f>IF($BJ25&gt;0,IF(INDEX('Final Calculation Sheet'!$AF$4:$AF$40,$BJ25-3)="","",INDEX('Final Calculation Sheet'!$AF$4:$AF$40,$BJ25-3)),IF(OR($BI25=1,$BL25=1,$BH25&gt;0),"–",""))</f>
        <v/>
      </c>
      <c r="AH26" s="70">
        <f>IF($BJ25&gt;0,IF(INDEX('Final Calculation Sheet'!$AG$4:$AG$40,$BJ25-3)="","",INDEX('Final Calculation Sheet'!$AG$4:$AG$40,$BJ25-3)),IF(OR($BI25=1,$BL25=1,$BH25&gt;0),"–",""))</f>
        <v/>
      </c>
      <c r="AI26" s="75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COUNTIF($BM26:$CU26,0)&gt;0,0,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)</f>
        <v/>
      </c>
      <c r="AZ26">
        <f>IF($B$3="",IF(COUNTIF($A$4:$AI$4,"&lt;&gt;")=0,9,IF($AM26=1,9,10))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SUMPRODUCT(($AZ$5:$AZ$41=$AZ26)*($BC$5:$BC$41&lt;$BC26))+1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IF(26=$BG$5,1,0)</f>
        <v/>
      </c>
      <c r="BJ26">
        <f>IF(OR($BH26&gt;0,$BI26=1,$BL26=1),0,IFERROR(INDEX($BC$5:$BC$41,MATCH(26,$BB$5:$BB$41,0)),0))</f>
        <v/>
      </c>
      <c r="BK26">
        <f>IF($BJ26&gt;0,IF(INDEX($AZ$5:$AZ$41,MATCH(26,$BB$5:$BB$41,0))=10,1,0),IF($BH26=10,1,0))</f>
        <v/>
      </c>
      <c r="BL26">
        <f>IF(26=$BG$4,1,0)</f>
        <v/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/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/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/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/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/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/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/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/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/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/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/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/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/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/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/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/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/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/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/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/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/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/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/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/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/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/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/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/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/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/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/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/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/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/>
      </c>
    </row>
    <row r="27" ht="15" customHeight="1" s="77">
      <c r="A27" s="67">
        <f>IF($BJ26&gt;0,INDEX($BA$5:$BA$41,MATCH(26,$BB$5:$BB$41,0)),IF(OR($BI26=1,$BL26=1,$BH26&gt;0),"∑",""))</f>
        <v/>
      </c>
      <c r="B27" s="68">
        <f>IF($BJ26&gt;0,IF(INDEX('Final Calculation Sheet'!$F$4:$F$40,$BJ26-3)="","",INDEX('Final Calculation Sheet'!$F$4:$F$40,$BJ26-3)),"")</f>
        <v/>
      </c>
      <c r="C27" s="68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/>
      </c>
      <c r="D27" s="69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/>
      </c>
      <c r="E27" s="69">
        <f>IF($BJ26&gt;0,IF(INDEX('Final Calculation Sheet'!$D$4:$D$40,$BJ26-3)="","",INDEX('Final Calculation Sheet'!$D$4:$D$40,$BJ26-3)),IF(OR($BI26=1,$BL26=1,$BH26&gt;0),"–",""))</f>
        <v/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/>
      </c>
      <c r="G27" s="69">
        <f>IF($BJ26&gt;0,IF(INDEX('Final Calculation Sheet'!$E$4:$E$40,$BJ26-3)="","",INDEX('Final Calculation Sheet'!$E$4:$E$40,$BJ26-3)),IF(OR($BI26=1,$BL26=1,$BH26&gt;0),"–",""))</f>
        <v/>
      </c>
      <c r="H27" s="70">
        <f>IF($BJ26&gt;0,IF(INDEX('Final Calculation Sheet'!$C$4:$C$40,$BJ26-3)="","",INDEX('Final Calculation Sheet'!$C$4:$C$40,$BJ26-3)),IF(OR($BI26=1,$BL26=1,$BH26&gt;0),"–",""))</f>
        <v/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/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/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/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/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/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/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/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/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/>
      </c>
      <c r="R27" s="72">
        <f>IF($BJ26&gt;0,IF(INDEX('Final Calculation Sheet'!$Q$4:$Q$40,$BJ26-3)="","",INDEX('Final Calculation Sheet'!$Q$4:$Q$40,$BJ26-3)),IF(OR($BI26=1,$BL26=1,$BH26&gt;0),"–",""))</f>
        <v/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/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/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/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/>
      </c>
      <c r="W27" s="70">
        <f>IF($BJ26&gt;0,IF(INDEX('Final Calculation Sheet'!$V$4:$V$40,$BJ26-3)="","",INDEX('Final Calculation Sheet'!$V$4:$V$40,$BJ26-3)),IF(OR($BI26=1,$BL26=1,$BH26&gt;0),"–",""))</f>
        <v/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/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/>
      </c>
      <c r="Z27" s="70">
        <f>IF($BJ26&gt;0,IF(INDEX('Final Calculation Sheet'!$Y$4:$Y$40,$BJ26-3)="","",INDEX('Final Calculation Sheet'!$Y$4:$Y$40,$BJ26-3)),IF(OR($BI26=1,$BL26=1,$BH26&gt;0),"–",""))</f>
        <v/>
      </c>
      <c r="AA27" s="70">
        <f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/>
      </c>
      <c r="AB27" s="70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/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/>
      </c>
      <c r="AF27" s="70">
        <f>IF($BJ26&gt;0,IF(INDEX('Final Calculation Sheet'!$AE$4:$AE$40,$BJ26-3)="","",INDEX('Final Calculation Sheet'!$AE$4:$AE$40,$BJ26-3)),IF(OR($BI26=1,$BL26=1,$BH26&gt;0),"–",""))</f>
        <v/>
      </c>
      <c r="AG27" s="74">
        <f>IF($BJ26&gt;0,IF(INDEX('Final Calculation Sheet'!$AF$4:$AF$40,$BJ26-3)="","",INDEX('Final Calculation Sheet'!$AF$4:$AF$40,$BJ26-3)),IF(OR($BI26=1,$BL26=1,$BH26&gt;0),"–",""))</f>
        <v/>
      </c>
      <c r="AH27" s="70">
        <f>IF($BJ26&gt;0,IF(INDEX('Final Calculation Sheet'!$AG$4:$AG$40,$BJ26-3)="","",INDEX('Final Calculation Sheet'!$AG$4:$AG$40,$BJ26-3)),IF(OR($BI26=1,$BL26=1,$BH26&gt;0),"–",""))</f>
        <v/>
      </c>
      <c r="AI27" s="75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COUNTIF($BM27:$CU27,0)&gt;0,0,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)</f>
        <v/>
      </c>
      <c r="AZ27">
        <f>IF($B$3="",IF(COUNTIF($A$4:$AI$4,"&lt;&gt;")=0,9,IF($AM27=1,9,10))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SUMPRODUCT(($AZ$5:$AZ$41=$AZ27)*($BC$5:$BC$41&lt;$BC27))+1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IF(27=$BG$5,1,0)</f>
        <v/>
      </c>
      <c r="BJ27">
        <f>IF(OR($BH27&gt;0,$BI27=1,$BL27=1),0,IFERROR(INDEX($BC$5:$BC$41,MATCH(27,$BB$5:$BB$41,0)),0))</f>
        <v/>
      </c>
      <c r="BK27">
        <f>IF($BJ27&gt;0,IF(INDEX($AZ$5:$AZ$41,MATCH(27,$BB$5:$BB$41,0))=10,1,0),IF($BH27=10,1,0))</f>
        <v/>
      </c>
      <c r="BL27">
        <f>IF(27=$BG$4,1,0)</f>
        <v/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/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/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/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/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/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/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/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/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/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/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/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/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/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/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/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/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/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/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/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/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/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/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/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/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/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/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/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/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/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/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/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/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/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/>
      </c>
    </row>
    <row r="28" ht="15" customHeight="1" s="77">
      <c r="A28" s="67">
        <f>IF($BJ27&gt;0,INDEX($BA$5:$BA$41,MATCH(27,$BB$5:$BB$41,0)),IF(OR($BI27=1,$BL27=1,$BH27&gt;0),"∑",""))</f>
        <v/>
      </c>
      <c r="B28" s="68">
        <f>IF($BJ27&gt;0,IF(INDEX('Final Calculation Sheet'!$F$4:$F$40,$BJ27-3)="","",INDEX('Final Calculation Sheet'!$F$4:$F$40,$BJ27-3)),"")</f>
        <v/>
      </c>
      <c r="C28" s="68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/>
      </c>
      <c r="D28" s="69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/>
      </c>
      <c r="E28" s="69">
        <f>IF($BJ27&gt;0,IF(INDEX('Final Calculation Sheet'!$D$4:$D$40,$BJ27-3)="","",INDEX('Final Calculation Sheet'!$D$4:$D$40,$BJ27-3)),IF(OR($BI27=1,$BL27=1,$BH27&gt;0),"–",""))</f>
        <v/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/>
      </c>
      <c r="G28" s="69">
        <f>IF($BJ27&gt;0,IF(INDEX('Final Calculation Sheet'!$E$4:$E$40,$BJ27-3)="","",INDEX('Final Calculation Sheet'!$E$4:$E$40,$BJ27-3)),IF(OR($BI27=1,$BL27=1,$BH27&gt;0),"–",""))</f>
        <v/>
      </c>
      <c r="H28" s="70">
        <f>IF($BJ27&gt;0,IF(INDEX('Final Calculation Sheet'!$C$4:$C$40,$BJ27-3)="","",INDEX('Final Calculation Sheet'!$C$4:$C$40,$BJ27-3)),IF(OR($BI27=1,$BL27=1,$BH27&gt;0),"–",""))</f>
        <v/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/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/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/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/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/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/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/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/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/>
      </c>
      <c r="R28" s="72">
        <f>IF($BJ27&gt;0,IF(INDEX('Final Calculation Sheet'!$Q$4:$Q$40,$BJ27-3)="","",INDEX('Final Calculation Sheet'!$Q$4:$Q$40,$BJ27-3)),IF(OR($BI27=1,$BL27=1,$BH27&gt;0),"–",""))</f>
        <v/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/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/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/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/>
      </c>
      <c r="W28" s="70">
        <f>IF($BJ27&gt;0,IF(INDEX('Final Calculation Sheet'!$V$4:$V$40,$BJ27-3)="","",INDEX('Final Calculation Sheet'!$V$4:$V$40,$BJ27-3)),IF(OR($BI27=1,$BL27=1,$BH27&gt;0),"–",""))</f>
        <v/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/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/>
      </c>
      <c r="Z28" s="70">
        <f>IF($BJ27&gt;0,IF(INDEX('Final Calculation Sheet'!$Y$4:$Y$40,$BJ27-3)="","",INDEX('Final Calculation Sheet'!$Y$4:$Y$40,$BJ27-3)),IF(OR($BI27=1,$BL27=1,$BH27&gt;0),"–",""))</f>
        <v/>
      </c>
      <c r="AA28" s="70">
        <f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/>
      </c>
      <c r="AB28" s="70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/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/>
      </c>
      <c r="AF28" s="70">
        <f>IF($BJ27&gt;0,IF(INDEX('Final Calculation Sheet'!$AE$4:$AE$40,$BJ27-3)="","",INDEX('Final Calculation Sheet'!$AE$4:$AE$40,$BJ27-3)),IF(OR($BI27=1,$BL27=1,$BH27&gt;0),"–",""))</f>
        <v/>
      </c>
      <c r="AG28" s="74">
        <f>IF($BJ27&gt;0,IF(INDEX('Final Calculation Sheet'!$AF$4:$AF$40,$BJ27-3)="","",INDEX('Final Calculation Sheet'!$AF$4:$AF$40,$BJ27-3)),IF(OR($BI27=1,$BL27=1,$BH27&gt;0),"–",""))</f>
        <v/>
      </c>
      <c r="AH28" s="70">
        <f>IF($BJ27&gt;0,IF(INDEX('Final Calculation Sheet'!$AG$4:$AG$40,$BJ27-3)="","",INDEX('Final Calculation Sheet'!$AG$4:$AG$40,$BJ27-3)),IF(OR($BI27=1,$BL27=1,$BH27&gt;0),"–",""))</f>
        <v/>
      </c>
      <c r="AI28" s="75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COUNTIF($BM28:$CU28,0)&gt;0,0,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)</f>
        <v/>
      </c>
      <c r="AZ28">
        <f>IF($B$3="",IF(COUNTIF($A$4:$AI$4,"&lt;&gt;")=0,9,IF($AM28=1,9,10))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SUMPRODUCT(($AZ$5:$AZ$41=$AZ28)*($BC$5:$BC$41&lt;$BC28))+1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IF(28=$BG$5,1,0)</f>
        <v/>
      </c>
      <c r="BJ28">
        <f>IF(OR($BH28&gt;0,$BI28=1,$BL28=1),0,IFERROR(INDEX($BC$5:$BC$41,MATCH(28,$BB$5:$BB$41,0)),0))</f>
        <v/>
      </c>
      <c r="BK28">
        <f>IF($BJ28&gt;0,IF(INDEX($AZ$5:$AZ$41,MATCH(28,$BB$5:$BB$41,0))=10,1,0),IF($BH28=10,1,0))</f>
        <v/>
      </c>
      <c r="BL28">
        <f>IF(28=$BG$4,1,0)</f>
        <v/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/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/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/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/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/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/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/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/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/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/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/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/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/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/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/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/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/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/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/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/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/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/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/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/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/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/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/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/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/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/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/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/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/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/>
      </c>
    </row>
    <row r="29" ht="15" customHeight="1" s="77">
      <c r="A29" s="67">
        <f>IF($BJ28&gt;0,INDEX($BA$5:$BA$41,MATCH(28,$BB$5:$BB$41,0)),IF(OR($BI28=1,$BL28=1,$BH28&gt;0),"∑",""))</f>
        <v/>
      </c>
      <c r="B29" s="68">
        <f>IF($BJ28&gt;0,IF(INDEX('Final Calculation Sheet'!$F$4:$F$40,$BJ28-3)="","",INDEX('Final Calculation Sheet'!$F$4:$F$40,$BJ28-3)),"")</f>
        <v/>
      </c>
      <c r="C29" s="68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/>
      </c>
      <c r="D29" s="69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/>
      </c>
      <c r="E29" s="69">
        <f>IF($BJ28&gt;0,IF(INDEX('Final Calculation Sheet'!$D$4:$D$40,$BJ28-3)="","",INDEX('Final Calculation Sheet'!$D$4:$D$40,$BJ28-3)),IF(OR($BI28=1,$BL28=1,$BH28&gt;0),"–",""))</f>
        <v/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/>
      </c>
      <c r="G29" s="69">
        <f>IF($BJ28&gt;0,IF(INDEX('Final Calculation Sheet'!$E$4:$E$40,$BJ28-3)="","",INDEX('Final Calculation Sheet'!$E$4:$E$40,$BJ28-3)),IF(OR($BI28=1,$BL28=1,$BH28&gt;0),"–",""))</f>
        <v/>
      </c>
      <c r="H29" s="70">
        <f>IF($BJ28&gt;0,IF(INDEX('Final Calculation Sheet'!$C$4:$C$40,$BJ28-3)="","",INDEX('Final Calculation Sheet'!$C$4:$C$40,$BJ28-3)),IF(OR($BI28=1,$BL28=1,$BH28&gt;0),"–",""))</f>
        <v/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/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/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/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/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/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/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/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/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/>
      </c>
      <c r="R29" s="72">
        <f>IF($BJ28&gt;0,IF(INDEX('Final Calculation Sheet'!$Q$4:$Q$40,$BJ28-3)="","",INDEX('Final Calculation Sheet'!$Q$4:$Q$40,$BJ28-3)),IF(OR($BI28=1,$BL28=1,$BH28&gt;0),"–",""))</f>
        <v/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/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/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/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/>
      </c>
      <c r="W29" s="70">
        <f>IF($BJ28&gt;0,IF(INDEX('Final Calculation Sheet'!$V$4:$V$40,$BJ28-3)="","",INDEX('Final Calculation Sheet'!$V$4:$V$40,$BJ28-3)),IF(OR($BI28=1,$BL28=1,$BH28&gt;0),"–",""))</f>
        <v/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/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/>
      </c>
      <c r="Z29" s="70">
        <f>IF($BJ28&gt;0,IF(INDEX('Final Calculation Sheet'!$Y$4:$Y$40,$BJ28-3)="","",INDEX('Final Calculation Sheet'!$Y$4:$Y$40,$BJ28-3)),IF(OR($BI28=1,$BL28=1,$BH28&gt;0),"–",""))</f>
        <v/>
      </c>
      <c r="AA29" s="70">
        <f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/>
      </c>
      <c r="AB29" s="70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/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/>
      </c>
      <c r="AF29" s="70">
        <f>IF($BJ28&gt;0,IF(INDEX('Final Calculation Sheet'!$AE$4:$AE$40,$BJ28-3)="","",INDEX('Final Calculation Sheet'!$AE$4:$AE$40,$BJ28-3)),IF(OR($BI28=1,$BL28=1,$BH28&gt;0),"–",""))</f>
        <v/>
      </c>
      <c r="AG29" s="74">
        <f>IF($BJ28&gt;0,IF(INDEX('Final Calculation Sheet'!$AF$4:$AF$40,$BJ28-3)="","",INDEX('Final Calculation Sheet'!$AF$4:$AF$40,$BJ28-3)),IF(OR($BI28=1,$BL28=1,$BH28&gt;0),"–",""))</f>
        <v/>
      </c>
      <c r="AH29" s="70">
        <f>IF($BJ28&gt;0,IF(INDEX('Final Calculation Sheet'!$AG$4:$AG$40,$BJ28-3)="","",INDEX('Final Calculation Sheet'!$AG$4:$AG$40,$BJ28-3)),IF(OR($BI28=1,$BL28=1,$BH28&gt;0),"–",""))</f>
        <v/>
      </c>
      <c r="AI29" s="75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COUNTIF($BM29:$CU29,0)&gt;0,0,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)</f>
        <v/>
      </c>
      <c r="AZ29">
        <f>IF($B$3="",IF(COUNTIF($A$4:$AI$4,"&lt;&gt;")=0,9,IF($AM29=1,9,10))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SUMPRODUCT(($AZ$5:$AZ$41=$AZ29)*($BC$5:$BC$41&lt;$BC29))+1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IF(29=$BG$5,1,0)</f>
        <v/>
      </c>
      <c r="BJ29">
        <f>IF(OR($BH29&gt;0,$BI29=1,$BL29=1),0,IFERROR(INDEX($BC$5:$BC$41,MATCH(29,$BB$5:$BB$41,0)),0))</f>
        <v/>
      </c>
      <c r="BK29">
        <f>IF($BJ29&gt;0,IF(INDEX($AZ$5:$AZ$41,MATCH(29,$BB$5:$BB$41,0))=10,1,0),IF($BH29=10,1,0))</f>
        <v/>
      </c>
      <c r="BL29">
        <f>IF(29=$BG$4,1,0)</f>
        <v/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/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/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/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/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/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/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/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/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/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/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/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/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/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/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/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/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/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/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/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/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/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/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/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/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/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/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/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/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/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/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/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/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/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/>
      </c>
    </row>
    <row r="30" ht="15" customHeight="1" s="77">
      <c r="A30" s="67">
        <f>IF($BJ29&gt;0,INDEX($BA$5:$BA$41,MATCH(29,$BB$5:$BB$41,0)),IF(OR($BI29=1,$BL29=1,$BH29&gt;0),"∑",""))</f>
        <v/>
      </c>
      <c r="B30" s="68">
        <f>IF($BJ29&gt;0,IF(INDEX('Final Calculation Sheet'!$F$4:$F$40,$BJ29-3)="","",INDEX('Final Calculation Sheet'!$F$4:$F$40,$BJ29-3)),"")</f>
        <v/>
      </c>
      <c r="C30" s="68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/>
      </c>
      <c r="D30" s="69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/>
      </c>
      <c r="E30" s="69">
        <f>IF($BJ29&gt;0,IF(INDEX('Final Calculation Sheet'!$D$4:$D$40,$BJ29-3)="","",INDEX('Final Calculation Sheet'!$D$4:$D$40,$BJ29-3)),IF(OR($BI29=1,$BL29=1,$BH29&gt;0),"–",""))</f>
        <v/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/>
      </c>
      <c r="G30" s="69">
        <f>IF($BJ29&gt;0,IF(INDEX('Final Calculation Sheet'!$E$4:$E$40,$BJ29-3)="","",INDEX('Final Calculation Sheet'!$E$4:$E$40,$BJ29-3)),IF(OR($BI29=1,$BL29=1,$BH29&gt;0),"–",""))</f>
        <v/>
      </c>
      <c r="H30" s="70">
        <f>IF($BJ29&gt;0,IF(INDEX('Final Calculation Sheet'!$C$4:$C$40,$BJ29-3)="","",INDEX('Final Calculation Sheet'!$C$4:$C$40,$BJ29-3)),IF(OR($BI29=1,$BL29=1,$BH29&gt;0),"–",""))</f>
        <v/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/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/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/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/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/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/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/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/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/>
      </c>
      <c r="R30" s="72">
        <f>IF($BJ29&gt;0,IF(INDEX('Final Calculation Sheet'!$Q$4:$Q$40,$BJ29-3)="","",INDEX('Final Calculation Sheet'!$Q$4:$Q$40,$BJ29-3)),IF(OR($BI29=1,$BL29=1,$BH29&gt;0),"–",""))</f>
        <v/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/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/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/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/>
      </c>
      <c r="W30" s="70">
        <f>IF($BJ29&gt;0,IF(INDEX('Final Calculation Sheet'!$V$4:$V$40,$BJ29-3)="","",INDEX('Final Calculation Sheet'!$V$4:$V$40,$BJ29-3)),IF(OR($BI29=1,$BL29=1,$BH29&gt;0),"–",""))</f>
        <v/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/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/>
      </c>
      <c r="Z30" s="70">
        <f>IF($BJ29&gt;0,IF(INDEX('Final Calculation Sheet'!$Y$4:$Y$40,$BJ29-3)="","",INDEX('Final Calculation Sheet'!$Y$4:$Y$40,$BJ29-3)),IF(OR($BI29=1,$BL29=1,$BH29&gt;0),"–",""))</f>
        <v/>
      </c>
      <c r="AA30" s="70">
        <f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/>
      </c>
      <c r="AB30" s="70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/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/>
      </c>
      <c r="AF30" s="70">
        <f>IF($BJ29&gt;0,IF(INDEX('Final Calculation Sheet'!$AE$4:$AE$40,$BJ29-3)="","",INDEX('Final Calculation Sheet'!$AE$4:$AE$40,$BJ29-3)),IF(OR($BI29=1,$BL29=1,$BH29&gt;0),"–",""))</f>
        <v/>
      </c>
      <c r="AG30" s="74">
        <f>IF($BJ29&gt;0,IF(INDEX('Final Calculation Sheet'!$AF$4:$AF$40,$BJ29-3)="","",INDEX('Final Calculation Sheet'!$AF$4:$AF$40,$BJ29-3)),IF(OR($BI29=1,$BL29=1,$BH29&gt;0),"–",""))</f>
        <v/>
      </c>
      <c r="AH30" s="70">
        <f>IF($BJ29&gt;0,IF(INDEX('Final Calculation Sheet'!$AG$4:$AG$40,$BJ29-3)="","",INDEX('Final Calculation Sheet'!$AG$4:$AG$40,$BJ29-3)),IF(OR($BI29=1,$BL29=1,$BH29&gt;0),"–",""))</f>
        <v/>
      </c>
      <c r="AI30" s="75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COUNTIF($BM30:$CU30,0)&gt;0,0,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)</f>
        <v/>
      </c>
      <c r="AZ30">
        <f>IF($B$3="",IF(COUNTIF($A$4:$AI$4,"&lt;&gt;")=0,9,IF($AM30=1,9,10))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SUMPRODUCT(($AZ$5:$AZ$41=$AZ30)*($BC$5:$BC$41&lt;$BC30))+1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IF(30=$BG$5,1,0)</f>
        <v/>
      </c>
      <c r="BJ30">
        <f>IF(OR($BH30&gt;0,$BI30=1,$BL30=1),0,IFERROR(INDEX($BC$5:$BC$41,MATCH(30,$BB$5:$BB$41,0)),0))</f>
        <v/>
      </c>
      <c r="BK30">
        <f>IF($BJ30&gt;0,IF(INDEX($AZ$5:$AZ$41,MATCH(30,$BB$5:$BB$41,0))=10,1,0),IF($BH30=10,1,0))</f>
        <v/>
      </c>
      <c r="BL30">
        <f>IF(30=$BG$4,1,0)</f>
        <v/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/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/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/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/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/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/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/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/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/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/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/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/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/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/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/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/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/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/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/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/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/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/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/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/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/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/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/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/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/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/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/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/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/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/>
      </c>
    </row>
    <row r="31" ht="15" customHeight="1" s="77">
      <c r="A31" s="67">
        <f>IF($BJ30&gt;0,INDEX($BA$5:$BA$41,MATCH(30,$BB$5:$BB$41,0)),IF(OR($BI30=1,$BL30=1,$BH30&gt;0),"∑",""))</f>
        <v/>
      </c>
      <c r="B31" s="68">
        <f>IF($BJ30&gt;0,IF(INDEX('Final Calculation Sheet'!$F$4:$F$40,$BJ30-3)="","",INDEX('Final Calculation Sheet'!$F$4:$F$40,$BJ30-3)),"")</f>
        <v/>
      </c>
      <c r="C31" s="68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/>
      </c>
      <c r="D31" s="69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/>
      </c>
      <c r="E31" s="69">
        <f>IF($BJ30&gt;0,IF(INDEX('Final Calculation Sheet'!$D$4:$D$40,$BJ30-3)="","",INDEX('Final Calculation Sheet'!$D$4:$D$40,$BJ30-3)),IF(OR($BI30=1,$BL30=1,$BH30&gt;0),"–",""))</f>
        <v/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/>
      </c>
      <c r="G31" s="69">
        <f>IF($BJ30&gt;0,IF(INDEX('Final Calculation Sheet'!$E$4:$E$40,$BJ30-3)="","",INDEX('Final Calculation Sheet'!$E$4:$E$40,$BJ30-3)),IF(OR($BI30=1,$BL30=1,$BH30&gt;0),"–",""))</f>
        <v/>
      </c>
      <c r="H31" s="70">
        <f>IF($BJ30&gt;0,IF(INDEX('Final Calculation Sheet'!$C$4:$C$40,$BJ30-3)="","",INDEX('Final Calculation Sheet'!$C$4:$C$40,$BJ30-3)),IF(OR($BI30=1,$BL30=1,$BH30&gt;0),"–",""))</f>
        <v/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/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/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/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/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/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/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/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/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/>
      </c>
      <c r="R31" s="72">
        <f>IF($BJ30&gt;0,IF(INDEX('Final Calculation Sheet'!$Q$4:$Q$40,$BJ30-3)="","",INDEX('Final Calculation Sheet'!$Q$4:$Q$40,$BJ30-3)),IF(OR($BI30=1,$BL30=1,$BH30&gt;0),"–",""))</f>
        <v/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/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/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/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/>
      </c>
      <c r="W31" s="70">
        <f>IF($BJ30&gt;0,IF(INDEX('Final Calculation Sheet'!$V$4:$V$40,$BJ30-3)="","",INDEX('Final Calculation Sheet'!$V$4:$V$40,$BJ30-3)),IF(OR($BI30=1,$BL30=1,$BH30&gt;0),"–",""))</f>
        <v/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/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/>
      </c>
      <c r="Z31" s="70">
        <f>IF($BJ30&gt;0,IF(INDEX('Final Calculation Sheet'!$Y$4:$Y$40,$BJ30-3)="","",INDEX('Final Calculation Sheet'!$Y$4:$Y$40,$BJ30-3)),IF(OR($BI30=1,$BL30=1,$BH30&gt;0),"–",""))</f>
        <v/>
      </c>
      <c r="AA31" s="70">
        <f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/>
      </c>
      <c r="AB31" s="70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/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/>
      </c>
      <c r="AF31" s="70">
        <f>IF($BJ30&gt;0,IF(INDEX('Final Calculation Sheet'!$AE$4:$AE$40,$BJ30-3)="","",INDEX('Final Calculation Sheet'!$AE$4:$AE$40,$BJ30-3)),IF(OR($BI30=1,$BL30=1,$BH30&gt;0),"–",""))</f>
        <v/>
      </c>
      <c r="AG31" s="74">
        <f>IF($BJ30&gt;0,IF(INDEX('Final Calculation Sheet'!$AF$4:$AF$40,$BJ30-3)="","",INDEX('Final Calculation Sheet'!$AF$4:$AF$40,$BJ30-3)),IF(OR($BI30=1,$BL30=1,$BH30&gt;0),"–",""))</f>
        <v/>
      </c>
      <c r="AH31" s="70">
        <f>IF($BJ30&gt;0,IF(INDEX('Final Calculation Sheet'!$AG$4:$AG$40,$BJ30-3)="","",INDEX('Final Calculation Sheet'!$AG$4:$AG$40,$BJ30-3)),IF(OR($BI30=1,$BL30=1,$BH30&gt;0),"–",""))</f>
        <v/>
      </c>
      <c r="AI31" s="75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COUNTIF($BM31:$CU31,0)&gt;0,0,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)</f>
        <v/>
      </c>
      <c r="AZ31">
        <f>IF($B$3="",IF(COUNTIF($A$4:$AI$4,"&lt;&gt;")=0,9,IF($AM31=1,9,10))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SUMPRODUCT(($AZ$5:$AZ$41=$AZ31)*($BC$5:$BC$41&lt;$BC31))+1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IF(31=$BG$5,1,0)</f>
        <v/>
      </c>
      <c r="BJ31">
        <f>IF(OR($BH31&gt;0,$BI31=1,$BL31=1),0,IFERROR(INDEX($BC$5:$BC$41,MATCH(31,$BB$5:$BB$41,0)),0))</f>
        <v/>
      </c>
      <c r="BK31">
        <f>IF($BJ31&gt;0,IF(INDEX($AZ$5:$AZ$41,MATCH(31,$BB$5:$BB$41,0))=10,1,0),IF($BH31=10,1,0))</f>
        <v/>
      </c>
      <c r="BL31">
        <f>IF(31=$BG$4,1,0)</f>
        <v/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/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/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/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/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/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/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/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/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/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/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/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/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/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/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/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/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/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/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/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/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/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/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/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/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/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/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/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/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/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/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/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/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/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/>
      </c>
    </row>
    <row r="32" ht="15" customHeight="1" s="77">
      <c r="A32" s="67">
        <f>IF($BJ31&gt;0,INDEX($BA$5:$BA$41,MATCH(31,$BB$5:$BB$41,0)),IF(OR($BI31=1,$BL31=1,$BH31&gt;0),"∑",""))</f>
        <v/>
      </c>
      <c r="B32" s="68">
        <f>IF($BJ31&gt;0,IF(INDEX('Final Calculation Sheet'!$F$4:$F$40,$BJ31-3)="","",INDEX('Final Calculation Sheet'!$F$4:$F$40,$BJ31-3)),"")</f>
        <v/>
      </c>
      <c r="C32" s="68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/>
      </c>
      <c r="D32" s="69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/>
      </c>
      <c r="E32" s="69">
        <f>IF($BJ31&gt;0,IF(INDEX('Final Calculation Sheet'!$D$4:$D$40,$BJ31-3)="","",INDEX('Final Calculation Sheet'!$D$4:$D$40,$BJ31-3)),IF(OR($BI31=1,$BL31=1,$BH31&gt;0),"–",""))</f>
        <v/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/>
      </c>
      <c r="G32" s="69">
        <f>IF($BJ31&gt;0,IF(INDEX('Final Calculation Sheet'!$E$4:$E$40,$BJ31-3)="","",INDEX('Final Calculation Sheet'!$E$4:$E$40,$BJ31-3)),IF(OR($BI31=1,$BL31=1,$BH31&gt;0),"–",""))</f>
        <v/>
      </c>
      <c r="H32" s="70">
        <f>IF($BJ31&gt;0,IF(INDEX('Final Calculation Sheet'!$C$4:$C$40,$BJ31-3)="","",INDEX('Final Calculation Sheet'!$C$4:$C$40,$BJ31-3)),IF(OR($BI31=1,$BL31=1,$BH31&gt;0),"–",""))</f>
        <v/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/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/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/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/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/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/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/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/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/>
      </c>
      <c r="R32" s="72">
        <f>IF($BJ31&gt;0,IF(INDEX('Final Calculation Sheet'!$Q$4:$Q$40,$BJ31-3)="","",INDEX('Final Calculation Sheet'!$Q$4:$Q$40,$BJ31-3)),IF(OR($BI31=1,$BL31=1,$BH31&gt;0),"–",""))</f>
        <v/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/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/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/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/>
      </c>
      <c r="W32" s="70">
        <f>IF($BJ31&gt;0,IF(INDEX('Final Calculation Sheet'!$V$4:$V$40,$BJ31-3)="","",INDEX('Final Calculation Sheet'!$V$4:$V$40,$BJ31-3)),IF(OR($BI31=1,$BL31=1,$BH31&gt;0),"–",""))</f>
        <v/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/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/>
      </c>
      <c r="Z32" s="70">
        <f>IF($BJ31&gt;0,IF(INDEX('Final Calculation Sheet'!$Y$4:$Y$40,$BJ31-3)="","",INDEX('Final Calculation Sheet'!$Y$4:$Y$40,$BJ31-3)),IF(OR($BI31=1,$BL31=1,$BH31&gt;0),"–",""))</f>
        <v/>
      </c>
      <c r="AA32" s="70">
        <f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/>
      </c>
      <c r="AB32" s="70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/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/>
      </c>
      <c r="AF32" s="70">
        <f>IF($BJ31&gt;0,IF(INDEX('Final Calculation Sheet'!$AE$4:$AE$40,$BJ31-3)="","",INDEX('Final Calculation Sheet'!$AE$4:$AE$40,$BJ31-3)),IF(OR($BI31=1,$BL31=1,$BH31&gt;0),"–",""))</f>
        <v/>
      </c>
      <c r="AG32" s="74">
        <f>IF($BJ31&gt;0,IF(INDEX('Final Calculation Sheet'!$AF$4:$AF$40,$BJ31-3)="","",INDEX('Final Calculation Sheet'!$AF$4:$AF$40,$BJ31-3)),IF(OR($BI31=1,$BL31=1,$BH31&gt;0),"–",""))</f>
        <v/>
      </c>
      <c r="AH32" s="70">
        <f>IF($BJ31&gt;0,IF(INDEX('Final Calculation Sheet'!$AG$4:$AG$40,$BJ31-3)="","",INDEX('Final Calculation Sheet'!$AG$4:$AG$40,$BJ31-3)),IF(OR($BI31=1,$BL31=1,$BH31&gt;0),"–",""))</f>
        <v/>
      </c>
      <c r="AI32" s="75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COUNTIF($BM32:$CU32,0)&gt;0,0,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)</f>
        <v/>
      </c>
      <c r="AZ32">
        <f>IF($B$3="",IF(COUNTIF($A$4:$AI$4,"&lt;&gt;")=0,9,IF($AM32=1,9,10))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SUMPRODUCT(($AZ$5:$AZ$41=$AZ32)*($BC$5:$BC$41&lt;$BC32))+1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IF(32=$BG$5,1,0)</f>
        <v/>
      </c>
      <c r="BJ32">
        <f>IF(OR($BH32&gt;0,$BI32=1,$BL32=1),0,IFERROR(INDEX($BC$5:$BC$41,MATCH(32,$BB$5:$BB$41,0)),0))</f>
        <v/>
      </c>
      <c r="BK32">
        <f>IF($BJ32&gt;0,IF(INDEX($AZ$5:$AZ$41,MATCH(32,$BB$5:$BB$41,0))=10,1,0),IF($BH32=10,1,0))</f>
        <v/>
      </c>
      <c r="BL32">
        <f>IF(32=$BG$4,1,0)</f>
        <v/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/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/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/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/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/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/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/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/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/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/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/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/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/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/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/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/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/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/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/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/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/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/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/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/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/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/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/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/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/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/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/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/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/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/>
      </c>
    </row>
    <row r="33" ht="15" customHeight="1" s="77">
      <c r="A33" s="67">
        <f>IF($BJ32&gt;0,INDEX($BA$5:$BA$41,MATCH(32,$BB$5:$BB$41,0)),IF(OR($BI32=1,$BL32=1,$BH32&gt;0),"∑",""))</f>
        <v/>
      </c>
      <c r="B33" s="68">
        <f>IF($BJ32&gt;0,IF(INDEX('Final Calculation Sheet'!$F$4:$F$40,$BJ32-3)="","",INDEX('Final Calculation Sheet'!$F$4:$F$40,$BJ32-3)),"")</f>
        <v/>
      </c>
      <c r="C33" s="68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/>
      </c>
      <c r="D33" s="69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/>
      </c>
      <c r="E33" s="69">
        <f>IF($BJ32&gt;0,IF(INDEX('Final Calculation Sheet'!$D$4:$D$40,$BJ32-3)="","",INDEX('Final Calculation Sheet'!$D$4:$D$40,$BJ32-3)),IF(OR($BI32=1,$BL32=1,$BH32&gt;0),"–",""))</f>
        <v/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/>
      </c>
      <c r="G33" s="69">
        <f>IF($BJ32&gt;0,IF(INDEX('Final Calculation Sheet'!$E$4:$E$40,$BJ32-3)="","",INDEX('Final Calculation Sheet'!$E$4:$E$40,$BJ32-3)),IF(OR($BI32=1,$BL32=1,$BH32&gt;0),"–",""))</f>
        <v/>
      </c>
      <c r="H33" s="70">
        <f>IF($BJ32&gt;0,IF(INDEX('Final Calculation Sheet'!$C$4:$C$40,$BJ32-3)="","",INDEX('Final Calculation Sheet'!$C$4:$C$40,$BJ32-3)),IF(OR($BI32=1,$BL32=1,$BH32&gt;0),"–",""))</f>
        <v/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/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/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/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/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/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/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/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/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/>
      </c>
      <c r="R33" s="72">
        <f>IF($BJ32&gt;0,IF(INDEX('Final Calculation Sheet'!$Q$4:$Q$40,$BJ32-3)="","",INDEX('Final Calculation Sheet'!$Q$4:$Q$40,$BJ32-3)),IF(OR($BI32=1,$BL32=1,$BH32&gt;0),"–",""))</f>
        <v/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/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/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/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/>
      </c>
      <c r="W33" s="70">
        <f>IF($BJ32&gt;0,IF(INDEX('Final Calculation Sheet'!$V$4:$V$40,$BJ32-3)="","",INDEX('Final Calculation Sheet'!$V$4:$V$40,$BJ32-3)),IF(OR($BI32=1,$BL32=1,$BH32&gt;0),"–",""))</f>
        <v/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/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/>
      </c>
      <c r="Z33" s="70">
        <f>IF($BJ32&gt;0,IF(INDEX('Final Calculation Sheet'!$Y$4:$Y$40,$BJ32-3)="","",INDEX('Final Calculation Sheet'!$Y$4:$Y$40,$BJ32-3)),IF(OR($BI32=1,$BL32=1,$BH32&gt;0),"–",""))</f>
        <v/>
      </c>
      <c r="AA33" s="70">
        <f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/>
      </c>
      <c r="AB33" s="70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/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/>
      </c>
      <c r="AF33" s="70">
        <f>IF($BJ32&gt;0,IF(INDEX('Final Calculation Sheet'!$AE$4:$AE$40,$BJ32-3)="","",INDEX('Final Calculation Sheet'!$AE$4:$AE$40,$BJ32-3)),IF(OR($BI32=1,$BL32=1,$BH32&gt;0),"–",""))</f>
        <v/>
      </c>
      <c r="AG33" s="74">
        <f>IF($BJ32&gt;0,IF(INDEX('Final Calculation Sheet'!$AF$4:$AF$40,$BJ32-3)="","",INDEX('Final Calculation Sheet'!$AF$4:$AF$40,$BJ32-3)),IF(OR($BI32=1,$BL32=1,$BH32&gt;0),"–",""))</f>
        <v/>
      </c>
      <c r="AH33" s="70">
        <f>IF($BJ32&gt;0,IF(INDEX('Final Calculation Sheet'!$AG$4:$AG$40,$BJ32-3)="","",INDEX('Final Calculation Sheet'!$AG$4:$AG$40,$BJ32-3)),IF(OR($BI32=1,$BL32=1,$BH32&gt;0),"–",""))</f>
        <v/>
      </c>
      <c r="AI33" s="75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COUNTIF($BM33:$CU33,0)&gt;0,0,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)</f>
        <v/>
      </c>
      <c r="AZ33">
        <f>IF($B$3="",IF(COUNTIF($A$4:$AI$4,"&lt;&gt;")=0,9,IF($AM33=1,9,10))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SUMPRODUCT(($AZ$5:$AZ$41=$AZ33)*($BC$5:$BC$41&lt;$BC33))+1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IF(33=$BG$5,1,0)</f>
        <v/>
      </c>
      <c r="BJ33">
        <f>IF(OR($BH33&gt;0,$BI33=1,$BL33=1),0,IFERROR(INDEX($BC$5:$BC$41,MATCH(33,$BB$5:$BB$41,0)),0))</f>
        <v/>
      </c>
      <c r="BK33">
        <f>IF($BJ33&gt;0,IF(INDEX($AZ$5:$AZ$41,MATCH(33,$BB$5:$BB$41,0))=10,1,0),IF($BH33=10,1,0))</f>
        <v/>
      </c>
      <c r="BL33">
        <f>IF(33=$BG$4,1,0)</f>
        <v/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/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/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/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/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/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/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/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/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/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/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/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/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/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/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/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/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/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/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/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/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/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/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/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/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/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/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/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/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/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/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/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/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/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/>
      </c>
    </row>
    <row r="34" ht="15" customHeight="1" s="77">
      <c r="A34" s="67">
        <f>IF($BJ33&gt;0,INDEX($BA$5:$BA$41,MATCH(33,$BB$5:$BB$41,0)),IF(OR($BI33=1,$BL33=1,$BH33&gt;0),"∑",""))</f>
        <v/>
      </c>
      <c r="B34" s="68">
        <f>IF($BJ33&gt;0,IF(INDEX('Final Calculation Sheet'!$F$4:$F$40,$BJ33-3)="","",INDEX('Final Calculation Sheet'!$F$4:$F$40,$BJ33-3)),"")</f>
        <v/>
      </c>
      <c r="C34" s="68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/>
      </c>
      <c r="D34" s="69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/>
      </c>
      <c r="E34" s="69">
        <f>IF($BJ33&gt;0,IF(INDEX('Final Calculation Sheet'!$D$4:$D$40,$BJ33-3)="","",INDEX('Final Calculation Sheet'!$D$4:$D$40,$BJ33-3)),IF(OR($BI33=1,$BL33=1,$BH33&gt;0),"–",""))</f>
        <v/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/>
      </c>
      <c r="G34" s="69">
        <f>IF($BJ33&gt;0,IF(INDEX('Final Calculation Sheet'!$E$4:$E$40,$BJ33-3)="","",INDEX('Final Calculation Sheet'!$E$4:$E$40,$BJ33-3)),IF(OR($BI33=1,$BL33=1,$BH33&gt;0),"–",""))</f>
        <v/>
      </c>
      <c r="H34" s="70">
        <f>IF($BJ33&gt;0,IF(INDEX('Final Calculation Sheet'!$C$4:$C$40,$BJ33-3)="","",INDEX('Final Calculation Sheet'!$C$4:$C$40,$BJ33-3)),IF(OR($BI33=1,$BL33=1,$BH33&gt;0),"–",""))</f>
        <v/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/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/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/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/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/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/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/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/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/>
      </c>
      <c r="R34" s="72">
        <f>IF($BJ33&gt;0,IF(INDEX('Final Calculation Sheet'!$Q$4:$Q$40,$BJ33-3)="","",INDEX('Final Calculation Sheet'!$Q$4:$Q$40,$BJ33-3)),IF(OR($BI33=1,$BL33=1,$BH33&gt;0),"–",""))</f>
        <v/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/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/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/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/>
      </c>
      <c r="W34" s="70">
        <f>IF($BJ33&gt;0,IF(INDEX('Final Calculation Sheet'!$V$4:$V$40,$BJ33-3)="","",INDEX('Final Calculation Sheet'!$V$4:$V$40,$BJ33-3)),IF(OR($BI33=1,$BL33=1,$BH33&gt;0),"–",""))</f>
        <v/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/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/>
      </c>
      <c r="Z34" s="70">
        <f>IF($BJ33&gt;0,IF(INDEX('Final Calculation Sheet'!$Y$4:$Y$40,$BJ33-3)="","",INDEX('Final Calculation Sheet'!$Y$4:$Y$40,$BJ33-3)),IF(OR($BI33=1,$BL33=1,$BH33&gt;0),"–",""))</f>
        <v/>
      </c>
      <c r="AA34" s="70">
        <f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/>
      </c>
      <c r="AB34" s="70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/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/>
      </c>
      <c r="AF34" s="70">
        <f>IF($BJ33&gt;0,IF(INDEX('Final Calculation Sheet'!$AE$4:$AE$40,$BJ33-3)="","",INDEX('Final Calculation Sheet'!$AE$4:$AE$40,$BJ33-3)),IF(OR($BI33=1,$BL33=1,$BH33&gt;0),"–",""))</f>
        <v/>
      </c>
      <c r="AG34" s="74">
        <f>IF($BJ33&gt;0,IF(INDEX('Final Calculation Sheet'!$AF$4:$AF$40,$BJ33-3)="","",INDEX('Final Calculation Sheet'!$AF$4:$AF$40,$BJ33-3)),IF(OR($BI33=1,$BL33=1,$BH33&gt;0),"–",""))</f>
        <v/>
      </c>
      <c r="AH34" s="70">
        <f>IF($BJ33&gt;0,IF(INDEX('Final Calculation Sheet'!$AG$4:$AG$40,$BJ33-3)="","",INDEX('Final Calculation Sheet'!$AG$4:$AG$40,$BJ33-3)),IF(OR($BI33=1,$BL33=1,$BH33&gt;0),"–",""))</f>
        <v/>
      </c>
      <c r="AI34" s="75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COUNTIF($BM34:$CU34,0)&gt;0,0,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)</f>
        <v/>
      </c>
      <c r="AZ34">
        <f>IF($B$3="",IF(COUNTIF($A$4:$AI$4,"&lt;&gt;")=0,9,IF($AM34=1,9,10))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SUMPRODUCT(($AZ$5:$AZ$41=$AZ34)*($BC$5:$BC$41&lt;$BC34))+1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IF(34=$BG$5,1,0)</f>
        <v/>
      </c>
      <c r="BJ34">
        <f>IF(OR($BH34&gt;0,$BI34=1,$BL34=1),0,IFERROR(INDEX($BC$5:$BC$41,MATCH(34,$BB$5:$BB$41,0)),0))</f>
        <v/>
      </c>
      <c r="BK34">
        <f>IF($BJ34&gt;0,IF(INDEX($AZ$5:$AZ$41,MATCH(34,$BB$5:$BB$41,0))=10,1,0),IF($BH34=10,1,0))</f>
        <v/>
      </c>
      <c r="BL34">
        <f>IF(34=$BG$4,1,0)</f>
        <v/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/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/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/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/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/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/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/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/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/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/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/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/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/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/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/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/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/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/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/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/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/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/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/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/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/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/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/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/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/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/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/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/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/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/>
      </c>
    </row>
    <row r="35" ht="15" customHeight="1" s="77">
      <c r="A35" s="67">
        <f>IF($BJ34&gt;0,INDEX($BA$5:$BA$41,MATCH(34,$BB$5:$BB$41,0)),IF(OR($BI34=1,$BL34=1,$BH34&gt;0),"∑",""))</f>
        <v/>
      </c>
      <c r="B35" s="68">
        <f>IF($BJ34&gt;0,IF(INDEX('Final Calculation Sheet'!$F$4:$F$40,$BJ34-3)="","",INDEX('Final Calculation Sheet'!$F$4:$F$40,$BJ34-3)),"")</f>
        <v/>
      </c>
      <c r="C35" s="68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/>
      </c>
      <c r="D35" s="69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/>
      </c>
      <c r="E35" s="69">
        <f>IF($BJ34&gt;0,IF(INDEX('Final Calculation Sheet'!$D$4:$D$40,$BJ34-3)="","",INDEX('Final Calculation Sheet'!$D$4:$D$40,$BJ34-3)),IF(OR($BI34=1,$BL34=1,$BH34&gt;0),"–",""))</f>
        <v/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/>
      </c>
      <c r="G35" s="69">
        <f>IF($BJ34&gt;0,IF(INDEX('Final Calculation Sheet'!$E$4:$E$40,$BJ34-3)="","",INDEX('Final Calculation Sheet'!$E$4:$E$40,$BJ34-3)),IF(OR($BI34=1,$BL34=1,$BH34&gt;0),"–",""))</f>
        <v/>
      </c>
      <c r="H35" s="70">
        <f>IF($BJ34&gt;0,IF(INDEX('Final Calculation Sheet'!$C$4:$C$40,$BJ34-3)="","",INDEX('Final Calculation Sheet'!$C$4:$C$40,$BJ34-3)),IF(OR($BI34=1,$BL34=1,$BH34&gt;0),"–",""))</f>
        <v/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/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/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/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/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/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/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/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/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/>
      </c>
      <c r="R35" s="72">
        <f>IF($BJ34&gt;0,IF(INDEX('Final Calculation Sheet'!$Q$4:$Q$40,$BJ34-3)="","",INDEX('Final Calculation Sheet'!$Q$4:$Q$40,$BJ34-3)),IF(OR($BI34=1,$BL34=1,$BH34&gt;0),"–",""))</f>
        <v/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/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/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/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/>
      </c>
      <c r="W35" s="70">
        <f>IF($BJ34&gt;0,IF(INDEX('Final Calculation Sheet'!$V$4:$V$40,$BJ34-3)="","",INDEX('Final Calculation Sheet'!$V$4:$V$40,$BJ34-3)),IF(OR($BI34=1,$BL34=1,$BH34&gt;0),"–",""))</f>
        <v/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/>
      </c>
      <c r="Y35" s="70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/>
      </c>
      <c r="AA35" s="70">
        <f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/>
      </c>
      <c r="AB35" s="70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/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/>
      </c>
      <c r="AF35" s="70">
        <f>IF($BJ34&gt;0,IF(INDEX('Final Calculation Sheet'!$AE$4:$AE$40,$BJ34-3)="","",INDEX('Final Calculation Sheet'!$AE$4:$AE$40,$BJ34-3)),IF(OR($BI34=1,$BL34=1,$BH34&gt;0),"–",""))</f>
        <v/>
      </c>
      <c r="AG35" s="74">
        <f>IF($BJ34&gt;0,IF(INDEX('Final Calculation Sheet'!$AF$4:$AF$40,$BJ34-3)="","",INDEX('Final Calculation Sheet'!$AF$4:$AF$40,$BJ34-3)),IF(OR($BI34=1,$BL34=1,$BH34&gt;0),"–",""))</f>
        <v/>
      </c>
      <c r="AH35" s="70">
        <f>IF($BJ34&gt;0,IF(INDEX('Final Calculation Sheet'!$AG$4:$AG$40,$BJ34-3)="","",INDEX('Final Calculation Sheet'!$AG$4:$AG$40,$BJ34-3)),IF(OR($BI34=1,$BL34=1,$BH34&gt;0),"–",""))</f>
        <v/>
      </c>
      <c r="AI35" s="75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COUNTIF($BM35:$CU35,0)&gt;0,0,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)</f>
        <v/>
      </c>
      <c r="AZ35">
        <f>IF($B$3="",IF(COUNTIF($A$4:$AI$4,"&lt;&gt;")=0,9,IF($AM35=1,9,10))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SUMPRODUCT(($AZ$5:$AZ$41=$AZ35)*($BC$5:$BC$41&lt;$BC35))+1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IF(35=$BG$5,1,0)</f>
        <v/>
      </c>
      <c r="BJ35">
        <f>IF(OR($BH35&gt;0,$BI35=1,$BL35=1),0,IFERROR(INDEX($BC$5:$BC$41,MATCH(35,$BB$5:$BB$41,0)),0))</f>
        <v/>
      </c>
      <c r="BK35">
        <f>IF($BJ35&gt;0,IF(INDEX($AZ$5:$AZ$41,MATCH(35,$BB$5:$BB$41,0))=10,1,0),IF($BH35=10,1,0))</f>
        <v/>
      </c>
      <c r="BL35">
        <f>IF(35=$BG$4,1,0)</f>
        <v/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/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/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/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/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/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/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/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/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/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/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/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/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/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/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/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/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/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/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/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/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/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/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/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/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/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/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/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/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/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/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/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/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/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/>
      </c>
    </row>
    <row r="36" ht="15" customHeight="1" s="77">
      <c r="A36" s="67">
        <f>IF($BJ35&gt;0,INDEX($BA$5:$BA$41,MATCH(35,$BB$5:$BB$41,0)),IF(OR($BI35=1,$BL35=1,$BH35&gt;0),"∑",""))</f>
        <v/>
      </c>
      <c r="B36" s="68">
        <f>IF($BJ35&gt;0,IF(INDEX('Final Calculation Sheet'!$F$4:$F$40,$BJ35-3)="","",INDEX('Final Calculation Sheet'!$F$4:$F$40,$BJ35-3)),"")</f>
        <v/>
      </c>
      <c r="C36" s="68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/>
      </c>
      <c r="D36" s="69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/>
      </c>
      <c r="E36" s="69">
        <f>IF($BJ35&gt;0,IF(INDEX('Final Calculation Sheet'!$D$4:$D$40,$BJ35-3)="","",INDEX('Final Calculation Sheet'!$D$4:$D$40,$BJ35-3)),IF(OR($BI35=1,$BL35=1,$BH35&gt;0),"–",""))</f>
        <v/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/>
      </c>
      <c r="G36" s="69">
        <f>IF($BJ35&gt;0,IF(INDEX('Final Calculation Sheet'!$E$4:$E$40,$BJ35-3)="","",INDEX('Final Calculation Sheet'!$E$4:$E$40,$BJ35-3)),IF(OR($BI35=1,$BL35=1,$BH35&gt;0),"–",""))</f>
        <v/>
      </c>
      <c r="H36" s="70">
        <f>IF($BJ35&gt;0,IF(INDEX('Final Calculation Sheet'!$C$4:$C$40,$BJ35-3)="","",INDEX('Final Calculation Sheet'!$C$4:$C$40,$BJ35-3)),IF(OR($BI35=1,$BL35=1,$BH35&gt;0),"–",""))</f>
        <v/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/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/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/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/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/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/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/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/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/>
      </c>
      <c r="R36" s="72">
        <f>IF($BJ35&gt;0,IF(INDEX('Final Calculation Sheet'!$Q$4:$Q$40,$BJ35-3)="","",INDEX('Final Calculation Sheet'!$Q$4:$Q$40,$BJ35-3)),IF(OR($BI35=1,$BL35=1,$BH35&gt;0),"–",""))</f>
        <v/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/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/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/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/>
      </c>
      <c r="W36" s="70">
        <f>IF($BJ35&gt;0,IF(INDEX('Final Calculation Sheet'!$V$4:$V$40,$BJ35-3)="","",INDEX('Final Calculation Sheet'!$V$4:$V$40,$BJ35-3)),IF(OR($BI35=1,$BL35=1,$BH35&gt;0),"–",""))</f>
        <v/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/>
      </c>
      <c r="Y36" s="70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/>
      </c>
      <c r="AA36" s="70">
        <f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/>
      </c>
      <c r="AB36" s="70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/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/>
      </c>
      <c r="AF36" s="70">
        <f>IF($BJ35&gt;0,IF(INDEX('Final Calculation Sheet'!$AE$4:$AE$40,$BJ35-3)="","",INDEX('Final Calculation Sheet'!$AE$4:$AE$40,$BJ35-3)),IF(OR($BI35=1,$BL35=1,$BH35&gt;0),"–",""))</f>
        <v/>
      </c>
      <c r="AG36" s="74">
        <f>IF($BJ35&gt;0,IF(INDEX('Final Calculation Sheet'!$AF$4:$AF$40,$BJ35-3)="","",INDEX('Final Calculation Sheet'!$AF$4:$AF$40,$BJ35-3)),IF(OR($BI35=1,$BL35=1,$BH35&gt;0),"–",""))</f>
        <v/>
      </c>
      <c r="AH36" s="70">
        <f>IF($BJ35&gt;0,IF(INDEX('Final Calculation Sheet'!$AG$4:$AG$40,$BJ35-3)="","",INDEX('Final Calculation Sheet'!$AG$4:$AG$40,$BJ35-3)),IF(OR($BI35=1,$BL35=1,$BH35&gt;0),"–",""))</f>
        <v/>
      </c>
      <c r="AI36" s="75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COUNTIF($BM36:$CU36,0)&gt;0,0,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)</f>
        <v/>
      </c>
      <c r="AZ36">
        <f>IF($B$3="",IF(COUNTIF($A$4:$AI$4,"&lt;&gt;")=0,9,IF($AM36=1,9,10))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SUMPRODUCT(($AZ$5:$AZ$41=$AZ36)*($BC$5:$BC$41&lt;$BC36))+1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IF(36=$BG$5,1,0)</f>
        <v/>
      </c>
      <c r="BJ36">
        <f>IF(OR($BH36&gt;0,$BI36=1,$BL36=1),0,IFERROR(INDEX($BC$5:$BC$41,MATCH(36,$BB$5:$BB$41,0)),0))</f>
        <v/>
      </c>
      <c r="BK36">
        <f>IF($BJ36&gt;0,IF(INDEX($AZ$5:$AZ$41,MATCH(36,$BB$5:$BB$41,0))=10,1,0),IF($BH36=10,1,0))</f>
        <v/>
      </c>
      <c r="BL36">
        <f>IF(36=$BG$4,1,0)</f>
        <v/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/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/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/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/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/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/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/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/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/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/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/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/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/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/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/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/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/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/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/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/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/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/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/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/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/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/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/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/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/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/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/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/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/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/>
      </c>
    </row>
    <row r="37" ht="15" customHeight="1" s="77">
      <c r="A37" s="67">
        <f>IF($BJ36&gt;0,INDEX($BA$5:$BA$41,MATCH(36,$BB$5:$BB$41,0)),IF(OR($BI36=1,$BL36=1,$BH36&gt;0),"∑",""))</f>
        <v/>
      </c>
      <c r="B37" s="68">
        <f>IF($BJ36&gt;0,IF(INDEX('Final Calculation Sheet'!$F$4:$F$40,$BJ36-3)="","",INDEX('Final Calculation Sheet'!$F$4:$F$40,$BJ36-3)),"")</f>
        <v/>
      </c>
      <c r="C37" s="68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/>
      </c>
      <c r="D37" s="69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/>
      </c>
      <c r="E37" s="69">
        <f>IF($BJ36&gt;0,IF(INDEX('Final Calculation Sheet'!$D$4:$D$40,$BJ36-3)="","",INDEX('Final Calculation Sheet'!$D$4:$D$40,$BJ36-3)),IF(OR($BI36=1,$BL36=1,$BH36&gt;0),"–",""))</f>
        <v/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/>
      </c>
      <c r="G37" s="69">
        <f>IF($BJ36&gt;0,IF(INDEX('Final Calculation Sheet'!$E$4:$E$40,$BJ36-3)="","",INDEX('Final Calculation Sheet'!$E$4:$E$40,$BJ36-3)),IF(OR($BI36=1,$BL36=1,$BH36&gt;0),"–",""))</f>
        <v/>
      </c>
      <c r="H37" s="70">
        <f>IF($BJ36&gt;0,IF(INDEX('Final Calculation Sheet'!$C$4:$C$40,$BJ36-3)="","",INDEX('Final Calculation Sheet'!$C$4:$C$40,$BJ36-3)),IF(OR($BI36=1,$BL36=1,$BH36&gt;0),"–",""))</f>
        <v/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/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/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/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/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/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/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/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/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/>
      </c>
      <c r="R37" s="72">
        <f>IF($BJ36&gt;0,IF(INDEX('Final Calculation Sheet'!$Q$4:$Q$40,$BJ36-3)="","",INDEX('Final Calculation Sheet'!$Q$4:$Q$40,$BJ36-3)),IF(OR($BI36=1,$BL36=1,$BH36&gt;0),"–",""))</f>
        <v/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/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/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/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/>
      </c>
      <c r="W37" s="70">
        <f>IF($BJ36&gt;0,IF(INDEX('Final Calculation Sheet'!$V$4:$V$40,$BJ36-3)="","",INDEX('Final Calculation Sheet'!$V$4:$V$40,$BJ36-3)),IF(OR($BI36=1,$BL36=1,$BH36&gt;0),"–",""))</f>
        <v/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/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/>
      </c>
      <c r="Z37" s="70">
        <f>IF($BJ36&gt;0,IF(INDEX('Final Calculation Sheet'!$Y$4:$Y$40,$BJ36-3)="","",INDEX('Final Calculation Sheet'!$Y$4:$Y$40,$BJ36-3)),IF(OR($BI36=1,$BL36=1,$BH36&gt;0),"–",""))</f>
        <v/>
      </c>
      <c r="AA37" s="70">
        <f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/>
      </c>
      <c r="AB37" s="70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/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/>
      </c>
      <c r="AF37" s="70">
        <f>IF($BJ36&gt;0,IF(INDEX('Final Calculation Sheet'!$AE$4:$AE$40,$BJ36-3)="","",INDEX('Final Calculation Sheet'!$AE$4:$AE$40,$BJ36-3)),IF(OR($BI36=1,$BL36=1,$BH36&gt;0),"–",""))</f>
        <v/>
      </c>
      <c r="AG37" s="74">
        <f>IF($BJ36&gt;0,IF(INDEX('Final Calculation Sheet'!$AF$4:$AF$40,$BJ36-3)="","",INDEX('Final Calculation Sheet'!$AF$4:$AF$40,$BJ36-3)),IF(OR($BI36=1,$BL36=1,$BH36&gt;0),"–",""))</f>
        <v/>
      </c>
      <c r="AH37" s="70">
        <f>IF($BJ36&gt;0,IF(INDEX('Final Calculation Sheet'!$AG$4:$AG$40,$BJ36-3)="","",INDEX('Final Calculation Sheet'!$AG$4:$AG$40,$BJ36-3)),IF(OR($BI36=1,$BL36=1,$BH36&gt;0),"–",""))</f>
        <v/>
      </c>
      <c r="AI37" s="75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COUNTIF($BM37:$CU37,0)&gt;0,0,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)</f>
        <v/>
      </c>
      <c r="AZ37">
        <f>IF($B$3="",IF(COUNTIF($A$4:$AI$4,"&lt;&gt;")=0,9,IF($AM37=1,9,10))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SUMPRODUCT(($AZ$5:$AZ$41=$AZ37)*($BC$5:$BC$41&lt;$BC37))+1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IF(37=$BG$5,1,0)</f>
        <v/>
      </c>
      <c r="BJ37">
        <f>IF(OR($BH37&gt;0,$BI37=1,$BL37=1),0,IFERROR(INDEX($BC$5:$BC$41,MATCH(37,$BB$5:$BB$41,0)),0))</f>
        <v/>
      </c>
      <c r="BK37">
        <f>IF($BJ37&gt;0,IF(INDEX($AZ$5:$AZ$41,MATCH(37,$BB$5:$BB$41,0))=10,1,0),IF($BH37=10,1,0))</f>
        <v/>
      </c>
      <c r="BL37">
        <f>IF(37=$BG$4,1,0)</f>
        <v/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/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/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/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/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/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/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/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/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/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/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/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/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/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/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/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/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/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/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/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/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/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/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/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/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/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/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/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/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/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/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/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/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/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/>
      </c>
    </row>
    <row r="38" ht="15" customHeight="1" s="77">
      <c r="A38" s="67">
        <f>IF($BJ37&gt;0,INDEX($BA$5:$BA$41,MATCH(37,$BB$5:$BB$41,0)),IF(OR($BI37=1,$BL37=1,$BH37&gt;0),"∑",""))</f>
        <v/>
      </c>
      <c r="B38" s="68">
        <f>IF($BJ37&gt;0,IF(INDEX('Final Calculation Sheet'!$F$4:$F$40,$BJ37-3)="","",INDEX('Final Calculation Sheet'!$F$4:$F$40,$BJ37-3)),"")</f>
        <v/>
      </c>
      <c r="C38" s="68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/>
      </c>
      <c r="D38" s="69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/>
      </c>
      <c r="E38" s="69">
        <f>IF($BJ37&gt;0,IF(INDEX('Final Calculation Sheet'!$D$4:$D$40,$BJ37-3)="","",INDEX('Final Calculation Sheet'!$D$4:$D$40,$BJ37-3)),IF(OR($BI37=1,$BL37=1,$BH37&gt;0),"–",""))</f>
        <v/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/>
      </c>
      <c r="G38" s="69">
        <f>IF($BJ37&gt;0,IF(INDEX('Final Calculation Sheet'!$E$4:$E$40,$BJ37-3)="","",INDEX('Final Calculation Sheet'!$E$4:$E$40,$BJ37-3)),IF(OR($BI37=1,$BL37=1,$BH37&gt;0),"–",""))</f>
        <v/>
      </c>
      <c r="H38" s="70">
        <f>IF($BJ37&gt;0,IF(INDEX('Final Calculation Sheet'!$C$4:$C$40,$BJ37-3)="","",INDEX('Final Calculation Sheet'!$C$4:$C$40,$BJ37-3)),IF(OR($BI37=1,$BL37=1,$BH37&gt;0),"–",""))</f>
        <v/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/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/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/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/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/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/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/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/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/>
      </c>
      <c r="R38" s="72">
        <f>IF($BJ37&gt;0,IF(INDEX('Final Calculation Sheet'!$Q$4:$Q$40,$BJ37-3)="","",INDEX('Final Calculation Sheet'!$Q$4:$Q$40,$BJ37-3)),IF(OR($BI37=1,$BL37=1,$BH37&gt;0),"–",""))</f>
        <v/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/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/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/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/>
      </c>
      <c r="W38" s="70">
        <f>IF($BJ37&gt;0,IF(INDEX('Final Calculation Sheet'!$V$4:$V$40,$BJ37-3)="","",INDEX('Final Calculation Sheet'!$V$4:$V$40,$BJ37-3)),IF(OR($BI37=1,$BL37=1,$BH37&gt;0),"–",""))</f>
        <v/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/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/>
      </c>
      <c r="Z38" s="70">
        <f>IF($BJ37&gt;0,IF(INDEX('Final Calculation Sheet'!$Y$4:$Y$40,$BJ37-3)="","",INDEX('Final Calculation Sheet'!$Y$4:$Y$40,$BJ37-3)),IF(OR($BI37=1,$BL37=1,$BH37&gt;0),"–",""))</f>
        <v/>
      </c>
      <c r="AA38" s="70">
        <f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/>
      </c>
      <c r="AB38" s="70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/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/>
      </c>
      <c r="AF38" s="70">
        <f>IF($BJ37&gt;0,IF(INDEX('Final Calculation Sheet'!$AE$4:$AE$40,$BJ37-3)="","",INDEX('Final Calculation Sheet'!$AE$4:$AE$40,$BJ37-3)),IF(OR($BI37=1,$BL37=1,$BH37&gt;0),"–",""))</f>
        <v/>
      </c>
      <c r="AG38" s="74">
        <f>IF($BJ37&gt;0,IF(INDEX('Final Calculation Sheet'!$AF$4:$AF$40,$BJ37-3)="","",INDEX('Final Calculation Sheet'!$AF$4:$AF$40,$BJ37-3)),IF(OR($BI37=1,$BL37=1,$BH37&gt;0),"–",""))</f>
        <v/>
      </c>
      <c r="AH38" s="70">
        <f>IF($BJ37&gt;0,IF(INDEX('Final Calculation Sheet'!$AG$4:$AG$40,$BJ37-3)="","",INDEX('Final Calculation Sheet'!$AG$4:$AG$40,$BJ37-3)),IF(OR($BI37=1,$BL37=1,$BH37&gt;0),"–",""))</f>
        <v/>
      </c>
      <c r="AI38" s="75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COUNTIF($BM38:$CU38,0)&gt;0,0,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)</f>
        <v/>
      </c>
      <c r="AZ38">
        <f>IF($B$3="",IF(COUNTIF($A$4:$AI$4,"&lt;&gt;")=0,9,IF($AM38=1,9,10))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SUMPRODUCT(($AZ$5:$AZ$41=$AZ38)*($BC$5:$BC$41&lt;$BC38))+1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IF(38=$BG$5,1,0)</f>
        <v/>
      </c>
      <c r="BJ38">
        <f>IF(OR($BH38&gt;0,$BI38=1,$BL38=1),0,IFERROR(INDEX($BC$5:$BC$41,MATCH(38,$BB$5:$BB$41,0)),0))</f>
        <v/>
      </c>
      <c r="BK38">
        <f>IF($BJ38&gt;0,IF(INDEX($AZ$5:$AZ$41,MATCH(38,$BB$5:$BB$41,0))=10,1,0),IF($BH38=10,1,0))</f>
        <v/>
      </c>
      <c r="BL38">
        <f>IF(38=$BG$4,1,0)</f>
        <v/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/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/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/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/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/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/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/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/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/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/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/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/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/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/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/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/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/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/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/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/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/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/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/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/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/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/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/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/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/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/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/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/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/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/>
      </c>
    </row>
    <row r="39" ht="15" customHeight="1" s="77">
      <c r="A39" s="67">
        <f>IF($BJ38&gt;0,INDEX($BA$5:$BA$41,MATCH(38,$BB$5:$BB$41,0)),IF(OR($BI38=1,$BL38=1,$BH38&gt;0),"∑",""))</f>
        <v/>
      </c>
      <c r="B39" s="68">
        <f>IF($BJ38&gt;0,IF(INDEX('Final Calculation Sheet'!$F$4:$F$40,$BJ38-3)="","",INDEX('Final Calculation Sheet'!$F$4:$F$40,$BJ38-3)),"")</f>
        <v/>
      </c>
      <c r="C39" s="68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/>
      </c>
      <c r="D39" s="69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/>
      </c>
      <c r="E39" s="69">
        <f>IF($BJ38&gt;0,IF(INDEX('Final Calculation Sheet'!$D$4:$D$40,$BJ38-3)="","",INDEX('Final Calculation Sheet'!$D$4:$D$40,$BJ38-3)),IF(OR($BI38=1,$BL38=1,$BH38&gt;0),"–",""))</f>
        <v/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/>
      </c>
      <c r="G39" s="69">
        <f>IF($BJ38&gt;0,IF(INDEX('Final Calculation Sheet'!$E$4:$E$40,$BJ38-3)="","",INDEX('Final Calculation Sheet'!$E$4:$E$40,$BJ38-3)),IF(OR($BI38=1,$BL38=1,$BH38&gt;0),"–",""))</f>
        <v/>
      </c>
      <c r="H39" s="70">
        <f>IF($BJ38&gt;0,IF(INDEX('Final Calculation Sheet'!$C$4:$C$40,$BJ38-3)="","",INDEX('Final Calculation Sheet'!$C$4:$C$40,$BJ38-3)),IF(OR($BI38=1,$BL38=1,$BH38&gt;0),"–",""))</f>
        <v/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/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/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/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/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/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/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/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/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/>
      </c>
      <c r="R39" s="72">
        <f>IF($BJ38&gt;0,IF(INDEX('Final Calculation Sheet'!$Q$4:$Q$40,$BJ38-3)="","",INDEX('Final Calculation Sheet'!$Q$4:$Q$40,$BJ38-3)),IF(OR($BI38=1,$BL38=1,$BH38&gt;0),"–",""))</f>
        <v/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/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/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/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/>
      </c>
      <c r="W39" s="70">
        <f>IF($BJ38&gt;0,IF(INDEX('Final Calculation Sheet'!$V$4:$V$40,$BJ38-3)="","",INDEX('Final Calculation Sheet'!$V$4:$V$40,$BJ38-3)),IF(OR($BI38=1,$BL38=1,$BH38&gt;0),"–",""))</f>
        <v/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/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/>
      </c>
      <c r="Z39" s="70">
        <f>IF($BJ38&gt;0,IF(INDEX('Final Calculation Sheet'!$Y$4:$Y$40,$BJ38-3)="","",INDEX('Final Calculation Sheet'!$Y$4:$Y$40,$BJ38-3)),IF(OR($BI38=1,$BL38=1,$BH38&gt;0),"–",""))</f>
        <v/>
      </c>
      <c r="AA39" s="70">
        <f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/>
      </c>
      <c r="AB39" s="70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/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/>
      </c>
      <c r="AF39" s="70">
        <f>IF($BJ38&gt;0,IF(INDEX('Final Calculation Sheet'!$AE$4:$AE$40,$BJ38-3)="","",INDEX('Final Calculation Sheet'!$AE$4:$AE$40,$BJ38-3)),IF(OR($BI38=1,$BL38=1,$BH38&gt;0),"–",""))</f>
        <v/>
      </c>
      <c r="AG39" s="74">
        <f>IF($BJ38&gt;0,IF(INDEX('Final Calculation Sheet'!$AF$4:$AF$40,$BJ38-3)="","",INDEX('Final Calculation Sheet'!$AF$4:$AF$40,$BJ38-3)),IF(OR($BI38=1,$BL38=1,$BH38&gt;0),"–",""))</f>
        <v/>
      </c>
      <c r="AH39" s="70">
        <f>IF($BJ38&gt;0,IF(INDEX('Final Calculation Sheet'!$AG$4:$AG$40,$BJ38-3)="","",INDEX('Final Calculation Sheet'!$AG$4:$AG$40,$BJ38-3)),IF(OR($BI38=1,$BL38=1,$BH38&gt;0),"–",""))</f>
        <v/>
      </c>
      <c r="AI39" s="75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COUNTIF($BM39:$CU39,0)&gt;0,0,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)</f>
        <v/>
      </c>
      <c r="AZ39">
        <f>IF($B$3="",IF(COUNTIF($A$4:$AI$4,"&lt;&gt;")=0,9,IF($AM39=1,9,10))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SUMPRODUCT(($AZ$5:$AZ$41=$AZ39)*($BC$5:$BC$41&lt;$BC39))+1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IF(39=$BG$5,1,0)</f>
        <v/>
      </c>
      <c r="BJ39">
        <f>IF(OR($BH39&gt;0,$BI39=1,$BL39=1),0,IFERROR(INDEX($BC$5:$BC$41,MATCH(39,$BB$5:$BB$41,0)),0))</f>
        <v/>
      </c>
      <c r="BK39">
        <f>IF($BJ39&gt;0,IF(INDEX($AZ$5:$AZ$41,MATCH(39,$BB$5:$BB$41,0))=10,1,0),IF($BH39=10,1,0))</f>
        <v/>
      </c>
      <c r="BL39">
        <f>IF(39=$BG$4,1,0)</f>
        <v/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/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/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/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/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/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/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/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/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/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/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/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/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/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/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/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/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/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/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/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/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/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/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/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/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/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/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/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/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/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/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/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/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/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/>
      </c>
    </row>
    <row r="40" ht="15" customHeight="1" s="77">
      <c r="A40" s="67">
        <f>IF($BJ39&gt;0,INDEX($BA$5:$BA$41,MATCH(39,$BB$5:$BB$41,0)),IF(OR($BI39=1,$BL39=1,$BH39&gt;0),"∑",""))</f>
        <v/>
      </c>
      <c r="B40" s="68">
        <f>IF($BJ39&gt;0,IF(INDEX('Final Calculation Sheet'!$F$4:$F$40,$BJ39-3)="","",INDEX('Final Calculation Sheet'!$F$4:$F$40,$BJ39-3)),"")</f>
        <v/>
      </c>
      <c r="C40" s="68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/>
      </c>
      <c r="D40" s="69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/>
      </c>
      <c r="E40" s="69">
        <f>IF($BJ39&gt;0,IF(INDEX('Final Calculation Sheet'!$D$4:$D$40,$BJ39-3)="","",INDEX('Final Calculation Sheet'!$D$4:$D$40,$BJ39-3)),IF(OR($BI39=1,$BL39=1,$BH39&gt;0),"–",""))</f>
        <v/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/>
      </c>
      <c r="G40" s="69">
        <f>IF($BJ39&gt;0,IF(INDEX('Final Calculation Sheet'!$E$4:$E$40,$BJ39-3)="","",INDEX('Final Calculation Sheet'!$E$4:$E$40,$BJ39-3)),IF(OR($BI39=1,$BL39=1,$BH39&gt;0),"–",""))</f>
        <v/>
      </c>
      <c r="H40" s="70">
        <f>IF($BJ39&gt;0,IF(INDEX('Final Calculation Sheet'!$C$4:$C$40,$BJ39-3)="","",INDEX('Final Calculation Sheet'!$C$4:$C$40,$BJ39-3)),IF(OR($BI39=1,$BL39=1,$BH39&gt;0),"–",""))</f>
        <v/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/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/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/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/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/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/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/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/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/>
      </c>
      <c r="R40" s="72">
        <f>IF($BJ39&gt;0,IF(INDEX('Final Calculation Sheet'!$Q$4:$Q$40,$BJ39-3)="","",INDEX('Final Calculation Sheet'!$Q$4:$Q$40,$BJ39-3)),IF(OR($BI39=1,$BL39=1,$BH39&gt;0),"–",""))</f>
        <v/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/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/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/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/>
      </c>
      <c r="W40" s="70">
        <f>IF($BJ39&gt;0,IF(INDEX('Final Calculation Sheet'!$V$4:$V$40,$BJ39-3)="","",INDEX('Final Calculation Sheet'!$V$4:$V$40,$BJ39-3)),IF(OR($BI39=1,$BL39=1,$BH39&gt;0),"–",""))</f>
        <v/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/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/>
      </c>
      <c r="Z40" s="70">
        <f>IF($BJ39&gt;0,IF(INDEX('Final Calculation Sheet'!$Y$4:$Y$40,$BJ39-3)="","",INDEX('Final Calculation Sheet'!$Y$4:$Y$40,$BJ39-3)),IF(OR($BI39=1,$BL39=1,$BH39&gt;0),"–",""))</f>
        <v/>
      </c>
      <c r="AA40" s="70">
        <f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/>
      </c>
      <c r="AB40" s="70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/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/>
      </c>
      <c r="AF40" s="70">
        <f>IF($BJ39&gt;0,IF(INDEX('Final Calculation Sheet'!$AE$4:$AE$40,$BJ39-3)="","",INDEX('Final Calculation Sheet'!$AE$4:$AE$40,$BJ39-3)),IF(OR($BI39=1,$BL39=1,$BH39&gt;0),"–",""))</f>
        <v/>
      </c>
      <c r="AG40" s="74">
        <f>IF($BJ39&gt;0,IF(INDEX('Final Calculation Sheet'!$AF$4:$AF$40,$BJ39-3)="","",INDEX('Final Calculation Sheet'!$AF$4:$AF$40,$BJ39-3)),IF(OR($BI39=1,$BL39=1,$BH39&gt;0),"–",""))</f>
        <v/>
      </c>
      <c r="AH40" s="70">
        <f>IF($BJ39&gt;0,IF(INDEX('Final Calculation Sheet'!$AG$4:$AG$40,$BJ39-3)="","",INDEX('Final Calculation Sheet'!$AG$4:$AG$40,$BJ39-3)),IF(OR($BI39=1,$BL39=1,$BH39&gt;0),"–",""))</f>
        <v/>
      </c>
      <c r="AI40" s="75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COUNTIF($BM40:$CU40,0)&gt;0,0,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)</f>
        <v/>
      </c>
      <c r="AZ40">
        <f>IF($B$3="",IF(COUNTIF($A$4:$AI$4,"&lt;&gt;")=0,9,IF($AM40=1,9,10))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SUMPRODUCT(($AZ$5:$AZ$41=$AZ40)*($BC$5:$BC$41&lt;$BC40))+1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IF(40=$BG$5,1,0)</f>
        <v/>
      </c>
      <c r="BJ40">
        <f>IF(OR($BH40&gt;0,$BI40=1,$BL40=1),0,IFERROR(INDEX($BC$5:$BC$41,MATCH(40,$BB$5:$BB$41,0)),0))</f>
        <v/>
      </c>
      <c r="BK40">
        <f>IF($BJ40&gt;0,IF(INDEX($AZ$5:$AZ$41,MATCH(40,$BB$5:$BB$41,0))=10,1,0),IF($BH40=10,1,0))</f>
        <v/>
      </c>
      <c r="BL40">
        <f>IF(40=$BG$4,1,0)</f>
        <v/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/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/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/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/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/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/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/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/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/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/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/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/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/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/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/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/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/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/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/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/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/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/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/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/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/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/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/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/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/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/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/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/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/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/>
      </c>
    </row>
    <row r="41" ht="15" customHeight="1" s="77">
      <c r="A41" s="67">
        <f>IF($BJ40&gt;0,INDEX($BA$5:$BA$41,MATCH(40,$BB$5:$BB$41,0)),IF(OR($BI40=1,$BL40=1,$BH40&gt;0),"∑",""))</f>
        <v/>
      </c>
      <c r="B41" s="68">
        <f>IF($BJ40&gt;0,IF(INDEX('Final Calculation Sheet'!$F$4:$F$40,$BJ40-3)="","",INDEX('Final Calculation Sheet'!$F$4:$F$40,$BJ40-3)),"")</f>
        <v/>
      </c>
      <c r="C41" s="68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/>
      </c>
      <c r="D41" s="69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/>
      </c>
      <c r="E41" s="69">
        <f>IF($BJ40&gt;0,IF(INDEX('Final Calculation Sheet'!$D$4:$D$40,$BJ40-3)="","",INDEX('Final Calculation Sheet'!$D$4:$D$40,$BJ40-3)),IF(OR($BI40=1,$BL40=1,$BH40&gt;0),"–",""))</f>
        <v/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/>
      </c>
      <c r="G41" s="69">
        <f>IF($BJ40&gt;0,IF(INDEX('Final Calculation Sheet'!$E$4:$E$40,$BJ40-3)="","",INDEX('Final Calculation Sheet'!$E$4:$E$40,$BJ40-3)),IF(OR($BI40=1,$BL40=1,$BH40&gt;0),"–",""))</f>
        <v/>
      </c>
      <c r="H41" s="70">
        <f>IF($BJ40&gt;0,IF(INDEX('Final Calculation Sheet'!$C$4:$C$40,$BJ40-3)="","",INDEX('Final Calculation Sheet'!$C$4:$C$40,$BJ40-3)),IF(OR($BI40=1,$BL40=1,$BH40&gt;0),"–",""))</f>
        <v/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/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/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/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/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/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/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/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/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/>
      </c>
      <c r="R41" s="72">
        <f>IF($BJ40&gt;0,IF(INDEX('Final Calculation Sheet'!$Q$4:$Q$40,$BJ40-3)="","",INDEX('Final Calculation Sheet'!$Q$4:$Q$40,$BJ40-3)),IF(OR($BI40=1,$BL40=1,$BH40&gt;0),"–",""))</f>
        <v/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/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/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/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/>
      </c>
      <c r="W41" s="70">
        <f>IF($BJ40&gt;0,IF(INDEX('Final Calculation Sheet'!$V$4:$V$40,$BJ40-3)="","",INDEX('Final Calculation Sheet'!$V$4:$V$40,$BJ40-3)),IF(OR($BI40=1,$BL40=1,$BH40&gt;0),"–",""))</f>
        <v/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/>
      </c>
      <c r="Y41" s="70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/>
      </c>
      <c r="AA41" s="70">
        <f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/>
      </c>
      <c r="AB41" s="70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/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/>
      </c>
      <c r="AF41" s="70">
        <f>IF($BJ40&gt;0,IF(INDEX('Final Calculation Sheet'!$AE$4:$AE$40,$BJ40-3)="","",INDEX('Final Calculation Sheet'!$AE$4:$AE$40,$BJ40-3)),IF(OR($BI40=1,$BL40=1,$BH40&gt;0),"–",""))</f>
        <v/>
      </c>
      <c r="AG41" s="74">
        <f>IF($BJ40&gt;0,IF(INDEX('Final Calculation Sheet'!$AF$4:$AF$40,$BJ40-3)="","",INDEX('Final Calculation Sheet'!$AF$4:$AF$40,$BJ40-3)),IF(OR($BI40=1,$BL40=1,$BH40&gt;0),"–",""))</f>
        <v/>
      </c>
      <c r="AH41" s="70">
        <f>IF($BJ40&gt;0,IF(INDEX('Final Calculation Sheet'!$AG$4:$AG$40,$BJ40-3)="","",INDEX('Final Calculation Sheet'!$AG$4:$AG$40,$BJ40-3)),IF(OR($BI40=1,$BL40=1,$BH40&gt;0),"–",""))</f>
        <v/>
      </c>
      <c r="AI41" s="75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COUNTIF($BM41:$CU41,0)&gt;0,0,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)</f>
        <v/>
      </c>
      <c r="AZ41">
        <f>IF($B$3="",IF(COUNTIF($A$4:$AI$4,"&lt;&gt;")=0,9,IF($AM41=1,9,10))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SUMPRODUCT(($AZ$5:$AZ$41=$AZ41)*($BC$5:$BC$41&lt;$BC41))+1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IF(41=$BG$5,1,0)</f>
        <v/>
      </c>
      <c r="BJ41">
        <f>IF(OR($BH41&gt;0,$BI41=1,$BL41=1),0,IFERROR(INDEX($BC$5:$BC$41,MATCH(41,$BB$5:$BB$41,0)),0))</f>
        <v/>
      </c>
      <c r="BK41">
        <f>IF($BJ41&gt;0,IF(INDEX($AZ$5:$AZ$41,MATCH(41,$BB$5:$BB$41,0))=10,1,0),IF($BH41=10,1,0))</f>
        <v/>
      </c>
      <c r="BL41">
        <f>IF(41=$BG$4,1,0)</f>
        <v/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/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/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/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/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/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/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/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/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/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/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/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/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/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/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/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/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/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/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/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/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/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/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/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/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/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/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/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/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/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/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/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/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/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/>
      </c>
    </row>
    <row r="42" ht="15" customHeight="1" s="77">
      <c r="A42" s="67">
        <f>IF($BJ41&gt;0,INDEX($BA$5:$BA$41,MATCH(41,$BB$5:$BB$41,0)),IF(OR($BI41=1,$BL41=1,$BH41&gt;0),"∑",""))</f>
        <v/>
      </c>
      <c r="B42" s="68">
        <f>IF($BJ41&gt;0,IF(INDEX('Final Calculation Sheet'!$F$4:$F$40,$BJ41-3)="","",INDEX('Final Calculation Sheet'!$F$4:$F$40,$BJ41-3)),"")</f>
        <v/>
      </c>
      <c r="C42" s="68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/>
      </c>
      <c r="D42" s="69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/>
      </c>
      <c r="E42" s="69">
        <f>IF($BJ41&gt;0,IF(INDEX('Final Calculation Sheet'!$D$4:$D$40,$BJ41-3)="","",INDEX('Final Calculation Sheet'!$D$4:$D$40,$BJ41-3)),IF(OR($BI41=1,$BL41=1,$BH41&gt;0),"–",""))</f>
        <v/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/>
      </c>
      <c r="G42" s="69">
        <f>IF($BJ41&gt;0,IF(INDEX('Final Calculation Sheet'!$E$4:$E$40,$BJ41-3)="","",INDEX('Final Calculation Sheet'!$E$4:$E$40,$BJ41-3)),IF(OR($BI41=1,$BL41=1,$BH41&gt;0),"–",""))</f>
        <v/>
      </c>
      <c r="H42" s="70">
        <f>IF($BJ41&gt;0,IF(INDEX('Final Calculation Sheet'!$C$4:$C$40,$BJ41-3)="","",INDEX('Final Calculation Sheet'!$C$4:$C$40,$BJ41-3)),IF(OR($BI41=1,$BL41=1,$BH41&gt;0),"–",""))</f>
        <v/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/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/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/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/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/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/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/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/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/>
      </c>
      <c r="R42" s="72">
        <f>IF($BJ41&gt;0,IF(INDEX('Final Calculation Sheet'!$Q$4:$Q$40,$BJ41-3)="","",INDEX('Final Calculation Sheet'!$Q$4:$Q$40,$BJ41-3)),IF(OR($BI41=1,$BL41=1,$BH41&gt;0),"–",""))</f>
        <v/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/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/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/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/>
      </c>
      <c r="W42" s="70">
        <f>IF($BJ41&gt;0,IF(INDEX('Final Calculation Sheet'!$V$4:$V$40,$BJ41-3)="","",INDEX('Final Calculation Sheet'!$V$4:$V$40,$BJ41-3)),IF(OR($BI41=1,$BL41=1,$BH41&gt;0),"–",""))</f>
        <v/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/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/>
      </c>
      <c r="Z42" s="70">
        <f>IF($BJ41&gt;0,IF(INDEX('Final Calculation Sheet'!$Y$4:$Y$40,$BJ41-3)="","",INDEX('Final Calculation Sheet'!$Y$4:$Y$40,$BJ41-3)),IF(OR($BI41=1,$BL41=1,$BH41&gt;0),"–",""))</f>
        <v/>
      </c>
      <c r="AA42" s="70">
        <f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/>
      </c>
      <c r="AB42" s="70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/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/>
      </c>
      <c r="AF42" s="70">
        <f>IF($BJ41&gt;0,IF(INDEX('Final Calculation Sheet'!$AE$4:$AE$40,$BJ41-3)="","",INDEX('Final Calculation Sheet'!$AE$4:$AE$40,$BJ41-3)),IF(OR($BI41=1,$BL41=1,$BH41&gt;0),"–",""))</f>
        <v/>
      </c>
      <c r="AG42" s="74">
        <f>IF($BJ41&gt;0,IF(INDEX('Final Calculation Sheet'!$AF$4:$AF$40,$BJ41-3)="","",INDEX('Final Calculation Sheet'!$AF$4:$AF$40,$BJ41-3)),IF(OR($BI41=1,$BL41=1,$BH41&gt;0),"–",""))</f>
        <v/>
      </c>
      <c r="AH42" s="70">
        <f>IF($BJ41&gt;0,IF(INDEX('Final Calculation Sheet'!$AG$4:$AG$40,$BJ41-3)="","",INDEX('Final Calculation Sheet'!$AG$4:$AG$40,$BJ41-3)),IF(OR($BI41=1,$BL41=1,$BH41&gt;0),"–",""))</f>
        <v/>
      </c>
      <c r="AI42" s="75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/>
      </c>
      <c r="BH42">
        <f>IFERROR(MATCH(42,$BF$4:$BF$13,0),0)</f>
        <v/>
      </c>
      <c r="BI42">
        <f>IF(42=$BG$5,1,0)</f>
        <v/>
      </c>
      <c r="BJ42">
        <f>IF(OR($BH42&gt;0,$BI42=1,$BL42=1),0,IFERROR(INDEX($BC$5:$BC$41,MATCH(42,$BB$5:$BB$41,0)),0))</f>
        <v/>
      </c>
      <c r="BK42">
        <f>IF($BJ42&gt;0,IF(INDEX($AZ$5:$AZ$41,MATCH(42,$BB$5:$BB$41,0))=10,1,0),IF($BH42=10,1,0))</f>
        <v/>
      </c>
      <c r="BL42">
        <f>IF(42=$BG$4,1,0)</f>
        <v/>
      </c>
    </row>
    <row r="43" ht="15" customHeight="1" s="77">
      <c r="A43" s="67">
        <f>IF($BJ42&gt;0,INDEX($BA$5:$BA$41,MATCH(42,$BB$5:$BB$41,0)),IF(OR($BI42=1,$BL42=1,$BH42&gt;0),"∑",""))</f>
        <v/>
      </c>
      <c r="B43" s="68">
        <f>IF($BJ42&gt;0,IF(INDEX('Final Calculation Sheet'!$F$4:$F$40,$BJ42-3)="","",INDEX('Final Calculation Sheet'!$F$4:$F$40,$BJ42-3)),"")</f>
        <v/>
      </c>
      <c r="C43" s="68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/>
      </c>
      <c r="D43" s="69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/>
      </c>
      <c r="E43" s="69">
        <f>IF($BJ42&gt;0,IF(INDEX('Final Calculation Sheet'!$D$4:$D$40,$BJ42-3)="","",INDEX('Final Calculation Sheet'!$D$4:$D$40,$BJ42-3)),IF(OR($BI42=1,$BL42=1,$BH42&gt;0),"–",""))</f>
        <v/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/>
      </c>
      <c r="G43" s="69">
        <f>IF($BJ42&gt;0,IF(INDEX('Final Calculation Sheet'!$E$4:$E$40,$BJ42-3)="","",INDEX('Final Calculation Sheet'!$E$4:$E$40,$BJ42-3)),IF(OR($BI42=1,$BL42=1,$BH42&gt;0),"–",""))</f>
        <v/>
      </c>
      <c r="H43" s="70">
        <f>IF($BJ42&gt;0,IF(INDEX('Final Calculation Sheet'!$C$4:$C$40,$BJ42-3)="","",INDEX('Final Calculation Sheet'!$C$4:$C$40,$BJ42-3)),IF(OR($BI42=1,$BL42=1,$BH42&gt;0),"–",""))</f>
        <v/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/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/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/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/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/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/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/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/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/>
      </c>
      <c r="R43" s="72">
        <f>IF($BJ42&gt;0,IF(INDEX('Final Calculation Sheet'!$Q$4:$Q$40,$BJ42-3)="","",INDEX('Final Calculation Sheet'!$Q$4:$Q$40,$BJ42-3)),IF(OR($BI42=1,$BL42=1,$BH42&gt;0),"–",""))</f>
        <v/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/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/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/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/>
      </c>
      <c r="W43" s="70">
        <f>IF($BJ42&gt;0,IF(INDEX('Final Calculation Sheet'!$V$4:$V$40,$BJ42-3)="","",INDEX('Final Calculation Sheet'!$V$4:$V$40,$BJ42-3)),IF(OR($BI42=1,$BL42=1,$BH42&gt;0),"–",""))</f>
        <v/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/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/>
      </c>
      <c r="Z43" s="70">
        <f>IF($BJ42&gt;0,IF(INDEX('Final Calculation Sheet'!$Y$4:$Y$40,$BJ42-3)="","",INDEX('Final Calculation Sheet'!$Y$4:$Y$40,$BJ42-3)),IF(OR($BI42=1,$BL42=1,$BH42&gt;0),"–",""))</f>
        <v/>
      </c>
      <c r="AA43" s="70">
        <f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/>
      </c>
      <c r="AB43" s="70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/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/>
      </c>
      <c r="AF43" s="70">
        <f>IF($BJ42&gt;0,IF(INDEX('Final Calculation Sheet'!$AE$4:$AE$40,$BJ42-3)="","",INDEX('Final Calculation Sheet'!$AE$4:$AE$40,$BJ42-3)),IF(OR($BI42=1,$BL42=1,$BH42&gt;0),"–",""))</f>
        <v/>
      </c>
      <c r="AG43" s="74">
        <f>IF($BJ42&gt;0,IF(INDEX('Final Calculation Sheet'!$AF$4:$AF$40,$BJ42-3)="","",INDEX('Final Calculation Sheet'!$AF$4:$AF$40,$BJ42-3)),IF(OR($BI42=1,$BL42=1,$BH42&gt;0),"–",""))</f>
        <v/>
      </c>
      <c r="AH43" s="70">
        <f>IF($BJ42&gt;0,IF(INDEX('Final Calculation Sheet'!$AG$4:$AG$40,$BJ42-3)="","",INDEX('Final Calculation Sheet'!$AG$4:$AG$40,$BJ42-3)),IF(OR($BI42=1,$BL42=1,$BH42&gt;0),"–",""))</f>
        <v/>
      </c>
      <c r="AI43" s="75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/>
      </c>
      <c r="BH43">
        <f>IFERROR(MATCH(43,$BF$4:$BF$13,0),0)</f>
        <v/>
      </c>
      <c r="BI43">
        <f>IF(43=$BG$5,1,0)</f>
        <v/>
      </c>
      <c r="BJ43">
        <f>IF(OR($BH43&gt;0,$BI43=1,$BL43=1),0,IFERROR(INDEX($BC$5:$BC$41,MATCH(43,$BB$5:$BB$41,0)),0))</f>
        <v/>
      </c>
      <c r="BK43">
        <f>IF($BJ43&gt;0,IF(INDEX($AZ$5:$AZ$41,MATCH(43,$BB$5:$BB$41,0))=10,1,0),IF($BH43=10,1,0))</f>
        <v/>
      </c>
      <c r="BL43">
        <f>IF(43=$BG$4,1,0)</f>
        <v/>
      </c>
    </row>
    <row r="44" ht="15" customHeight="1" s="77">
      <c r="A44" s="67">
        <f>IF($BJ43&gt;0,INDEX($BA$5:$BA$41,MATCH(43,$BB$5:$BB$41,0)),IF(OR($BI43=1,$BL43=1,$BH43&gt;0),"∑",""))</f>
        <v/>
      </c>
      <c r="B44" s="68">
        <f>IF($BJ43&gt;0,IF(INDEX('Final Calculation Sheet'!$F$4:$F$40,$BJ43-3)="","",INDEX('Final Calculation Sheet'!$F$4:$F$40,$BJ43-3)),"")</f>
        <v/>
      </c>
      <c r="C44" s="68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/>
      </c>
      <c r="D44" s="69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/>
      </c>
      <c r="E44" s="69">
        <f>IF($BJ43&gt;0,IF(INDEX('Final Calculation Sheet'!$D$4:$D$40,$BJ43-3)="","",INDEX('Final Calculation Sheet'!$D$4:$D$40,$BJ43-3)),IF(OR($BI43=1,$BL43=1,$BH43&gt;0),"–",""))</f>
        <v/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/>
      </c>
      <c r="G44" s="69">
        <f>IF($BJ43&gt;0,IF(INDEX('Final Calculation Sheet'!$E$4:$E$40,$BJ43-3)="","",INDEX('Final Calculation Sheet'!$E$4:$E$40,$BJ43-3)),IF(OR($BI43=1,$BL43=1,$BH43&gt;0),"–",""))</f>
        <v/>
      </c>
      <c r="H44" s="70">
        <f>IF($BJ43&gt;0,IF(INDEX('Final Calculation Sheet'!$C$4:$C$40,$BJ43-3)="","",INDEX('Final Calculation Sheet'!$C$4:$C$40,$BJ43-3)),IF(OR($BI43=1,$BL43=1,$BH43&gt;0),"–",""))</f>
        <v/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/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/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/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/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/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/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/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/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/>
      </c>
      <c r="R44" s="72">
        <f>IF($BJ43&gt;0,IF(INDEX('Final Calculation Sheet'!$Q$4:$Q$40,$BJ43-3)="","",INDEX('Final Calculation Sheet'!$Q$4:$Q$40,$BJ43-3)),IF(OR($BI43=1,$BL43=1,$BH43&gt;0),"–",""))</f>
        <v/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/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/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/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/>
      </c>
      <c r="W44" s="70">
        <f>IF($BJ43&gt;0,IF(INDEX('Final Calculation Sheet'!$V$4:$V$40,$BJ43-3)="","",INDEX('Final Calculation Sheet'!$V$4:$V$40,$BJ43-3)),IF(OR($BI43=1,$BL43=1,$BH43&gt;0),"–",""))</f>
        <v/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/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/>
      </c>
      <c r="Z44" s="70">
        <f>IF($BJ43&gt;0,IF(INDEX('Final Calculation Sheet'!$Y$4:$Y$40,$BJ43-3)="","",INDEX('Final Calculation Sheet'!$Y$4:$Y$40,$BJ43-3)),IF(OR($BI43=1,$BL43=1,$BH43&gt;0),"–",""))</f>
        <v/>
      </c>
      <c r="AA44" s="70">
        <f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/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/>
      </c>
      <c r="AC44" s="70">
        <f>IF($BJ43&gt;0,IF(INDEX('Final Calculation Sheet'!$AB$4:$AB$40,$BJ43-3)="","",INDEX('Final Calculation Sheet'!$AB$4:$AB$40,$BJ43-3)),IF(OR($BI43=1,$BL43=1,$BH43&gt;0),"–",""))</f>
        <v/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/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/>
      </c>
      <c r="AF44" s="70">
        <f>IF($BJ43&gt;0,IF(INDEX('Final Calculation Sheet'!$AE$4:$AE$40,$BJ43-3)="","",INDEX('Final Calculation Sheet'!$AE$4:$AE$40,$BJ43-3)),IF(OR($BI43=1,$BL43=1,$BH43&gt;0),"–",""))</f>
        <v/>
      </c>
      <c r="AG44" s="74">
        <f>IF($BJ43&gt;0,IF(INDEX('Final Calculation Sheet'!$AF$4:$AF$40,$BJ43-3)="","",INDEX('Final Calculation Sheet'!$AF$4:$AF$40,$BJ43-3)),IF(OR($BI43=1,$BL43=1,$BH43&gt;0),"–",""))</f>
        <v/>
      </c>
      <c r="AH44" s="70">
        <f>IF($BJ43&gt;0,IF(INDEX('Final Calculation Sheet'!$AG$4:$AG$40,$BJ43-3)="","",INDEX('Final Calculation Sheet'!$AG$4:$AG$40,$BJ43-3)),IF(OR($BI43=1,$BL43=1,$BH43&gt;0),"–",""))</f>
        <v/>
      </c>
      <c r="AI44" s="75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/>
      </c>
      <c r="BH44">
        <f>IFERROR(MATCH(44,$BF$4:$BF$13,0),0)</f>
        <v/>
      </c>
      <c r="BI44">
        <f>IF(44=$BG$5,1,0)</f>
        <v/>
      </c>
      <c r="BJ44">
        <f>IF(OR($BH44&gt;0,$BI44=1,$BL44=1),0,IFERROR(INDEX($BC$5:$BC$41,MATCH(44,$BB$5:$BB$41,0)),0))</f>
        <v/>
      </c>
      <c r="BK44">
        <f>IF($BJ44&gt;0,IF(INDEX($AZ$5:$AZ$41,MATCH(44,$BB$5:$BB$41,0))=10,1,0),IF($BH44=10,1,0))</f>
        <v/>
      </c>
      <c r="BL44">
        <f>IF(44=$BG$4,1,0)</f>
        <v/>
      </c>
    </row>
    <row r="45" ht="15" customHeight="1" s="77">
      <c r="A45" s="67">
        <f>IF($BJ44&gt;0,INDEX($BA$5:$BA$41,MATCH(44,$BB$5:$BB$41,0)),IF(OR($BI44=1,$BL44=1,$BH44&gt;0),"∑",""))</f>
        <v/>
      </c>
      <c r="B45" s="68">
        <f>IF($BJ44&gt;0,IF(INDEX('Final Calculation Sheet'!$F$4:$F$40,$BJ44-3)="","",INDEX('Final Calculation Sheet'!$F$4:$F$40,$BJ44-3)),"")</f>
        <v/>
      </c>
      <c r="C45" s="68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/>
      </c>
      <c r="D45" s="69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/>
      </c>
      <c r="E45" s="69">
        <f>IF($BJ44&gt;0,IF(INDEX('Final Calculation Sheet'!$D$4:$D$40,$BJ44-3)="","",INDEX('Final Calculation Sheet'!$D$4:$D$40,$BJ44-3)),IF(OR($BI44=1,$BL44=1,$BH44&gt;0),"–",""))</f>
        <v/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/>
      </c>
      <c r="G45" s="69">
        <f>IF($BJ44&gt;0,IF(INDEX('Final Calculation Sheet'!$E$4:$E$40,$BJ44-3)="","",INDEX('Final Calculation Sheet'!$E$4:$E$40,$BJ44-3)),IF(OR($BI44=1,$BL44=1,$BH44&gt;0),"–",""))</f>
        <v/>
      </c>
      <c r="H45" s="70">
        <f>IF($BJ44&gt;0,IF(INDEX('Final Calculation Sheet'!$C$4:$C$40,$BJ44-3)="","",INDEX('Final Calculation Sheet'!$C$4:$C$40,$BJ44-3)),IF(OR($BI44=1,$BL44=1,$BH44&gt;0),"–",""))</f>
        <v/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/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/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/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/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/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/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/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/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/>
      </c>
      <c r="R45" s="72">
        <f>IF($BJ44&gt;0,IF(INDEX('Final Calculation Sheet'!$Q$4:$Q$40,$BJ44-3)="","",INDEX('Final Calculation Sheet'!$Q$4:$Q$40,$BJ44-3)),IF(OR($BI44=1,$BL44=1,$BH44&gt;0),"–",""))</f>
        <v/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/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/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/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/>
      </c>
      <c r="W45" s="70">
        <f>IF($BJ44&gt;0,IF(INDEX('Final Calculation Sheet'!$V$4:$V$40,$BJ44-3)="","",INDEX('Final Calculation Sheet'!$V$4:$V$40,$BJ44-3)),IF(OR($BI44=1,$BL44=1,$BH44&gt;0),"–",""))</f>
        <v/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/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/>
      </c>
      <c r="Z45" s="70">
        <f>IF($BJ44&gt;0,IF(INDEX('Final Calculation Sheet'!$Y$4:$Y$40,$BJ44-3)="","",INDEX('Final Calculation Sheet'!$Y$4:$Y$40,$BJ44-3)),IF(OR($BI44=1,$BL44=1,$BH44&gt;0),"–",""))</f>
        <v/>
      </c>
      <c r="AA45" s="70">
        <f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/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/>
      </c>
      <c r="AC45" s="70">
        <f>IF($BJ44&gt;0,IF(INDEX('Final Calculation Sheet'!$AB$4:$AB$40,$BJ44-3)="","",INDEX('Final Calculation Sheet'!$AB$4:$AB$40,$BJ44-3)),IF(OR($BI44=1,$BL44=1,$BH44&gt;0),"–",""))</f>
        <v/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/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/>
      </c>
      <c r="AF45" s="70">
        <f>IF($BJ44&gt;0,IF(INDEX('Final Calculation Sheet'!$AE$4:$AE$40,$BJ44-3)="","",INDEX('Final Calculation Sheet'!$AE$4:$AE$40,$BJ44-3)),IF(OR($BI44=1,$BL44=1,$BH44&gt;0),"–",""))</f>
        <v/>
      </c>
      <c r="AG45" s="74">
        <f>IF($BJ44&gt;0,IF(INDEX('Final Calculation Sheet'!$AF$4:$AF$40,$BJ44-3)="","",INDEX('Final Calculation Sheet'!$AF$4:$AF$40,$BJ44-3)),IF(OR($BI44=1,$BL44=1,$BH44&gt;0),"–",""))</f>
        <v/>
      </c>
      <c r="AH45" s="70">
        <f>IF($BJ44&gt;0,IF(INDEX('Final Calculation Sheet'!$AG$4:$AG$40,$BJ44-3)="","",INDEX('Final Calculation Sheet'!$AG$4:$AG$40,$BJ44-3)),IF(OR($BI44=1,$BL44=1,$BH44&gt;0),"–",""))</f>
        <v/>
      </c>
      <c r="AI45" s="75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/>
      </c>
      <c r="BH45">
        <f>IFERROR(MATCH(45,$BF$4:$BF$13,0),0)</f>
        <v/>
      </c>
      <c r="BI45">
        <f>IF(45=$BG$5,1,0)</f>
        <v/>
      </c>
      <c r="BJ45">
        <f>IF(OR($BH45&gt;0,$BI45=1,$BL45=1),0,IFERROR(INDEX($BC$5:$BC$41,MATCH(45,$BB$5:$BB$41,0)),0))</f>
        <v/>
      </c>
      <c r="BK45">
        <f>IF($BJ45&gt;0,IF(INDEX($AZ$5:$AZ$41,MATCH(45,$BB$5:$BB$41,0))=10,1,0),IF($BH45=10,1,0))</f>
        <v/>
      </c>
      <c r="BL45">
        <f>IF(45=$BG$4,1,0)</f>
        <v/>
      </c>
    </row>
    <row r="46" ht="15" customHeight="1" s="77">
      <c r="A46" s="67">
        <f>IF($BJ45&gt;0,INDEX($BA$5:$BA$41,MATCH(45,$BB$5:$BB$41,0)),IF(OR($BI45=1,$BL45=1,$BH45&gt;0),"∑",""))</f>
        <v/>
      </c>
      <c r="B46" s="68">
        <f>IF($BJ45&gt;0,IF(INDEX('Final Calculation Sheet'!$F$4:$F$40,$BJ45-3)="","",INDEX('Final Calculation Sheet'!$F$4:$F$40,$BJ45-3)),"")</f>
        <v/>
      </c>
      <c r="C46" s="68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6" s="69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/>
      </c>
      <c r="E46" s="69">
        <f>IF($BJ45&gt;0,IF(INDEX('Final Calculation Sheet'!$D$4:$D$40,$BJ45-3)="","",INDEX('Final Calculation Sheet'!$D$4:$D$40,$BJ45-3)),IF(OR($BI45=1,$BL45=1,$BH45&gt;0),"–",""))</f>
        <v/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/>
      </c>
      <c r="G46" s="69">
        <f>IF($BJ45&gt;0,IF(INDEX('Final Calculation Sheet'!$E$4:$E$40,$BJ45-3)="","",INDEX('Final Calculation Sheet'!$E$4:$E$40,$BJ45-3)),IF(OR($BI45=1,$BL45=1,$BH45&gt;0),"–",""))</f>
        <v/>
      </c>
      <c r="H46" s="70">
        <f>IF($BJ45&gt;0,IF(INDEX('Final Calculation Sheet'!$C$4:$C$40,$BJ45-3)="","",INDEX('Final Calculation Sheet'!$C$4:$C$40,$BJ45-3)),IF(OR($BI45=1,$BL45=1,$BH45&gt;0),"–",""))</f>
        <v/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/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/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/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/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/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/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/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/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/>
      </c>
      <c r="R46" s="72">
        <f>IF($BJ45&gt;0,IF(INDEX('Final Calculation Sheet'!$Q$4:$Q$40,$BJ45-3)="","",INDEX('Final Calculation Sheet'!$Q$4:$Q$40,$BJ45-3)),IF(OR($BI45=1,$BL45=1,$BH45&gt;0),"–",""))</f>
        <v/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/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/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/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/>
      </c>
      <c r="W46" s="70">
        <f>IF($BJ45&gt;0,IF(INDEX('Final Calculation Sheet'!$V$4:$V$40,$BJ45-3)="","",INDEX('Final Calculation Sheet'!$V$4:$V$40,$BJ45-3)),IF(OR($BI45=1,$BL45=1,$BH45&gt;0),"–",""))</f>
        <v/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/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/>
      </c>
      <c r="Z46" s="70">
        <f>IF($BJ45&gt;0,IF(INDEX('Final Calculation Sheet'!$Y$4:$Y$40,$BJ45-3)="","",INDEX('Final Calculation Sheet'!$Y$4:$Y$40,$BJ45-3)),IF(OR($BI45=1,$BL45=1,$BH45&gt;0),"–",""))</f>
        <v/>
      </c>
      <c r="AA46" s="70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/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/>
      </c>
      <c r="AC46" s="70">
        <f>IF($BJ45&gt;0,IF(INDEX('Final Calculation Sheet'!$AB$4:$AB$40,$BJ45-3)="","",INDEX('Final Calculation Sheet'!$AB$4:$AB$40,$BJ45-3)),IF(OR($BI45=1,$BL45=1,$BH45&gt;0),"–",""))</f>
        <v/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/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/>
      </c>
      <c r="AF46" s="70">
        <f>IF($BJ45&gt;0,IF(INDEX('Final Calculation Sheet'!$AE$4:$AE$40,$BJ45-3)="","",INDEX('Final Calculation Sheet'!$AE$4:$AE$40,$BJ45-3)),IF(OR($BI45=1,$BL45=1,$BH45&gt;0),"–",""))</f>
        <v/>
      </c>
      <c r="AG46" s="74">
        <f>IF($BJ45&gt;0,IF(INDEX('Final Calculation Sheet'!$AF$4:$AF$40,$BJ45-3)="","",INDEX('Final Calculation Sheet'!$AF$4:$AF$40,$BJ45-3)),IF(OR($BI45=1,$BL45=1,$BH45&gt;0),"–",""))</f>
        <v/>
      </c>
      <c r="AH46" s="70">
        <f>IF($BJ45&gt;0,IF(INDEX('Final Calculation Sheet'!$AG$4:$AG$40,$BJ45-3)="","",INDEX('Final Calculation Sheet'!$AG$4:$AG$40,$BJ45-3)),IF(OR($BI45=1,$BL45=1,$BH45&gt;0),"–",""))</f>
        <v/>
      </c>
      <c r="AI46" s="75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/>
      </c>
      <c r="BH46">
        <f>IFERROR(MATCH(46,$BF$4:$BF$13,0),0)</f>
        <v/>
      </c>
      <c r="BI46">
        <f>IF(46=$BG$5,1,0)</f>
        <v/>
      </c>
      <c r="BJ46">
        <f>IF(OR($BH46&gt;0,$BI46=1,$BL46=1),0,IFERROR(INDEX($BC$5:$BC$41,MATCH(46,$BB$5:$BB$41,0)),0))</f>
        <v/>
      </c>
      <c r="BK46">
        <f>IF($BJ46&gt;0,IF(INDEX($AZ$5:$AZ$41,MATCH(46,$BB$5:$BB$41,0))=10,1,0),IF($BH46=10,1,0))</f>
        <v/>
      </c>
      <c r="BL46">
        <f>IF(46=$BG$4,1,0)</f>
        <v/>
      </c>
    </row>
    <row r="47" ht="15" customHeight="1" s="77">
      <c r="A47" s="67">
        <f>IF($BJ46&gt;0,INDEX($BA$5:$BA$41,MATCH(46,$BB$5:$BB$41,0)),IF(OR($BI46=1,$BL46=1,$BH46&gt;0),"∑",""))</f>
        <v/>
      </c>
      <c r="B47" s="68">
        <f>IF($BJ46&gt;0,IF(INDEX('Final Calculation Sheet'!$F$4:$F$40,$BJ46-3)="","",INDEX('Final Calculation Sheet'!$F$4:$F$40,$BJ46-3)),"")</f>
        <v/>
      </c>
      <c r="C47" s="68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7" s="69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/>
      </c>
      <c r="E47" s="69">
        <f>IF($BJ46&gt;0,IF(INDEX('Final Calculation Sheet'!$D$4:$D$40,$BJ46-3)="","",INDEX('Final Calculation Sheet'!$D$4:$D$40,$BJ46-3)),IF(OR($BI46=1,$BL46=1,$BH46&gt;0),"–",""))</f>
        <v/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/>
      </c>
      <c r="G47" s="69">
        <f>IF($BJ46&gt;0,IF(INDEX('Final Calculation Sheet'!$E$4:$E$40,$BJ46-3)="","",INDEX('Final Calculation Sheet'!$E$4:$E$40,$BJ46-3)),IF(OR($BI46=1,$BL46=1,$BH46&gt;0),"–",""))</f>
        <v/>
      </c>
      <c r="H47" s="70">
        <f>IF($BJ46&gt;0,IF(INDEX('Final Calculation Sheet'!$C$4:$C$40,$BJ46-3)="","",INDEX('Final Calculation Sheet'!$C$4:$C$40,$BJ46-3)),IF(OR($BI46=1,$BL46=1,$BH46&gt;0),"–",""))</f>
        <v/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/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/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/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/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/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/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/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/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/>
      </c>
      <c r="R47" s="72">
        <f>IF($BJ46&gt;0,IF(INDEX('Final Calculation Sheet'!$Q$4:$Q$40,$BJ46-3)="","",INDEX('Final Calculation Sheet'!$Q$4:$Q$40,$BJ46-3)),IF(OR($BI46=1,$BL46=1,$BH46&gt;0),"–",""))</f>
        <v/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/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/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/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/>
      </c>
      <c r="W47" s="70">
        <f>IF($BJ46&gt;0,IF(INDEX('Final Calculation Sheet'!$V$4:$V$40,$BJ46-3)="","",INDEX('Final Calculation Sheet'!$V$4:$V$40,$BJ46-3)),IF(OR($BI46=1,$BL46=1,$BH46&gt;0),"–",""))</f>
        <v/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/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/>
      </c>
      <c r="Z47" s="70">
        <f>IF($BJ46&gt;0,IF(INDEX('Final Calculation Sheet'!$Y$4:$Y$40,$BJ46-3)="","",INDEX('Final Calculation Sheet'!$Y$4:$Y$40,$BJ46-3)),IF(OR($BI46=1,$BL46=1,$BH46&gt;0),"–",""))</f>
        <v/>
      </c>
      <c r="AA47" s="70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/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/>
      </c>
      <c r="AC47" s="70">
        <f>IF($BJ46&gt;0,IF(INDEX('Final Calculation Sheet'!$AB$4:$AB$40,$BJ46-3)="","",INDEX('Final Calculation Sheet'!$AB$4:$AB$40,$BJ46-3)),IF(OR($BI46=1,$BL46=1,$BH46&gt;0),"–",""))</f>
        <v/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/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/>
      </c>
      <c r="AF47" s="70">
        <f>IF($BJ46&gt;0,IF(INDEX('Final Calculation Sheet'!$AE$4:$AE$40,$BJ46-3)="","",INDEX('Final Calculation Sheet'!$AE$4:$AE$40,$BJ46-3)),IF(OR($BI46=1,$BL46=1,$BH46&gt;0),"–",""))</f>
        <v/>
      </c>
      <c r="AG47" s="74">
        <f>IF($BJ46&gt;0,IF(INDEX('Final Calculation Sheet'!$AF$4:$AF$40,$BJ46-3)="","",INDEX('Final Calculation Sheet'!$AF$4:$AF$40,$BJ46-3)),IF(OR($BI46=1,$BL46=1,$BH46&gt;0),"–",""))</f>
        <v/>
      </c>
      <c r="AH47" s="70">
        <f>IF($BJ46&gt;0,IF(INDEX('Final Calculation Sheet'!$AG$4:$AG$40,$BJ46-3)="","",INDEX('Final Calculation Sheet'!$AG$4:$AG$40,$BJ46-3)),IF(OR($BI46=1,$BL46=1,$BH46&gt;0),"–",""))</f>
        <v/>
      </c>
      <c r="AI47" s="75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/>
      </c>
      <c r="BH47">
        <f>IFERROR(MATCH(47,$BF$4:$BF$13,0),0)</f>
        <v/>
      </c>
      <c r="BI47">
        <f>IF(47=$BG$5,1,0)</f>
        <v/>
      </c>
      <c r="BJ47">
        <f>IF(OR($BH47&gt;0,$BI47=1,$BL47=1),0,IFERROR(INDEX($BC$5:$BC$41,MATCH(47,$BB$5:$BB$41,0)),0))</f>
        <v/>
      </c>
      <c r="BK47">
        <f>IF($BJ47&gt;0,IF(INDEX($AZ$5:$AZ$41,MATCH(47,$BB$5:$BB$41,0))=10,1,0),IF($BH47=10,1,0))</f>
        <v/>
      </c>
      <c r="BL47">
        <f>IF(47=$BG$4,1,0)</f>
        <v/>
      </c>
    </row>
    <row r="48" ht="15" customHeight="1" s="77">
      <c r="A48" s="67">
        <f>IF($BJ47&gt;0,INDEX($BA$5:$BA$41,MATCH(47,$BB$5:$BB$41,0)),IF(OR($BI47=1,$BL47=1,$BH47&gt;0),"∑",""))</f>
        <v/>
      </c>
      <c r="B48" s="68">
        <f>IF($BJ47&gt;0,IF(INDEX('Final Calculation Sheet'!$F$4:$F$40,$BJ47-3)="","",INDEX('Final Calculation Sheet'!$F$4:$F$40,$BJ47-3)),"")</f>
        <v/>
      </c>
      <c r="C48" s="68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>
        <f>IF($BJ47&gt;0,IF(INDEX('Final Calculation Sheet'!$D$4:$D$40,$BJ47-3)="","",INDEX('Final Calculation Sheet'!$D$4:$D$40,$BJ47-3)),IF(OR($BI47=1,$BL47=1,$BH47&gt;0),"–",""))</f>
        <v/>
      </c>
      <c r="F48" s="69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>
        <f>IF($BJ47&gt;0,IF(INDEX('Final Calculation Sheet'!$E$4:$E$40,$BJ47-3)="","",INDEX('Final Calculation Sheet'!$E$4:$E$40,$BJ47-3)),IF(OR($BI47=1,$BL47=1,$BH47&gt;0),"–",""))</f>
        <v/>
      </c>
      <c r="H48" s="70">
        <f>IF($BJ47&gt;0,IF(INDEX('Final Calculation Sheet'!$C$4:$C$40,$BJ47-3)="","",INDEX('Final Calculation Sheet'!$C$4:$C$40,$BJ47-3)),IF(OR($BI47=1,$BL47=1,$BH47&gt;0),"–",""))</f>
        <v/>
      </c>
      <c r="I48" s="70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>
        <f>IF($BJ47&gt;0,IF(INDEX('Final Calculation Sheet'!$Q$4:$Q$40,$BJ47-3)="","",INDEX('Final Calculation Sheet'!$Q$4:$Q$40,$BJ47-3)),IF(OR($BI47=1,$BL47=1,$BH47&gt;0),"–",""))</f>
        <v/>
      </c>
      <c r="S48" s="70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>
        <f>IF($BJ47&gt;0,IF(INDEX('Final Calculation Sheet'!$V$4:$V$40,$BJ47-3)="","",INDEX('Final Calculation Sheet'!$V$4:$V$40,$BJ47-3)),IF(OR($BI47=1,$BL47=1,$BH47&gt;0),"–",""))</f>
        <v/>
      </c>
      <c r="X48" s="70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>
        <f>IF($BJ47&gt;0,IF(INDEX('Final Calculation Sheet'!$Y$4:$Y$40,$BJ47-3)="","",INDEX('Final Calculation Sheet'!$Y$4:$Y$40,$BJ47-3)),IF(OR($BI47=1,$BL47=1,$BH47&gt;0),"–",""))</f>
        <v/>
      </c>
      <c r="AA48" s="70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>
        <f>IF($BJ47&gt;0,IF(INDEX('Final Calculation Sheet'!$AB$4:$AB$40,$BJ47-3)="","",INDEX('Final Calculation Sheet'!$AB$4:$AB$40,$BJ47-3)),IF(OR($BI47=1,$BL47=1,$BH47&gt;0),"–",""))</f>
        <v/>
      </c>
      <c r="AD48" s="70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>
        <f>IF($BJ47&gt;0,IF(INDEX('Final Calculation Sheet'!$AE$4:$AE$40,$BJ47-3)="","",INDEX('Final Calculation Sheet'!$AE$4:$AE$40,$BJ47-3)),IF(OR($BI47=1,$BL47=1,$BH47&gt;0),"–",""))</f>
        <v/>
      </c>
      <c r="AG48" s="74">
        <f>IF($BJ47&gt;0,IF(INDEX('Final Calculation Sheet'!$AF$4:$AF$40,$BJ47-3)="","",INDEX('Final Calculation Sheet'!$AF$4:$AF$40,$BJ47-3)),IF(OR($BI47=1,$BL47=1,$BH47&gt;0),"–",""))</f>
        <v/>
      </c>
      <c r="AH48" s="70">
        <f>IF($BJ47&gt;0,IF(INDEX('Final Calculation Sheet'!$AG$4:$AG$40,$BJ47-3)="","",INDEX('Final Calculation Sheet'!$AG$4:$AG$40,$BJ47-3)),IF(OR($BI47=1,$BL47=1,$BH47&gt;0),"–",""))</f>
        <v/>
      </c>
      <c r="AI48" s="75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/>
      </c>
      <c r="BI48">
        <f>IF(48=$BG$5,1,0)</f>
        <v/>
      </c>
      <c r="BJ48">
        <f>IF(OR($BH48&gt;0,$BI48=1,$BL48=1),0,IFERROR(INDEX($BC$5:$BC$41,MATCH(48,$BB$5:$BB$41,0)),0))</f>
        <v/>
      </c>
      <c r="BK48">
        <f>IF($BJ48&gt;0,IF(INDEX($AZ$5:$AZ$41,MATCH(48,$BB$5:$BB$41,0))=10,1,0),IF($BH48=10,1,0))</f>
        <v/>
      </c>
      <c r="BL48">
        <f>IF(48=$BG$4,1,0)</f>
        <v/>
      </c>
    </row>
    <row r="49" ht="15" customHeight="1" s="77">
      <c r="A49" s="67">
        <f>IF($BJ48&gt;0,INDEX($BA$5:$BA$41,MATCH(48,$BB$5:$BB$41,0)),IF(OR($BI48=1,$BL48=1,$BH48&gt;0),"∑",""))</f>
        <v/>
      </c>
      <c r="B49" s="68">
        <f>IF($BJ48&gt;0,IF(INDEX('Final Calculation Sheet'!$F$4:$F$40,$BJ48-3)="","",INDEX('Final Calculation Sheet'!$F$4:$F$40,$BJ48-3)),"")</f>
        <v/>
      </c>
      <c r="C49" s="68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>
        <f>IF($BJ48&gt;0,IF(INDEX('Final Calculation Sheet'!$D$4:$D$40,$BJ48-3)="","",INDEX('Final Calculation Sheet'!$D$4:$D$40,$BJ48-3)),IF(OR($BI48=1,$BL48=1,$BH48&gt;0),"–",""))</f>
        <v/>
      </c>
      <c r="F49" s="69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>
        <f>IF($BJ48&gt;0,IF(INDEX('Final Calculation Sheet'!$E$4:$E$40,$BJ48-3)="","",INDEX('Final Calculation Sheet'!$E$4:$E$40,$BJ48-3)),IF(OR($BI48=1,$BL48=1,$BH48&gt;0),"–",""))</f>
        <v/>
      </c>
      <c r="H49" s="70">
        <f>IF($BJ48&gt;0,IF(INDEX('Final Calculation Sheet'!$C$4:$C$40,$BJ48-3)="","",INDEX('Final Calculation Sheet'!$C$4:$C$40,$BJ48-3)),IF(OR($BI48=1,$BL48=1,$BH48&gt;0),"–",""))</f>
        <v/>
      </c>
      <c r="I49" s="70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>
        <f>IF($BJ48&gt;0,IF(INDEX('Final Calculation Sheet'!$Q$4:$Q$40,$BJ48-3)="","",INDEX('Final Calculation Sheet'!$Q$4:$Q$40,$BJ48-3)),IF(OR($BI48=1,$BL48=1,$BH48&gt;0),"–",""))</f>
        <v/>
      </c>
      <c r="S49" s="70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>
        <f>IF($BJ48&gt;0,IF(INDEX('Final Calculation Sheet'!$V$4:$V$40,$BJ48-3)="","",INDEX('Final Calculation Sheet'!$V$4:$V$40,$BJ48-3)),IF(OR($BI48=1,$BL48=1,$BH48&gt;0),"–",""))</f>
        <v/>
      </c>
      <c r="X49" s="70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>
        <f>IF($BJ48&gt;0,IF(INDEX('Final Calculation Sheet'!$Y$4:$Y$40,$BJ48-3)="","",INDEX('Final Calculation Sheet'!$Y$4:$Y$40,$BJ48-3)),IF(OR($BI48=1,$BL48=1,$BH48&gt;0),"–",""))</f>
        <v/>
      </c>
      <c r="AA49" s="70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>
        <f>IF($BJ48&gt;0,IF(INDEX('Final Calculation Sheet'!$AB$4:$AB$40,$BJ48-3)="","",INDEX('Final Calculation Sheet'!$AB$4:$AB$40,$BJ48-3)),IF(OR($BI48=1,$BL48=1,$BH48&gt;0),"–",""))</f>
        <v/>
      </c>
      <c r="AD49" s="70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>
        <f>IF($BJ48&gt;0,IF(INDEX('Final Calculation Sheet'!$AE$4:$AE$40,$BJ48-3)="","",INDEX('Final Calculation Sheet'!$AE$4:$AE$40,$BJ48-3)),IF(OR($BI48=1,$BL48=1,$BH48&gt;0),"–",""))</f>
        <v/>
      </c>
      <c r="AG49" s="74">
        <f>IF($BJ48&gt;0,IF(INDEX('Final Calculation Sheet'!$AF$4:$AF$40,$BJ48-3)="","",INDEX('Final Calculation Sheet'!$AF$4:$AF$40,$BJ48-3)),IF(OR($BI48=1,$BL48=1,$BH48&gt;0),"–",""))</f>
        <v/>
      </c>
      <c r="AH49" s="70">
        <f>IF($BJ48&gt;0,IF(INDEX('Final Calculation Sheet'!$AG$4:$AG$40,$BJ48-3)="","",INDEX('Final Calculation Sheet'!$AG$4:$AG$40,$BJ48-3)),IF(OR($BI48=1,$BL48=1,$BH48&gt;0),"–",""))</f>
        <v/>
      </c>
      <c r="AI49" s="75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/>
      </c>
      <c r="BI49">
        <f>IF(49=$BG$5,1,0)</f>
        <v/>
      </c>
      <c r="BJ49">
        <f>IF(OR($BH49&gt;0,$BI49=1,$BL49=1),0,IFERROR(INDEX($BC$5:$BC$41,MATCH(49,$BB$5:$BB$41,0)),0))</f>
        <v/>
      </c>
      <c r="BK49">
        <f>IF($BJ49&gt;0,IF(INDEX($AZ$5:$AZ$41,MATCH(49,$BB$5:$BB$41,0))=10,1,0),IF($BH49=10,1,0))</f>
        <v/>
      </c>
      <c r="BL49">
        <f>IF(49=$BG$4,1,0)</f>
        <v/>
      </c>
    </row>
    <row r="50" ht="15" customHeight="1" s="77">
      <c r="A50" s="67">
        <f>IF($BJ49&gt;0,INDEX($BA$5:$BA$41,MATCH(49,$BB$5:$BB$41,0)),IF(OR($BI49=1,$BL49=1,$BH49&gt;0),"∑",""))</f>
        <v/>
      </c>
      <c r="B50" s="68">
        <f>IF($BJ49&gt;0,IF(INDEX('Final Calculation Sheet'!$F$4:$F$40,$BJ49-3)="","",INDEX('Final Calculation Sheet'!$F$4:$F$40,$BJ49-3)),"")</f>
        <v/>
      </c>
      <c r="C50" s="68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>
        <f>IF($BJ49&gt;0,IF(INDEX('Final Calculation Sheet'!$D$4:$D$40,$BJ49-3)="","",INDEX('Final Calculation Sheet'!$D$4:$D$40,$BJ49-3)),IF(OR($BI49=1,$BL49=1,$BH49&gt;0),"–",""))</f>
        <v/>
      </c>
      <c r="F50" s="69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>
        <f>IF($BJ49&gt;0,IF(INDEX('Final Calculation Sheet'!$E$4:$E$40,$BJ49-3)="","",INDEX('Final Calculation Sheet'!$E$4:$E$40,$BJ49-3)),IF(OR($BI49=1,$BL49=1,$BH49&gt;0),"–",""))</f>
        <v/>
      </c>
      <c r="H50" s="70">
        <f>IF($BJ49&gt;0,IF(INDEX('Final Calculation Sheet'!$C$4:$C$40,$BJ49-3)="","",INDEX('Final Calculation Sheet'!$C$4:$C$40,$BJ49-3)),IF(OR($BI49=1,$BL49=1,$BH49&gt;0),"–",""))</f>
        <v/>
      </c>
      <c r="I50" s="70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>
        <f>IF($BJ49&gt;0,IF(INDEX('Final Calculation Sheet'!$Q$4:$Q$40,$BJ49-3)="","",INDEX('Final Calculation Sheet'!$Q$4:$Q$40,$BJ49-3)),IF(OR($BI49=1,$BL49=1,$BH49&gt;0),"–",""))</f>
        <v/>
      </c>
      <c r="S50" s="70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>
        <f>IF($BJ49&gt;0,IF(INDEX('Final Calculation Sheet'!$V$4:$V$40,$BJ49-3)="","",INDEX('Final Calculation Sheet'!$V$4:$V$40,$BJ49-3)),IF(OR($BI49=1,$BL49=1,$BH49&gt;0),"–",""))</f>
        <v/>
      </c>
      <c r="X50" s="70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>
        <f>IF($BJ49&gt;0,IF(INDEX('Final Calculation Sheet'!$Y$4:$Y$40,$BJ49-3)="","",INDEX('Final Calculation Sheet'!$Y$4:$Y$40,$BJ49-3)),IF(OR($BI49=1,$BL49=1,$BH49&gt;0),"–",""))</f>
        <v/>
      </c>
      <c r="AA50" s="70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>
        <f>IF($BJ49&gt;0,IF(INDEX('Final Calculation Sheet'!$AB$4:$AB$40,$BJ49-3)="","",INDEX('Final Calculation Sheet'!$AB$4:$AB$40,$BJ49-3)),IF(OR($BI49=1,$BL49=1,$BH49&gt;0),"–",""))</f>
        <v/>
      </c>
      <c r="AD50" s="70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>
        <f>IF($BJ49&gt;0,IF(INDEX('Final Calculation Sheet'!$AE$4:$AE$40,$BJ49-3)="","",INDEX('Final Calculation Sheet'!$AE$4:$AE$40,$BJ49-3)),IF(OR($BI49=1,$BL49=1,$BH49&gt;0),"–",""))</f>
        <v/>
      </c>
      <c r="AG50" s="74">
        <f>IF($BJ49&gt;0,IF(INDEX('Final Calculation Sheet'!$AF$4:$AF$40,$BJ49-3)="","",INDEX('Final Calculation Sheet'!$AF$4:$AF$40,$BJ49-3)),IF(OR($BI49=1,$BL49=1,$BH49&gt;0),"–",""))</f>
        <v/>
      </c>
      <c r="AH50" s="70">
        <f>IF($BJ49&gt;0,IF(INDEX('Final Calculation Sheet'!$AG$4:$AG$40,$BJ49-3)="","",INDEX('Final Calculation Sheet'!$AG$4:$AG$40,$BJ49-3)),IF(OR($BI49=1,$BL49=1,$BH49&gt;0),"–",""))</f>
        <v/>
      </c>
      <c r="AI50" s="75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/>
      </c>
      <c r="BI50">
        <f>IF(50=$BG$5,1,0)</f>
        <v/>
      </c>
      <c r="BJ50">
        <f>IF(OR($BH50&gt;0,$BI50=1,$BL50=1),0,IFERROR(INDEX($BC$5:$BC$41,MATCH(50,$BB$5:$BB$41,0)),0))</f>
        <v/>
      </c>
      <c r="BK50">
        <f>IF($BJ50&gt;0,IF(INDEX($AZ$5:$AZ$41,MATCH(50,$BB$5:$BB$41,0))=10,1,0),IF($BH50=10,1,0))</f>
        <v/>
      </c>
      <c r="BL50">
        <f>IF(50=$BG$4,1,0)</f>
        <v/>
      </c>
    </row>
    <row r="51" ht="15" customHeight="1" s="77">
      <c r="A51" s="67">
        <f>IF($BJ50&gt;0,INDEX($BA$5:$BA$41,MATCH(50,$BB$5:$BB$41,0)),IF(OR($BI50=1,$BL50=1,$BH50&gt;0),"∑",""))</f>
        <v/>
      </c>
      <c r="B51" s="68">
        <f>IF($BJ50&gt;0,IF(INDEX('Final Calculation Sheet'!$F$4:$F$40,$BJ50-3)="","",INDEX('Final Calculation Sheet'!$F$4:$F$40,$BJ50-3)),"")</f>
        <v/>
      </c>
      <c r="C51" s="68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>
        <f>IF($BJ50&gt;0,IF(INDEX('Final Calculation Sheet'!$D$4:$D$40,$BJ50-3)="","",INDEX('Final Calculation Sheet'!$D$4:$D$40,$BJ50-3)),IF(OR($BI50=1,$BL50=1,$BH50&gt;0),"–",""))</f>
        <v/>
      </c>
      <c r="F51" s="69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>
        <f>IF($BJ50&gt;0,IF(INDEX('Final Calculation Sheet'!$E$4:$E$40,$BJ50-3)="","",INDEX('Final Calculation Sheet'!$E$4:$E$40,$BJ50-3)),IF(OR($BI50=1,$BL50=1,$BH50&gt;0),"–",""))</f>
        <v/>
      </c>
      <c r="H51" s="70">
        <f>IF($BJ50&gt;0,IF(INDEX('Final Calculation Sheet'!$C$4:$C$40,$BJ50-3)="","",INDEX('Final Calculation Sheet'!$C$4:$C$40,$BJ50-3)),IF(OR($BI50=1,$BL50=1,$BH50&gt;0),"–",""))</f>
        <v/>
      </c>
      <c r="I51" s="70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>
        <f>IF($BJ50&gt;0,IF(INDEX('Final Calculation Sheet'!$Q$4:$Q$40,$BJ50-3)="","",INDEX('Final Calculation Sheet'!$Q$4:$Q$40,$BJ50-3)),IF(OR($BI50=1,$BL50=1,$BH50&gt;0),"–",""))</f>
        <v/>
      </c>
      <c r="S51" s="70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>
        <f>IF($BJ50&gt;0,IF(INDEX('Final Calculation Sheet'!$V$4:$V$40,$BJ50-3)="","",INDEX('Final Calculation Sheet'!$V$4:$V$40,$BJ50-3)),IF(OR($BI50=1,$BL50=1,$BH50&gt;0),"–",""))</f>
        <v/>
      </c>
      <c r="X51" s="70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>
        <f>IF($BJ50&gt;0,IF(INDEX('Final Calculation Sheet'!$Y$4:$Y$40,$BJ50-3)="","",INDEX('Final Calculation Sheet'!$Y$4:$Y$40,$BJ50-3)),IF(OR($BI50=1,$BL50=1,$BH50&gt;0),"–",""))</f>
        <v/>
      </c>
      <c r="AA51" s="70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>
        <f>IF($BJ50&gt;0,IF(INDEX('Final Calculation Sheet'!$AB$4:$AB$40,$BJ50-3)="","",INDEX('Final Calculation Sheet'!$AB$4:$AB$40,$BJ50-3)),IF(OR($BI50=1,$BL50=1,$BH50&gt;0),"–",""))</f>
        <v/>
      </c>
      <c r="AD51" s="70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>
        <f>IF($BJ50&gt;0,IF(INDEX('Final Calculation Sheet'!$AE$4:$AE$40,$BJ50-3)="","",INDEX('Final Calculation Sheet'!$AE$4:$AE$40,$BJ50-3)),IF(OR($BI50=1,$BL50=1,$BH50&gt;0),"–",""))</f>
        <v/>
      </c>
      <c r="AG51" s="74">
        <f>IF($BJ50&gt;0,IF(INDEX('Final Calculation Sheet'!$AF$4:$AF$40,$BJ50-3)="","",INDEX('Final Calculation Sheet'!$AF$4:$AF$40,$BJ50-3)),IF(OR($BI50=1,$BL50=1,$BH50&gt;0),"–",""))</f>
        <v/>
      </c>
      <c r="AH51" s="70">
        <f>IF($BJ50&gt;0,IF(INDEX('Final Calculation Sheet'!$AG$4:$AG$40,$BJ50-3)="","",INDEX('Final Calculation Sheet'!$AG$4:$AG$40,$BJ50-3)),IF(OR($BI50=1,$BL50=1,$BH50&gt;0),"–",""))</f>
        <v/>
      </c>
      <c r="AI51" s="75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/>
      </c>
      <c r="BI51">
        <f>IF(51=$BG$5,1,0)</f>
        <v/>
      </c>
      <c r="BJ51">
        <f>IF(OR($BH51&gt;0,$BI51=1,$BL51=1),0,IFERROR(INDEX($BC$5:$BC$41,MATCH(51,$BB$5:$BB$41,0)),0))</f>
        <v/>
      </c>
      <c r="BK51">
        <f>IF($BJ51&gt;0,IF(INDEX($AZ$5:$AZ$41,MATCH(51,$BB$5:$BB$41,0))=10,1,0),IF($BH51=10,1,0))</f>
        <v/>
      </c>
      <c r="BL51">
        <f>IF(51=$BG$4,1,0)</f>
        <v/>
      </c>
    </row>
    <row r="52" ht="15" customHeight="1" s="77">
      <c r="A52" s="67">
        <f>IF($BJ51&gt;0,INDEX($BA$5:$BA$41,MATCH(51,$BB$5:$BB$41,0)),IF(OR($BI51=1,$BL51=1,$BH51&gt;0),"∑",""))</f>
        <v/>
      </c>
      <c r="B52" s="68">
        <f>IF($BJ51&gt;0,IF(INDEX('Final Calculation Sheet'!$F$4:$F$40,$BJ51-3)="","",INDEX('Final Calculation Sheet'!$F$4:$F$40,$BJ51-3)),"")</f>
        <v/>
      </c>
      <c r="C52" s="68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>
        <f>IF($BJ51&gt;0,IF(INDEX('Final Calculation Sheet'!$D$4:$D$40,$BJ51-3)="","",INDEX('Final Calculation Sheet'!$D$4:$D$40,$BJ51-3)),IF(OR($BI51=1,$BL51=1,$BH51&gt;0),"–",""))</f>
        <v/>
      </c>
      <c r="F52" s="69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>
        <f>IF($BJ51&gt;0,IF(INDEX('Final Calculation Sheet'!$E$4:$E$40,$BJ51-3)="","",INDEX('Final Calculation Sheet'!$E$4:$E$40,$BJ51-3)),IF(OR($BI51=1,$BL51=1,$BH51&gt;0),"–",""))</f>
        <v/>
      </c>
      <c r="H52" s="70">
        <f>IF($BJ51&gt;0,IF(INDEX('Final Calculation Sheet'!$C$4:$C$40,$BJ51-3)="","",INDEX('Final Calculation Sheet'!$C$4:$C$40,$BJ51-3)),IF(OR($BI51=1,$BL51=1,$BH51&gt;0),"–",""))</f>
        <v/>
      </c>
      <c r="I52" s="70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>
        <f>IF($BJ51&gt;0,IF(INDEX('Final Calculation Sheet'!$Q$4:$Q$40,$BJ51-3)="","",INDEX('Final Calculation Sheet'!$Q$4:$Q$40,$BJ51-3)),IF(OR($BI51=1,$BL51=1,$BH51&gt;0),"–",""))</f>
        <v/>
      </c>
      <c r="S52" s="70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>
        <f>IF($BJ51&gt;0,IF(INDEX('Final Calculation Sheet'!$V$4:$V$40,$BJ51-3)="","",INDEX('Final Calculation Sheet'!$V$4:$V$40,$BJ51-3)),IF(OR($BI51=1,$BL51=1,$BH51&gt;0),"–",""))</f>
        <v/>
      </c>
      <c r="X52" s="70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>
        <f>IF($BJ51&gt;0,IF(INDEX('Final Calculation Sheet'!$Y$4:$Y$40,$BJ51-3)="","",INDEX('Final Calculation Sheet'!$Y$4:$Y$40,$BJ51-3)),IF(OR($BI51=1,$BL51=1,$BH51&gt;0),"–",""))</f>
        <v/>
      </c>
      <c r="AA52" s="70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>
        <f>IF($BJ51&gt;0,IF(INDEX('Final Calculation Sheet'!$AB$4:$AB$40,$BJ51-3)="","",INDEX('Final Calculation Sheet'!$AB$4:$AB$40,$BJ51-3)),IF(OR($BI51=1,$BL51=1,$BH51&gt;0),"–",""))</f>
        <v/>
      </c>
      <c r="AD52" s="70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>
        <f>IF($BJ51&gt;0,IF(INDEX('Final Calculation Sheet'!$AE$4:$AE$40,$BJ51-3)="","",INDEX('Final Calculation Sheet'!$AE$4:$AE$40,$BJ51-3)),IF(OR($BI51=1,$BL51=1,$BH51&gt;0),"–",""))</f>
        <v/>
      </c>
      <c r="AG52" s="74">
        <f>IF($BJ51&gt;0,IF(INDEX('Final Calculation Sheet'!$AF$4:$AF$40,$BJ51-3)="","",INDEX('Final Calculation Sheet'!$AF$4:$AF$40,$BJ51-3)),IF(OR($BI51=1,$BL51=1,$BH51&gt;0),"–",""))</f>
        <v/>
      </c>
      <c r="AH52" s="70">
        <f>IF($BJ51&gt;0,IF(INDEX('Final Calculation Sheet'!$AG$4:$AG$40,$BJ51-3)="","",INDEX('Final Calculation Sheet'!$AG$4:$AG$40,$BJ51-3)),IF(OR($BI51=1,$BL51=1,$BH51&gt;0),"–",""))</f>
        <v/>
      </c>
      <c r="AI52" s="75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/>
      </c>
      <c r="BI52">
        <f>IF(52=$BG$5,1,0)</f>
        <v/>
      </c>
      <c r="BJ52">
        <f>IF(OR($BH52&gt;0,$BI52=1,$BL52=1),0,IFERROR(INDEX($BC$5:$BC$41,MATCH(52,$BB$5:$BB$41,0)),0))</f>
        <v/>
      </c>
      <c r="BK52">
        <f>IF($BJ52&gt;0,IF(INDEX($AZ$5:$AZ$41,MATCH(52,$BB$5:$BB$41,0))=10,1,0),IF($BH52=10,1,0))</f>
        <v/>
      </c>
      <c r="BL52">
        <f>IF(52=$BG$4,1,0)</f>
        <v/>
      </c>
    </row>
    <row r="53" ht="15" customHeight="1" s="77">
      <c r="A53" s="67">
        <f>IF($BJ52&gt;0,INDEX($BA$5:$BA$41,MATCH(52,$BB$5:$BB$41,0)),IF(OR($BI52=1,$BL52=1,$BH52&gt;0),"∑",""))</f>
        <v/>
      </c>
      <c r="B53" s="68">
        <f>IF($BJ52&gt;0,IF(INDEX('Final Calculation Sheet'!$F$4:$F$40,$BJ52-3)="","",INDEX('Final Calculation Sheet'!$F$4:$F$40,$BJ52-3)),"")</f>
        <v/>
      </c>
      <c r="C53" s="68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>
        <f>IF($BJ52&gt;0,IF(INDEX('Final Calculation Sheet'!$D$4:$D$40,$BJ52-3)="","",INDEX('Final Calculation Sheet'!$D$4:$D$40,$BJ52-3)),IF(OR($BI52=1,$BL52=1,$BH52&gt;0),"–",""))</f>
        <v/>
      </c>
      <c r="F53" s="69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>
        <f>IF($BJ52&gt;0,IF(INDEX('Final Calculation Sheet'!$E$4:$E$40,$BJ52-3)="","",INDEX('Final Calculation Sheet'!$E$4:$E$40,$BJ52-3)),IF(OR($BI52=1,$BL52=1,$BH52&gt;0),"–",""))</f>
        <v/>
      </c>
      <c r="H53" s="70">
        <f>IF($BJ52&gt;0,IF(INDEX('Final Calculation Sheet'!$C$4:$C$40,$BJ52-3)="","",INDEX('Final Calculation Sheet'!$C$4:$C$40,$BJ52-3)),IF(OR($BI52=1,$BL52=1,$BH52&gt;0),"–",""))</f>
        <v/>
      </c>
      <c r="I53" s="70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>
        <f>IF($BJ52&gt;0,IF(INDEX('Final Calculation Sheet'!$Q$4:$Q$40,$BJ52-3)="","",INDEX('Final Calculation Sheet'!$Q$4:$Q$40,$BJ52-3)),IF(OR($BI52=1,$BL52=1,$BH52&gt;0),"–",""))</f>
        <v/>
      </c>
      <c r="S53" s="70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>
        <f>IF($BJ52&gt;0,IF(INDEX('Final Calculation Sheet'!$V$4:$V$40,$BJ52-3)="","",INDEX('Final Calculation Sheet'!$V$4:$V$40,$BJ52-3)),IF(OR($BI52=1,$BL52=1,$BH52&gt;0),"–",""))</f>
        <v/>
      </c>
      <c r="X53" s="70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>
        <f>IF($BJ52&gt;0,IF(INDEX('Final Calculation Sheet'!$Y$4:$Y$40,$BJ52-3)="","",INDEX('Final Calculation Sheet'!$Y$4:$Y$40,$BJ52-3)),IF(OR($BI52=1,$BL52=1,$BH52&gt;0),"–",""))</f>
        <v/>
      </c>
      <c r="AA53" s="70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>
        <f>IF($BJ52&gt;0,IF(INDEX('Final Calculation Sheet'!$AB$4:$AB$40,$BJ52-3)="","",INDEX('Final Calculation Sheet'!$AB$4:$AB$40,$BJ52-3)),IF(OR($BI52=1,$BL52=1,$BH52&gt;0),"–",""))</f>
        <v/>
      </c>
      <c r="AD53" s="70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>
        <f>IF($BJ52&gt;0,IF(INDEX('Final Calculation Sheet'!$AE$4:$AE$40,$BJ52-3)="","",INDEX('Final Calculation Sheet'!$AE$4:$AE$40,$BJ52-3)),IF(OR($BI52=1,$BL52=1,$BH52&gt;0),"–",""))</f>
        <v/>
      </c>
      <c r="AG53" s="74">
        <f>IF($BJ52&gt;0,IF(INDEX('Final Calculation Sheet'!$AF$4:$AF$40,$BJ52-3)="","",INDEX('Final Calculation Sheet'!$AF$4:$AF$40,$BJ52-3)),IF(OR($BI52=1,$BL52=1,$BH52&gt;0),"–",""))</f>
        <v/>
      </c>
      <c r="AH53" s="70">
        <f>IF($BJ52&gt;0,IF(INDEX('Final Calculation Sheet'!$AG$4:$AG$40,$BJ52-3)="","",INDEX('Final Calculation Sheet'!$AG$4:$AG$40,$BJ52-3)),IF(OR($BI52=1,$BL52=1,$BH52&gt;0),"–",""))</f>
        <v/>
      </c>
      <c r="AI53" s="75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/>
      </c>
      <c r="BI53">
        <f>IF(53=$BG$5,1,0)</f>
        <v/>
      </c>
      <c r="BJ53">
        <f>IF(OR($BH53&gt;0,$BI53=1,$BL53=1),0,IFERROR(INDEX($BC$5:$BC$41,MATCH(53,$BB$5:$BB$41,0)),0))</f>
        <v/>
      </c>
      <c r="BK53">
        <f>IF($BJ53&gt;0,IF(INDEX($AZ$5:$AZ$41,MATCH(53,$BB$5:$BB$41,0))=10,1,0),IF($BH53=10,1,0))</f>
        <v/>
      </c>
      <c r="BL53">
        <f>IF(53=$BG$4,1,0)</f>
        <v/>
      </c>
    </row>
    <row r="54" ht="15" customHeight="1" s="77">
      <c r="A54" s="67">
        <f>IF($BJ53&gt;0,INDEX($BA$5:$BA$41,MATCH(53,$BB$5:$BB$41,0)),IF(OR($BI53=1,$BL53=1,$BH53&gt;0),"∑",""))</f>
        <v/>
      </c>
      <c r="B54" s="68">
        <f>IF($BJ53&gt;0,IF(INDEX('Final Calculation Sheet'!$F$4:$F$40,$BJ53-3)="","",INDEX('Final Calculation Sheet'!$F$4:$F$40,$BJ53-3)),"")</f>
        <v/>
      </c>
      <c r="C54" s="68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>
        <f>IF($BJ53&gt;0,IF(INDEX('Final Calculation Sheet'!$D$4:$D$40,$BJ53-3)="","",INDEX('Final Calculation Sheet'!$D$4:$D$40,$BJ53-3)),IF(OR($BI53=1,$BL53=1,$BH53&gt;0),"–",""))</f>
        <v/>
      </c>
      <c r="F54" s="69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>
        <f>IF($BJ53&gt;0,IF(INDEX('Final Calculation Sheet'!$E$4:$E$40,$BJ53-3)="","",INDEX('Final Calculation Sheet'!$E$4:$E$40,$BJ53-3)),IF(OR($BI53=1,$BL53=1,$BH53&gt;0),"–",""))</f>
        <v/>
      </c>
      <c r="H54" s="70">
        <f>IF($BJ53&gt;0,IF(INDEX('Final Calculation Sheet'!$C$4:$C$40,$BJ53-3)="","",INDEX('Final Calculation Sheet'!$C$4:$C$40,$BJ53-3)),IF(OR($BI53=1,$BL53=1,$BH53&gt;0),"–",""))</f>
        <v/>
      </c>
      <c r="I54" s="70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>
        <f>IF($BJ53&gt;0,IF(INDEX('Final Calculation Sheet'!$Q$4:$Q$40,$BJ53-3)="","",INDEX('Final Calculation Sheet'!$Q$4:$Q$40,$BJ53-3)),IF(OR($BI53=1,$BL53=1,$BH53&gt;0),"–",""))</f>
        <v/>
      </c>
      <c r="S54" s="70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>
        <f>IF($BJ53&gt;0,IF(INDEX('Final Calculation Sheet'!$V$4:$V$40,$BJ53-3)="","",INDEX('Final Calculation Sheet'!$V$4:$V$40,$BJ53-3)),IF(OR($BI53=1,$BL53=1,$BH53&gt;0),"–",""))</f>
        <v/>
      </c>
      <c r="X54" s="70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>
        <f>IF($BJ53&gt;0,IF(INDEX('Final Calculation Sheet'!$Y$4:$Y$40,$BJ53-3)="","",INDEX('Final Calculation Sheet'!$Y$4:$Y$40,$BJ53-3)),IF(OR($BI53=1,$BL53=1,$BH53&gt;0),"–",""))</f>
        <v/>
      </c>
      <c r="AA54" s="70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>
        <f>IF($BJ53&gt;0,IF(INDEX('Final Calculation Sheet'!$AB$4:$AB$40,$BJ53-3)="","",INDEX('Final Calculation Sheet'!$AB$4:$AB$40,$BJ53-3)),IF(OR($BI53=1,$BL53=1,$BH53&gt;0),"–",""))</f>
        <v/>
      </c>
      <c r="AD54" s="70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>
        <f>IF($BJ53&gt;0,IF(INDEX('Final Calculation Sheet'!$AE$4:$AE$40,$BJ53-3)="","",INDEX('Final Calculation Sheet'!$AE$4:$AE$40,$BJ53-3)),IF(OR($BI53=1,$BL53=1,$BH53&gt;0),"–",""))</f>
        <v/>
      </c>
      <c r="AG54" s="74">
        <f>IF($BJ53&gt;0,IF(INDEX('Final Calculation Sheet'!$AF$4:$AF$40,$BJ53-3)="","",INDEX('Final Calculation Sheet'!$AF$4:$AF$40,$BJ53-3)),IF(OR($BI53=1,$BL53=1,$BH53&gt;0),"–",""))</f>
        <v/>
      </c>
      <c r="AH54" s="70">
        <f>IF($BJ53&gt;0,IF(INDEX('Final Calculation Sheet'!$AG$4:$AG$40,$BJ53-3)="","",INDEX('Final Calculation Sheet'!$AG$4:$AG$40,$BJ53-3)),IF(OR($BI53=1,$BL53=1,$BH53&gt;0),"–",""))</f>
        <v/>
      </c>
      <c r="AI54" s="75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priority="1" dxfId="10">
      <formula>AND($B$3&lt;&gt;"",$BK5=1,$BH5=0,$BI5=0)</formula>
    </cfRule>
    <cfRule type="expression" priority="2" dxfId="9">
      <formula>$BH5=10</formula>
    </cfRule>
    <cfRule type="expression" priority="3" dxfId="8">
      <formula>$BI5=1</formula>
    </cfRule>
    <cfRule type="expression" priority="4" dxfId="7">
      <formula>$BL5=1</formula>
    </cfRule>
    <cfRule type="expression" priority="5" dxfId="6">
      <formula>$BH5&gt;0</formula>
    </cfRule>
    <cfRule type="expression" priority="6" dxfId="5">
      <formula>AND($B$3&lt;&gt;"",$BJ5&gt;0,$BK5=0)</formula>
    </cfRule>
    <cfRule type="expression" priority="7" dxfId="4">
      <formula>AND($BJ5&gt;0,MOD($BJ5,2)=0)</formula>
    </cfRule>
  </conditionalFormatting>
  <conditionalFormatting sqref="A6:AI54">
    <cfRule type="expression" priority="11" dxfId="3">
      <formula>OR($BJ5&gt;0,$BH5&gt;0,$BI5=1,$BL5=1)</formula>
    </cfRule>
  </conditionalFormatting>
  <conditionalFormatting sqref="AE6:AE54">
    <cfRule type="cellIs" priority="8" operator="greaterThan" dxfId="2">
      <formula>0</formula>
    </cfRule>
  </conditionalFormatting>
  <conditionalFormatting sqref="AI6:AI54">
    <cfRule type="cellIs" priority="9" operator="equal" dxfId="1">
      <formula>"SETTLED"</formula>
    </cfRule>
    <cfRule type="cellIs" priority="10" operator="equal" dxfId="0">
      <formula>"OUTSTANDING"</formula>
    </cfRule>
  </conditionalFormatting>
  <dataValidations count="2">
    <dataValidation sqref="F3" showDropDown="0" showInputMessage="0" showErrorMessage="0" allowBlank="0" type="list">
      <formula1>$AO$4:$AO$9</formula1>
    </dataValidation>
    <dataValidation sqref="A4:AI4" showDropDown="0" showInputMessage="1" showErrorMessage="0" allowBlank="1" promptTitle="Column wildcard search" prompt="Type text; comma or / means ANY. Use * for any text or ? for one character." type="custom">
      <formula1>1=1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AI5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.85546875" customWidth="1" style="77" min="1" max="1"/>
    <col width="10" customWidth="1" style="77" min="2" max="2"/>
    <col width="30" customWidth="1" style="77" min="3" max="3"/>
    <col outlineLevel="1" width="42" customWidth="1" style="77" min="4" max="4"/>
    <col outlineLevel="1" width="11.7109375" customWidth="1" style="77" min="5" max="5"/>
    <col outlineLevel="1" width="12" customWidth="1" style="77" min="6" max="6"/>
    <col outlineLevel="1" width="11" customWidth="1" style="77" min="7" max="7"/>
    <col outlineLevel="1" width="8.85546875" customWidth="1" style="77" min="8" max="8"/>
    <col width="10.28515625" customWidth="1" style="77" min="9" max="9"/>
    <col width="8.85546875" customWidth="1" style="77" min="10" max="10"/>
    <col width="13.42578125" customWidth="1" style="77" min="11" max="11"/>
    <col width="13" customWidth="1" style="77" min="12" max="12"/>
    <col width="13" customWidth="1" style="77" min="13" max="13"/>
    <col width="13" customWidth="1" style="77" min="14" max="14"/>
    <col width="13" customWidth="1" style="77" min="15" max="15"/>
    <col width="13" customWidth="1" style="77" min="16" max="16"/>
    <col width="13.42578125" customWidth="1" style="77" min="17" max="17"/>
    <col width="13.42578125" customWidth="1" style="77" min="18" max="18"/>
    <col width="13.42578125" customWidth="1" style="77" min="19" max="19"/>
    <col width="13" customWidth="1" style="77" min="20" max="20"/>
    <col width="13.42578125" customWidth="1" style="77" min="21" max="21"/>
    <col width="13.42578125" customWidth="1" style="77" min="22" max="22"/>
    <col width="13" customWidth="1" style="77" min="23" max="23"/>
    <col width="13" customWidth="1" style="77" min="24" max="24"/>
    <col width="13" customWidth="1" style="77" min="25" max="25"/>
    <col width="13" customWidth="1" style="77" min="26" max="26"/>
    <col width="13" customWidth="1" style="77" min="27" max="27"/>
    <col width="13" customWidth="1" style="77" min="28" max="28"/>
    <col width="13" customWidth="1" style="77" min="29" max="29"/>
    <col width="13" customWidth="1" style="77" min="30" max="30"/>
    <col width="13" customWidth="1" style="77" min="31" max="31"/>
    <col width="13" customWidth="1" style="77" min="32" max="32"/>
    <col width="13" customWidth="1" style="77" min="33" max="33"/>
    <col width="13" customWidth="1" style="77" min="34" max="34"/>
    <col width="13" customWidth="1" style="77" min="35" max="35"/>
  </cols>
  <sheetData>
    <row r="1" ht="30" customHeight="1" s="77">
      <c r="A1" s="81" t="inlineStr">
        <is>
          <t>MSTC LIMITED  •  BUYER-WISE GROUPS   (each buyer’s lots in one block with a shaded ∑ subtotal beneath it, a blue TOTAL of every buyer and a green GRAND TOTAL cross-checked to the source at the foot)</t>
        </is>
      </c>
    </row>
    <row r="2" ht="44.1" customHeight="1" s="77">
      <c r="A2" s="76" t="inlineStr">
        <is>
          <t>HOW TO READ  ▶  lots are grouped alphabetically by buyer; the navy ∑ row beneath each block subtotals that buyer only.  •  TOTAL adds the buyer subtotals; GRAND TOTAL sums Final Calculation Sheet directly — the two must always agree.  •  nothing here is typed in: every figure is a live link to Final Calculation Sheet.  •  use the +/- outline control above columns D:H to expand/collapse Lot Name through Rate.</t>
        </is>
      </c>
    </row>
    <row r="3" ht="22" customHeight="1" s="77">
      <c r="A3" s="59" t="inlineStr">
        <is>
          <t>BUYERS  ▸</t>
        </is>
      </c>
      <c r="B3" s="62">
        <f>SUMPRODUCT(1/COUNTIF('Final Calculation Sheet'!$G$4:$G$40,'Final Calculation Sheet'!$G$4:$G$40))</f>
        <v/>
      </c>
      <c r="C3" s="59" t="inlineStr">
        <is>
          <t>LOTS  ▸</t>
        </is>
      </c>
      <c r="D3" s="62">
        <f>COUNTA('Final Calculation Sheet'!$G$4:$G$40)</f>
        <v/>
      </c>
    </row>
    <row r="4" ht="6" customHeight="1" s="77"/>
    <row r="5" ht="44.1" customHeight="1" s="77">
      <c r="A5" s="64" t="inlineStr">
        <is>
          <t>#</t>
        </is>
      </c>
      <c r="B5" s="65" t="inlineStr">
        <is>
          <t>Lot No.</t>
        </is>
      </c>
      <c r="C5" s="65" t="inlineStr">
        <is>
          <t>Buyer</t>
        </is>
      </c>
      <c r="D5" s="65" t="inlineStr">
        <is>
          <t>Lot Name</t>
        </is>
      </c>
      <c r="E5" s="65" t="inlineStr">
        <is>
          <t>Bid Sheet</t>
        </is>
      </c>
      <c r="F5" s="65" t="inlineStr">
        <is>
          <t>Quantity</t>
        </is>
      </c>
      <c r="G5" s="65" t="inlineStr">
        <is>
          <t>Unit</t>
        </is>
      </c>
      <c r="H5" s="65" t="inlineStr">
        <is>
          <t>Rate</t>
        </is>
      </c>
      <c r="I5" s="65" t="inlineStr">
        <is>
          <t>Mat. Value</t>
        </is>
      </c>
      <c r="J5" s="65" t="inlineStr">
        <is>
          <t>GST</t>
        </is>
      </c>
      <c r="K5" s="65" t="inlineStr">
        <is>
          <t>Mat. Value + GST</t>
        </is>
      </c>
      <c r="L5" s="65" t="inlineStr">
        <is>
          <t>TCS</t>
        </is>
      </c>
      <c r="M5" s="65" t="inlineStr">
        <is>
          <t>TDS u/s 194(O)</t>
        </is>
      </c>
      <c r="N5" s="65" t="inlineStr">
        <is>
          <t>Service Charge to MSTC</t>
        </is>
      </c>
      <c r="O5" s="65" t="inlineStr">
        <is>
          <t>TDS u/s 194(H)</t>
        </is>
      </c>
      <c r="P5" s="65" t="inlineStr">
        <is>
          <t>Net Service Charge (post TDS 194H)</t>
        </is>
      </c>
      <c r="Q5" s="65" t="inlineStr">
        <is>
          <t>Service charge to MSTC</t>
        </is>
      </c>
      <c r="R5" s="65" t="inlineStr">
        <is>
          <t>GST TDS Rate</t>
        </is>
      </c>
      <c r="S5" s="65" t="inlineStr">
        <is>
          <t>GST TDS</t>
        </is>
      </c>
      <c r="T5" s="65" t="inlineStr">
        <is>
          <t>Total Receivables in Cash</t>
        </is>
      </c>
      <c r="U5" s="65" t="inlineStr">
        <is>
          <t>Security Deposit (Expected)</t>
        </is>
      </c>
      <c r="V5" s="65" t="inlineStr">
        <is>
          <t>Security Deposit (Received)</t>
        </is>
      </c>
      <c r="W5" s="65" t="inlineStr">
        <is>
          <t>Date of Receipt (col V)</t>
        </is>
      </c>
      <c r="X5" s="65" t="inlineStr">
        <is>
          <t>Final Payment (Expected)</t>
        </is>
      </c>
      <c r="Y5" s="65" t="inlineStr">
        <is>
          <t>Final Payment (Received)</t>
        </is>
      </c>
      <c r="Z5" s="65" t="inlineStr">
        <is>
          <t>Date of Receipt (col Y)</t>
        </is>
      </c>
      <c r="AA5" s="65" t="inlineStr">
        <is>
          <t>LPP Expected</t>
        </is>
      </c>
      <c r="AB5" s="65" t="inlineStr">
        <is>
          <t>LPP Received</t>
        </is>
      </c>
      <c r="AC5" s="65" t="inlineStr">
        <is>
          <t>Date of Recepit of LPP</t>
        </is>
      </c>
      <c r="AD5" s="65" t="inlineStr">
        <is>
          <t>Total Received</t>
        </is>
      </c>
      <c r="AE5" s="65" t="inlineStr">
        <is>
          <t>Outstanding</t>
        </is>
      </c>
      <c r="AF5" s="65" t="inlineStr">
        <is>
          <t>Invoice No.</t>
        </is>
      </c>
      <c r="AG5" s="65" t="inlineStr">
        <is>
          <t>SAP Document</t>
        </is>
      </c>
      <c r="AH5" s="65" t="inlineStr">
        <is>
          <t>Doc./Invoice Date</t>
        </is>
      </c>
      <c r="AI5" s="66" t="inlineStr">
        <is>
          <t>Payment Status</t>
        </is>
      </c>
    </row>
    <row r="6" ht="15" customHeight="1" s="77">
      <c r="A6" s="67" t="n">
        <v>1</v>
      </c>
      <c r="B6" s="68">
        <f>IF('Final Calculation Sheet'!$F$4="","",'Final Calculation Sheet'!$F$4)</f>
        <v/>
      </c>
      <c r="C6" s="68">
        <f>IF('Final Calculation Sheet'!$G$4="","",'Final Calculation Sheet'!$G$4)</f>
        <v/>
      </c>
      <c r="D6" s="69">
        <f>IF('Final Calculation Sheet'!$B$4="","",'Final Calculation Sheet'!$B$4)</f>
        <v/>
      </c>
      <c r="E6" s="69">
        <f>IF('Final Calculation Sheet'!$D$4="","",'Final Calculation Sheet'!$D$4)</f>
        <v/>
      </c>
      <c r="F6" s="69">
        <f>IF('Final Calculation Sheet'!$A$4="","",'Final Calculation Sheet'!$A$4)</f>
        <v/>
      </c>
      <c r="G6" s="69">
        <f>IF('Final Calculation Sheet'!$E$4="","",'Final Calculation Sheet'!$E$4)</f>
        <v/>
      </c>
      <c r="H6" s="70">
        <f>IF('Final Calculation Sheet'!$C$4="","",'Final Calculation Sheet'!$C$4)</f>
        <v/>
      </c>
      <c r="I6" s="70">
        <f>IF('Final Calculation Sheet'!$H$4="","",'Final Calculation Sheet'!$H$4)</f>
        <v/>
      </c>
      <c r="J6" s="70">
        <f>IF('Final Calculation Sheet'!$I$4="","",'Final Calculation Sheet'!$I$4)</f>
        <v/>
      </c>
      <c r="K6" s="70">
        <f>IF('Final Calculation Sheet'!$J$4="","",'Final Calculation Sheet'!$J$4)</f>
        <v/>
      </c>
      <c r="L6" s="70">
        <f>IF('Final Calculation Sheet'!$K$4="","",'Final Calculation Sheet'!$K$4)</f>
        <v/>
      </c>
      <c r="M6" s="70">
        <f>IF('Final Calculation Sheet'!$L$4="","",'Final Calculation Sheet'!$L$4)</f>
        <v/>
      </c>
      <c r="N6" s="70">
        <f>IF('Final Calculation Sheet'!$M$4="","",'Final Calculation Sheet'!$M$4)</f>
        <v/>
      </c>
      <c r="O6" s="71">
        <f>IF('Final Calculation Sheet'!$N$4="","",'Final Calculation Sheet'!$N$4)</f>
        <v/>
      </c>
      <c r="P6" s="70">
        <f>IF('Final Calculation Sheet'!$O$4="","",'Final Calculation Sheet'!$O$4)</f>
        <v/>
      </c>
      <c r="Q6" s="70">
        <f>IF('Final Calculation Sheet'!$P$4="","",'Final Calculation Sheet'!$P$4)</f>
        <v/>
      </c>
      <c r="R6" s="72">
        <f>IF('Final Calculation Sheet'!$Q$4="","",'Final Calculation Sheet'!$Q$4)</f>
        <v/>
      </c>
      <c r="S6" s="70">
        <f>IF('Final Calculation Sheet'!$R$4="","",'Final Calculation Sheet'!$R$4)</f>
        <v/>
      </c>
      <c r="T6" s="70">
        <f>IF('Final Calculation Sheet'!$S$4="","",'Final Calculation Sheet'!$S$4)</f>
        <v/>
      </c>
      <c r="U6" s="70">
        <f>IF('Final Calculation Sheet'!$T$4="","",'Final Calculation Sheet'!$T$4)</f>
        <v/>
      </c>
      <c r="V6" s="73">
        <f>IF('Final Calculation Sheet'!$U$4="","",'Final Calculation Sheet'!$U$4)</f>
        <v/>
      </c>
      <c r="W6" s="70">
        <f>IF('Final Calculation Sheet'!$V$4="","",'Final Calculation Sheet'!$V$4)</f>
        <v/>
      </c>
      <c r="X6" s="70">
        <f>IF('Final Calculation Sheet'!$W$4="","",'Final Calculation Sheet'!$W$4)</f>
        <v/>
      </c>
      <c r="Y6" s="70">
        <f>IF('Final Calculation Sheet'!$X$4="","",'Final Calculation Sheet'!$X$4)</f>
        <v/>
      </c>
      <c r="Z6" s="70">
        <f>IF('Final Calculation Sheet'!$Y$4="","",'Final Calculation Sheet'!$Y$4)</f>
        <v/>
      </c>
      <c r="AA6" s="70">
        <f>IF('Final Calculation Sheet'!$Z$4="","",'Final Calculation Sheet'!$Z$4)</f>
        <v/>
      </c>
      <c r="AB6" s="70">
        <f>IF('Final Calculation Sheet'!$AA$4="","",'Final Calculation Sheet'!$AA$4)</f>
        <v/>
      </c>
      <c r="AC6" s="70">
        <f>IF('Final Calculation Sheet'!$AB$4="","",'Final Calculation Sheet'!$AB$4)</f>
        <v/>
      </c>
      <c r="AD6" s="70">
        <f>IF('Final Calculation Sheet'!$AC$4="","",'Final Calculation Sheet'!$AC$4)</f>
        <v/>
      </c>
      <c r="AE6" s="70">
        <f>IF('Final Calculation Sheet'!$AD$4="","",'Final Calculation Sheet'!$AD$4)</f>
        <v/>
      </c>
      <c r="AF6" s="70">
        <f>IF('Final Calculation Sheet'!$AE$4="","",'Final Calculation Sheet'!$AE$4)</f>
        <v/>
      </c>
      <c r="AG6" s="74">
        <f>IF('Final Calculation Sheet'!$AF$4="","",'Final Calculation Sheet'!$AF$4)</f>
        <v/>
      </c>
      <c r="AH6" s="70">
        <f>IF('Final Calculation Sheet'!$AG$4="","",'Final Calculation Sheet'!$AG$4)</f>
        <v/>
      </c>
      <c r="AI6" s="75">
        <f>IF('Final Calculation Sheet'!$AD$4="","",IF('Final Calculation Sheet'!$AD$4&lt;=0,"SETTLED","OUTSTANDING"))</f>
        <v/>
      </c>
    </row>
    <row r="7" ht="15" customHeight="1" s="77">
      <c r="A7" s="84" t="inlineStr">
        <is>
          <t>∑</t>
        </is>
      </c>
      <c r="B7" s="85" t="n"/>
      <c r="C7" s="85">
        <f>ROWS($C$6:$C$6)&amp;" lot(s)"</f>
        <v/>
      </c>
      <c r="D7" s="85" t="inlineStr">
        <is>
          <t>SUBTOTAL — AL HAMD TRADE CORPORATION</t>
        </is>
      </c>
      <c r="E7" s="85" t="inlineStr">
        <is>
          <t>–</t>
        </is>
      </c>
      <c r="F7" s="85">
        <f>SUM(F6:F6)</f>
        <v/>
      </c>
      <c r="G7" s="85" t="inlineStr">
        <is>
          <t>–</t>
        </is>
      </c>
      <c r="H7" s="86" t="inlineStr">
        <is>
          <t>–</t>
        </is>
      </c>
      <c r="I7" s="86">
        <f>SUM(I6:I6)</f>
        <v/>
      </c>
      <c r="J7" s="86">
        <f>SUM(J6:J6)</f>
        <v/>
      </c>
      <c r="K7" s="86">
        <f>SUM(K6:K6)</f>
        <v/>
      </c>
      <c r="L7" s="86">
        <f>SUM(L6:L6)</f>
        <v/>
      </c>
      <c r="M7" s="86">
        <f>SUM(M6:M6)</f>
        <v/>
      </c>
      <c r="N7" s="86">
        <f>SUM(N6:N6)</f>
        <v/>
      </c>
      <c r="O7" s="87">
        <f>SUM(O6:O6)</f>
        <v/>
      </c>
      <c r="P7" s="86">
        <f>SUM(P6:P6)</f>
        <v/>
      </c>
      <c r="Q7" s="86">
        <f>SUM(Q6:Q6)</f>
        <v/>
      </c>
      <c r="R7" s="88" t="inlineStr">
        <is>
          <t>–</t>
        </is>
      </c>
      <c r="S7" s="86">
        <f>SUM(S6:S6)</f>
        <v/>
      </c>
      <c r="T7" s="86">
        <f>SUM(T6:T6)</f>
        <v/>
      </c>
      <c r="U7" s="86">
        <f>SUM(U6:U6)</f>
        <v/>
      </c>
      <c r="V7" s="89">
        <f>SUM(V6:V6)</f>
        <v/>
      </c>
      <c r="W7" s="86" t="inlineStr">
        <is>
          <t>–</t>
        </is>
      </c>
      <c r="X7" s="86">
        <f>SUM(X6:X6)</f>
        <v/>
      </c>
      <c r="Y7" s="86">
        <f>SUM(Y6:Y6)</f>
        <v/>
      </c>
      <c r="Z7" s="86" t="inlineStr">
        <is>
          <t>–</t>
        </is>
      </c>
      <c r="AA7" s="86">
        <f>SUM(AA6:AA6)</f>
        <v/>
      </c>
      <c r="AB7" s="86">
        <f>SUM(AB6:AB6)</f>
        <v/>
      </c>
      <c r="AC7" s="86" t="inlineStr">
        <is>
          <t>–</t>
        </is>
      </c>
      <c r="AD7" s="86">
        <f>SUM(AD6:AD6)</f>
        <v/>
      </c>
      <c r="AE7" s="86">
        <f>SUM(AE6:AE6)</f>
        <v/>
      </c>
      <c r="AF7" s="86" t="inlineStr">
        <is>
          <t>–</t>
        </is>
      </c>
      <c r="AG7" s="90" t="inlineStr">
        <is>
          <t>–</t>
        </is>
      </c>
      <c r="AH7" s="86" t="inlineStr">
        <is>
          <t>–</t>
        </is>
      </c>
      <c r="AI7" s="91">
        <f>IF(AE7&lt;=0,"SETTLED","OUTSTANDING")</f>
        <v/>
      </c>
    </row>
    <row r="8" ht="15" customHeight="1" s="77">
      <c r="A8" s="67" t="n">
        <v>1</v>
      </c>
      <c r="B8" s="68">
        <f>IF('Final Calculation Sheet'!$F$6="","",'Final Calculation Sheet'!$F$6)</f>
        <v/>
      </c>
      <c r="C8" s="68">
        <f>IF('Final Calculation Sheet'!$G$6="","",'Final Calculation Sheet'!$G$6)</f>
        <v/>
      </c>
      <c r="D8" s="69">
        <f>IF('Final Calculation Sheet'!$B$6="","",'Final Calculation Sheet'!$B$6)</f>
        <v/>
      </c>
      <c r="E8" s="69">
        <f>IF('Final Calculation Sheet'!$D$6="","",'Final Calculation Sheet'!$D$6)</f>
        <v/>
      </c>
      <c r="F8" s="69">
        <f>IF('Final Calculation Sheet'!$A$6="","",'Final Calculation Sheet'!$A$6)</f>
        <v/>
      </c>
      <c r="G8" s="69">
        <f>IF('Final Calculation Sheet'!$E$6="","",'Final Calculation Sheet'!$E$6)</f>
        <v/>
      </c>
      <c r="H8" s="70">
        <f>IF('Final Calculation Sheet'!$C$6="","",'Final Calculation Sheet'!$C$6)</f>
        <v/>
      </c>
      <c r="I8" s="70">
        <f>IF('Final Calculation Sheet'!$H$6="","",'Final Calculation Sheet'!$H$6)</f>
        <v/>
      </c>
      <c r="J8" s="70">
        <f>IF('Final Calculation Sheet'!$I$6="","",'Final Calculation Sheet'!$I$6)</f>
        <v/>
      </c>
      <c r="K8" s="70">
        <f>IF('Final Calculation Sheet'!$J$6="","",'Final Calculation Sheet'!$J$6)</f>
        <v/>
      </c>
      <c r="L8" s="70">
        <f>IF('Final Calculation Sheet'!$K$6="","",'Final Calculation Sheet'!$K$6)</f>
        <v/>
      </c>
      <c r="M8" s="70">
        <f>IF('Final Calculation Sheet'!$L$6="","",'Final Calculation Sheet'!$L$6)</f>
        <v/>
      </c>
      <c r="N8" s="70">
        <f>IF('Final Calculation Sheet'!$M$6="","",'Final Calculation Sheet'!$M$6)</f>
        <v/>
      </c>
      <c r="O8" s="71">
        <f>IF('Final Calculation Sheet'!$N$6="","",'Final Calculation Sheet'!$N$6)</f>
        <v/>
      </c>
      <c r="P8" s="70">
        <f>IF('Final Calculation Sheet'!$O$6="","",'Final Calculation Sheet'!$O$6)</f>
        <v/>
      </c>
      <c r="Q8" s="70">
        <f>IF('Final Calculation Sheet'!$P$6="","",'Final Calculation Sheet'!$P$6)</f>
        <v/>
      </c>
      <c r="R8" s="72">
        <f>IF('Final Calculation Sheet'!$Q$6="","",'Final Calculation Sheet'!$Q$6)</f>
        <v/>
      </c>
      <c r="S8" s="70">
        <f>IF('Final Calculation Sheet'!$R$6="","",'Final Calculation Sheet'!$R$6)</f>
        <v/>
      </c>
      <c r="T8" s="70">
        <f>IF('Final Calculation Sheet'!$S$6="","",'Final Calculation Sheet'!$S$6)</f>
        <v/>
      </c>
      <c r="U8" s="70">
        <f>IF('Final Calculation Sheet'!$T$6="","",'Final Calculation Sheet'!$T$6)</f>
        <v/>
      </c>
      <c r="V8" s="73">
        <f>IF('Final Calculation Sheet'!$U$6="","",'Final Calculation Sheet'!$U$6)</f>
        <v/>
      </c>
      <c r="W8" s="70">
        <f>IF('Final Calculation Sheet'!$V$6="","",'Final Calculation Sheet'!$V$6)</f>
        <v/>
      </c>
      <c r="X8" s="70">
        <f>IF('Final Calculation Sheet'!$W$6="","",'Final Calculation Sheet'!$W$6)</f>
        <v/>
      </c>
      <c r="Y8" s="70">
        <f>IF('Final Calculation Sheet'!$X$6="","",'Final Calculation Sheet'!$X$6)</f>
        <v/>
      </c>
      <c r="Z8" s="70">
        <f>IF('Final Calculation Sheet'!$Y$6="","",'Final Calculation Sheet'!$Y$6)</f>
        <v/>
      </c>
      <c r="AA8" s="70">
        <f>IF('Final Calculation Sheet'!$Z$6="","",'Final Calculation Sheet'!$Z$6)</f>
        <v/>
      </c>
      <c r="AB8" s="70">
        <f>IF('Final Calculation Sheet'!$AA$6="","",'Final Calculation Sheet'!$AA$6)</f>
        <v/>
      </c>
      <c r="AC8" s="70">
        <f>IF('Final Calculation Sheet'!$AB$6="","",'Final Calculation Sheet'!$AB$6)</f>
        <v/>
      </c>
      <c r="AD8" s="70">
        <f>IF('Final Calculation Sheet'!$AC$6="","",'Final Calculation Sheet'!$AC$6)</f>
        <v/>
      </c>
      <c r="AE8" s="70">
        <f>IF('Final Calculation Sheet'!$AD$6="","",'Final Calculation Sheet'!$AD$6)</f>
        <v/>
      </c>
      <c r="AF8" s="70">
        <f>IF('Final Calculation Sheet'!$AE$6="","",'Final Calculation Sheet'!$AE$6)</f>
        <v/>
      </c>
      <c r="AG8" s="74">
        <f>IF('Final Calculation Sheet'!$AF$6="","",'Final Calculation Sheet'!$AF$6)</f>
        <v/>
      </c>
      <c r="AH8" s="70">
        <f>IF('Final Calculation Sheet'!$AG$6="","",'Final Calculation Sheet'!$AG$6)</f>
        <v/>
      </c>
      <c r="AI8" s="75">
        <f>IF('Final Calculation Sheet'!$AD$6="","",IF('Final Calculation Sheet'!$AD$6&lt;=0,"SETTLED","OUTSTANDING"))</f>
        <v/>
      </c>
    </row>
    <row r="9" ht="15" customHeight="1" s="77">
      <c r="A9" s="67" t="n">
        <v>2</v>
      </c>
      <c r="B9" s="68">
        <f>IF('Final Calculation Sheet'!$F$7="","",'Final Calculation Sheet'!$F$7)</f>
        <v/>
      </c>
      <c r="C9" s="68">
        <f>IF('Final Calculation Sheet'!$G$7="","",'Final Calculation Sheet'!$G$7)</f>
        <v/>
      </c>
      <c r="D9" s="69">
        <f>IF('Final Calculation Sheet'!$B$7="","",'Final Calculation Sheet'!$B$7)</f>
        <v/>
      </c>
      <c r="E9" s="69">
        <f>IF('Final Calculation Sheet'!$D$7="","",'Final Calculation Sheet'!$D$7)</f>
        <v/>
      </c>
      <c r="F9" s="69">
        <f>IF('Final Calculation Sheet'!$A$7="","",'Final Calculation Sheet'!$A$7)</f>
        <v/>
      </c>
      <c r="G9" s="69">
        <f>IF('Final Calculation Sheet'!$E$7="","",'Final Calculation Sheet'!$E$7)</f>
        <v/>
      </c>
      <c r="H9" s="70">
        <f>IF('Final Calculation Sheet'!$C$7="","",'Final Calculation Sheet'!$C$7)</f>
        <v/>
      </c>
      <c r="I9" s="70">
        <f>IF('Final Calculation Sheet'!$H$7="","",'Final Calculation Sheet'!$H$7)</f>
        <v/>
      </c>
      <c r="J9" s="70">
        <f>IF('Final Calculation Sheet'!$I$7="","",'Final Calculation Sheet'!$I$7)</f>
        <v/>
      </c>
      <c r="K9" s="70">
        <f>IF('Final Calculation Sheet'!$J$7="","",'Final Calculation Sheet'!$J$7)</f>
        <v/>
      </c>
      <c r="L9" s="70">
        <f>IF('Final Calculation Sheet'!$K$7="","",'Final Calculation Sheet'!$K$7)</f>
        <v/>
      </c>
      <c r="M9" s="70">
        <f>IF('Final Calculation Sheet'!$L$7="","",'Final Calculation Sheet'!$L$7)</f>
        <v/>
      </c>
      <c r="N9" s="70">
        <f>IF('Final Calculation Sheet'!$M$7="","",'Final Calculation Sheet'!$M$7)</f>
        <v/>
      </c>
      <c r="O9" s="71">
        <f>IF('Final Calculation Sheet'!$N$7="","",'Final Calculation Sheet'!$N$7)</f>
        <v/>
      </c>
      <c r="P9" s="70">
        <f>IF('Final Calculation Sheet'!$O$7="","",'Final Calculation Sheet'!$O$7)</f>
        <v/>
      </c>
      <c r="Q9" s="70">
        <f>IF('Final Calculation Sheet'!$P$7="","",'Final Calculation Sheet'!$P$7)</f>
        <v/>
      </c>
      <c r="R9" s="72">
        <f>IF('Final Calculation Sheet'!$Q$7="","",'Final Calculation Sheet'!$Q$7)</f>
        <v/>
      </c>
      <c r="S9" s="70">
        <f>IF('Final Calculation Sheet'!$R$7="","",'Final Calculation Sheet'!$R$7)</f>
        <v/>
      </c>
      <c r="T9" s="70">
        <f>IF('Final Calculation Sheet'!$S$7="","",'Final Calculation Sheet'!$S$7)</f>
        <v/>
      </c>
      <c r="U9" s="70">
        <f>IF('Final Calculation Sheet'!$T$7="","",'Final Calculation Sheet'!$T$7)</f>
        <v/>
      </c>
      <c r="V9" s="73">
        <f>IF('Final Calculation Sheet'!$U$7="","",'Final Calculation Sheet'!$U$7)</f>
        <v/>
      </c>
      <c r="W9" s="70">
        <f>IF('Final Calculation Sheet'!$V$7="","",'Final Calculation Sheet'!$V$7)</f>
        <v/>
      </c>
      <c r="X9" s="70">
        <f>IF('Final Calculation Sheet'!$W$7="","",'Final Calculation Sheet'!$W$7)</f>
        <v/>
      </c>
      <c r="Y9" s="70">
        <f>IF('Final Calculation Sheet'!$X$7="","",'Final Calculation Sheet'!$X$7)</f>
        <v/>
      </c>
      <c r="Z9" s="70">
        <f>IF('Final Calculation Sheet'!$Y$7="","",'Final Calculation Sheet'!$Y$7)</f>
        <v/>
      </c>
      <c r="AA9" s="70">
        <f>IF('Final Calculation Sheet'!$Z$7="","",'Final Calculation Sheet'!$Z$7)</f>
        <v/>
      </c>
      <c r="AB9" s="70">
        <f>IF('Final Calculation Sheet'!$AA$7="","",'Final Calculation Sheet'!$AA$7)</f>
        <v/>
      </c>
      <c r="AC9" s="70">
        <f>IF('Final Calculation Sheet'!$AB$7="","",'Final Calculation Sheet'!$AB$7)</f>
        <v/>
      </c>
      <c r="AD9" s="70">
        <f>IF('Final Calculation Sheet'!$AC$7="","",'Final Calculation Sheet'!$AC$7)</f>
        <v/>
      </c>
      <c r="AE9" s="70">
        <f>IF('Final Calculation Sheet'!$AD$7="","",'Final Calculation Sheet'!$AD$7)</f>
        <v/>
      </c>
      <c r="AF9" s="70">
        <f>IF('Final Calculation Sheet'!$AE$7="","",'Final Calculation Sheet'!$AE$7)</f>
        <v/>
      </c>
      <c r="AG9" s="74">
        <f>IF('Final Calculation Sheet'!$AF$7="","",'Final Calculation Sheet'!$AF$7)</f>
        <v/>
      </c>
      <c r="AH9" s="70">
        <f>IF('Final Calculation Sheet'!$AG$7="","",'Final Calculation Sheet'!$AG$7)</f>
        <v/>
      </c>
      <c r="AI9" s="75">
        <f>IF('Final Calculation Sheet'!$AD$7="","",IF('Final Calculation Sheet'!$AD$7&lt;=0,"SETTLED","OUTSTANDING"))</f>
        <v/>
      </c>
    </row>
    <row r="10" ht="15" customHeight="1" s="77">
      <c r="A10" s="84" t="inlineStr">
        <is>
          <t>∑</t>
        </is>
      </c>
      <c r="B10" s="85" t="n"/>
      <c r="C10" s="85">
        <f>ROWS($C$8:$C$9)&amp;" lot(s)"</f>
        <v/>
      </c>
      <c r="D10" s="85" t="inlineStr">
        <is>
          <t>SUBTOTAL — F R KHANS ENTERPRISES</t>
        </is>
      </c>
      <c r="E10" s="85" t="inlineStr">
        <is>
          <t>–</t>
        </is>
      </c>
      <c r="F10" s="85">
        <f>SUM(F8:F9)</f>
        <v/>
      </c>
      <c r="G10" s="85" t="inlineStr">
        <is>
          <t>–</t>
        </is>
      </c>
      <c r="H10" s="86" t="inlineStr">
        <is>
          <t>–</t>
        </is>
      </c>
      <c r="I10" s="86">
        <f>SUM(I8:I9)</f>
        <v/>
      </c>
      <c r="J10" s="86">
        <f>SUM(J8:J9)</f>
        <v/>
      </c>
      <c r="K10" s="86">
        <f>SUM(K8:K9)</f>
        <v/>
      </c>
      <c r="L10" s="86">
        <f>SUM(L8:L9)</f>
        <v/>
      </c>
      <c r="M10" s="86">
        <f>SUM(M8:M9)</f>
        <v/>
      </c>
      <c r="N10" s="86">
        <f>SUM(N8:N9)</f>
        <v/>
      </c>
      <c r="O10" s="87">
        <f>SUM(O8:O9)</f>
        <v/>
      </c>
      <c r="P10" s="86">
        <f>SUM(P8:P9)</f>
        <v/>
      </c>
      <c r="Q10" s="86">
        <f>SUM(Q8:Q9)</f>
        <v/>
      </c>
      <c r="R10" s="88" t="inlineStr">
        <is>
          <t>–</t>
        </is>
      </c>
      <c r="S10" s="86">
        <f>SUM(S8:S9)</f>
        <v/>
      </c>
      <c r="T10" s="86">
        <f>SUM(T8:T9)</f>
        <v/>
      </c>
      <c r="U10" s="86">
        <f>SUM(U8:U9)</f>
        <v/>
      </c>
      <c r="V10" s="89">
        <f>SUM(V8:V9)</f>
        <v/>
      </c>
      <c r="W10" s="86" t="inlineStr">
        <is>
          <t>–</t>
        </is>
      </c>
      <c r="X10" s="86">
        <f>SUM(X8:X9)</f>
        <v/>
      </c>
      <c r="Y10" s="86">
        <f>SUM(Y8:Y9)</f>
        <v/>
      </c>
      <c r="Z10" s="86" t="inlineStr">
        <is>
          <t>–</t>
        </is>
      </c>
      <c r="AA10" s="86">
        <f>SUM(AA8:AA9)</f>
        <v/>
      </c>
      <c r="AB10" s="86">
        <f>SUM(AB8:AB9)</f>
        <v/>
      </c>
      <c r="AC10" s="86" t="inlineStr">
        <is>
          <t>–</t>
        </is>
      </c>
      <c r="AD10" s="86">
        <f>SUM(AD8:AD9)</f>
        <v/>
      </c>
      <c r="AE10" s="86">
        <f>SUM(AE8:AE9)</f>
        <v/>
      </c>
      <c r="AF10" s="86" t="inlineStr">
        <is>
          <t>–</t>
        </is>
      </c>
      <c r="AG10" s="90" t="inlineStr">
        <is>
          <t>–</t>
        </is>
      </c>
      <c r="AH10" s="86" t="inlineStr">
        <is>
          <t>–</t>
        </is>
      </c>
      <c r="AI10" s="91">
        <f>IF(AE10&lt;=0,"SETTLED","OUTSTANDING")</f>
        <v/>
      </c>
    </row>
    <row r="11" ht="15" customHeight="1" s="77">
      <c r="A11" s="67" t="n">
        <v>1</v>
      </c>
      <c r="B11" s="68">
        <f>IF('Final Calculation Sheet'!$F$15="","",'Final Calculation Sheet'!$F$15)</f>
        <v/>
      </c>
      <c r="C11" s="68">
        <f>IF('Final Calculation Sheet'!$G$15="","",'Final Calculation Sheet'!$G$15)</f>
        <v/>
      </c>
      <c r="D11" s="69">
        <f>IF('Final Calculation Sheet'!$B$15="","",'Final Calculation Sheet'!$B$15)</f>
        <v/>
      </c>
      <c r="E11" s="69">
        <f>IF('Final Calculation Sheet'!$D$15="","",'Final Calculation Sheet'!$D$15)</f>
        <v/>
      </c>
      <c r="F11" s="69">
        <f>IF('Final Calculation Sheet'!$A$15="","",'Final Calculation Sheet'!$A$15)</f>
        <v/>
      </c>
      <c r="G11" s="69">
        <f>IF('Final Calculation Sheet'!$E$15="","",'Final Calculation Sheet'!$E$15)</f>
        <v/>
      </c>
      <c r="H11" s="70">
        <f>IF('Final Calculation Sheet'!$C$15="","",'Final Calculation Sheet'!$C$15)</f>
        <v/>
      </c>
      <c r="I11" s="70">
        <f>IF('Final Calculation Sheet'!$H$15="","",'Final Calculation Sheet'!$H$15)</f>
        <v/>
      </c>
      <c r="J11" s="70">
        <f>IF('Final Calculation Sheet'!$I$15="","",'Final Calculation Sheet'!$I$15)</f>
        <v/>
      </c>
      <c r="K11" s="70">
        <f>IF('Final Calculation Sheet'!$J$15="","",'Final Calculation Sheet'!$J$15)</f>
        <v/>
      </c>
      <c r="L11" s="70">
        <f>IF('Final Calculation Sheet'!$K$15="","",'Final Calculation Sheet'!$K$15)</f>
        <v/>
      </c>
      <c r="M11" s="70">
        <f>IF('Final Calculation Sheet'!$L$15="","",'Final Calculation Sheet'!$L$15)</f>
        <v/>
      </c>
      <c r="N11" s="70">
        <f>IF('Final Calculation Sheet'!$M$15="","",'Final Calculation Sheet'!$M$15)</f>
        <v/>
      </c>
      <c r="O11" s="71">
        <f>IF('Final Calculation Sheet'!$N$15="","",'Final Calculation Sheet'!$N$15)</f>
        <v/>
      </c>
      <c r="P11" s="70">
        <f>IF('Final Calculation Sheet'!$O$15="","",'Final Calculation Sheet'!$O$15)</f>
        <v/>
      </c>
      <c r="Q11" s="70">
        <f>IF('Final Calculation Sheet'!$P$15="","",'Final Calculation Sheet'!$P$15)</f>
        <v/>
      </c>
      <c r="R11" s="72">
        <f>IF('Final Calculation Sheet'!$Q$15="","",'Final Calculation Sheet'!$Q$15)</f>
        <v/>
      </c>
      <c r="S11" s="70">
        <f>IF('Final Calculation Sheet'!$R$15="","",'Final Calculation Sheet'!$R$15)</f>
        <v/>
      </c>
      <c r="T11" s="70">
        <f>IF('Final Calculation Sheet'!$S$15="","",'Final Calculation Sheet'!$S$15)</f>
        <v/>
      </c>
      <c r="U11" s="70">
        <f>IF('Final Calculation Sheet'!$T$15="","",'Final Calculation Sheet'!$T$15)</f>
        <v/>
      </c>
      <c r="V11" s="73">
        <f>IF('Final Calculation Sheet'!$U$15="","",'Final Calculation Sheet'!$U$15)</f>
        <v/>
      </c>
      <c r="W11" s="70">
        <f>IF('Final Calculation Sheet'!$V$15="","",'Final Calculation Sheet'!$V$15)</f>
        <v/>
      </c>
      <c r="X11" s="70">
        <f>IF('Final Calculation Sheet'!$W$15="","",'Final Calculation Sheet'!$W$15)</f>
        <v/>
      </c>
      <c r="Y11" s="70">
        <f>IF('Final Calculation Sheet'!$X$15="","",'Final Calculation Sheet'!$X$15)</f>
        <v/>
      </c>
      <c r="Z11" s="70">
        <f>IF('Final Calculation Sheet'!$Y$15="","",'Final Calculation Sheet'!$Y$15)</f>
        <v/>
      </c>
      <c r="AA11" s="70">
        <f>IF('Final Calculation Sheet'!$Z$15="","",'Final Calculation Sheet'!$Z$15)</f>
        <v/>
      </c>
      <c r="AB11" s="70">
        <f>IF('Final Calculation Sheet'!$AA$15="","",'Final Calculation Sheet'!$AA$15)</f>
        <v/>
      </c>
      <c r="AC11" s="70">
        <f>IF('Final Calculation Sheet'!$AB$15="","",'Final Calculation Sheet'!$AB$15)</f>
        <v/>
      </c>
      <c r="AD11" s="70">
        <f>IF('Final Calculation Sheet'!$AC$15="","",'Final Calculation Sheet'!$AC$15)</f>
        <v/>
      </c>
      <c r="AE11" s="70">
        <f>IF('Final Calculation Sheet'!$AD$15="","",'Final Calculation Sheet'!$AD$15)</f>
        <v/>
      </c>
      <c r="AF11" s="70">
        <f>IF('Final Calculation Sheet'!$AE$15="","",'Final Calculation Sheet'!$AE$15)</f>
        <v/>
      </c>
      <c r="AG11" s="74">
        <f>IF('Final Calculation Sheet'!$AF$15="","",'Final Calculation Sheet'!$AF$15)</f>
        <v/>
      </c>
      <c r="AH11" s="70">
        <f>IF('Final Calculation Sheet'!$AG$15="","",'Final Calculation Sheet'!$AG$15)</f>
        <v/>
      </c>
      <c r="AI11" s="75">
        <f>IF('Final Calculation Sheet'!$AD$15="","",IF('Final Calculation Sheet'!$AD$15&lt;=0,"SETTLED","OUTSTANDING"))</f>
        <v/>
      </c>
    </row>
    <row r="12" ht="15" customHeight="1" s="77">
      <c r="A12" s="84" t="inlineStr">
        <is>
          <t>∑</t>
        </is>
      </c>
      <c r="B12" s="85" t="n"/>
      <c r="C12" s="85">
        <f>ROWS($C$11:$C$11)&amp;" lot(s)"</f>
        <v/>
      </c>
      <c r="D12" s="85" t="inlineStr">
        <is>
          <t>SUBTOTAL — HIND TRADERS</t>
        </is>
      </c>
      <c r="E12" s="85" t="inlineStr">
        <is>
          <t>–</t>
        </is>
      </c>
      <c r="F12" s="85">
        <f>SUM(F11:F11)</f>
        <v/>
      </c>
      <c r="G12" s="85" t="inlineStr">
        <is>
          <t>–</t>
        </is>
      </c>
      <c r="H12" s="86" t="inlineStr">
        <is>
          <t>–</t>
        </is>
      </c>
      <c r="I12" s="86">
        <f>SUM(I11:I11)</f>
        <v/>
      </c>
      <c r="J12" s="86">
        <f>SUM(J11:J11)</f>
        <v/>
      </c>
      <c r="K12" s="86">
        <f>SUM(K11:K11)</f>
        <v/>
      </c>
      <c r="L12" s="86">
        <f>SUM(L11:L11)</f>
        <v/>
      </c>
      <c r="M12" s="86">
        <f>SUM(M11:M11)</f>
        <v/>
      </c>
      <c r="N12" s="86">
        <f>SUM(N11:N11)</f>
        <v/>
      </c>
      <c r="O12" s="87">
        <f>SUM(O11:O11)</f>
        <v/>
      </c>
      <c r="P12" s="86">
        <f>SUM(P11:P11)</f>
        <v/>
      </c>
      <c r="Q12" s="86">
        <f>SUM(Q11:Q11)</f>
        <v/>
      </c>
      <c r="R12" s="88" t="inlineStr">
        <is>
          <t>–</t>
        </is>
      </c>
      <c r="S12" s="86">
        <f>SUM(S11:S11)</f>
        <v/>
      </c>
      <c r="T12" s="86">
        <f>SUM(T11:T11)</f>
        <v/>
      </c>
      <c r="U12" s="86">
        <f>SUM(U11:U11)</f>
        <v/>
      </c>
      <c r="V12" s="89">
        <f>SUM(V11:V11)</f>
        <v/>
      </c>
      <c r="W12" s="86" t="inlineStr">
        <is>
          <t>–</t>
        </is>
      </c>
      <c r="X12" s="86">
        <f>SUM(X11:X11)</f>
        <v/>
      </c>
      <c r="Y12" s="86">
        <f>SUM(Y11:Y11)</f>
        <v/>
      </c>
      <c r="Z12" s="86" t="inlineStr">
        <is>
          <t>–</t>
        </is>
      </c>
      <c r="AA12" s="86">
        <f>SUM(AA11:AA11)</f>
        <v/>
      </c>
      <c r="AB12" s="86">
        <f>SUM(AB11:AB11)</f>
        <v/>
      </c>
      <c r="AC12" s="86" t="inlineStr">
        <is>
          <t>–</t>
        </is>
      </c>
      <c r="AD12" s="86">
        <f>SUM(AD11:AD11)</f>
        <v/>
      </c>
      <c r="AE12" s="86">
        <f>SUM(AE11:AE11)</f>
        <v/>
      </c>
      <c r="AF12" s="86" t="inlineStr">
        <is>
          <t>–</t>
        </is>
      </c>
      <c r="AG12" s="90" t="inlineStr">
        <is>
          <t>–</t>
        </is>
      </c>
      <c r="AH12" s="86" t="inlineStr">
        <is>
          <t>–</t>
        </is>
      </c>
      <c r="AI12" s="91">
        <f>IF(AE12&lt;=0,"SETTLED","OUTSTANDING")</f>
        <v/>
      </c>
    </row>
    <row r="13" ht="15" customHeight="1" s="77">
      <c r="A13" s="67" t="n">
        <v>1</v>
      </c>
      <c r="B13" s="68">
        <f>IF('Final Calculation Sheet'!$F$38="","",'Final Calculation Sheet'!$F$38)</f>
        <v/>
      </c>
      <c r="C13" s="68">
        <f>IF('Final Calculation Sheet'!$G$38="","",'Final Calculation Sheet'!$G$38)</f>
        <v/>
      </c>
      <c r="D13" s="69">
        <f>IF('Final Calculation Sheet'!$B$38="","",'Final Calculation Sheet'!$B$38)</f>
        <v/>
      </c>
      <c r="E13" s="69">
        <f>IF('Final Calculation Sheet'!$D$38="","",'Final Calculation Sheet'!$D$38)</f>
        <v/>
      </c>
      <c r="F13" s="69">
        <f>IF('Final Calculation Sheet'!$A$38="","",'Final Calculation Sheet'!$A$38)</f>
        <v/>
      </c>
      <c r="G13" s="69">
        <f>IF('Final Calculation Sheet'!$E$38="","",'Final Calculation Sheet'!$E$38)</f>
        <v/>
      </c>
      <c r="H13" s="70">
        <f>IF('Final Calculation Sheet'!$C$38="","",'Final Calculation Sheet'!$C$38)</f>
        <v/>
      </c>
      <c r="I13" s="70">
        <f>IF('Final Calculation Sheet'!$H$38="","",'Final Calculation Sheet'!$H$38)</f>
        <v/>
      </c>
      <c r="J13" s="70">
        <f>IF('Final Calculation Sheet'!$I$38="","",'Final Calculation Sheet'!$I$38)</f>
        <v/>
      </c>
      <c r="K13" s="70">
        <f>IF('Final Calculation Sheet'!$J$38="","",'Final Calculation Sheet'!$J$38)</f>
        <v/>
      </c>
      <c r="L13" s="70">
        <f>IF('Final Calculation Sheet'!$K$38="","",'Final Calculation Sheet'!$K$38)</f>
        <v/>
      </c>
      <c r="M13" s="70">
        <f>IF('Final Calculation Sheet'!$L$38="","",'Final Calculation Sheet'!$L$38)</f>
        <v/>
      </c>
      <c r="N13" s="70">
        <f>IF('Final Calculation Sheet'!$M$38="","",'Final Calculation Sheet'!$M$38)</f>
        <v/>
      </c>
      <c r="O13" s="71">
        <f>IF('Final Calculation Sheet'!$N$38="","",'Final Calculation Sheet'!$N$38)</f>
        <v/>
      </c>
      <c r="P13" s="70">
        <f>IF('Final Calculation Sheet'!$O$38="","",'Final Calculation Sheet'!$O$38)</f>
        <v/>
      </c>
      <c r="Q13" s="70">
        <f>IF('Final Calculation Sheet'!$P$38="","",'Final Calculation Sheet'!$P$38)</f>
        <v/>
      </c>
      <c r="R13" s="72">
        <f>IF('Final Calculation Sheet'!$Q$38="","",'Final Calculation Sheet'!$Q$38)</f>
        <v/>
      </c>
      <c r="S13" s="70">
        <f>IF('Final Calculation Sheet'!$R$38="","",'Final Calculation Sheet'!$R$38)</f>
        <v/>
      </c>
      <c r="T13" s="70">
        <f>IF('Final Calculation Sheet'!$S$38="","",'Final Calculation Sheet'!$S$38)</f>
        <v/>
      </c>
      <c r="U13" s="70">
        <f>IF('Final Calculation Sheet'!$T$38="","",'Final Calculation Sheet'!$T$38)</f>
        <v/>
      </c>
      <c r="V13" s="73">
        <f>IF('Final Calculation Sheet'!$U$38="","",'Final Calculation Sheet'!$U$38)</f>
        <v/>
      </c>
      <c r="W13" s="70">
        <f>IF('Final Calculation Sheet'!$V$38="","",'Final Calculation Sheet'!$V$38)</f>
        <v/>
      </c>
      <c r="X13" s="70">
        <f>IF('Final Calculation Sheet'!$W$38="","",'Final Calculation Sheet'!$W$38)</f>
        <v/>
      </c>
      <c r="Y13" s="70">
        <f>IF('Final Calculation Sheet'!$X$38="","",'Final Calculation Sheet'!$X$38)</f>
        <v/>
      </c>
      <c r="Z13" s="70">
        <f>IF('Final Calculation Sheet'!$Y$38="","",'Final Calculation Sheet'!$Y$38)</f>
        <v/>
      </c>
      <c r="AA13" s="70">
        <f>IF('Final Calculation Sheet'!$Z$38="","",'Final Calculation Sheet'!$Z$38)</f>
        <v/>
      </c>
      <c r="AB13" s="70">
        <f>IF('Final Calculation Sheet'!$AA$38="","",'Final Calculation Sheet'!$AA$38)</f>
        <v/>
      </c>
      <c r="AC13" s="70">
        <f>IF('Final Calculation Sheet'!$AB$38="","",'Final Calculation Sheet'!$AB$38)</f>
        <v/>
      </c>
      <c r="AD13" s="70">
        <f>IF('Final Calculation Sheet'!$AC$38="","",'Final Calculation Sheet'!$AC$38)</f>
        <v/>
      </c>
      <c r="AE13" s="70">
        <f>IF('Final Calculation Sheet'!$AD$38="","",'Final Calculation Sheet'!$AD$38)</f>
        <v/>
      </c>
      <c r="AF13" s="70">
        <f>IF('Final Calculation Sheet'!$AE$38="","",'Final Calculation Sheet'!$AE$38)</f>
        <v/>
      </c>
      <c r="AG13" s="74">
        <f>IF('Final Calculation Sheet'!$AF$38="","",'Final Calculation Sheet'!$AF$38)</f>
        <v/>
      </c>
      <c r="AH13" s="70">
        <f>IF('Final Calculation Sheet'!$AG$38="","",'Final Calculation Sheet'!$AG$38)</f>
        <v/>
      </c>
      <c r="AI13" s="75">
        <f>IF('Final Calculation Sheet'!$AD$38="","",IF('Final Calculation Sheet'!$AD$38&lt;=0,"SETTLED","OUTSTANDING"))</f>
        <v/>
      </c>
    </row>
    <row r="14" ht="15" customHeight="1" s="77">
      <c r="A14" s="84" t="inlineStr">
        <is>
          <t>∑</t>
        </is>
      </c>
      <c r="B14" s="85" t="n"/>
      <c r="C14" s="85">
        <f>ROWS($C$13:$C$13)&amp;" lot(s)"</f>
        <v/>
      </c>
      <c r="D14" s="85" t="inlineStr">
        <is>
          <t>SUBTOTAL — KASHYAP TRADING CO</t>
        </is>
      </c>
      <c r="E14" s="85" t="inlineStr">
        <is>
          <t>–</t>
        </is>
      </c>
      <c r="F14" s="85">
        <f>SUM(F13:F13)</f>
        <v/>
      </c>
      <c r="G14" s="85" t="inlineStr">
        <is>
          <t>–</t>
        </is>
      </c>
      <c r="H14" s="86" t="inlineStr">
        <is>
          <t>–</t>
        </is>
      </c>
      <c r="I14" s="86">
        <f>SUM(I13:I13)</f>
        <v/>
      </c>
      <c r="J14" s="86">
        <f>SUM(J13:J13)</f>
        <v/>
      </c>
      <c r="K14" s="86">
        <f>SUM(K13:K13)</f>
        <v/>
      </c>
      <c r="L14" s="86">
        <f>SUM(L13:L13)</f>
        <v/>
      </c>
      <c r="M14" s="86">
        <f>SUM(M13:M13)</f>
        <v/>
      </c>
      <c r="N14" s="86">
        <f>SUM(N13:N13)</f>
        <v/>
      </c>
      <c r="O14" s="87">
        <f>SUM(O13:O13)</f>
        <v/>
      </c>
      <c r="P14" s="86">
        <f>SUM(P13:P13)</f>
        <v/>
      </c>
      <c r="Q14" s="86">
        <f>SUM(Q13:Q13)</f>
        <v/>
      </c>
      <c r="R14" s="88" t="inlineStr">
        <is>
          <t>–</t>
        </is>
      </c>
      <c r="S14" s="86">
        <f>SUM(S13:S13)</f>
        <v/>
      </c>
      <c r="T14" s="86">
        <f>SUM(T13:T13)</f>
        <v/>
      </c>
      <c r="U14" s="86">
        <f>SUM(U13:U13)</f>
        <v/>
      </c>
      <c r="V14" s="89">
        <f>SUM(V13:V13)</f>
        <v/>
      </c>
      <c r="W14" s="86" t="inlineStr">
        <is>
          <t>–</t>
        </is>
      </c>
      <c r="X14" s="86">
        <f>SUM(X13:X13)</f>
        <v/>
      </c>
      <c r="Y14" s="86">
        <f>SUM(Y13:Y13)</f>
        <v/>
      </c>
      <c r="Z14" s="86" t="inlineStr">
        <is>
          <t>–</t>
        </is>
      </c>
      <c r="AA14" s="86">
        <f>SUM(AA13:AA13)</f>
        <v/>
      </c>
      <c r="AB14" s="86">
        <f>SUM(AB13:AB13)</f>
        <v/>
      </c>
      <c r="AC14" s="86" t="inlineStr">
        <is>
          <t>–</t>
        </is>
      </c>
      <c r="AD14" s="86">
        <f>SUM(AD13:AD13)</f>
        <v/>
      </c>
      <c r="AE14" s="86">
        <f>SUM(AE13:AE13)</f>
        <v/>
      </c>
      <c r="AF14" s="86" t="inlineStr">
        <is>
          <t>–</t>
        </is>
      </c>
      <c r="AG14" s="90" t="inlineStr">
        <is>
          <t>–</t>
        </is>
      </c>
      <c r="AH14" s="86" t="inlineStr">
        <is>
          <t>–</t>
        </is>
      </c>
      <c r="AI14" s="91">
        <f>IF(AE14&lt;=0,"SETTLED","OUTSTANDING")</f>
        <v/>
      </c>
    </row>
    <row r="15" ht="15" customHeight="1" s="77">
      <c r="A15" s="67" t="n">
        <v>1</v>
      </c>
      <c r="B15" s="68">
        <f>IF('Final Calculation Sheet'!$F$27="","",'Final Calculation Sheet'!$F$27)</f>
        <v/>
      </c>
      <c r="C15" s="68">
        <f>IF('Final Calculation Sheet'!$G$27="","",'Final Calculation Sheet'!$G$27)</f>
        <v/>
      </c>
      <c r="D15" s="69">
        <f>IF('Final Calculation Sheet'!$B$27="","",'Final Calculation Sheet'!$B$27)</f>
        <v/>
      </c>
      <c r="E15" s="69">
        <f>IF('Final Calculation Sheet'!$D$27="","",'Final Calculation Sheet'!$D$27)</f>
        <v/>
      </c>
      <c r="F15" s="69">
        <f>IF('Final Calculation Sheet'!$A$27="","",'Final Calculation Sheet'!$A$27)</f>
        <v/>
      </c>
      <c r="G15" s="69">
        <f>IF('Final Calculation Sheet'!$E$27="","",'Final Calculation Sheet'!$E$27)</f>
        <v/>
      </c>
      <c r="H15" s="70">
        <f>IF('Final Calculation Sheet'!$C$27="","",'Final Calculation Sheet'!$C$27)</f>
        <v/>
      </c>
      <c r="I15" s="70">
        <f>IF('Final Calculation Sheet'!$H$27="","",'Final Calculation Sheet'!$H$27)</f>
        <v/>
      </c>
      <c r="J15" s="70">
        <f>IF('Final Calculation Sheet'!$I$27="","",'Final Calculation Sheet'!$I$27)</f>
        <v/>
      </c>
      <c r="K15" s="70">
        <f>IF('Final Calculation Sheet'!$J$27="","",'Final Calculation Sheet'!$J$27)</f>
        <v/>
      </c>
      <c r="L15" s="70">
        <f>IF('Final Calculation Sheet'!$K$27="","",'Final Calculation Sheet'!$K$27)</f>
        <v/>
      </c>
      <c r="M15" s="70">
        <f>IF('Final Calculation Sheet'!$L$27="","",'Final Calculation Sheet'!$L$27)</f>
        <v/>
      </c>
      <c r="N15" s="70">
        <f>IF('Final Calculation Sheet'!$M$27="","",'Final Calculation Sheet'!$M$27)</f>
        <v/>
      </c>
      <c r="O15" s="71">
        <f>IF('Final Calculation Sheet'!$N$27="","",'Final Calculation Sheet'!$N$27)</f>
        <v/>
      </c>
      <c r="P15" s="70">
        <f>IF('Final Calculation Sheet'!$O$27="","",'Final Calculation Sheet'!$O$27)</f>
        <v/>
      </c>
      <c r="Q15" s="70">
        <f>IF('Final Calculation Sheet'!$P$27="","",'Final Calculation Sheet'!$P$27)</f>
        <v/>
      </c>
      <c r="R15" s="72">
        <f>IF('Final Calculation Sheet'!$Q$27="","",'Final Calculation Sheet'!$Q$27)</f>
        <v/>
      </c>
      <c r="S15" s="70">
        <f>IF('Final Calculation Sheet'!$R$27="","",'Final Calculation Sheet'!$R$27)</f>
        <v/>
      </c>
      <c r="T15" s="70">
        <f>IF('Final Calculation Sheet'!$S$27="","",'Final Calculation Sheet'!$S$27)</f>
        <v/>
      </c>
      <c r="U15" s="70">
        <f>IF('Final Calculation Sheet'!$T$27="","",'Final Calculation Sheet'!$T$27)</f>
        <v/>
      </c>
      <c r="V15" s="73">
        <f>IF('Final Calculation Sheet'!$U$27="","",'Final Calculation Sheet'!$U$27)</f>
        <v/>
      </c>
      <c r="W15" s="70">
        <f>IF('Final Calculation Sheet'!$V$27="","",'Final Calculation Sheet'!$V$27)</f>
        <v/>
      </c>
      <c r="X15" s="70">
        <f>IF('Final Calculation Sheet'!$W$27="","",'Final Calculation Sheet'!$W$27)</f>
        <v/>
      </c>
      <c r="Y15" s="70">
        <f>IF('Final Calculation Sheet'!$X$27="","",'Final Calculation Sheet'!$X$27)</f>
        <v/>
      </c>
      <c r="Z15" s="70">
        <f>IF('Final Calculation Sheet'!$Y$27="","",'Final Calculation Sheet'!$Y$27)</f>
        <v/>
      </c>
      <c r="AA15" s="70">
        <f>IF('Final Calculation Sheet'!$Z$27="","",'Final Calculation Sheet'!$Z$27)</f>
        <v/>
      </c>
      <c r="AB15" s="70">
        <f>IF('Final Calculation Sheet'!$AA$27="","",'Final Calculation Sheet'!$AA$27)</f>
        <v/>
      </c>
      <c r="AC15" s="70">
        <f>IF('Final Calculation Sheet'!$AB$27="","",'Final Calculation Sheet'!$AB$27)</f>
        <v/>
      </c>
      <c r="AD15" s="70">
        <f>IF('Final Calculation Sheet'!$AC$27="","",'Final Calculation Sheet'!$AC$27)</f>
        <v/>
      </c>
      <c r="AE15" s="70">
        <f>IF('Final Calculation Sheet'!$AD$27="","",'Final Calculation Sheet'!$AD$27)</f>
        <v/>
      </c>
      <c r="AF15" s="70">
        <f>IF('Final Calculation Sheet'!$AE$27="","",'Final Calculation Sheet'!$AE$27)</f>
        <v/>
      </c>
      <c r="AG15" s="74">
        <f>IF('Final Calculation Sheet'!$AF$27="","",'Final Calculation Sheet'!$AF$27)</f>
        <v/>
      </c>
      <c r="AH15" s="70">
        <f>IF('Final Calculation Sheet'!$AG$27="","",'Final Calculation Sheet'!$AG$27)</f>
        <v/>
      </c>
      <c r="AI15" s="75">
        <f>IF('Final Calculation Sheet'!$AD$27="","",IF('Final Calculation Sheet'!$AD$27&lt;=0,"SETTLED","OUTSTANDING"))</f>
        <v/>
      </c>
    </row>
    <row r="16" ht="15" customHeight="1" s="77">
      <c r="A16" s="84" t="inlineStr">
        <is>
          <t>∑</t>
        </is>
      </c>
      <c r="B16" s="85" t="n"/>
      <c r="C16" s="85">
        <f>ROWS($C$15:$C$15)&amp;" lot(s)"</f>
        <v/>
      </c>
      <c r="D16" s="85" t="inlineStr">
        <is>
          <t>SUBTOTAL — M I SCRAP TRADERS</t>
        </is>
      </c>
      <c r="E16" s="85" t="inlineStr">
        <is>
          <t>–</t>
        </is>
      </c>
      <c r="F16" s="85">
        <f>SUM(F15:F15)</f>
        <v/>
      </c>
      <c r="G16" s="85" t="inlineStr">
        <is>
          <t>–</t>
        </is>
      </c>
      <c r="H16" s="86" t="inlineStr">
        <is>
          <t>–</t>
        </is>
      </c>
      <c r="I16" s="86">
        <f>SUM(I15:I15)</f>
        <v/>
      </c>
      <c r="J16" s="86">
        <f>SUM(J15:J15)</f>
        <v/>
      </c>
      <c r="K16" s="86">
        <f>SUM(K15:K15)</f>
        <v/>
      </c>
      <c r="L16" s="86">
        <f>SUM(L15:L15)</f>
        <v/>
      </c>
      <c r="M16" s="86">
        <f>SUM(M15:M15)</f>
        <v/>
      </c>
      <c r="N16" s="86">
        <f>SUM(N15:N15)</f>
        <v/>
      </c>
      <c r="O16" s="87">
        <f>SUM(O15:O15)</f>
        <v/>
      </c>
      <c r="P16" s="86">
        <f>SUM(P15:P15)</f>
        <v/>
      </c>
      <c r="Q16" s="86">
        <f>SUM(Q15:Q15)</f>
        <v/>
      </c>
      <c r="R16" s="88" t="inlineStr">
        <is>
          <t>–</t>
        </is>
      </c>
      <c r="S16" s="86">
        <f>SUM(S15:S15)</f>
        <v/>
      </c>
      <c r="T16" s="86">
        <f>SUM(T15:T15)</f>
        <v/>
      </c>
      <c r="U16" s="86">
        <f>SUM(U15:U15)</f>
        <v/>
      </c>
      <c r="V16" s="89">
        <f>SUM(V15:V15)</f>
        <v/>
      </c>
      <c r="W16" s="86" t="inlineStr">
        <is>
          <t>–</t>
        </is>
      </c>
      <c r="X16" s="86">
        <f>SUM(X15:X15)</f>
        <v/>
      </c>
      <c r="Y16" s="86">
        <f>SUM(Y15:Y15)</f>
        <v/>
      </c>
      <c r="Z16" s="86" t="inlineStr">
        <is>
          <t>–</t>
        </is>
      </c>
      <c r="AA16" s="86">
        <f>SUM(AA15:AA15)</f>
        <v/>
      </c>
      <c r="AB16" s="86">
        <f>SUM(AB15:AB15)</f>
        <v/>
      </c>
      <c r="AC16" s="86" t="inlineStr">
        <is>
          <t>–</t>
        </is>
      </c>
      <c r="AD16" s="86">
        <f>SUM(AD15:AD15)</f>
        <v/>
      </c>
      <c r="AE16" s="86">
        <f>SUM(AE15:AE15)</f>
        <v/>
      </c>
      <c r="AF16" s="86" t="inlineStr">
        <is>
          <t>–</t>
        </is>
      </c>
      <c r="AG16" s="90" t="inlineStr">
        <is>
          <t>–</t>
        </is>
      </c>
      <c r="AH16" s="86" t="inlineStr">
        <is>
          <t>–</t>
        </is>
      </c>
      <c r="AI16" s="91">
        <f>IF(AE16&lt;=0,"SETTLED","OUTSTANDING")</f>
        <v/>
      </c>
    </row>
    <row r="17" ht="15" customHeight="1" s="77">
      <c r="A17" s="67" t="n">
        <v>1</v>
      </c>
      <c r="B17" s="68">
        <f>IF('Final Calculation Sheet'!$F$5="","",'Final Calculation Sheet'!$F$5)</f>
        <v/>
      </c>
      <c r="C17" s="68">
        <f>IF('Final Calculation Sheet'!$G$5="","",'Final Calculation Sheet'!$G$5)</f>
        <v/>
      </c>
      <c r="D17" s="69">
        <f>IF('Final Calculation Sheet'!$B$5="","",'Final Calculation Sheet'!$B$5)</f>
        <v/>
      </c>
      <c r="E17" s="69">
        <f>IF('Final Calculation Sheet'!$D$5="","",'Final Calculation Sheet'!$D$5)</f>
        <v/>
      </c>
      <c r="F17" s="69">
        <f>IF('Final Calculation Sheet'!$A$5="","",'Final Calculation Sheet'!$A$5)</f>
        <v/>
      </c>
      <c r="G17" s="69">
        <f>IF('Final Calculation Sheet'!$E$5="","",'Final Calculation Sheet'!$E$5)</f>
        <v/>
      </c>
      <c r="H17" s="70">
        <f>IF('Final Calculation Sheet'!$C$5="","",'Final Calculation Sheet'!$C$5)</f>
        <v/>
      </c>
      <c r="I17" s="70">
        <f>IF('Final Calculation Sheet'!$H$5="","",'Final Calculation Sheet'!$H$5)</f>
        <v/>
      </c>
      <c r="J17" s="70">
        <f>IF('Final Calculation Sheet'!$I$5="","",'Final Calculation Sheet'!$I$5)</f>
        <v/>
      </c>
      <c r="K17" s="70">
        <f>IF('Final Calculation Sheet'!$J$5="","",'Final Calculation Sheet'!$J$5)</f>
        <v/>
      </c>
      <c r="L17" s="70">
        <f>IF('Final Calculation Sheet'!$K$5="","",'Final Calculation Sheet'!$K$5)</f>
        <v/>
      </c>
      <c r="M17" s="70">
        <f>IF('Final Calculation Sheet'!$L$5="","",'Final Calculation Sheet'!$L$5)</f>
        <v/>
      </c>
      <c r="N17" s="70">
        <f>IF('Final Calculation Sheet'!$M$5="","",'Final Calculation Sheet'!$M$5)</f>
        <v/>
      </c>
      <c r="O17" s="71">
        <f>IF('Final Calculation Sheet'!$N$5="","",'Final Calculation Sheet'!$N$5)</f>
        <v/>
      </c>
      <c r="P17" s="70">
        <f>IF('Final Calculation Sheet'!$O$5="","",'Final Calculation Sheet'!$O$5)</f>
        <v/>
      </c>
      <c r="Q17" s="70">
        <f>IF('Final Calculation Sheet'!$P$5="","",'Final Calculation Sheet'!$P$5)</f>
        <v/>
      </c>
      <c r="R17" s="72">
        <f>IF('Final Calculation Sheet'!$Q$5="","",'Final Calculation Sheet'!$Q$5)</f>
        <v/>
      </c>
      <c r="S17" s="70">
        <f>IF('Final Calculation Sheet'!$R$5="","",'Final Calculation Sheet'!$R$5)</f>
        <v/>
      </c>
      <c r="T17" s="70">
        <f>IF('Final Calculation Sheet'!$S$5="","",'Final Calculation Sheet'!$S$5)</f>
        <v/>
      </c>
      <c r="U17" s="70">
        <f>IF('Final Calculation Sheet'!$T$5="","",'Final Calculation Sheet'!$T$5)</f>
        <v/>
      </c>
      <c r="V17" s="73">
        <f>IF('Final Calculation Sheet'!$U$5="","",'Final Calculation Sheet'!$U$5)</f>
        <v/>
      </c>
      <c r="W17" s="70">
        <f>IF('Final Calculation Sheet'!$V$5="","",'Final Calculation Sheet'!$V$5)</f>
        <v/>
      </c>
      <c r="X17" s="70">
        <f>IF('Final Calculation Sheet'!$W$5="","",'Final Calculation Sheet'!$W$5)</f>
        <v/>
      </c>
      <c r="Y17" s="70">
        <f>IF('Final Calculation Sheet'!$X$5="","",'Final Calculation Sheet'!$X$5)</f>
        <v/>
      </c>
      <c r="Z17" s="70">
        <f>IF('Final Calculation Sheet'!$Y$5="","",'Final Calculation Sheet'!$Y$5)</f>
        <v/>
      </c>
      <c r="AA17" s="70">
        <f>IF('Final Calculation Sheet'!$Z$5="","",'Final Calculation Sheet'!$Z$5)</f>
        <v/>
      </c>
      <c r="AB17" s="70">
        <f>IF('Final Calculation Sheet'!$AA$5="","",'Final Calculation Sheet'!$AA$5)</f>
        <v/>
      </c>
      <c r="AC17" s="70">
        <f>IF('Final Calculation Sheet'!$AB$5="","",'Final Calculation Sheet'!$AB$5)</f>
        <v/>
      </c>
      <c r="AD17" s="70">
        <f>IF('Final Calculation Sheet'!$AC$5="","",'Final Calculation Sheet'!$AC$5)</f>
        <v/>
      </c>
      <c r="AE17" s="70">
        <f>IF('Final Calculation Sheet'!$AD$5="","",'Final Calculation Sheet'!$AD$5)</f>
        <v/>
      </c>
      <c r="AF17" s="70">
        <f>IF('Final Calculation Sheet'!$AE$5="","",'Final Calculation Sheet'!$AE$5)</f>
        <v/>
      </c>
      <c r="AG17" s="74">
        <f>IF('Final Calculation Sheet'!$AF$5="","",'Final Calculation Sheet'!$AF$5)</f>
        <v/>
      </c>
      <c r="AH17" s="70">
        <f>IF('Final Calculation Sheet'!$AG$5="","",'Final Calculation Sheet'!$AG$5)</f>
        <v/>
      </c>
      <c r="AI17" s="75">
        <f>IF('Final Calculation Sheet'!$AD$5="","",IF('Final Calculation Sheet'!$AD$5&lt;=0,"SETTLED","OUTSTANDING"))</f>
        <v/>
      </c>
    </row>
    <row r="18" ht="15" customHeight="1" s="77">
      <c r="A18" s="67" t="n">
        <v>2</v>
      </c>
      <c r="B18" s="68">
        <f>IF('Final Calculation Sheet'!$F$10="","",'Final Calculation Sheet'!$F$10)</f>
        <v/>
      </c>
      <c r="C18" s="68">
        <f>IF('Final Calculation Sheet'!$G$10="","",'Final Calculation Sheet'!$G$10)</f>
        <v/>
      </c>
      <c r="D18" s="69">
        <f>IF('Final Calculation Sheet'!$B$10="","",'Final Calculation Sheet'!$B$10)</f>
        <v/>
      </c>
      <c r="E18" s="69">
        <f>IF('Final Calculation Sheet'!$D$10="","",'Final Calculation Sheet'!$D$10)</f>
        <v/>
      </c>
      <c r="F18" s="69">
        <f>IF('Final Calculation Sheet'!$A$10="","",'Final Calculation Sheet'!$A$10)</f>
        <v/>
      </c>
      <c r="G18" s="69">
        <f>IF('Final Calculation Sheet'!$E$10="","",'Final Calculation Sheet'!$E$10)</f>
        <v/>
      </c>
      <c r="H18" s="70">
        <f>IF('Final Calculation Sheet'!$C$10="","",'Final Calculation Sheet'!$C$10)</f>
        <v/>
      </c>
      <c r="I18" s="70">
        <f>IF('Final Calculation Sheet'!$H$10="","",'Final Calculation Sheet'!$H$10)</f>
        <v/>
      </c>
      <c r="J18" s="70">
        <f>IF('Final Calculation Sheet'!$I$10="","",'Final Calculation Sheet'!$I$10)</f>
        <v/>
      </c>
      <c r="K18" s="70">
        <f>IF('Final Calculation Sheet'!$J$10="","",'Final Calculation Sheet'!$J$10)</f>
        <v/>
      </c>
      <c r="L18" s="70">
        <f>IF('Final Calculation Sheet'!$K$10="","",'Final Calculation Sheet'!$K$10)</f>
        <v/>
      </c>
      <c r="M18" s="70">
        <f>IF('Final Calculation Sheet'!$L$10="","",'Final Calculation Sheet'!$L$10)</f>
        <v/>
      </c>
      <c r="N18" s="70">
        <f>IF('Final Calculation Sheet'!$M$10="","",'Final Calculation Sheet'!$M$10)</f>
        <v/>
      </c>
      <c r="O18" s="71">
        <f>IF('Final Calculation Sheet'!$N$10="","",'Final Calculation Sheet'!$N$10)</f>
        <v/>
      </c>
      <c r="P18" s="70">
        <f>IF('Final Calculation Sheet'!$O$10="","",'Final Calculation Sheet'!$O$10)</f>
        <v/>
      </c>
      <c r="Q18" s="70">
        <f>IF('Final Calculation Sheet'!$P$10="","",'Final Calculation Sheet'!$P$10)</f>
        <v/>
      </c>
      <c r="R18" s="72">
        <f>IF('Final Calculation Sheet'!$Q$10="","",'Final Calculation Sheet'!$Q$10)</f>
        <v/>
      </c>
      <c r="S18" s="70">
        <f>IF('Final Calculation Sheet'!$R$10="","",'Final Calculation Sheet'!$R$10)</f>
        <v/>
      </c>
      <c r="T18" s="70">
        <f>IF('Final Calculation Sheet'!$S$10="","",'Final Calculation Sheet'!$S$10)</f>
        <v/>
      </c>
      <c r="U18" s="70">
        <f>IF('Final Calculation Sheet'!$T$10="","",'Final Calculation Sheet'!$T$10)</f>
        <v/>
      </c>
      <c r="V18" s="73">
        <f>IF('Final Calculation Sheet'!$U$10="","",'Final Calculation Sheet'!$U$10)</f>
        <v/>
      </c>
      <c r="W18" s="70">
        <f>IF('Final Calculation Sheet'!$V$10="","",'Final Calculation Sheet'!$V$10)</f>
        <v/>
      </c>
      <c r="X18" s="70">
        <f>IF('Final Calculation Sheet'!$W$10="","",'Final Calculation Sheet'!$W$10)</f>
        <v/>
      </c>
      <c r="Y18" s="70">
        <f>IF('Final Calculation Sheet'!$X$10="","",'Final Calculation Sheet'!$X$10)</f>
        <v/>
      </c>
      <c r="Z18" s="70">
        <f>IF('Final Calculation Sheet'!$Y$10="","",'Final Calculation Sheet'!$Y$10)</f>
        <v/>
      </c>
      <c r="AA18" s="70">
        <f>IF('Final Calculation Sheet'!$Z$10="","",'Final Calculation Sheet'!$Z$10)</f>
        <v/>
      </c>
      <c r="AB18" s="70">
        <f>IF('Final Calculation Sheet'!$AA$10="","",'Final Calculation Sheet'!$AA$10)</f>
        <v/>
      </c>
      <c r="AC18" s="70">
        <f>IF('Final Calculation Sheet'!$AB$10="","",'Final Calculation Sheet'!$AB$10)</f>
        <v/>
      </c>
      <c r="AD18" s="70">
        <f>IF('Final Calculation Sheet'!$AC$10="","",'Final Calculation Sheet'!$AC$10)</f>
        <v/>
      </c>
      <c r="AE18" s="70">
        <f>IF('Final Calculation Sheet'!$AD$10="","",'Final Calculation Sheet'!$AD$10)</f>
        <v/>
      </c>
      <c r="AF18" s="70">
        <f>IF('Final Calculation Sheet'!$AE$10="","",'Final Calculation Sheet'!$AE$10)</f>
        <v/>
      </c>
      <c r="AG18" s="74">
        <f>IF('Final Calculation Sheet'!$AF$10="","",'Final Calculation Sheet'!$AF$10)</f>
        <v/>
      </c>
      <c r="AH18" s="70">
        <f>IF('Final Calculation Sheet'!$AG$10="","",'Final Calculation Sheet'!$AG$10)</f>
        <v/>
      </c>
      <c r="AI18" s="75">
        <f>IF('Final Calculation Sheet'!$AD$10="","",IF('Final Calculation Sheet'!$AD$10&lt;=0,"SETTLED","OUTSTANDING"))</f>
        <v/>
      </c>
    </row>
    <row r="19" ht="15" customHeight="1" s="77">
      <c r="A19" s="67" t="n">
        <v>3</v>
      </c>
      <c r="B19" s="68">
        <f>IF('Final Calculation Sheet'!$F$11="","",'Final Calculation Sheet'!$F$11)</f>
        <v/>
      </c>
      <c r="C19" s="68">
        <f>IF('Final Calculation Sheet'!$G$11="","",'Final Calculation Sheet'!$G$11)</f>
        <v/>
      </c>
      <c r="D19" s="69">
        <f>IF('Final Calculation Sheet'!$B$11="","",'Final Calculation Sheet'!$B$11)</f>
        <v/>
      </c>
      <c r="E19" s="69">
        <f>IF('Final Calculation Sheet'!$D$11="","",'Final Calculation Sheet'!$D$11)</f>
        <v/>
      </c>
      <c r="F19" s="69">
        <f>IF('Final Calculation Sheet'!$A$11="","",'Final Calculation Sheet'!$A$11)</f>
        <v/>
      </c>
      <c r="G19" s="69">
        <f>IF('Final Calculation Sheet'!$E$11="","",'Final Calculation Sheet'!$E$11)</f>
        <v/>
      </c>
      <c r="H19" s="70">
        <f>IF('Final Calculation Sheet'!$C$11="","",'Final Calculation Sheet'!$C$11)</f>
        <v/>
      </c>
      <c r="I19" s="70">
        <f>IF('Final Calculation Sheet'!$H$11="","",'Final Calculation Sheet'!$H$11)</f>
        <v/>
      </c>
      <c r="J19" s="70">
        <f>IF('Final Calculation Sheet'!$I$11="","",'Final Calculation Sheet'!$I$11)</f>
        <v/>
      </c>
      <c r="K19" s="70">
        <f>IF('Final Calculation Sheet'!$J$11="","",'Final Calculation Sheet'!$J$11)</f>
        <v/>
      </c>
      <c r="L19" s="70">
        <f>IF('Final Calculation Sheet'!$K$11="","",'Final Calculation Sheet'!$K$11)</f>
        <v/>
      </c>
      <c r="M19" s="70">
        <f>IF('Final Calculation Sheet'!$L$11="","",'Final Calculation Sheet'!$L$11)</f>
        <v/>
      </c>
      <c r="N19" s="70">
        <f>IF('Final Calculation Sheet'!$M$11="","",'Final Calculation Sheet'!$M$11)</f>
        <v/>
      </c>
      <c r="O19" s="71">
        <f>IF('Final Calculation Sheet'!$N$11="","",'Final Calculation Sheet'!$N$11)</f>
        <v/>
      </c>
      <c r="P19" s="70">
        <f>IF('Final Calculation Sheet'!$O$11="","",'Final Calculation Sheet'!$O$11)</f>
        <v/>
      </c>
      <c r="Q19" s="70">
        <f>IF('Final Calculation Sheet'!$P$11="","",'Final Calculation Sheet'!$P$11)</f>
        <v/>
      </c>
      <c r="R19" s="72">
        <f>IF('Final Calculation Sheet'!$Q$11="","",'Final Calculation Sheet'!$Q$11)</f>
        <v/>
      </c>
      <c r="S19" s="70">
        <f>IF('Final Calculation Sheet'!$R$11="","",'Final Calculation Sheet'!$R$11)</f>
        <v/>
      </c>
      <c r="T19" s="70">
        <f>IF('Final Calculation Sheet'!$S$11="","",'Final Calculation Sheet'!$S$11)</f>
        <v/>
      </c>
      <c r="U19" s="70">
        <f>IF('Final Calculation Sheet'!$T$11="","",'Final Calculation Sheet'!$T$11)</f>
        <v/>
      </c>
      <c r="V19" s="73">
        <f>IF('Final Calculation Sheet'!$U$11="","",'Final Calculation Sheet'!$U$11)</f>
        <v/>
      </c>
      <c r="W19" s="70">
        <f>IF('Final Calculation Sheet'!$V$11="","",'Final Calculation Sheet'!$V$11)</f>
        <v/>
      </c>
      <c r="X19" s="70">
        <f>IF('Final Calculation Sheet'!$W$11="","",'Final Calculation Sheet'!$W$11)</f>
        <v/>
      </c>
      <c r="Y19" s="70">
        <f>IF('Final Calculation Sheet'!$X$11="","",'Final Calculation Sheet'!$X$11)</f>
        <v/>
      </c>
      <c r="Z19" s="70">
        <f>IF('Final Calculation Sheet'!$Y$11="","",'Final Calculation Sheet'!$Y$11)</f>
        <v/>
      </c>
      <c r="AA19" s="70">
        <f>IF('Final Calculation Sheet'!$Z$11="","",'Final Calculation Sheet'!$Z$11)</f>
        <v/>
      </c>
      <c r="AB19" s="70">
        <f>IF('Final Calculation Sheet'!$AA$11="","",'Final Calculation Sheet'!$AA$11)</f>
        <v/>
      </c>
      <c r="AC19" s="70">
        <f>IF('Final Calculation Sheet'!$AB$11="","",'Final Calculation Sheet'!$AB$11)</f>
        <v/>
      </c>
      <c r="AD19" s="70">
        <f>IF('Final Calculation Sheet'!$AC$11="","",'Final Calculation Sheet'!$AC$11)</f>
        <v/>
      </c>
      <c r="AE19" s="70">
        <f>IF('Final Calculation Sheet'!$AD$11="","",'Final Calculation Sheet'!$AD$11)</f>
        <v/>
      </c>
      <c r="AF19" s="70">
        <f>IF('Final Calculation Sheet'!$AE$11="","",'Final Calculation Sheet'!$AE$11)</f>
        <v/>
      </c>
      <c r="AG19" s="74">
        <f>IF('Final Calculation Sheet'!$AF$11="","",'Final Calculation Sheet'!$AF$11)</f>
        <v/>
      </c>
      <c r="AH19" s="70">
        <f>IF('Final Calculation Sheet'!$AG$11="","",'Final Calculation Sheet'!$AG$11)</f>
        <v/>
      </c>
      <c r="AI19" s="75">
        <f>IF('Final Calculation Sheet'!$AD$11="","",IF('Final Calculation Sheet'!$AD$11&lt;=0,"SETTLED","OUTSTANDING"))</f>
        <v/>
      </c>
    </row>
    <row r="20" ht="15" customHeight="1" s="77">
      <c r="A20" s="67" t="n">
        <v>4</v>
      </c>
      <c r="B20" s="68">
        <f>IF('Final Calculation Sheet'!$F$12="","",'Final Calculation Sheet'!$F$12)</f>
        <v/>
      </c>
      <c r="C20" s="68">
        <f>IF('Final Calculation Sheet'!$G$12="","",'Final Calculation Sheet'!$G$12)</f>
        <v/>
      </c>
      <c r="D20" s="69">
        <f>IF('Final Calculation Sheet'!$B$12="","",'Final Calculation Sheet'!$B$12)</f>
        <v/>
      </c>
      <c r="E20" s="69">
        <f>IF('Final Calculation Sheet'!$D$12="","",'Final Calculation Sheet'!$D$12)</f>
        <v/>
      </c>
      <c r="F20" s="69">
        <f>IF('Final Calculation Sheet'!$A$12="","",'Final Calculation Sheet'!$A$12)</f>
        <v/>
      </c>
      <c r="G20" s="69">
        <f>IF('Final Calculation Sheet'!$E$12="","",'Final Calculation Sheet'!$E$12)</f>
        <v/>
      </c>
      <c r="H20" s="70">
        <f>IF('Final Calculation Sheet'!$C$12="","",'Final Calculation Sheet'!$C$12)</f>
        <v/>
      </c>
      <c r="I20" s="70">
        <f>IF('Final Calculation Sheet'!$H$12="","",'Final Calculation Sheet'!$H$12)</f>
        <v/>
      </c>
      <c r="J20" s="70">
        <f>IF('Final Calculation Sheet'!$I$12="","",'Final Calculation Sheet'!$I$12)</f>
        <v/>
      </c>
      <c r="K20" s="70">
        <f>IF('Final Calculation Sheet'!$J$12="","",'Final Calculation Sheet'!$J$12)</f>
        <v/>
      </c>
      <c r="L20" s="70">
        <f>IF('Final Calculation Sheet'!$K$12="","",'Final Calculation Sheet'!$K$12)</f>
        <v/>
      </c>
      <c r="M20" s="70">
        <f>IF('Final Calculation Sheet'!$L$12="","",'Final Calculation Sheet'!$L$12)</f>
        <v/>
      </c>
      <c r="N20" s="70">
        <f>IF('Final Calculation Sheet'!$M$12="","",'Final Calculation Sheet'!$M$12)</f>
        <v/>
      </c>
      <c r="O20" s="71">
        <f>IF('Final Calculation Sheet'!$N$12="","",'Final Calculation Sheet'!$N$12)</f>
        <v/>
      </c>
      <c r="P20" s="70">
        <f>IF('Final Calculation Sheet'!$O$12="","",'Final Calculation Sheet'!$O$12)</f>
        <v/>
      </c>
      <c r="Q20" s="70">
        <f>IF('Final Calculation Sheet'!$P$12="","",'Final Calculation Sheet'!$P$12)</f>
        <v/>
      </c>
      <c r="R20" s="72">
        <f>IF('Final Calculation Sheet'!$Q$12="","",'Final Calculation Sheet'!$Q$12)</f>
        <v/>
      </c>
      <c r="S20" s="70">
        <f>IF('Final Calculation Sheet'!$R$12="","",'Final Calculation Sheet'!$R$12)</f>
        <v/>
      </c>
      <c r="T20" s="70">
        <f>IF('Final Calculation Sheet'!$S$12="","",'Final Calculation Sheet'!$S$12)</f>
        <v/>
      </c>
      <c r="U20" s="70">
        <f>IF('Final Calculation Sheet'!$T$12="","",'Final Calculation Sheet'!$T$12)</f>
        <v/>
      </c>
      <c r="V20" s="73">
        <f>IF('Final Calculation Sheet'!$U$12="","",'Final Calculation Sheet'!$U$12)</f>
        <v/>
      </c>
      <c r="W20" s="70">
        <f>IF('Final Calculation Sheet'!$V$12="","",'Final Calculation Sheet'!$V$12)</f>
        <v/>
      </c>
      <c r="X20" s="70">
        <f>IF('Final Calculation Sheet'!$W$12="","",'Final Calculation Sheet'!$W$12)</f>
        <v/>
      </c>
      <c r="Y20" s="70">
        <f>IF('Final Calculation Sheet'!$X$12="","",'Final Calculation Sheet'!$X$12)</f>
        <v/>
      </c>
      <c r="Z20" s="70">
        <f>IF('Final Calculation Sheet'!$Y$12="","",'Final Calculation Sheet'!$Y$12)</f>
        <v/>
      </c>
      <c r="AA20" s="70">
        <f>IF('Final Calculation Sheet'!$Z$12="","",'Final Calculation Sheet'!$Z$12)</f>
        <v/>
      </c>
      <c r="AB20" s="70">
        <f>IF('Final Calculation Sheet'!$AA$12="","",'Final Calculation Sheet'!$AA$12)</f>
        <v/>
      </c>
      <c r="AC20" s="70">
        <f>IF('Final Calculation Sheet'!$AB$12="","",'Final Calculation Sheet'!$AB$12)</f>
        <v/>
      </c>
      <c r="AD20" s="70">
        <f>IF('Final Calculation Sheet'!$AC$12="","",'Final Calculation Sheet'!$AC$12)</f>
        <v/>
      </c>
      <c r="AE20" s="70">
        <f>IF('Final Calculation Sheet'!$AD$12="","",'Final Calculation Sheet'!$AD$12)</f>
        <v/>
      </c>
      <c r="AF20" s="70">
        <f>IF('Final Calculation Sheet'!$AE$12="","",'Final Calculation Sheet'!$AE$12)</f>
        <v/>
      </c>
      <c r="AG20" s="74">
        <f>IF('Final Calculation Sheet'!$AF$12="","",'Final Calculation Sheet'!$AF$12)</f>
        <v/>
      </c>
      <c r="AH20" s="70">
        <f>IF('Final Calculation Sheet'!$AG$12="","",'Final Calculation Sheet'!$AG$12)</f>
        <v/>
      </c>
      <c r="AI20" s="75">
        <f>IF('Final Calculation Sheet'!$AD$12="","",IF('Final Calculation Sheet'!$AD$12&lt;=0,"SETTLED","OUTSTANDING"))</f>
        <v/>
      </c>
    </row>
    <row r="21" ht="15" customHeight="1" s="77">
      <c r="A21" s="67" t="n">
        <v>5</v>
      </c>
      <c r="B21" s="68">
        <f>IF('Final Calculation Sheet'!$F$18="","",'Final Calculation Sheet'!$F$18)</f>
        <v/>
      </c>
      <c r="C21" s="68">
        <f>IF('Final Calculation Sheet'!$G$18="","",'Final Calculation Sheet'!$G$18)</f>
        <v/>
      </c>
      <c r="D21" s="69">
        <f>IF('Final Calculation Sheet'!$B$18="","",'Final Calculation Sheet'!$B$18)</f>
        <v/>
      </c>
      <c r="E21" s="69">
        <f>IF('Final Calculation Sheet'!$D$18="","",'Final Calculation Sheet'!$D$18)</f>
        <v/>
      </c>
      <c r="F21" s="69">
        <f>IF('Final Calculation Sheet'!$A$18="","",'Final Calculation Sheet'!$A$18)</f>
        <v/>
      </c>
      <c r="G21" s="69">
        <f>IF('Final Calculation Sheet'!$E$18="","",'Final Calculation Sheet'!$E$18)</f>
        <v/>
      </c>
      <c r="H21" s="70">
        <f>IF('Final Calculation Sheet'!$C$18="","",'Final Calculation Sheet'!$C$18)</f>
        <v/>
      </c>
      <c r="I21" s="70">
        <f>IF('Final Calculation Sheet'!$H$18="","",'Final Calculation Sheet'!$H$18)</f>
        <v/>
      </c>
      <c r="J21" s="70">
        <f>IF('Final Calculation Sheet'!$I$18="","",'Final Calculation Sheet'!$I$18)</f>
        <v/>
      </c>
      <c r="K21" s="70">
        <f>IF('Final Calculation Sheet'!$J$18="","",'Final Calculation Sheet'!$J$18)</f>
        <v/>
      </c>
      <c r="L21" s="70">
        <f>IF('Final Calculation Sheet'!$K$18="","",'Final Calculation Sheet'!$K$18)</f>
        <v/>
      </c>
      <c r="M21" s="70">
        <f>IF('Final Calculation Sheet'!$L$18="","",'Final Calculation Sheet'!$L$18)</f>
        <v/>
      </c>
      <c r="N21" s="70">
        <f>IF('Final Calculation Sheet'!$M$18="","",'Final Calculation Sheet'!$M$18)</f>
        <v/>
      </c>
      <c r="O21" s="71">
        <f>IF('Final Calculation Sheet'!$N$18="","",'Final Calculation Sheet'!$N$18)</f>
        <v/>
      </c>
      <c r="P21" s="70">
        <f>IF('Final Calculation Sheet'!$O$18="","",'Final Calculation Sheet'!$O$18)</f>
        <v/>
      </c>
      <c r="Q21" s="70">
        <f>IF('Final Calculation Sheet'!$P$18="","",'Final Calculation Sheet'!$P$18)</f>
        <v/>
      </c>
      <c r="R21" s="72">
        <f>IF('Final Calculation Sheet'!$Q$18="","",'Final Calculation Sheet'!$Q$18)</f>
        <v/>
      </c>
      <c r="S21" s="70">
        <f>IF('Final Calculation Sheet'!$R$18="","",'Final Calculation Sheet'!$R$18)</f>
        <v/>
      </c>
      <c r="T21" s="70">
        <f>IF('Final Calculation Sheet'!$S$18="","",'Final Calculation Sheet'!$S$18)</f>
        <v/>
      </c>
      <c r="U21" s="70">
        <f>IF('Final Calculation Sheet'!$T$18="","",'Final Calculation Sheet'!$T$18)</f>
        <v/>
      </c>
      <c r="V21" s="73">
        <f>IF('Final Calculation Sheet'!$U$18="","",'Final Calculation Sheet'!$U$18)</f>
        <v/>
      </c>
      <c r="W21" s="70">
        <f>IF('Final Calculation Sheet'!$V$18="","",'Final Calculation Sheet'!$V$18)</f>
        <v/>
      </c>
      <c r="X21" s="70">
        <f>IF('Final Calculation Sheet'!$W$18="","",'Final Calculation Sheet'!$W$18)</f>
        <v/>
      </c>
      <c r="Y21" s="70">
        <f>IF('Final Calculation Sheet'!$X$18="","",'Final Calculation Sheet'!$X$18)</f>
        <v/>
      </c>
      <c r="Z21" s="70">
        <f>IF('Final Calculation Sheet'!$Y$18="","",'Final Calculation Sheet'!$Y$18)</f>
        <v/>
      </c>
      <c r="AA21" s="70">
        <f>IF('Final Calculation Sheet'!$Z$18="","",'Final Calculation Sheet'!$Z$18)</f>
        <v/>
      </c>
      <c r="AB21" s="70">
        <f>IF('Final Calculation Sheet'!$AA$18="","",'Final Calculation Sheet'!$AA$18)</f>
        <v/>
      </c>
      <c r="AC21" s="70">
        <f>IF('Final Calculation Sheet'!$AB$18="","",'Final Calculation Sheet'!$AB$18)</f>
        <v/>
      </c>
      <c r="AD21" s="70">
        <f>IF('Final Calculation Sheet'!$AC$18="","",'Final Calculation Sheet'!$AC$18)</f>
        <v/>
      </c>
      <c r="AE21" s="70">
        <f>IF('Final Calculation Sheet'!$AD$18="","",'Final Calculation Sheet'!$AD$18)</f>
        <v/>
      </c>
      <c r="AF21" s="70">
        <f>IF('Final Calculation Sheet'!$AE$18="","",'Final Calculation Sheet'!$AE$18)</f>
        <v/>
      </c>
      <c r="AG21" s="74">
        <f>IF('Final Calculation Sheet'!$AF$18="","",'Final Calculation Sheet'!$AF$18)</f>
        <v/>
      </c>
      <c r="AH21" s="70">
        <f>IF('Final Calculation Sheet'!$AG$18="","",'Final Calculation Sheet'!$AG$18)</f>
        <v/>
      </c>
      <c r="AI21" s="75">
        <f>IF('Final Calculation Sheet'!$AD$18="","",IF('Final Calculation Sheet'!$AD$18&lt;=0,"SETTLED","OUTSTANDING"))</f>
        <v/>
      </c>
    </row>
    <row r="22" ht="15" customHeight="1" s="77">
      <c r="A22" s="67" t="n">
        <v>6</v>
      </c>
      <c r="B22" s="68">
        <f>IF('Final Calculation Sheet'!$F$19="","",'Final Calculation Sheet'!$F$19)</f>
        <v/>
      </c>
      <c r="C22" s="68">
        <f>IF('Final Calculation Sheet'!$G$19="","",'Final Calculation Sheet'!$G$19)</f>
        <v/>
      </c>
      <c r="D22" s="69">
        <f>IF('Final Calculation Sheet'!$B$19="","",'Final Calculation Sheet'!$B$19)</f>
        <v/>
      </c>
      <c r="E22" s="69">
        <f>IF('Final Calculation Sheet'!$D$19="","",'Final Calculation Sheet'!$D$19)</f>
        <v/>
      </c>
      <c r="F22" s="69">
        <f>IF('Final Calculation Sheet'!$A$19="","",'Final Calculation Sheet'!$A$19)</f>
        <v/>
      </c>
      <c r="G22" s="69">
        <f>IF('Final Calculation Sheet'!$E$19="","",'Final Calculation Sheet'!$E$19)</f>
        <v/>
      </c>
      <c r="H22" s="70">
        <f>IF('Final Calculation Sheet'!$C$19="","",'Final Calculation Sheet'!$C$19)</f>
        <v/>
      </c>
      <c r="I22" s="70">
        <f>IF('Final Calculation Sheet'!$H$19="","",'Final Calculation Sheet'!$H$19)</f>
        <v/>
      </c>
      <c r="J22" s="70">
        <f>IF('Final Calculation Sheet'!$I$19="","",'Final Calculation Sheet'!$I$19)</f>
        <v/>
      </c>
      <c r="K22" s="70">
        <f>IF('Final Calculation Sheet'!$J$19="","",'Final Calculation Sheet'!$J$19)</f>
        <v/>
      </c>
      <c r="L22" s="70">
        <f>IF('Final Calculation Sheet'!$K$19="","",'Final Calculation Sheet'!$K$19)</f>
        <v/>
      </c>
      <c r="M22" s="70">
        <f>IF('Final Calculation Sheet'!$L$19="","",'Final Calculation Sheet'!$L$19)</f>
        <v/>
      </c>
      <c r="N22" s="70">
        <f>IF('Final Calculation Sheet'!$M$19="","",'Final Calculation Sheet'!$M$19)</f>
        <v/>
      </c>
      <c r="O22" s="71">
        <f>IF('Final Calculation Sheet'!$N$19="","",'Final Calculation Sheet'!$N$19)</f>
        <v/>
      </c>
      <c r="P22" s="70">
        <f>IF('Final Calculation Sheet'!$O$19="","",'Final Calculation Sheet'!$O$19)</f>
        <v/>
      </c>
      <c r="Q22" s="70">
        <f>IF('Final Calculation Sheet'!$P$19="","",'Final Calculation Sheet'!$P$19)</f>
        <v/>
      </c>
      <c r="R22" s="72">
        <f>IF('Final Calculation Sheet'!$Q$19="","",'Final Calculation Sheet'!$Q$19)</f>
        <v/>
      </c>
      <c r="S22" s="70">
        <f>IF('Final Calculation Sheet'!$R$19="","",'Final Calculation Sheet'!$R$19)</f>
        <v/>
      </c>
      <c r="T22" s="70">
        <f>IF('Final Calculation Sheet'!$S$19="","",'Final Calculation Sheet'!$S$19)</f>
        <v/>
      </c>
      <c r="U22" s="70">
        <f>IF('Final Calculation Sheet'!$T$19="","",'Final Calculation Sheet'!$T$19)</f>
        <v/>
      </c>
      <c r="V22" s="73">
        <f>IF('Final Calculation Sheet'!$U$19="","",'Final Calculation Sheet'!$U$19)</f>
        <v/>
      </c>
      <c r="W22" s="70">
        <f>IF('Final Calculation Sheet'!$V$19="","",'Final Calculation Sheet'!$V$19)</f>
        <v/>
      </c>
      <c r="X22" s="70">
        <f>IF('Final Calculation Sheet'!$W$19="","",'Final Calculation Sheet'!$W$19)</f>
        <v/>
      </c>
      <c r="Y22" s="70">
        <f>IF('Final Calculation Sheet'!$X$19="","",'Final Calculation Sheet'!$X$19)</f>
        <v/>
      </c>
      <c r="Z22" s="70">
        <f>IF('Final Calculation Sheet'!$Y$19="","",'Final Calculation Sheet'!$Y$19)</f>
        <v/>
      </c>
      <c r="AA22" s="70">
        <f>IF('Final Calculation Sheet'!$Z$19="","",'Final Calculation Sheet'!$Z$19)</f>
        <v/>
      </c>
      <c r="AB22" s="70">
        <f>IF('Final Calculation Sheet'!$AA$19="","",'Final Calculation Sheet'!$AA$19)</f>
        <v/>
      </c>
      <c r="AC22" s="70">
        <f>IF('Final Calculation Sheet'!$AB$19="","",'Final Calculation Sheet'!$AB$19)</f>
        <v/>
      </c>
      <c r="AD22" s="70">
        <f>IF('Final Calculation Sheet'!$AC$19="","",'Final Calculation Sheet'!$AC$19)</f>
        <v/>
      </c>
      <c r="AE22" s="70">
        <f>IF('Final Calculation Sheet'!$AD$19="","",'Final Calculation Sheet'!$AD$19)</f>
        <v/>
      </c>
      <c r="AF22" s="70">
        <f>IF('Final Calculation Sheet'!$AE$19="","",'Final Calculation Sheet'!$AE$19)</f>
        <v/>
      </c>
      <c r="AG22" s="74">
        <f>IF('Final Calculation Sheet'!$AF$19="","",'Final Calculation Sheet'!$AF$19)</f>
        <v/>
      </c>
      <c r="AH22" s="70">
        <f>IF('Final Calculation Sheet'!$AG$19="","",'Final Calculation Sheet'!$AG$19)</f>
        <v/>
      </c>
      <c r="AI22" s="75">
        <f>IF('Final Calculation Sheet'!$AD$19="","",IF('Final Calculation Sheet'!$AD$19&lt;=0,"SETTLED","OUTSTANDING"))</f>
        <v/>
      </c>
    </row>
    <row r="23" ht="15" customHeight="1" s="77">
      <c r="A23" s="67" t="n">
        <v>7</v>
      </c>
      <c r="B23" s="68">
        <f>IF('Final Calculation Sheet'!$F$22="","",'Final Calculation Sheet'!$F$22)</f>
        <v/>
      </c>
      <c r="C23" s="68">
        <f>IF('Final Calculation Sheet'!$G$22="","",'Final Calculation Sheet'!$G$22)</f>
        <v/>
      </c>
      <c r="D23" s="69">
        <f>IF('Final Calculation Sheet'!$B$22="","",'Final Calculation Sheet'!$B$22)</f>
        <v/>
      </c>
      <c r="E23" s="69">
        <f>IF('Final Calculation Sheet'!$D$22="","",'Final Calculation Sheet'!$D$22)</f>
        <v/>
      </c>
      <c r="F23" s="69">
        <f>IF('Final Calculation Sheet'!$A$22="","",'Final Calculation Sheet'!$A$22)</f>
        <v/>
      </c>
      <c r="G23" s="69">
        <f>IF('Final Calculation Sheet'!$E$22="","",'Final Calculation Sheet'!$E$22)</f>
        <v/>
      </c>
      <c r="H23" s="70">
        <f>IF('Final Calculation Sheet'!$C$22="","",'Final Calculation Sheet'!$C$22)</f>
        <v/>
      </c>
      <c r="I23" s="70">
        <f>IF('Final Calculation Sheet'!$H$22="","",'Final Calculation Sheet'!$H$22)</f>
        <v/>
      </c>
      <c r="J23" s="70">
        <f>IF('Final Calculation Sheet'!$I$22="","",'Final Calculation Sheet'!$I$22)</f>
        <v/>
      </c>
      <c r="K23" s="70">
        <f>IF('Final Calculation Sheet'!$J$22="","",'Final Calculation Sheet'!$J$22)</f>
        <v/>
      </c>
      <c r="L23" s="70">
        <f>IF('Final Calculation Sheet'!$K$22="","",'Final Calculation Sheet'!$K$22)</f>
        <v/>
      </c>
      <c r="M23" s="70">
        <f>IF('Final Calculation Sheet'!$L$22="","",'Final Calculation Sheet'!$L$22)</f>
        <v/>
      </c>
      <c r="N23" s="70">
        <f>IF('Final Calculation Sheet'!$M$22="","",'Final Calculation Sheet'!$M$22)</f>
        <v/>
      </c>
      <c r="O23" s="71">
        <f>IF('Final Calculation Sheet'!$N$22="","",'Final Calculation Sheet'!$N$22)</f>
        <v/>
      </c>
      <c r="P23" s="70">
        <f>IF('Final Calculation Sheet'!$O$22="","",'Final Calculation Sheet'!$O$22)</f>
        <v/>
      </c>
      <c r="Q23" s="70">
        <f>IF('Final Calculation Sheet'!$P$22="","",'Final Calculation Sheet'!$P$22)</f>
        <v/>
      </c>
      <c r="R23" s="72">
        <f>IF('Final Calculation Sheet'!$Q$22="","",'Final Calculation Sheet'!$Q$22)</f>
        <v/>
      </c>
      <c r="S23" s="70">
        <f>IF('Final Calculation Sheet'!$R$22="","",'Final Calculation Sheet'!$R$22)</f>
        <v/>
      </c>
      <c r="T23" s="70">
        <f>IF('Final Calculation Sheet'!$S$22="","",'Final Calculation Sheet'!$S$22)</f>
        <v/>
      </c>
      <c r="U23" s="70">
        <f>IF('Final Calculation Sheet'!$T$22="","",'Final Calculation Sheet'!$T$22)</f>
        <v/>
      </c>
      <c r="V23" s="73">
        <f>IF('Final Calculation Sheet'!$U$22="","",'Final Calculation Sheet'!$U$22)</f>
        <v/>
      </c>
      <c r="W23" s="70">
        <f>IF('Final Calculation Sheet'!$V$22="","",'Final Calculation Sheet'!$V$22)</f>
        <v/>
      </c>
      <c r="X23" s="70">
        <f>IF('Final Calculation Sheet'!$W$22="","",'Final Calculation Sheet'!$W$22)</f>
        <v/>
      </c>
      <c r="Y23" s="70">
        <f>IF('Final Calculation Sheet'!$X$22="","",'Final Calculation Sheet'!$X$22)</f>
        <v/>
      </c>
      <c r="Z23" s="70">
        <f>IF('Final Calculation Sheet'!$Y$22="","",'Final Calculation Sheet'!$Y$22)</f>
        <v/>
      </c>
      <c r="AA23" s="70">
        <f>IF('Final Calculation Sheet'!$Z$22="","",'Final Calculation Sheet'!$Z$22)</f>
        <v/>
      </c>
      <c r="AB23" s="70">
        <f>IF('Final Calculation Sheet'!$AA$22="","",'Final Calculation Sheet'!$AA$22)</f>
        <v/>
      </c>
      <c r="AC23" s="70">
        <f>IF('Final Calculation Sheet'!$AB$22="","",'Final Calculation Sheet'!$AB$22)</f>
        <v/>
      </c>
      <c r="AD23" s="70">
        <f>IF('Final Calculation Sheet'!$AC$22="","",'Final Calculation Sheet'!$AC$22)</f>
        <v/>
      </c>
      <c r="AE23" s="70">
        <f>IF('Final Calculation Sheet'!$AD$22="","",'Final Calculation Sheet'!$AD$22)</f>
        <v/>
      </c>
      <c r="AF23" s="70">
        <f>IF('Final Calculation Sheet'!$AE$22="","",'Final Calculation Sheet'!$AE$22)</f>
        <v/>
      </c>
      <c r="AG23" s="74">
        <f>IF('Final Calculation Sheet'!$AF$22="","",'Final Calculation Sheet'!$AF$22)</f>
        <v/>
      </c>
      <c r="AH23" s="70">
        <f>IF('Final Calculation Sheet'!$AG$22="","",'Final Calculation Sheet'!$AG$22)</f>
        <v/>
      </c>
      <c r="AI23" s="75">
        <f>IF('Final Calculation Sheet'!$AD$22="","",IF('Final Calculation Sheet'!$AD$22&lt;=0,"SETTLED","OUTSTANDING"))</f>
        <v/>
      </c>
    </row>
    <row r="24" ht="15" customHeight="1" s="77">
      <c r="A24" s="67" t="n">
        <v>8</v>
      </c>
      <c r="B24" s="68">
        <f>IF('Final Calculation Sheet'!$F$24="","",'Final Calculation Sheet'!$F$24)</f>
        <v/>
      </c>
      <c r="C24" s="68">
        <f>IF('Final Calculation Sheet'!$G$24="","",'Final Calculation Sheet'!$G$24)</f>
        <v/>
      </c>
      <c r="D24" s="69">
        <f>IF('Final Calculation Sheet'!$B$24="","",'Final Calculation Sheet'!$B$24)</f>
        <v/>
      </c>
      <c r="E24" s="69">
        <f>IF('Final Calculation Sheet'!$D$24="","",'Final Calculation Sheet'!$D$24)</f>
        <v/>
      </c>
      <c r="F24" s="69">
        <f>IF('Final Calculation Sheet'!$A$24="","",'Final Calculation Sheet'!$A$24)</f>
        <v/>
      </c>
      <c r="G24" s="69">
        <f>IF('Final Calculation Sheet'!$E$24="","",'Final Calculation Sheet'!$E$24)</f>
        <v/>
      </c>
      <c r="H24" s="70">
        <f>IF('Final Calculation Sheet'!$C$24="","",'Final Calculation Sheet'!$C$24)</f>
        <v/>
      </c>
      <c r="I24" s="70">
        <f>IF('Final Calculation Sheet'!$H$24="","",'Final Calculation Sheet'!$H$24)</f>
        <v/>
      </c>
      <c r="J24" s="70">
        <f>IF('Final Calculation Sheet'!$I$24="","",'Final Calculation Sheet'!$I$24)</f>
        <v/>
      </c>
      <c r="K24" s="70">
        <f>IF('Final Calculation Sheet'!$J$24="","",'Final Calculation Sheet'!$J$24)</f>
        <v/>
      </c>
      <c r="L24" s="70">
        <f>IF('Final Calculation Sheet'!$K$24="","",'Final Calculation Sheet'!$K$24)</f>
        <v/>
      </c>
      <c r="M24" s="70">
        <f>IF('Final Calculation Sheet'!$L$24="","",'Final Calculation Sheet'!$L$24)</f>
        <v/>
      </c>
      <c r="N24" s="70">
        <f>IF('Final Calculation Sheet'!$M$24="","",'Final Calculation Sheet'!$M$24)</f>
        <v/>
      </c>
      <c r="O24" s="71">
        <f>IF('Final Calculation Sheet'!$N$24="","",'Final Calculation Sheet'!$N$24)</f>
        <v/>
      </c>
      <c r="P24" s="70">
        <f>IF('Final Calculation Sheet'!$O$24="","",'Final Calculation Sheet'!$O$24)</f>
        <v/>
      </c>
      <c r="Q24" s="70">
        <f>IF('Final Calculation Sheet'!$P$24="","",'Final Calculation Sheet'!$P$24)</f>
        <v/>
      </c>
      <c r="R24" s="72">
        <f>IF('Final Calculation Sheet'!$Q$24="","",'Final Calculation Sheet'!$Q$24)</f>
        <v/>
      </c>
      <c r="S24" s="70">
        <f>IF('Final Calculation Sheet'!$R$24="","",'Final Calculation Sheet'!$R$24)</f>
        <v/>
      </c>
      <c r="T24" s="70">
        <f>IF('Final Calculation Sheet'!$S$24="","",'Final Calculation Sheet'!$S$24)</f>
        <v/>
      </c>
      <c r="U24" s="70">
        <f>IF('Final Calculation Sheet'!$T$24="","",'Final Calculation Sheet'!$T$24)</f>
        <v/>
      </c>
      <c r="V24" s="73">
        <f>IF('Final Calculation Sheet'!$U$24="","",'Final Calculation Sheet'!$U$24)</f>
        <v/>
      </c>
      <c r="W24" s="70">
        <f>IF('Final Calculation Sheet'!$V$24="","",'Final Calculation Sheet'!$V$24)</f>
        <v/>
      </c>
      <c r="X24" s="70">
        <f>IF('Final Calculation Sheet'!$W$24="","",'Final Calculation Sheet'!$W$24)</f>
        <v/>
      </c>
      <c r="Y24" s="70">
        <f>IF('Final Calculation Sheet'!$X$24="","",'Final Calculation Sheet'!$X$24)</f>
        <v/>
      </c>
      <c r="Z24" s="70">
        <f>IF('Final Calculation Sheet'!$Y$24="","",'Final Calculation Sheet'!$Y$24)</f>
        <v/>
      </c>
      <c r="AA24" s="70">
        <f>IF('Final Calculation Sheet'!$Z$24="","",'Final Calculation Sheet'!$Z$24)</f>
        <v/>
      </c>
      <c r="AB24" s="70">
        <f>IF('Final Calculation Sheet'!$AA$24="","",'Final Calculation Sheet'!$AA$24)</f>
        <v/>
      </c>
      <c r="AC24" s="70">
        <f>IF('Final Calculation Sheet'!$AB$24="","",'Final Calculation Sheet'!$AB$24)</f>
        <v/>
      </c>
      <c r="AD24" s="70">
        <f>IF('Final Calculation Sheet'!$AC$24="","",'Final Calculation Sheet'!$AC$24)</f>
        <v/>
      </c>
      <c r="AE24" s="70">
        <f>IF('Final Calculation Sheet'!$AD$24="","",'Final Calculation Sheet'!$AD$24)</f>
        <v/>
      </c>
      <c r="AF24" s="70">
        <f>IF('Final Calculation Sheet'!$AE$24="","",'Final Calculation Sheet'!$AE$24)</f>
        <v/>
      </c>
      <c r="AG24" s="74">
        <f>IF('Final Calculation Sheet'!$AF$24="","",'Final Calculation Sheet'!$AF$24)</f>
        <v/>
      </c>
      <c r="AH24" s="70">
        <f>IF('Final Calculation Sheet'!$AG$24="","",'Final Calculation Sheet'!$AG$24)</f>
        <v/>
      </c>
      <c r="AI24" s="75">
        <f>IF('Final Calculation Sheet'!$AD$24="","",IF('Final Calculation Sheet'!$AD$24&lt;=0,"SETTLED","OUTSTANDING"))</f>
        <v/>
      </c>
    </row>
    <row r="25" ht="15" customHeight="1" s="77">
      <c r="A25" s="67" t="n">
        <v>9</v>
      </c>
      <c r="B25" s="68">
        <f>IF('Final Calculation Sheet'!$F$26="","",'Final Calculation Sheet'!$F$26)</f>
        <v/>
      </c>
      <c r="C25" s="68">
        <f>IF('Final Calculation Sheet'!$G$26="","",'Final Calculation Sheet'!$G$26)</f>
        <v/>
      </c>
      <c r="D25" s="69">
        <f>IF('Final Calculation Sheet'!$B$26="","",'Final Calculation Sheet'!$B$26)</f>
        <v/>
      </c>
      <c r="E25" s="69">
        <f>IF('Final Calculation Sheet'!$D$26="","",'Final Calculation Sheet'!$D$26)</f>
        <v/>
      </c>
      <c r="F25" s="69">
        <f>IF('Final Calculation Sheet'!$A$26="","",'Final Calculation Sheet'!$A$26)</f>
        <v/>
      </c>
      <c r="G25" s="69">
        <f>IF('Final Calculation Sheet'!$E$26="","",'Final Calculation Sheet'!$E$26)</f>
        <v/>
      </c>
      <c r="H25" s="70">
        <f>IF('Final Calculation Sheet'!$C$26="","",'Final Calculation Sheet'!$C$26)</f>
        <v/>
      </c>
      <c r="I25" s="70">
        <f>IF('Final Calculation Sheet'!$H$26="","",'Final Calculation Sheet'!$H$26)</f>
        <v/>
      </c>
      <c r="J25" s="70">
        <f>IF('Final Calculation Sheet'!$I$26="","",'Final Calculation Sheet'!$I$26)</f>
        <v/>
      </c>
      <c r="K25" s="70">
        <f>IF('Final Calculation Sheet'!$J$26="","",'Final Calculation Sheet'!$J$26)</f>
        <v/>
      </c>
      <c r="L25" s="70">
        <f>IF('Final Calculation Sheet'!$K$26="","",'Final Calculation Sheet'!$K$26)</f>
        <v/>
      </c>
      <c r="M25" s="70">
        <f>IF('Final Calculation Sheet'!$L$26="","",'Final Calculation Sheet'!$L$26)</f>
        <v/>
      </c>
      <c r="N25" s="70">
        <f>IF('Final Calculation Sheet'!$M$26="","",'Final Calculation Sheet'!$M$26)</f>
        <v/>
      </c>
      <c r="O25" s="71">
        <f>IF('Final Calculation Sheet'!$N$26="","",'Final Calculation Sheet'!$N$26)</f>
        <v/>
      </c>
      <c r="P25" s="70">
        <f>IF('Final Calculation Sheet'!$O$26="","",'Final Calculation Sheet'!$O$26)</f>
        <v/>
      </c>
      <c r="Q25" s="70">
        <f>IF('Final Calculation Sheet'!$P$26="","",'Final Calculation Sheet'!$P$26)</f>
        <v/>
      </c>
      <c r="R25" s="72">
        <f>IF('Final Calculation Sheet'!$Q$26="","",'Final Calculation Sheet'!$Q$26)</f>
        <v/>
      </c>
      <c r="S25" s="70">
        <f>IF('Final Calculation Sheet'!$R$26="","",'Final Calculation Sheet'!$R$26)</f>
        <v/>
      </c>
      <c r="T25" s="70">
        <f>IF('Final Calculation Sheet'!$S$26="","",'Final Calculation Sheet'!$S$26)</f>
        <v/>
      </c>
      <c r="U25" s="70">
        <f>IF('Final Calculation Sheet'!$T$26="","",'Final Calculation Sheet'!$T$26)</f>
        <v/>
      </c>
      <c r="V25" s="73">
        <f>IF('Final Calculation Sheet'!$U$26="","",'Final Calculation Sheet'!$U$26)</f>
        <v/>
      </c>
      <c r="W25" s="70">
        <f>IF('Final Calculation Sheet'!$V$26="","",'Final Calculation Sheet'!$V$26)</f>
        <v/>
      </c>
      <c r="X25" s="70">
        <f>IF('Final Calculation Sheet'!$W$26="","",'Final Calculation Sheet'!$W$26)</f>
        <v/>
      </c>
      <c r="Y25" s="70">
        <f>IF('Final Calculation Sheet'!$X$26="","",'Final Calculation Sheet'!$X$26)</f>
        <v/>
      </c>
      <c r="Z25" s="70">
        <f>IF('Final Calculation Sheet'!$Y$26="","",'Final Calculation Sheet'!$Y$26)</f>
        <v/>
      </c>
      <c r="AA25" s="70">
        <f>IF('Final Calculation Sheet'!$Z$26="","",'Final Calculation Sheet'!$Z$26)</f>
        <v/>
      </c>
      <c r="AB25" s="70">
        <f>IF('Final Calculation Sheet'!$AA$26="","",'Final Calculation Sheet'!$AA$26)</f>
        <v/>
      </c>
      <c r="AC25" s="70">
        <f>IF('Final Calculation Sheet'!$AB$26="","",'Final Calculation Sheet'!$AB$26)</f>
        <v/>
      </c>
      <c r="AD25" s="70">
        <f>IF('Final Calculation Sheet'!$AC$26="","",'Final Calculation Sheet'!$AC$26)</f>
        <v/>
      </c>
      <c r="AE25" s="70">
        <f>IF('Final Calculation Sheet'!$AD$26="","",'Final Calculation Sheet'!$AD$26)</f>
        <v/>
      </c>
      <c r="AF25" s="70">
        <f>IF('Final Calculation Sheet'!$AE$26="","",'Final Calculation Sheet'!$AE$26)</f>
        <v/>
      </c>
      <c r="AG25" s="74">
        <f>IF('Final Calculation Sheet'!$AF$26="","",'Final Calculation Sheet'!$AF$26)</f>
        <v/>
      </c>
      <c r="AH25" s="70">
        <f>IF('Final Calculation Sheet'!$AG$26="","",'Final Calculation Sheet'!$AG$26)</f>
        <v/>
      </c>
      <c r="AI25" s="75">
        <f>IF('Final Calculation Sheet'!$AD$26="","",IF('Final Calculation Sheet'!$AD$26&lt;=0,"SETTLED","OUTSTANDING"))</f>
        <v/>
      </c>
    </row>
    <row r="26" ht="15" customHeight="1" s="77">
      <c r="A26" s="67" t="n">
        <v>10</v>
      </c>
      <c r="B26" s="68">
        <f>IF('Final Calculation Sheet'!$F$30="","",'Final Calculation Sheet'!$F$30)</f>
        <v/>
      </c>
      <c r="C26" s="68">
        <f>IF('Final Calculation Sheet'!$G$30="","",'Final Calculation Sheet'!$G$30)</f>
        <v/>
      </c>
      <c r="D26" s="69">
        <f>IF('Final Calculation Sheet'!$B$30="","",'Final Calculation Sheet'!$B$30)</f>
        <v/>
      </c>
      <c r="E26" s="69">
        <f>IF('Final Calculation Sheet'!$D$30="","",'Final Calculation Sheet'!$D$30)</f>
        <v/>
      </c>
      <c r="F26" s="69">
        <f>IF('Final Calculation Sheet'!$A$30="","",'Final Calculation Sheet'!$A$30)</f>
        <v/>
      </c>
      <c r="G26" s="69">
        <f>IF('Final Calculation Sheet'!$E$30="","",'Final Calculation Sheet'!$E$30)</f>
        <v/>
      </c>
      <c r="H26" s="70">
        <f>IF('Final Calculation Sheet'!$C$30="","",'Final Calculation Sheet'!$C$30)</f>
        <v/>
      </c>
      <c r="I26" s="70">
        <f>IF('Final Calculation Sheet'!$H$30="","",'Final Calculation Sheet'!$H$30)</f>
        <v/>
      </c>
      <c r="J26" s="70">
        <f>IF('Final Calculation Sheet'!$I$30="","",'Final Calculation Sheet'!$I$30)</f>
        <v/>
      </c>
      <c r="K26" s="70">
        <f>IF('Final Calculation Sheet'!$J$30="","",'Final Calculation Sheet'!$J$30)</f>
        <v/>
      </c>
      <c r="L26" s="70">
        <f>IF('Final Calculation Sheet'!$K$30="","",'Final Calculation Sheet'!$K$30)</f>
        <v/>
      </c>
      <c r="M26" s="70">
        <f>IF('Final Calculation Sheet'!$L$30="","",'Final Calculation Sheet'!$L$30)</f>
        <v/>
      </c>
      <c r="N26" s="70">
        <f>IF('Final Calculation Sheet'!$M$30="","",'Final Calculation Sheet'!$M$30)</f>
        <v/>
      </c>
      <c r="O26" s="71">
        <f>IF('Final Calculation Sheet'!$N$30="","",'Final Calculation Sheet'!$N$30)</f>
        <v/>
      </c>
      <c r="P26" s="70">
        <f>IF('Final Calculation Sheet'!$O$30="","",'Final Calculation Sheet'!$O$30)</f>
        <v/>
      </c>
      <c r="Q26" s="70">
        <f>IF('Final Calculation Sheet'!$P$30="","",'Final Calculation Sheet'!$P$30)</f>
        <v/>
      </c>
      <c r="R26" s="72">
        <f>IF('Final Calculation Sheet'!$Q$30="","",'Final Calculation Sheet'!$Q$30)</f>
        <v/>
      </c>
      <c r="S26" s="70">
        <f>IF('Final Calculation Sheet'!$R$30="","",'Final Calculation Sheet'!$R$30)</f>
        <v/>
      </c>
      <c r="T26" s="70">
        <f>IF('Final Calculation Sheet'!$S$30="","",'Final Calculation Sheet'!$S$30)</f>
        <v/>
      </c>
      <c r="U26" s="70">
        <f>IF('Final Calculation Sheet'!$T$30="","",'Final Calculation Sheet'!$T$30)</f>
        <v/>
      </c>
      <c r="V26" s="73">
        <f>IF('Final Calculation Sheet'!$U$30="","",'Final Calculation Sheet'!$U$30)</f>
        <v/>
      </c>
      <c r="W26" s="70">
        <f>IF('Final Calculation Sheet'!$V$30="","",'Final Calculation Sheet'!$V$30)</f>
        <v/>
      </c>
      <c r="X26" s="70">
        <f>IF('Final Calculation Sheet'!$W$30="","",'Final Calculation Sheet'!$W$30)</f>
        <v/>
      </c>
      <c r="Y26" s="70">
        <f>IF('Final Calculation Sheet'!$X$30="","",'Final Calculation Sheet'!$X$30)</f>
        <v/>
      </c>
      <c r="Z26" s="70">
        <f>IF('Final Calculation Sheet'!$Y$30="","",'Final Calculation Sheet'!$Y$30)</f>
        <v/>
      </c>
      <c r="AA26" s="70">
        <f>IF('Final Calculation Sheet'!$Z$30="","",'Final Calculation Sheet'!$Z$30)</f>
        <v/>
      </c>
      <c r="AB26" s="70">
        <f>IF('Final Calculation Sheet'!$AA$30="","",'Final Calculation Sheet'!$AA$30)</f>
        <v/>
      </c>
      <c r="AC26" s="70">
        <f>IF('Final Calculation Sheet'!$AB$30="","",'Final Calculation Sheet'!$AB$30)</f>
        <v/>
      </c>
      <c r="AD26" s="70">
        <f>IF('Final Calculation Sheet'!$AC$30="","",'Final Calculation Sheet'!$AC$30)</f>
        <v/>
      </c>
      <c r="AE26" s="70">
        <f>IF('Final Calculation Sheet'!$AD$30="","",'Final Calculation Sheet'!$AD$30)</f>
        <v/>
      </c>
      <c r="AF26" s="70">
        <f>IF('Final Calculation Sheet'!$AE$30="","",'Final Calculation Sheet'!$AE$30)</f>
        <v/>
      </c>
      <c r="AG26" s="74">
        <f>IF('Final Calculation Sheet'!$AF$30="","",'Final Calculation Sheet'!$AF$30)</f>
        <v/>
      </c>
      <c r="AH26" s="70">
        <f>IF('Final Calculation Sheet'!$AG$30="","",'Final Calculation Sheet'!$AG$30)</f>
        <v/>
      </c>
      <c r="AI26" s="75">
        <f>IF('Final Calculation Sheet'!$AD$30="","",IF('Final Calculation Sheet'!$AD$30&lt;=0,"SETTLED","OUTSTANDING"))</f>
        <v/>
      </c>
    </row>
    <row r="27" ht="15" customHeight="1" s="77">
      <c r="A27" s="67" t="n">
        <v>11</v>
      </c>
      <c r="B27" s="68">
        <f>IF('Final Calculation Sheet'!$F$32="","",'Final Calculation Sheet'!$F$32)</f>
        <v/>
      </c>
      <c r="C27" s="68">
        <f>IF('Final Calculation Sheet'!$G$32="","",'Final Calculation Sheet'!$G$32)</f>
        <v/>
      </c>
      <c r="D27" s="69">
        <f>IF('Final Calculation Sheet'!$B$32="","",'Final Calculation Sheet'!$B$32)</f>
        <v/>
      </c>
      <c r="E27" s="69">
        <f>IF('Final Calculation Sheet'!$D$32="","",'Final Calculation Sheet'!$D$32)</f>
        <v/>
      </c>
      <c r="F27" s="69">
        <f>IF('Final Calculation Sheet'!$A$32="","",'Final Calculation Sheet'!$A$32)</f>
        <v/>
      </c>
      <c r="G27" s="69">
        <f>IF('Final Calculation Sheet'!$E$32="","",'Final Calculation Sheet'!$E$32)</f>
        <v/>
      </c>
      <c r="H27" s="70">
        <f>IF('Final Calculation Sheet'!$C$32="","",'Final Calculation Sheet'!$C$32)</f>
        <v/>
      </c>
      <c r="I27" s="70">
        <f>IF('Final Calculation Sheet'!$H$32="","",'Final Calculation Sheet'!$H$32)</f>
        <v/>
      </c>
      <c r="J27" s="70">
        <f>IF('Final Calculation Sheet'!$I$32="","",'Final Calculation Sheet'!$I$32)</f>
        <v/>
      </c>
      <c r="K27" s="70">
        <f>IF('Final Calculation Sheet'!$J$32="","",'Final Calculation Sheet'!$J$32)</f>
        <v/>
      </c>
      <c r="L27" s="70">
        <f>IF('Final Calculation Sheet'!$K$32="","",'Final Calculation Sheet'!$K$32)</f>
        <v/>
      </c>
      <c r="M27" s="70">
        <f>IF('Final Calculation Sheet'!$L$32="","",'Final Calculation Sheet'!$L$32)</f>
        <v/>
      </c>
      <c r="N27" s="70">
        <f>IF('Final Calculation Sheet'!$M$32="","",'Final Calculation Sheet'!$M$32)</f>
        <v/>
      </c>
      <c r="O27" s="71">
        <f>IF('Final Calculation Sheet'!$N$32="","",'Final Calculation Sheet'!$N$32)</f>
        <v/>
      </c>
      <c r="P27" s="70">
        <f>IF('Final Calculation Sheet'!$O$32="","",'Final Calculation Sheet'!$O$32)</f>
        <v/>
      </c>
      <c r="Q27" s="70">
        <f>IF('Final Calculation Sheet'!$P$32="","",'Final Calculation Sheet'!$P$32)</f>
        <v/>
      </c>
      <c r="R27" s="72">
        <f>IF('Final Calculation Sheet'!$Q$32="","",'Final Calculation Sheet'!$Q$32)</f>
        <v/>
      </c>
      <c r="S27" s="70">
        <f>IF('Final Calculation Sheet'!$R$32="","",'Final Calculation Sheet'!$R$32)</f>
        <v/>
      </c>
      <c r="T27" s="70">
        <f>IF('Final Calculation Sheet'!$S$32="","",'Final Calculation Sheet'!$S$32)</f>
        <v/>
      </c>
      <c r="U27" s="70">
        <f>IF('Final Calculation Sheet'!$T$32="","",'Final Calculation Sheet'!$T$32)</f>
        <v/>
      </c>
      <c r="V27" s="73">
        <f>IF('Final Calculation Sheet'!$U$32="","",'Final Calculation Sheet'!$U$32)</f>
        <v/>
      </c>
      <c r="W27" s="70">
        <f>IF('Final Calculation Sheet'!$V$32="","",'Final Calculation Sheet'!$V$32)</f>
        <v/>
      </c>
      <c r="X27" s="70">
        <f>IF('Final Calculation Sheet'!$W$32="","",'Final Calculation Sheet'!$W$32)</f>
        <v/>
      </c>
      <c r="Y27" s="70">
        <f>IF('Final Calculation Sheet'!$X$32="","",'Final Calculation Sheet'!$X$32)</f>
        <v/>
      </c>
      <c r="Z27" s="70">
        <f>IF('Final Calculation Sheet'!$Y$32="","",'Final Calculation Sheet'!$Y$32)</f>
        <v/>
      </c>
      <c r="AA27" s="70">
        <f>IF('Final Calculation Sheet'!$Z$32="","",'Final Calculation Sheet'!$Z$32)</f>
        <v/>
      </c>
      <c r="AB27" s="70">
        <f>IF('Final Calculation Sheet'!$AA$32="","",'Final Calculation Sheet'!$AA$32)</f>
        <v/>
      </c>
      <c r="AC27" s="70">
        <f>IF('Final Calculation Sheet'!$AB$32="","",'Final Calculation Sheet'!$AB$32)</f>
        <v/>
      </c>
      <c r="AD27" s="70">
        <f>IF('Final Calculation Sheet'!$AC$32="","",'Final Calculation Sheet'!$AC$32)</f>
        <v/>
      </c>
      <c r="AE27" s="70">
        <f>IF('Final Calculation Sheet'!$AD$32="","",'Final Calculation Sheet'!$AD$32)</f>
        <v/>
      </c>
      <c r="AF27" s="70">
        <f>IF('Final Calculation Sheet'!$AE$32="","",'Final Calculation Sheet'!$AE$32)</f>
        <v/>
      </c>
      <c r="AG27" s="74">
        <f>IF('Final Calculation Sheet'!$AF$32="","",'Final Calculation Sheet'!$AF$32)</f>
        <v/>
      </c>
      <c r="AH27" s="70">
        <f>IF('Final Calculation Sheet'!$AG$32="","",'Final Calculation Sheet'!$AG$32)</f>
        <v/>
      </c>
      <c r="AI27" s="75">
        <f>IF('Final Calculation Sheet'!$AD$32="","",IF('Final Calculation Sheet'!$AD$32&lt;=0,"SETTLED","OUTSTANDING"))</f>
        <v/>
      </c>
    </row>
    <row r="28" ht="15" customHeight="1" s="77">
      <c r="A28" s="67" t="n">
        <v>12</v>
      </c>
      <c r="B28" s="68">
        <f>IF('Final Calculation Sheet'!$F$33="","",'Final Calculation Sheet'!$F$33)</f>
        <v/>
      </c>
      <c r="C28" s="68">
        <f>IF('Final Calculation Sheet'!$G$33="","",'Final Calculation Sheet'!$G$33)</f>
        <v/>
      </c>
      <c r="D28" s="69">
        <f>IF('Final Calculation Sheet'!$B$33="","",'Final Calculation Sheet'!$B$33)</f>
        <v/>
      </c>
      <c r="E28" s="69">
        <f>IF('Final Calculation Sheet'!$D$33="","",'Final Calculation Sheet'!$D$33)</f>
        <v/>
      </c>
      <c r="F28" s="69">
        <f>IF('Final Calculation Sheet'!$A$33="","",'Final Calculation Sheet'!$A$33)</f>
        <v/>
      </c>
      <c r="G28" s="69">
        <f>IF('Final Calculation Sheet'!$E$33="","",'Final Calculation Sheet'!$E$33)</f>
        <v/>
      </c>
      <c r="H28" s="70">
        <f>IF('Final Calculation Sheet'!$C$33="","",'Final Calculation Sheet'!$C$33)</f>
        <v/>
      </c>
      <c r="I28" s="70">
        <f>IF('Final Calculation Sheet'!$H$33="","",'Final Calculation Sheet'!$H$33)</f>
        <v/>
      </c>
      <c r="J28" s="70">
        <f>IF('Final Calculation Sheet'!$I$33="","",'Final Calculation Sheet'!$I$33)</f>
        <v/>
      </c>
      <c r="K28" s="70">
        <f>IF('Final Calculation Sheet'!$J$33="","",'Final Calculation Sheet'!$J$33)</f>
        <v/>
      </c>
      <c r="L28" s="70">
        <f>IF('Final Calculation Sheet'!$K$33="","",'Final Calculation Sheet'!$K$33)</f>
        <v/>
      </c>
      <c r="M28" s="70">
        <f>IF('Final Calculation Sheet'!$L$33="","",'Final Calculation Sheet'!$L$33)</f>
        <v/>
      </c>
      <c r="N28" s="70">
        <f>IF('Final Calculation Sheet'!$M$33="","",'Final Calculation Sheet'!$M$33)</f>
        <v/>
      </c>
      <c r="O28" s="71">
        <f>IF('Final Calculation Sheet'!$N$33="","",'Final Calculation Sheet'!$N$33)</f>
        <v/>
      </c>
      <c r="P28" s="70">
        <f>IF('Final Calculation Sheet'!$O$33="","",'Final Calculation Sheet'!$O$33)</f>
        <v/>
      </c>
      <c r="Q28" s="70">
        <f>IF('Final Calculation Sheet'!$P$33="","",'Final Calculation Sheet'!$P$33)</f>
        <v/>
      </c>
      <c r="R28" s="72">
        <f>IF('Final Calculation Sheet'!$Q$33="","",'Final Calculation Sheet'!$Q$33)</f>
        <v/>
      </c>
      <c r="S28" s="70">
        <f>IF('Final Calculation Sheet'!$R$33="","",'Final Calculation Sheet'!$R$33)</f>
        <v/>
      </c>
      <c r="T28" s="70">
        <f>IF('Final Calculation Sheet'!$S$33="","",'Final Calculation Sheet'!$S$33)</f>
        <v/>
      </c>
      <c r="U28" s="70">
        <f>IF('Final Calculation Sheet'!$T$33="","",'Final Calculation Sheet'!$T$33)</f>
        <v/>
      </c>
      <c r="V28" s="73">
        <f>IF('Final Calculation Sheet'!$U$33="","",'Final Calculation Sheet'!$U$33)</f>
        <v/>
      </c>
      <c r="W28" s="70">
        <f>IF('Final Calculation Sheet'!$V$33="","",'Final Calculation Sheet'!$V$33)</f>
        <v/>
      </c>
      <c r="X28" s="70">
        <f>IF('Final Calculation Sheet'!$W$33="","",'Final Calculation Sheet'!$W$33)</f>
        <v/>
      </c>
      <c r="Y28" s="70">
        <f>IF('Final Calculation Sheet'!$X$33="","",'Final Calculation Sheet'!$X$33)</f>
        <v/>
      </c>
      <c r="Z28" s="70">
        <f>IF('Final Calculation Sheet'!$Y$33="","",'Final Calculation Sheet'!$Y$33)</f>
        <v/>
      </c>
      <c r="AA28" s="70">
        <f>IF('Final Calculation Sheet'!$Z$33="","",'Final Calculation Sheet'!$Z$33)</f>
        <v/>
      </c>
      <c r="AB28" s="70">
        <f>IF('Final Calculation Sheet'!$AA$33="","",'Final Calculation Sheet'!$AA$33)</f>
        <v/>
      </c>
      <c r="AC28" s="70">
        <f>IF('Final Calculation Sheet'!$AB$33="","",'Final Calculation Sheet'!$AB$33)</f>
        <v/>
      </c>
      <c r="AD28" s="70">
        <f>IF('Final Calculation Sheet'!$AC$33="","",'Final Calculation Sheet'!$AC$33)</f>
        <v/>
      </c>
      <c r="AE28" s="70">
        <f>IF('Final Calculation Sheet'!$AD$33="","",'Final Calculation Sheet'!$AD$33)</f>
        <v/>
      </c>
      <c r="AF28" s="70">
        <f>IF('Final Calculation Sheet'!$AE$33="","",'Final Calculation Sheet'!$AE$33)</f>
        <v/>
      </c>
      <c r="AG28" s="74">
        <f>IF('Final Calculation Sheet'!$AF$33="","",'Final Calculation Sheet'!$AF$33)</f>
        <v/>
      </c>
      <c r="AH28" s="70">
        <f>IF('Final Calculation Sheet'!$AG$33="","",'Final Calculation Sheet'!$AG$33)</f>
        <v/>
      </c>
      <c r="AI28" s="75">
        <f>IF('Final Calculation Sheet'!$AD$33="","",IF('Final Calculation Sheet'!$AD$33&lt;=0,"SETTLED","OUTSTANDING"))</f>
        <v/>
      </c>
    </row>
    <row r="29" ht="15" customHeight="1" s="77">
      <c r="A29" s="67" t="n">
        <v>13</v>
      </c>
      <c r="B29" s="68">
        <f>IF('Final Calculation Sheet'!$F$37="","",'Final Calculation Sheet'!$F$37)</f>
        <v/>
      </c>
      <c r="C29" s="68">
        <f>IF('Final Calculation Sheet'!$G$37="","",'Final Calculation Sheet'!$G$37)</f>
        <v/>
      </c>
      <c r="D29" s="69">
        <f>IF('Final Calculation Sheet'!$B$37="","",'Final Calculation Sheet'!$B$37)</f>
        <v/>
      </c>
      <c r="E29" s="69">
        <f>IF('Final Calculation Sheet'!$D$37="","",'Final Calculation Sheet'!$D$37)</f>
        <v/>
      </c>
      <c r="F29" s="69">
        <f>IF('Final Calculation Sheet'!$A$37="","",'Final Calculation Sheet'!$A$37)</f>
        <v/>
      </c>
      <c r="G29" s="69">
        <f>IF('Final Calculation Sheet'!$E$37="","",'Final Calculation Sheet'!$E$37)</f>
        <v/>
      </c>
      <c r="H29" s="70">
        <f>IF('Final Calculation Sheet'!$C$37="","",'Final Calculation Sheet'!$C$37)</f>
        <v/>
      </c>
      <c r="I29" s="70">
        <f>IF('Final Calculation Sheet'!$H$37="","",'Final Calculation Sheet'!$H$37)</f>
        <v/>
      </c>
      <c r="J29" s="70">
        <f>IF('Final Calculation Sheet'!$I$37="","",'Final Calculation Sheet'!$I$37)</f>
        <v/>
      </c>
      <c r="K29" s="70">
        <f>IF('Final Calculation Sheet'!$J$37="","",'Final Calculation Sheet'!$J$37)</f>
        <v/>
      </c>
      <c r="L29" s="70">
        <f>IF('Final Calculation Sheet'!$K$37="","",'Final Calculation Sheet'!$K$37)</f>
        <v/>
      </c>
      <c r="M29" s="70">
        <f>IF('Final Calculation Sheet'!$L$37="","",'Final Calculation Sheet'!$L$37)</f>
        <v/>
      </c>
      <c r="N29" s="70">
        <f>IF('Final Calculation Sheet'!$M$37="","",'Final Calculation Sheet'!$M$37)</f>
        <v/>
      </c>
      <c r="O29" s="71">
        <f>IF('Final Calculation Sheet'!$N$37="","",'Final Calculation Sheet'!$N$37)</f>
        <v/>
      </c>
      <c r="P29" s="70">
        <f>IF('Final Calculation Sheet'!$O$37="","",'Final Calculation Sheet'!$O$37)</f>
        <v/>
      </c>
      <c r="Q29" s="70">
        <f>IF('Final Calculation Sheet'!$P$37="","",'Final Calculation Sheet'!$P$37)</f>
        <v/>
      </c>
      <c r="R29" s="72">
        <f>IF('Final Calculation Sheet'!$Q$37="","",'Final Calculation Sheet'!$Q$37)</f>
        <v/>
      </c>
      <c r="S29" s="70">
        <f>IF('Final Calculation Sheet'!$R$37="","",'Final Calculation Sheet'!$R$37)</f>
        <v/>
      </c>
      <c r="T29" s="70">
        <f>IF('Final Calculation Sheet'!$S$37="","",'Final Calculation Sheet'!$S$37)</f>
        <v/>
      </c>
      <c r="U29" s="70">
        <f>IF('Final Calculation Sheet'!$T$37="","",'Final Calculation Sheet'!$T$37)</f>
        <v/>
      </c>
      <c r="V29" s="73">
        <f>IF('Final Calculation Sheet'!$U$37="","",'Final Calculation Sheet'!$U$37)</f>
        <v/>
      </c>
      <c r="W29" s="70">
        <f>IF('Final Calculation Sheet'!$V$37="","",'Final Calculation Sheet'!$V$37)</f>
        <v/>
      </c>
      <c r="X29" s="70">
        <f>IF('Final Calculation Sheet'!$W$37="","",'Final Calculation Sheet'!$W$37)</f>
        <v/>
      </c>
      <c r="Y29" s="70">
        <f>IF('Final Calculation Sheet'!$X$37="","",'Final Calculation Sheet'!$X$37)</f>
        <v/>
      </c>
      <c r="Z29" s="70">
        <f>IF('Final Calculation Sheet'!$Y$37="","",'Final Calculation Sheet'!$Y$37)</f>
        <v/>
      </c>
      <c r="AA29" s="70">
        <f>IF('Final Calculation Sheet'!$Z$37="","",'Final Calculation Sheet'!$Z$37)</f>
        <v/>
      </c>
      <c r="AB29" s="70">
        <f>IF('Final Calculation Sheet'!$AA$37="","",'Final Calculation Sheet'!$AA$37)</f>
        <v/>
      </c>
      <c r="AC29" s="70">
        <f>IF('Final Calculation Sheet'!$AB$37="","",'Final Calculation Sheet'!$AB$37)</f>
        <v/>
      </c>
      <c r="AD29" s="70">
        <f>IF('Final Calculation Sheet'!$AC$37="","",'Final Calculation Sheet'!$AC$37)</f>
        <v/>
      </c>
      <c r="AE29" s="70">
        <f>IF('Final Calculation Sheet'!$AD$37="","",'Final Calculation Sheet'!$AD$37)</f>
        <v/>
      </c>
      <c r="AF29" s="70">
        <f>IF('Final Calculation Sheet'!$AE$37="","",'Final Calculation Sheet'!$AE$37)</f>
        <v/>
      </c>
      <c r="AG29" s="74">
        <f>IF('Final Calculation Sheet'!$AF$37="","",'Final Calculation Sheet'!$AF$37)</f>
        <v/>
      </c>
      <c r="AH29" s="70">
        <f>IF('Final Calculation Sheet'!$AG$37="","",'Final Calculation Sheet'!$AG$37)</f>
        <v/>
      </c>
      <c r="AI29" s="75">
        <f>IF('Final Calculation Sheet'!$AD$37="","",IF('Final Calculation Sheet'!$AD$37&lt;=0,"SETTLED","OUTSTANDING"))</f>
        <v/>
      </c>
    </row>
    <row r="30" ht="15" customHeight="1" s="77">
      <c r="A30" s="84" t="inlineStr">
        <is>
          <t>∑</t>
        </is>
      </c>
      <c r="B30" s="85" t="n"/>
      <c r="C30" s="85">
        <f>ROWS($C$17:$C$29)&amp;" lot(s)"</f>
        <v/>
      </c>
      <c r="D30" s="85" t="inlineStr">
        <is>
          <t>SUBTOTAL — NATIONAL ENTERPRISES</t>
        </is>
      </c>
      <c r="E30" s="85" t="inlineStr">
        <is>
          <t>–</t>
        </is>
      </c>
      <c r="F30" s="85">
        <f>SUM(F17:F29)</f>
        <v/>
      </c>
      <c r="G30" s="85" t="inlineStr">
        <is>
          <t>–</t>
        </is>
      </c>
      <c r="H30" s="86" t="inlineStr">
        <is>
          <t>–</t>
        </is>
      </c>
      <c r="I30" s="86">
        <f>SUM(I17:I29)</f>
        <v/>
      </c>
      <c r="J30" s="86">
        <f>SUM(J17:J29)</f>
        <v/>
      </c>
      <c r="K30" s="86">
        <f>SUM(K17:K29)</f>
        <v/>
      </c>
      <c r="L30" s="86">
        <f>SUM(L17:L29)</f>
        <v/>
      </c>
      <c r="M30" s="86">
        <f>SUM(M17:M29)</f>
        <v/>
      </c>
      <c r="N30" s="86">
        <f>SUM(N17:N29)</f>
        <v/>
      </c>
      <c r="O30" s="87">
        <f>SUM(O17:O29)</f>
        <v/>
      </c>
      <c r="P30" s="86">
        <f>SUM(P17:P29)</f>
        <v/>
      </c>
      <c r="Q30" s="86">
        <f>SUM(Q17:Q29)</f>
        <v/>
      </c>
      <c r="R30" s="88" t="inlineStr">
        <is>
          <t>–</t>
        </is>
      </c>
      <c r="S30" s="86">
        <f>SUM(S17:S29)</f>
        <v/>
      </c>
      <c r="T30" s="86">
        <f>SUM(T17:T29)</f>
        <v/>
      </c>
      <c r="U30" s="86">
        <f>SUM(U17:U29)</f>
        <v/>
      </c>
      <c r="V30" s="89">
        <f>SUM(V17:V29)</f>
        <v/>
      </c>
      <c r="W30" s="86" t="inlineStr">
        <is>
          <t>–</t>
        </is>
      </c>
      <c r="X30" s="86">
        <f>SUM(X17:X29)</f>
        <v/>
      </c>
      <c r="Y30" s="86">
        <f>SUM(Y17:Y29)</f>
        <v/>
      </c>
      <c r="Z30" s="86" t="inlineStr">
        <is>
          <t>–</t>
        </is>
      </c>
      <c r="AA30" s="86">
        <f>SUM(AA17:AA29)</f>
        <v/>
      </c>
      <c r="AB30" s="86">
        <f>SUM(AB17:AB29)</f>
        <v/>
      </c>
      <c r="AC30" s="86" t="inlineStr">
        <is>
          <t>–</t>
        </is>
      </c>
      <c r="AD30" s="86">
        <f>SUM(AD17:AD29)</f>
        <v/>
      </c>
      <c r="AE30" s="86">
        <f>SUM(AE17:AE29)</f>
        <v/>
      </c>
      <c r="AF30" s="86" t="inlineStr">
        <is>
          <t>–</t>
        </is>
      </c>
      <c r="AG30" s="90" t="inlineStr">
        <is>
          <t>–</t>
        </is>
      </c>
      <c r="AH30" s="86" t="inlineStr">
        <is>
          <t>–</t>
        </is>
      </c>
      <c r="AI30" s="91">
        <f>IF(AE30&lt;=0,"SETTLED","OUTSTANDING")</f>
        <v/>
      </c>
    </row>
    <row r="31" ht="15" customHeight="1" s="77">
      <c r="A31" s="67" t="n">
        <v>1</v>
      </c>
      <c r="B31" s="68">
        <f>IF('Final Calculation Sheet'!$F$21="","",'Final Calculation Sheet'!$F$21)</f>
        <v/>
      </c>
      <c r="C31" s="68">
        <f>IF('Final Calculation Sheet'!$G$21="","",'Final Calculation Sheet'!$G$21)</f>
        <v/>
      </c>
      <c r="D31" s="69">
        <f>IF('Final Calculation Sheet'!$B$21="","",'Final Calculation Sheet'!$B$21)</f>
        <v/>
      </c>
      <c r="E31" s="69">
        <f>IF('Final Calculation Sheet'!$D$21="","",'Final Calculation Sheet'!$D$21)</f>
        <v/>
      </c>
      <c r="F31" s="69">
        <f>IF('Final Calculation Sheet'!$A$21="","",'Final Calculation Sheet'!$A$21)</f>
        <v/>
      </c>
      <c r="G31" s="69">
        <f>IF('Final Calculation Sheet'!$E$21="","",'Final Calculation Sheet'!$E$21)</f>
        <v/>
      </c>
      <c r="H31" s="70">
        <f>IF('Final Calculation Sheet'!$C$21="","",'Final Calculation Sheet'!$C$21)</f>
        <v/>
      </c>
      <c r="I31" s="70">
        <f>IF('Final Calculation Sheet'!$H$21="","",'Final Calculation Sheet'!$H$21)</f>
        <v/>
      </c>
      <c r="J31" s="70">
        <f>IF('Final Calculation Sheet'!$I$21="","",'Final Calculation Sheet'!$I$21)</f>
        <v/>
      </c>
      <c r="K31" s="70">
        <f>IF('Final Calculation Sheet'!$J$21="","",'Final Calculation Sheet'!$J$21)</f>
        <v/>
      </c>
      <c r="L31" s="70">
        <f>IF('Final Calculation Sheet'!$K$21="","",'Final Calculation Sheet'!$K$21)</f>
        <v/>
      </c>
      <c r="M31" s="70">
        <f>IF('Final Calculation Sheet'!$L$21="","",'Final Calculation Sheet'!$L$21)</f>
        <v/>
      </c>
      <c r="N31" s="70">
        <f>IF('Final Calculation Sheet'!$M$21="","",'Final Calculation Sheet'!$M$21)</f>
        <v/>
      </c>
      <c r="O31" s="71">
        <f>IF('Final Calculation Sheet'!$N$21="","",'Final Calculation Sheet'!$N$21)</f>
        <v/>
      </c>
      <c r="P31" s="70">
        <f>IF('Final Calculation Sheet'!$O$21="","",'Final Calculation Sheet'!$O$21)</f>
        <v/>
      </c>
      <c r="Q31" s="70">
        <f>IF('Final Calculation Sheet'!$P$21="","",'Final Calculation Sheet'!$P$21)</f>
        <v/>
      </c>
      <c r="R31" s="72">
        <f>IF('Final Calculation Sheet'!$Q$21="","",'Final Calculation Sheet'!$Q$21)</f>
        <v/>
      </c>
      <c r="S31" s="70">
        <f>IF('Final Calculation Sheet'!$R$21="","",'Final Calculation Sheet'!$R$21)</f>
        <v/>
      </c>
      <c r="T31" s="70">
        <f>IF('Final Calculation Sheet'!$S$21="","",'Final Calculation Sheet'!$S$21)</f>
        <v/>
      </c>
      <c r="U31" s="70">
        <f>IF('Final Calculation Sheet'!$T$21="","",'Final Calculation Sheet'!$T$21)</f>
        <v/>
      </c>
      <c r="V31" s="73">
        <f>IF('Final Calculation Sheet'!$U$21="","",'Final Calculation Sheet'!$U$21)</f>
        <v/>
      </c>
      <c r="W31" s="70">
        <f>IF('Final Calculation Sheet'!$V$21="","",'Final Calculation Sheet'!$V$21)</f>
        <v/>
      </c>
      <c r="X31" s="70">
        <f>IF('Final Calculation Sheet'!$W$21="","",'Final Calculation Sheet'!$W$21)</f>
        <v/>
      </c>
      <c r="Y31" s="70">
        <f>IF('Final Calculation Sheet'!$X$21="","",'Final Calculation Sheet'!$X$21)</f>
        <v/>
      </c>
      <c r="Z31" s="70">
        <f>IF('Final Calculation Sheet'!$Y$21="","",'Final Calculation Sheet'!$Y$21)</f>
        <v/>
      </c>
      <c r="AA31" s="70">
        <f>IF('Final Calculation Sheet'!$Z$21="","",'Final Calculation Sheet'!$Z$21)</f>
        <v/>
      </c>
      <c r="AB31" s="70">
        <f>IF('Final Calculation Sheet'!$AA$21="","",'Final Calculation Sheet'!$AA$21)</f>
        <v/>
      </c>
      <c r="AC31" s="70">
        <f>IF('Final Calculation Sheet'!$AB$21="","",'Final Calculation Sheet'!$AB$21)</f>
        <v/>
      </c>
      <c r="AD31" s="70">
        <f>IF('Final Calculation Sheet'!$AC$21="","",'Final Calculation Sheet'!$AC$21)</f>
        <v/>
      </c>
      <c r="AE31" s="70">
        <f>IF('Final Calculation Sheet'!$AD$21="","",'Final Calculation Sheet'!$AD$21)</f>
        <v/>
      </c>
      <c r="AF31" s="70">
        <f>IF('Final Calculation Sheet'!$AE$21="","",'Final Calculation Sheet'!$AE$21)</f>
        <v/>
      </c>
      <c r="AG31" s="74">
        <f>IF('Final Calculation Sheet'!$AF$21="","",'Final Calculation Sheet'!$AF$21)</f>
        <v/>
      </c>
      <c r="AH31" s="70">
        <f>IF('Final Calculation Sheet'!$AG$21="","",'Final Calculation Sheet'!$AG$21)</f>
        <v/>
      </c>
      <c r="AI31" s="75">
        <f>IF('Final Calculation Sheet'!$AD$21="","",IF('Final Calculation Sheet'!$AD$21&lt;=0,"SETTLED","OUTSTANDING"))</f>
        <v/>
      </c>
    </row>
    <row r="32" ht="15" customHeight="1" s="77">
      <c r="A32" s="84" t="inlineStr">
        <is>
          <t>∑</t>
        </is>
      </c>
      <c r="B32" s="85" t="n"/>
      <c r="C32" s="85">
        <f>ROWS($C$31:$C$31)&amp;" lot(s)"</f>
        <v/>
      </c>
      <c r="D32" s="85" t="inlineStr">
        <is>
          <t>SUBTOTAL — NATIONAL SCRAP AND BUILDING MATERIAL SUPPLIER</t>
        </is>
      </c>
      <c r="E32" s="85" t="inlineStr">
        <is>
          <t>–</t>
        </is>
      </c>
      <c r="F32" s="85">
        <f>SUM(F31:F31)</f>
        <v/>
      </c>
      <c r="G32" s="85" t="inlineStr">
        <is>
          <t>–</t>
        </is>
      </c>
      <c r="H32" s="86" t="inlineStr">
        <is>
          <t>–</t>
        </is>
      </c>
      <c r="I32" s="86">
        <f>SUM(I31:I31)</f>
        <v/>
      </c>
      <c r="J32" s="86">
        <f>SUM(J31:J31)</f>
        <v/>
      </c>
      <c r="K32" s="86">
        <f>SUM(K31:K31)</f>
        <v/>
      </c>
      <c r="L32" s="86">
        <f>SUM(L31:L31)</f>
        <v/>
      </c>
      <c r="M32" s="86">
        <f>SUM(M31:M31)</f>
        <v/>
      </c>
      <c r="N32" s="86">
        <f>SUM(N31:N31)</f>
        <v/>
      </c>
      <c r="O32" s="87">
        <f>SUM(O31:O31)</f>
        <v/>
      </c>
      <c r="P32" s="86">
        <f>SUM(P31:P31)</f>
        <v/>
      </c>
      <c r="Q32" s="86">
        <f>SUM(Q31:Q31)</f>
        <v/>
      </c>
      <c r="R32" s="88" t="inlineStr">
        <is>
          <t>–</t>
        </is>
      </c>
      <c r="S32" s="86">
        <f>SUM(S31:S31)</f>
        <v/>
      </c>
      <c r="T32" s="86">
        <f>SUM(T31:T31)</f>
        <v/>
      </c>
      <c r="U32" s="86">
        <f>SUM(U31:U31)</f>
        <v/>
      </c>
      <c r="V32" s="89">
        <f>SUM(V31:V31)</f>
        <v/>
      </c>
      <c r="W32" s="86" t="inlineStr">
        <is>
          <t>–</t>
        </is>
      </c>
      <c r="X32" s="86">
        <f>SUM(X31:X31)</f>
        <v/>
      </c>
      <c r="Y32" s="86">
        <f>SUM(Y31:Y31)</f>
        <v/>
      </c>
      <c r="Z32" s="86" t="inlineStr">
        <is>
          <t>–</t>
        </is>
      </c>
      <c r="AA32" s="86">
        <f>SUM(AA31:AA31)</f>
        <v/>
      </c>
      <c r="AB32" s="86">
        <f>SUM(AB31:AB31)</f>
        <v/>
      </c>
      <c r="AC32" s="86" t="inlineStr">
        <is>
          <t>–</t>
        </is>
      </c>
      <c r="AD32" s="86">
        <f>SUM(AD31:AD31)</f>
        <v/>
      </c>
      <c r="AE32" s="86">
        <f>SUM(AE31:AE31)</f>
        <v/>
      </c>
      <c r="AF32" s="86" t="inlineStr">
        <is>
          <t>–</t>
        </is>
      </c>
      <c r="AG32" s="90" t="inlineStr">
        <is>
          <t>–</t>
        </is>
      </c>
      <c r="AH32" s="86" t="inlineStr">
        <is>
          <t>–</t>
        </is>
      </c>
      <c r="AI32" s="91">
        <f>IF(AE32&lt;=0,"SETTLED","OUTSTANDING")</f>
        <v/>
      </c>
    </row>
    <row r="33" ht="15" customHeight="1" s="77">
      <c r="A33" s="67" t="n">
        <v>1</v>
      </c>
      <c r="B33" s="68">
        <f>IF('Final Calculation Sheet'!$F$8="","",'Final Calculation Sheet'!$F$8)</f>
        <v/>
      </c>
      <c r="C33" s="68">
        <f>IF('Final Calculation Sheet'!$G$8="","",'Final Calculation Sheet'!$G$8)</f>
        <v/>
      </c>
      <c r="D33" s="69">
        <f>IF('Final Calculation Sheet'!$B$8="","",'Final Calculation Sheet'!$B$8)</f>
        <v/>
      </c>
      <c r="E33" s="69">
        <f>IF('Final Calculation Sheet'!$D$8="","",'Final Calculation Sheet'!$D$8)</f>
        <v/>
      </c>
      <c r="F33" s="69">
        <f>IF('Final Calculation Sheet'!$A$8="","",'Final Calculation Sheet'!$A$8)</f>
        <v/>
      </c>
      <c r="G33" s="69">
        <f>IF('Final Calculation Sheet'!$E$8="","",'Final Calculation Sheet'!$E$8)</f>
        <v/>
      </c>
      <c r="H33" s="70">
        <f>IF('Final Calculation Sheet'!$C$8="","",'Final Calculation Sheet'!$C$8)</f>
        <v/>
      </c>
      <c r="I33" s="70">
        <f>IF('Final Calculation Sheet'!$H$8="","",'Final Calculation Sheet'!$H$8)</f>
        <v/>
      </c>
      <c r="J33" s="70">
        <f>IF('Final Calculation Sheet'!$I$8="","",'Final Calculation Sheet'!$I$8)</f>
        <v/>
      </c>
      <c r="K33" s="70">
        <f>IF('Final Calculation Sheet'!$J$8="","",'Final Calculation Sheet'!$J$8)</f>
        <v/>
      </c>
      <c r="L33" s="70">
        <f>IF('Final Calculation Sheet'!$K$8="","",'Final Calculation Sheet'!$K$8)</f>
        <v/>
      </c>
      <c r="M33" s="70">
        <f>IF('Final Calculation Sheet'!$L$8="","",'Final Calculation Sheet'!$L$8)</f>
        <v/>
      </c>
      <c r="N33" s="70">
        <f>IF('Final Calculation Sheet'!$M$8="","",'Final Calculation Sheet'!$M$8)</f>
        <v/>
      </c>
      <c r="O33" s="71">
        <f>IF('Final Calculation Sheet'!$N$8="","",'Final Calculation Sheet'!$N$8)</f>
        <v/>
      </c>
      <c r="P33" s="70">
        <f>IF('Final Calculation Sheet'!$O$8="","",'Final Calculation Sheet'!$O$8)</f>
        <v/>
      </c>
      <c r="Q33" s="70">
        <f>IF('Final Calculation Sheet'!$P$8="","",'Final Calculation Sheet'!$P$8)</f>
        <v/>
      </c>
      <c r="R33" s="72">
        <f>IF('Final Calculation Sheet'!$Q$8="","",'Final Calculation Sheet'!$Q$8)</f>
        <v/>
      </c>
      <c r="S33" s="70">
        <f>IF('Final Calculation Sheet'!$R$8="","",'Final Calculation Sheet'!$R$8)</f>
        <v/>
      </c>
      <c r="T33" s="70">
        <f>IF('Final Calculation Sheet'!$S$8="","",'Final Calculation Sheet'!$S$8)</f>
        <v/>
      </c>
      <c r="U33" s="70">
        <f>IF('Final Calculation Sheet'!$T$8="","",'Final Calculation Sheet'!$T$8)</f>
        <v/>
      </c>
      <c r="V33" s="73">
        <f>IF('Final Calculation Sheet'!$U$8="","",'Final Calculation Sheet'!$U$8)</f>
        <v/>
      </c>
      <c r="W33" s="70">
        <f>IF('Final Calculation Sheet'!$V$8="","",'Final Calculation Sheet'!$V$8)</f>
        <v/>
      </c>
      <c r="X33" s="70">
        <f>IF('Final Calculation Sheet'!$W$8="","",'Final Calculation Sheet'!$W$8)</f>
        <v/>
      </c>
      <c r="Y33" s="70">
        <f>IF('Final Calculation Sheet'!$X$8="","",'Final Calculation Sheet'!$X$8)</f>
        <v/>
      </c>
      <c r="Z33" s="70">
        <f>IF('Final Calculation Sheet'!$Y$8="","",'Final Calculation Sheet'!$Y$8)</f>
        <v/>
      </c>
      <c r="AA33" s="70">
        <f>IF('Final Calculation Sheet'!$Z$8="","",'Final Calculation Sheet'!$Z$8)</f>
        <v/>
      </c>
      <c r="AB33" s="70">
        <f>IF('Final Calculation Sheet'!$AA$8="","",'Final Calculation Sheet'!$AA$8)</f>
        <v/>
      </c>
      <c r="AC33" s="70">
        <f>IF('Final Calculation Sheet'!$AB$8="","",'Final Calculation Sheet'!$AB$8)</f>
        <v/>
      </c>
      <c r="AD33" s="70">
        <f>IF('Final Calculation Sheet'!$AC$8="","",'Final Calculation Sheet'!$AC$8)</f>
        <v/>
      </c>
      <c r="AE33" s="70">
        <f>IF('Final Calculation Sheet'!$AD$8="","",'Final Calculation Sheet'!$AD$8)</f>
        <v/>
      </c>
      <c r="AF33" s="70">
        <f>IF('Final Calculation Sheet'!$AE$8="","",'Final Calculation Sheet'!$AE$8)</f>
        <v/>
      </c>
      <c r="AG33" s="74">
        <f>IF('Final Calculation Sheet'!$AF$8="","",'Final Calculation Sheet'!$AF$8)</f>
        <v/>
      </c>
      <c r="AH33" s="70">
        <f>IF('Final Calculation Sheet'!$AG$8="","",'Final Calculation Sheet'!$AG$8)</f>
        <v/>
      </c>
      <c r="AI33" s="75">
        <f>IF('Final Calculation Sheet'!$AD$8="","",IF('Final Calculation Sheet'!$AD$8&lt;=0,"SETTLED","OUTSTANDING"))</f>
        <v/>
      </c>
    </row>
    <row r="34" ht="15" customHeight="1" s="77">
      <c r="A34" s="67" t="n">
        <v>2</v>
      </c>
      <c r="B34" s="68">
        <f>IF('Final Calculation Sheet'!$F$20="","",'Final Calculation Sheet'!$F$20)</f>
        <v/>
      </c>
      <c r="C34" s="68">
        <f>IF('Final Calculation Sheet'!$G$20="","",'Final Calculation Sheet'!$G$20)</f>
        <v/>
      </c>
      <c r="D34" s="69">
        <f>IF('Final Calculation Sheet'!$B$20="","",'Final Calculation Sheet'!$B$20)</f>
        <v/>
      </c>
      <c r="E34" s="69">
        <f>IF('Final Calculation Sheet'!$D$20="","",'Final Calculation Sheet'!$D$20)</f>
        <v/>
      </c>
      <c r="F34" s="69">
        <f>IF('Final Calculation Sheet'!$A$20="","",'Final Calculation Sheet'!$A$20)</f>
        <v/>
      </c>
      <c r="G34" s="69">
        <f>IF('Final Calculation Sheet'!$E$20="","",'Final Calculation Sheet'!$E$20)</f>
        <v/>
      </c>
      <c r="H34" s="70">
        <f>IF('Final Calculation Sheet'!$C$20="","",'Final Calculation Sheet'!$C$20)</f>
        <v/>
      </c>
      <c r="I34" s="70">
        <f>IF('Final Calculation Sheet'!$H$20="","",'Final Calculation Sheet'!$H$20)</f>
        <v/>
      </c>
      <c r="J34" s="70">
        <f>IF('Final Calculation Sheet'!$I$20="","",'Final Calculation Sheet'!$I$20)</f>
        <v/>
      </c>
      <c r="K34" s="70">
        <f>IF('Final Calculation Sheet'!$J$20="","",'Final Calculation Sheet'!$J$20)</f>
        <v/>
      </c>
      <c r="L34" s="70">
        <f>IF('Final Calculation Sheet'!$K$20="","",'Final Calculation Sheet'!$K$20)</f>
        <v/>
      </c>
      <c r="M34" s="70">
        <f>IF('Final Calculation Sheet'!$L$20="","",'Final Calculation Sheet'!$L$20)</f>
        <v/>
      </c>
      <c r="N34" s="70">
        <f>IF('Final Calculation Sheet'!$M$20="","",'Final Calculation Sheet'!$M$20)</f>
        <v/>
      </c>
      <c r="O34" s="71">
        <f>IF('Final Calculation Sheet'!$N$20="","",'Final Calculation Sheet'!$N$20)</f>
        <v/>
      </c>
      <c r="P34" s="70">
        <f>IF('Final Calculation Sheet'!$O$20="","",'Final Calculation Sheet'!$O$20)</f>
        <v/>
      </c>
      <c r="Q34" s="70">
        <f>IF('Final Calculation Sheet'!$P$20="","",'Final Calculation Sheet'!$P$20)</f>
        <v/>
      </c>
      <c r="R34" s="72">
        <f>IF('Final Calculation Sheet'!$Q$20="","",'Final Calculation Sheet'!$Q$20)</f>
        <v/>
      </c>
      <c r="S34" s="70">
        <f>IF('Final Calculation Sheet'!$R$20="","",'Final Calculation Sheet'!$R$20)</f>
        <v/>
      </c>
      <c r="T34" s="70">
        <f>IF('Final Calculation Sheet'!$S$20="","",'Final Calculation Sheet'!$S$20)</f>
        <v/>
      </c>
      <c r="U34" s="70">
        <f>IF('Final Calculation Sheet'!$T$20="","",'Final Calculation Sheet'!$T$20)</f>
        <v/>
      </c>
      <c r="V34" s="73">
        <f>IF('Final Calculation Sheet'!$U$20="","",'Final Calculation Sheet'!$U$20)</f>
        <v/>
      </c>
      <c r="W34" s="70">
        <f>IF('Final Calculation Sheet'!$V$20="","",'Final Calculation Sheet'!$V$20)</f>
        <v/>
      </c>
      <c r="X34" s="70">
        <f>IF('Final Calculation Sheet'!$W$20="","",'Final Calculation Sheet'!$W$20)</f>
        <v/>
      </c>
      <c r="Y34" s="70">
        <f>IF('Final Calculation Sheet'!$X$20="","",'Final Calculation Sheet'!$X$20)</f>
        <v/>
      </c>
      <c r="Z34" s="70">
        <f>IF('Final Calculation Sheet'!$Y$20="","",'Final Calculation Sheet'!$Y$20)</f>
        <v/>
      </c>
      <c r="AA34" s="70">
        <f>IF('Final Calculation Sheet'!$Z$20="","",'Final Calculation Sheet'!$Z$20)</f>
        <v/>
      </c>
      <c r="AB34" s="70">
        <f>IF('Final Calculation Sheet'!$AA$20="","",'Final Calculation Sheet'!$AA$20)</f>
        <v/>
      </c>
      <c r="AC34" s="70">
        <f>IF('Final Calculation Sheet'!$AB$20="","",'Final Calculation Sheet'!$AB$20)</f>
        <v/>
      </c>
      <c r="AD34" s="70">
        <f>IF('Final Calculation Sheet'!$AC$20="","",'Final Calculation Sheet'!$AC$20)</f>
        <v/>
      </c>
      <c r="AE34" s="70">
        <f>IF('Final Calculation Sheet'!$AD$20="","",'Final Calculation Sheet'!$AD$20)</f>
        <v/>
      </c>
      <c r="AF34" s="70">
        <f>IF('Final Calculation Sheet'!$AE$20="","",'Final Calculation Sheet'!$AE$20)</f>
        <v/>
      </c>
      <c r="AG34" s="74">
        <f>IF('Final Calculation Sheet'!$AF$20="","",'Final Calculation Sheet'!$AF$20)</f>
        <v/>
      </c>
      <c r="AH34" s="70">
        <f>IF('Final Calculation Sheet'!$AG$20="","",'Final Calculation Sheet'!$AG$20)</f>
        <v/>
      </c>
      <c r="AI34" s="75">
        <f>IF('Final Calculation Sheet'!$AD$20="","",IF('Final Calculation Sheet'!$AD$20&lt;=0,"SETTLED","OUTSTANDING"))</f>
        <v/>
      </c>
    </row>
    <row r="35" ht="15" customHeight="1" s="77">
      <c r="A35" s="84" t="inlineStr">
        <is>
          <t>∑</t>
        </is>
      </c>
      <c r="B35" s="85" t="n"/>
      <c r="C35" s="85">
        <f>ROWS($C$33:$C$34)&amp;" lot(s)"</f>
        <v/>
      </c>
      <c r="D35" s="85" t="inlineStr">
        <is>
          <t>SUBTOTAL — OMKAR STEELS</t>
        </is>
      </c>
      <c r="E35" s="85" t="inlineStr">
        <is>
          <t>–</t>
        </is>
      </c>
      <c r="F35" s="85">
        <f>SUM(F33:F34)</f>
        <v/>
      </c>
      <c r="G35" s="85" t="inlineStr">
        <is>
          <t>–</t>
        </is>
      </c>
      <c r="H35" s="86" t="inlineStr">
        <is>
          <t>–</t>
        </is>
      </c>
      <c r="I35" s="86">
        <f>SUM(I33:I34)</f>
        <v/>
      </c>
      <c r="J35" s="86">
        <f>SUM(J33:J34)</f>
        <v/>
      </c>
      <c r="K35" s="86">
        <f>SUM(K33:K34)</f>
        <v/>
      </c>
      <c r="L35" s="86">
        <f>SUM(L33:L34)</f>
        <v/>
      </c>
      <c r="M35" s="86">
        <f>SUM(M33:M34)</f>
        <v/>
      </c>
      <c r="N35" s="86">
        <f>SUM(N33:N34)</f>
        <v/>
      </c>
      <c r="O35" s="87">
        <f>SUM(O33:O34)</f>
        <v/>
      </c>
      <c r="P35" s="86">
        <f>SUM(P33:P34)</f>
        <v/>
      </c>
      <c r="Q35" s="86">
        <f>SUM(Q33:Q34)</f>
        <v/>
      </c>
      <c r="R35" s="88" t="inlineStr">
        <is>
          <t>–</t>
        </is>
      </c>
      <c r="S35" s="86">
        <f>SUM(S33:S34)</f>
        <v/>
      </c>
      <c r="T35" s="86">
        <f>SUM(T33:T34)</f>
        <v/>
      </c>
      <c r="U35" s="86">
        <f>SUM(U33:U34)</f>
        <v/>
      </c>
      <c r="V35" s="89">
        <f>SUM(V33:V34)</f>
        <v/>
      </c>
      <c r="W35" s="86" t="inlineStr">
        <is>
          <t>–</t>
        </is>
      </c>
      <c r="X35" s="86">
        <f>SUM(X33:X34)</f>
        <v/>
      </c>
      <c r="Y35" s="86">
        <f>SUM(Y33:Y34)</f>
        <v/>
      </c>
      <c r="Z35" s="86" t="inlineStr">
        <is>
          <t>–</t>
        </is>
      </c>
      <c r="AA35" s="86">
        <f>SUM(AA33:AA34)</f>
        <v/>
      </c>
      <c r="AB35" s="86">
        <f>SUM(AB33:AB34)</f>
        <v/>
      </c>
      <c r="AC35" s="86" t="inlineStr">
        <is>
          <t>–</t>
        </is>
      </c>
      <c r="AD35" s="86">
        <f>SUM(AD33:AD34)</f>
        <v/>
      </c>
      <c r="AE35" s="86">
        <f>SUM(AE33:AE34)</f>
        <v/>
      </c>
      <c r="AF35" s="86" t="inlineStr">
        <is>
          <t>–</t>
        </is>
      </c>
      <c r="AG35" s="90" t="inlineStr">
        <is>
          <t>–</t>
        </is>
      </c>
      <c r="AH35" s="86" t="inlineStr">
        <is>
          <t>–</t>
        </is>
      </c>
      <c r="AI35" s="91">
        <f>IF(AE35&lt;=0,"SETTLED","OUTSTANDING")</f>
        <v/>
      </c>
    </row>
    <row r="36" ht="15" customHeight="1" s="77">
      <c r="A36" s="67" t="n">
        <v>1</v>
      </c>
      <c r="B36" s="68">
        <f>IF('Final Calculation Sheet'!$F$39="","",'Final Calculation Sheet'!$F$39)</f>
        <v/>
      </c>
      <c r="C36" s="68">
        <f>IF('Final Calculation Sheet'!$G$39="","",'Final Calculation Sheet'!$G$39)</f>
        <v/>
      </c>
      <c r="D36" s="69">
        <f>IF('Final Calculation Sheet'!$B$39="","",'Final Calculation Sheet'!$B$39)</f>
        <v/>
      </c>
      <c r="E36" s="69">
        <f>IF('Final Calculation Sheet'!$D$39="","",'Final Calculation Sheet'!$D$39)</f>
        <v/>
      </c>
      <c r="F36" s="69">
        <f>IF('Final Calculation Sheet'!$A$39="","",'Final Calculation Sheet'!$A$39)</f>
        <v/>
      </c>
      <c r="G36" s="69">
        <f>IF('Final Calculation Sheet'!$E$39="","",'Final Calculation Sheet'!$E$39)</f>
        <v/>
      </c>
      <c r="H36" s="70">
        <f>IF('Final Calculation Sheet'!$C$39="","",'Final Calculation Sheet'!$C$39)</f>
        <v/>
      </c>
      <c r="I36" s="70">
        <f>IF('Final Calculation Sheet'!$H$39="","",'Final Calculation Sheet'!$H$39)</f>
        <v/>
      </c>
      <c r="J36" s="70">
        <f>IF('Final Calculation Sheet'!$I$39="","",'Final Calculation Sheet'!$I$39)</f>
        <v/>
      </c>
      <c r="K36" s="70">
        <f>IF('Final Calculation Sheet'!$J$39="","",'Final Calculation Sheet'!$J$39)</f>
        <v/>
      </c>
      <c r="L36" s="70">
        <f>IF('Final Calculation Sheet'!$K$39="","",'Final Calculation Sheet'!$K$39)</f>
        <v/>
      </c>
      <c r="M36" s="70">
        <f>IF('Final Calculation Sheet'!$L$39="","",'Final Calculation Sheet'!$L$39)</f>
        <v/>
      </c>
      <c r="N36" s="70">
        <f>IF('Final Calculation Sheet'!$M$39="","",'Final Calculation Sheet'!$M$39)</f>
        <v/>
      </c>
      <c r="O36" s="71">
        <f>IF('Final Calculation Sheet'!$N$39="","",'Final Calculation Sheet'!$N$39)</f>
        <v/>
      </c>
      <c r="P36" s="70">
        <f>IF('Final Calculation Sheet'!$O$39="","",'Final Calculation Sheet'!$O$39)</f>
        <v/>
      </c>
      <c r="Q36" s="70">
        <f>IF('Final Calculation Sheet'!$P$39="","",'Final Calculation Sheet'!$P$39)</f>
        <v/>
      </c>
      <c r="R36" s="72">
        <f>IF('Final Calculation Sheet'!$Q$39="","",'Final Calculation Sheet'!$Q$39)</f>
        <v/>
      </c>
      <c r="S36" s="70">
        <f>IF('Final Calculation Sheet'!$R$39="","",'Final Calculation Sheet'!$R$39)</f>
        <v/>
      </c>
      <c r="T36" s="70">
        <f>IF('Final Calculation Sheet'!$S$39="","",'Final Calculation Sheet'!$S$39)</f>
        <v/>
      </c>
      <c r="U36" s="70">
        <f>IF('Final Calculation Sheet'!$T$39="","",'Final Calculation Sheet'!$T$39)</f>
        <v/>
      </c>
      <c r="V36" s="73">
        <f>IF('Final Calculation Sheet'!$U$39="","",'Final Calculation Sheet'!$U$39)</f>
        <v/>
      </c>
      <c r="W36" s="70">
        <f>IF('Final Calculation Sheet'!$V$39="","",'Final Calculation Sheet'!$V$39)</f>
        <v/>
      </c>
      <c r="X36" s="70">
        <f>IF('Final Calculation Sheet'!$W$39="","",'Final Calculation Sheet'!$W$39)</f>
        <v/>
      </c>
      <c r="Y36" s="70">
        <f>IF('Final Calculation Sheet'!$X$39="","",'Final Calculation Sheet'!$X$39)</f>
        <v/>
      </c>
      <c r="Z36" s="70">
        <f>IF('Final Calculation Sheet'!$Y$39="","",'Final Calculation Sheet'!$Y$39)</f>
        <v/>
      </c>
      <c r="AA36" s="70">
        <f>IF('Final Calculation Sheet'!$Z$39="","",'Final Calculation Sheet'!$Z$39)</f>
        <v/>
      </c>
      <c r="AB36" s="70">
        <f>IF('Final Calculation Sheet'!$AA$39="","",'Final Calculation Sheet'!$AA$39)</f>
        <v/>
      </c>
      <c r="AC36" s="70">
        <f>IF('Final Calculation Sheet'!$AB$39="","",'Final Calculation Sheet'!$AB$39)</f>
        <v/>
      </c>
      <c r="AD36" s="70">
        <f>IF('Final Calculation Sheet'!$AC$39="","",'Final Calculation Sheet'!$AC$39)</f>
        <v/>
      </c>
      <c r="AE36" s="70">
        <f>IF('Final Calculation Sheet'!$AD$39="","",'Final Calculation Sheet'!$AD$39)</f>
        <v/>
      </c>
      <c r="AF36" s="70">
        <f>IF('Final Calculation Sheet'!$AE$39="","",'Final Calculation Sheet'!$AE$39)</f>
        <v/>
      </c>
      <c r="AG36" s="74">
        <f>IF('Final Calculation Sheet'!$AF$39="","",'Final Calculation Sheet'!$AF$39)</f>
        <v/>
      </c>
      <c r="AH36" s="70">
        <f>IF('Final Calculation Sheet'!$AG$39="","",'Final Calculation Sheet'!$AG$39)</f>
        <v/>
      </c>
      <c r="AI36" s="75">
        <f>IF('Final Calculation Sheet'!$AD$39="","",IF('Final Calculation Sheet'!$AD$39&lt;=0,"SETTLED","OUTSTANDING"))</f>
        <v/>
      </c>
    </row>
    <row r="37" ht="15" customHeight="1" s="77">
      <c r="A37" s="67" t="n">
        <v>2</v>
      </c>
      <c r="B37" s="68">
        <f>IF('Final Calculation Sheet'!$F$40="","",'Final Calculation Sheet'!$F$40)</f>
        <v/>
      </c>
      <c r="C37" s="68">
        <f>IF('Final Calculation Sheet'!$G$40="","",'Final Calculation Sheet'!$G$40)</f>
        <v/>
      </c>
      <c r="D37" s="69">
        <f>IF('Final Calculation Sheet'!$B$40="","",'Final Calculation Sheet'!$B$40)</f>
        <v/>
      </c>
      <c r="E37" s="69">
        <f>IF('Final Calculation Sheet'!$D$40="","",'Final Calculation Sheet'!$D$40)</f>
        <v/>
      </c>
      <c r="F37" s="69">
        <f>IF('Final Calculation Sheet'!$A$40="","",'Final Calculation Sheet'!$A$40)</f>
        <v/>
      </c>
      <c r="G37" s="69">
        <f>IF('Final Calculation Sheet'!$E$40="","",'Final Calculation Sheet'!$E$40)</f>
        <v/>
      </c>
      <c r="H37" s="70">
        <f>IF('Final Calculation Sheet'!$C$40="","",'Final Calculation Sheet'!$C$40)</f>
        <v/>
      </c>
      <c r="I37" s="70">
        <f>IF('Final Calculation Sheet'!$H$40="","",'Final Calculation Sheet'!$H$40)</f>
        <v/>
      </c>
      <c r="J37" s="70">
        <f>IF('Final Calculation Sheet'!$I$40="","",'Final Calculation Sheet'!$I$40)</f>
        <v/>
      </c>
      <c r="K37" s="70">
        <f>IF('Final Calculation Sheet'!$J$40="","",'Final Calculation Sheet'!$J$40)</f>
        <v/>
      </c>
      <c r="L37" s="70">
        <f>IF('Final Calculation Sheet'!$K$40="","",'Final Calculation Sheet'!$K$40)</f>
        <v/>
      </c>
      <c r="M37" s="70">
        <f>IF('Final Calculation Sheet'!$L$40="","",'Final Calculation Sheet'!$L$40)</f>
        <v/>
      </c>
      <c r="N37" s="70">
        <f>IF('Final Calculation Sheet'!$M$40="","",'Final Calculation Sheet'!$M$40)</f>
        <v/>
      </c>
      <c r="O37" s="71">
        <f>IF('Final Calculation Sheet'!$N$40="","",'Final Calculation Sheet'!$N$40)</f>
        <v/>
      </c>
      <c r="P37" s="70">
        <f>IF('Final Calculation Sheet'!$O$40="","",'Final Calculation Sheet'!$O$40)</f>
        <v/>
      </c>
      <c r="Q37" s="70">
        <f>IF('Final Calculation Sheet'!$P$40="","",'Final Calculation Sheet'!$P$40)</f>
        <v/>
      </c>
      <c r="R37" s="72">
        <f>IF('Final Calculation Sheet'!$Q$40="","",'Final Calculation Sheet'!$Q$40)</f>
        <v/>
      </c>
      <c r="S37" s="70">
        <f>IF('Final Calculation Sheet'!$R$40="","",'Final Calculation Sheet'!$R$40)</f>
        <v/>
      </c>
      <c r="T37" s="70">
        <f>IF('Final Calculation Sheet'!$S$40="","",'Final Calculation Sheet'!$S$40)</f>
        <v/>
      </c>
      <c r="U37" s="70">
        <f>IF('Final Calculation Sheet'!$T$40="","",'Final Calculation Sheet'!$T$40)</f>
        <v/>
      </c>
      <c r="V37" s="73">
        <f>IF('Final Calculation Sheet'!$U$40="","",'Final Calculation Sheet'!$U$40)</f>
        <v/>
      </c>
      <c r="W37" s="70">
        <f>IF('Final Calculation Sheet'!$V$40="","",'Final Calculation Sheet'!$V$40)</f>
        <v/>
      </c>
      <c r="X37" s="70">
        <f>IF('Final Calculation Sheet'!$W$40="","",'Final Calculation Sheet'!$W$40)</f>
        <v/>
      </c>
      <c r="Y37" s="70">
        <f>IF('Final Calculation Sheet'!$X$40="","",'Final Calculation Sheet'!$X$40)</f>
        <v/>
      </c>
      <c r="Z37" s="70">
        <f>IF('Final Calculation Sheet'!$Y$40="","",'Final Calculation Sheet'!$Y$40)</f>
        <v/>
      </c>
      <c r="AA37" s="70">
        <f>IF('Final Calculation Sheet'!$Z$40="","",'Final Calculation Sheet'!$Z$40)</f>
        <v/>
      </c>
      <c r="AB37" s="70">
        <f>IF('Final Calculation Sheet'!$AA$40="","",'Final Calculation Sheet'!$AA$40)</f>
        <v/>
      </c>
      <c r="AC37" s="70">
        <f>IF('Final Calculation Sheet'!$AB$40="","",'Final Calculation Sheet'!$AB$40)</f>
        <v/>
      </c>
      <c r="AD37" s="70">
        <f>IF('Final Calculation Sheet'!$AC$40="","",'Final Calculation Sheet'!$AC$40)</f>
        <v/>
      </c>
      <c r="AE37" s="70">
        <f>IF('Final Calculation Sheet'!$AD$40="","",'Final Calculation Sheet'!$AD$40)</f>
        <v/>
      </c>
      <c r="AF37" s="70">
        <f>IF('Final Calculation Sheet'!$AE$40="","",'Final Calculation Sheet'!$AE$40)</f>
        <v/>
      </c>
      <c r="AG37" s="74">
        <f>IF('Final Calculation Sheet'!$AF$40="","",'Final Calculation Sheet'!$AF$40)</f>
        <v/>
      </c>
      <c r="AH37" s="70">
        <f>IF('Final Calculation Sheet'!$AG$40="","",'Final Calculation Sheet'!$AG$40)</f>
        <v/>
      </c>
      <c r="AI37" s="75">
        <f>IF('Final Calculation Sheet'!$AD$40="","",IF('Final Calculation Sheet'!$AD$40&lt;=0,"SETTLED","OUTSTANDING"))</f>
        <v/>
      </c>
    </row>
    <row r="38" ht="15" customHeight="1" s="77">
      <c r="A38" s="84" t="inlineStr">
        <is>
          <t>∑</t>
        </is>
      </c>
      <c r="B38" s="85" t="n"/>
      <c r="C38" s="85">
        <f>ROWS($C$36:$C$37)&amp;" lot(s)"</f>
        <v/>
      </c>
      <c r="D38" s="85" t="inlineStr">
        <is>
          <t>SUBTOTAL — S M ENTERPRISES</t>
        </is>
      </c>
      <c r="E38" s="85" t="inlineStr">
        <is>
          <t>–</t>
        </is>
      </c>
      <c r="F38" s="85">
        <f>SUM(F36:F37)</f>
        <v/>
      </c>
      <c r="G38" s="85" t="inlineStr">
        <is>
          <t>–</t>
        </is>
      </c>
      <c r="H38" s="86" t="inlineStr">
        <is>
          <t>–</t>
        </is>
      </c>
      <c r="I38" s="86">
        <f>SUM(I36:I37)</f>
        <v/>
      </c>
      <c r="J38" s="86">
        <f>SUM(J36:J37)</f>
        <v/>
      </c>
      <c r="K38" s="86">
        <f>SUM(K36:K37)</f>
        <v/>
      </c>
      <c r="L38" s="86">
        <f>SUM(L36:L37)</f>
        <v/>
      </c>
      <c r="M38" s="86">
        <f>SUM(M36:M37)</f>
        <v/>
      </c>
      <c r="N38" s="86">
        <f>SUM(N36:N37)</f>
        <v/>
      </c>
      <c r="O38" s="87">
        <f>SUM(O36:O37)</f>
        <v/>
      </c>
      <c r="P38" s="86">
        <f>SUM(P36:P37)</f>
        <v/>
      </c>
      <c r="Q38" s="86">
        <f>SUM(Q36:Q37)</f>
        <v/>
      </c>
      <c r="R38" s="88" t="inlineStr">
        <is>
          <t>–</t>
        </is>
      </c>
      <c r="S38" s="86">
        <f>SUM(S36:S37)</f>
        <v/>
      </c>
      <c r="T38" s="86">
        <f>SUM(T36:T37)</f>
        <v/>
      </c>
      <c r="U38" s="86">
        <f>SUM(U36:U37)</f>
        <v/>
      </c>
      <c r="V38" s="89">
        <f>SUM(V36:V37)</f>
        <v/>
      </c>
      <c r="W38" s="86" t="inlineStr">
        <is>
          <t>–</t>
        </is>
      </c>
      <c r="X38" s="86">
        <f>SUM(X36:X37)</f>
        <v/>
      </c>
      <c r="Y38" s="86">
        <f>SUM(Y36:Y37)</f>
        <v/>
      </c>
      <c r="Z38" s="86" t="inlineStr">
        <is>
          <t>–</t>
        </is>
      </c>
      <c r="AA38" s="86">
        <f>SUM(AA36:AA37)</f>
        <v/>
      </c>
      <c r="AB38" s="86">
        <f>SUM(AB36:AB37)</f>
        <v/>
      </c>
      <c r="AC38" s="86" t="inlineStr">
        <is>
          <t>–</t>
        </is>
      </c>
      <c r="AD38" s="86">
        <f>SUM(AD36:AD37)</f>
        <v/>
      </c>
      <c r="AE38" s="86">
        <f>SUM(AE36:AE37)</f>
        <v/>
      </c>
      <c r="AF38" s="86" t="inlineStr">
        <is>
          <t>–</t>
        </is>
      </c>
      <c r="AG38" s="90" t="inlineStr">
        <is>
          <t>–</t>
        </is>
      </c>
      <c r="AH38" s="86" t="inlineStr">
        <is>
          <t>–</t>
        </is>
      </c>
      <c r="AI38" s="91">
        <f>IF(AE38&lt;=0,"SETTLED","OUTSTANDING")</f>
        <v/>
      </c>
    </row>
    <row r="39" ht="15" customHeight="1" s="77">
      <c r="A39" s="67" t="n">
        <v>1</v>
      </c>
      <c r="B39" s="68">
        <f>IF('Final Calculation Sheet'!$F$31="","",'Final Calculation Sheet'!$F$31)</f>
        <v/>
      </c>
      <c r="C39" s="68">
        <f>IF('Final Calculation Sheet'!$G$31="","",'Final Calculation Sheet'!$G$31)</f>
        <v/>
      </c>
      <c r="D39" s="69">
        <f>IF('Final Calculation Sheet'!$B$31="","",'Final Calculation Sheet'!$B$31)</f>
        <v/>
      </c>
      <c r="E39" s="69">
        <f>IF('Final Calculation Sheet'!$D$31="","",'Final Calculation Sheet'!$D$31)</f>
        <v/>
      </c>
      <c r="F39" s="69">
        <f>IF('Final Calculation Sheet'!$A$31="","",'Final Calculation Sheet'!$A$31)</f>
        <v/>
      </c>
      <c r="G39" s="69">
        <f>IF('Final Calculation Sheet'!$E$31="","",'Final Calculation Sheet'!$E$31)</f>
        <v/>
      </c>
      <c r="H39" s="70">
        <f>IF('Final Calculation Sheet'!$C$31="","",'Final Calculation Sheet'!$C$31)</f>
        <v/>
      </c>
      <c r="I39" s="70">
        <f>IF('Final Calculation Sheet'!$H$31="","",'Final Calculation Sheet'!$H$31)</f>
        <v/>
      </c>
      <c r="J39" s="70">
        <f>IF('Final Calculation Sheet'!$I$31="","",'Final Calculation Sheet'!$I$31)</f>
        <v/>
      </c>
      <c r="K39" s="70">
        <f>IF('Final Calculation Sheet'!$J$31="","",'Final Calculation Sheet'!$J$31)</f>
        <v/>
      </c>
      <c r="L39" s="70">
        <f>IF('Final Calculation Sheet'!$K$31="","",'Final Calculation Sheet'!$K$31)</f>
        <v/>
      </c>
      <c r="M39" s="70">
        <f>IF('Final Calculation Sheet'!$L$31="","",'Final Calculation Sheet'!$L$31)</f>
        <v/>
      </c>
      <c r="N39" s="70">
        <f>IF('Final Calculation Sheet'!$M$31="","",'Final Calculation Sheet'!$M$31)</f>
        <v/>
      </c>
      <c r="O39" s="71">
        <f>IF('Final Calculation Sheet'!$N$31="","",'Final Calculation Sheet'!$N$31)</f>
        <v/>
      </c>
      <c r="P39" s="70">
        <f>IF('Final Calculation Sheet'!$O$31="","",'Final Calculation Sheet'!$O$31)</f>
        <v/>
      </c>
      <c r="Q39" s="70">
        <f>IF('Final Calculation Sheet'!$P$31="","",'Final Calculation Sheet'!$P$31)</f>
        <v/>
      </c>
      <c r="R39" s="72">
        <f>IF('Final Calculation Sheet'!$Q$31="","",'Final Calculation Sheet'!$Q$31)</f>
        <v/>
      </c>
      <c r="S39" s="70">
        <f>IF('Final Calculation Sheet'!$R$31="","",'Final Calculation Sheet'!$R$31)</f>
        <v/>
      </c>
      <c r="T39" s="70">
        <f>IF('Final Calculation Sheet'!$S$31="","",'Final Calculation Sheet'!$S$31)</f>
        <v/>
      </c>
      <c r="U39" s="70">
        <f>IF('Final Calculation Sheet'!$T$31="","",'Final Calculation Sheet'!$T$31)</f>
        <v/>
      </c>
      <c r="V39" s="73">
        <f>IF('Final Calculation Sheet'!$U$31="","",'Final Calculation Sheet'!$U$31)</f>
        <v/>
      </c>
      <c r="W39" s="70">
        <f>IF('Final Calculation Sheet'!$V$31="","",'Final Calculation Sheet'!$V$31)</f>
        <v/>
      </c>
      <c r="X39" s="70">
        <f>IF('Final Calculation Sheet'!$W$31="","",'Final Calculation Sheet'!$W$31)</f>
        <v/>
      </c>
      <c r="Y39" s="70">
        <f>IF('Final Calculation Sheet'!$X$31="","",'Final Calculation Sheet'!$X$31)</f>
        <v/>
      </c>
      <c r="Z39" s="70">
        <f>IF('Final Calculation Sheet'!$Y$31="","",'Final Calculation Sheet'!$Y$31)</f>
        <v/>
      </c>
      <c r="AA39" s="70">
        <f>IF('Final Calculation Sheet'!$Z$31="","",'Final Calculation Sheet'!$Z$31)</f>
        <v/>
      </c>
      <c r="AB39" s="70">
        <f>IF('Final Calculation Sheet'!$AA$31="","",'Final Calculation Sheet'!$AA$31)</f>
        <v/>
      </c>
      <c r="AC39" s="70">
        <f>IF('Final Calculation Sheet'!$AB$31="","",'Final Calculation Sheet'!$AB$31)</f>
        <v/>
      </c>
      <c r="AD39" s="70">
        <f>IF('Final Calculation Sheet'!$AC$31="","",'Final Calculation Sheet'!$AC$31)</f>
        <v/>
      </c>
      <c r="AE39" s="70">
        <f>IF('Final Calculation Sheet'!$AD$31="","",'Final Calculation Sheet'!$AD$31)</f>
        <v/>
      </c>
      <c r="AF39" s="70">
        <f>IF('Final Calculation Sheet'!$AE$31="","",'Final Calculation Sheet'!$AE$31)</f>
        <v/>
      </c>
      <c r="AG39" s="74">
        <f>IF('Final Calculation Sheet'!$AF$31="","",'Final Calculation Sheet'!$AF$31)</f>
        <v/>
      </c>
      <c r="AH39" s="70">
        <f>IF('Final Calculation Sheet'!$AG$31="","",'Final Calculation Sheet'!$AG$31)</f>
        <v/>
      </c>
      <c r="AI39" s="75">
        <f>IF('Final Calculation Sheet'!$AD$31="","",IF('Final Calculation Sheet'!$AD$31&lt;=0,"SETTLED","OUTSTANDING"))</f>
        <v/>
      </c>
    </row>
    <row r="40" ht="15" customHeight="1" s="77">
      <c r="A40" s="84" t="inlineStr">
        <is>
          <t>∑</t>
        </is>
      </c>
      <c r="B40" s="85" t="n"/>
      <c r="C40" s="85">
        <f>ROWS($C$39:$C$39)&amp;" lot(s)"</f>
        <v/>
      </c>
      <c r="D40" s="85" t="inlineStr">
        <is>
          <t>SUBTOTAL — SAHARA ENTERPRISES</t>
        </is>
      </c>
      <c r="E40" s="85" t="inlineStr">
        <is>
          <t>–</t>
        </is>
      </c>
      <c r="F40" s="85">
        <f>SUM(F39:F39)</f>
        <v/>
      </c>
      <c r="G40" s="85" t="inlineStr">
        <is>
          <t>–</t>
        </is>
      </c>
      <c r="H40" s="86" t="inlineStr">
        <is>
          <t>–</t>
        </is>
      </c>
      <c r="I40" s="86">
        <f>SUM(I39:I39)</f>
        <v/>
      </c>
      <c r="J40" s="86">
        <f>SUM(J39:J39)</f>
        <v/>
      </c>
      <c r="K40" s="86">
        <f>SUM(K39:K39)</f>
        <v/>
      </c>
      <c r="L40" s="86">
        <f>SUM(L39:L39)</f>
        <v/>
      </c>
      <c r="M40" s="86">
        <f>SUM(M39:M39)</f>
        <v/>
      </c>
      <c r="N40" s="86">
        <f>SUM(N39:N39)</f>
        <v/>
      </c>
      <c r="O40" s="87">
        <f>SUM(O39:O39)</f>
        <v/>
      </c>
      <c r="P40" s="86">
        <f>SUM(P39:P39)</f>
        <v/>
      </c>
      <c r="Q40" s="86">
        <f>SUM(Q39:Q39)</f>
        <v/>
      </c>
      <c r="R40" s="88" t="inlineStr">
        <is>
          <t>–</t>
        </is>
      </c>
      <c r="S40" s="86">
        <f>SUM(S39:S39)</f>
        <v/>
      </c>
      <c r="T40" s="86">
        <f>SUM(T39:T39)</f>
        <v/>
      </c>
      <c r="U40" s="86">
        <f>SUM(U39:U39)</f>
        <v/>
      </c>
      <c r="V40" s="89">
        <f>SUM(V39:V39)</f>
        <v/>
      </c>
      <c r="W40" s="86" t="inlineStr">
        <is>
          <t>–</t>
        </is>
      </c>
      <c r="X40" s="86">
        <f>SUM(X39:X39)</f>
        <v/>
      </c>
      <c r="Y40" s="86">
        <f>SUM(Y39:Y39)</f>
        <v/>
      </c>
      <c r="Z40" s="86" t="inlineStr">
        <is>
          <t>–</t>
        </is>
      </c>
      <c r="AA40" s="86">
        <f>SUM(AA39:AA39)</f>
        <v/>
      </c>
      <c r="AB40" s="86">
        <f>SUM(AB39:AB39)</f>
        <v/>
      </c>
      <c r="AC40" s="86" t="inlineStr">
        <is>
          <t>–</t>
        </is>
      </c>
      <c r="AD40" s="86">
        <f>SUM(AD39:AD39)</f>
        <v/>
      </c>
      <c r="AE40" s="86">
        <f>SUM(AE39:AE39)</f>
        <v/>
      </c>
      <c r="AF40" s="86" t="inlineStr">
        <is>
          <t>–</t>
        </is>
      </c>
      <c r="AG40" s="90" t="inlineStr">
        <is>
          <t>–</t>
        </is>
      </c>
      <c r="AH40" s="86" t="inlineStr">
        <is>
          <t>–</t>
        </is>
      </c>
      <c r="AI40" s="91">
        <f>IF(AE40&lt;=0,"SETTLED","OUTSTANDING")</f>
        <v/>
      </c>
    </row>
    <row r="41" ht="15" customHeight="1" s="77">
      <c r="A41" s="67" t="n">
        <v>1</v>
      </c>
      <c r="B41" s="68">
        <f>IF('Final Calculation Sheet'!$F$9="","",'Final Calculation Sheet'!$F$9)</f>
        <v/>
      </c>
      <c r="C41" s="68">
        <f>IF('Final Calculation Sheet'!$G$9="","",'Final Calculation Sheet'!$G$9)</f>
        <v/>
      </c>
      <c r="D41" s="69">
        <f>IF('Final Calculation Sheet'!$B$9="","",'Final Calculation Sheet'!$B$9)</f>
        <v/>
      </c>
      <c r="E41" s="69">
        <f>IF('Final Calculation Sheet'!$D$9="","",'Final Calculation Sheet'!$D$9)</f>
        <v/>
      </c>
      <c r="F41" s="69">
        <f>IF('Final Calculation Sheet'!$A$9="","",'Final Calculation Sheet'!$A$9)</f>
        <v/>
      </c>
      <c r="G41" s="69">
        <f>IF('Final Calculation Sheet'!$E$9="","",'Final Calculation Sheet'!$E$9)</f>
        <v/>
      </c>
      <c r="H41" s="70">
        <f>IF('Final Calculation Sheet'!$C$9="","",'Final Calculation Sheet'!$C$9)</f>
        <v/>
      </c>
      <c r="I41" s="70">
        <f>IF('Final Calculation Sheet'!$H$9="","",'Final Calculation Sheet'!$H$9)</f>
        <v/>
      </c>
      <c r="J41" s="70">
        <f>IF('Final Calculation Sheet'!$I$9="","",'Final Calculation Sheet'!$I$9)</f>
        <v/>
      </c>
      <c r="K41" s="70">
        <f>IF('Final Calculation Sheet'!$J$9="","",'Final Calculation Sheet'!$J$9)</f>
        <v/>
      </c>
      <c r="L41" s="70">
        <f>IF('Final Calculation Sheet'!$K$9="","",'Final Calculation Sheet'!$K$9)</f>
        <v/>
      </c>
      <c r="M41" s="70">
        <f>IF('Final Calculation Sheet'!$L$9="","",'Final Calculation Sheet'!$L$9)</f>
        <v/>
      </c>
      <c r="N41" s="70">
        <f>IF('Final Calculation Sheet'!$M$9="","",'Final Calculation Sheet'!$M$9)</f>
        <v/>
      </c>
      <c r="O41" s="71">
        <f>IF('Final Calculation Sheet'!$N$9="","",'Final Calculation Sheet'!$N$9)</f>
        <v/>
      </c>
      <c r="P41" s="70">
        <f>IF('Final Calculation Sheet'!$O$9="","",'Final Calculation Sheet'!$O$9)</f>
        <v/>
      </c>
      <c r="Q41" s="70">
        <f>IF('Final Calculation Sheet'!$P$9="","",'Final Calculation Sheet'!$P$9)</f>
        <v/>
      </c>
      <c r="R41" s="72">
        <f>IF('Final Calculation Sheet'!$Q$9="","",'Final Calculation Sheet'!$Q$9)</f>
        <v/>
      </c>
      <c r="S41" s="70">
        <f>IF('Final Calculation Sheet'!$R$9="","",'Final Calculation Sheet'!$R$9)</f>
        <v/>
      </c>
      <c r="T41" s="70">
        <f>IF('Final Calculation Sheet'!$S$9="","",'Final Calculation Sheet'!$S$9)</f>
        <v/>
      </c>
      <c r="U41" s="70">
        <f>IF('Final Calculation Sheet'!$T$9="","",'Final Calculation Sheet'!$T$9)</f>
        <v/>
      </c>
      <c r="V41" s="73">
        <f>IF('Final Calculation Sheet'!$U$9="","",'Final Calculation Sheet'!$U$9)</f>
        <v/>
      </c>
      <c r="W41" s="70">
        <f>IF('Final Calculation Sheet'!$V$9="","",'Final Calculation Sheet'!$V$9)</f>
        <v/>
      </c>
      <c r="X41" s="70">
        <f>IF('Final Calculation Sheet'!$W$9="","",'Final Calculation Sheet'!$W$9)</f>
        <v/>
      </c>
      <c r="Y41" s="70">
        <f>IF('Final Calculation Sheet'!$X$9="","",'Final Calculation Sheet'!$X$9)</f>
        <v/>
      </c>
      <c r="Z41" s="70">
        <f>IF('Final Calculation Sheet'!$Y$9="","",'Final Calculation Sheet'!$Y$9)</f>
        <v/>
      </c>
      <c r="AA41" s="70">
        <f>IF('Final Calculation Sheet'!$Z$9="","",'Final Calculation Sheet'!$Z$9)</f>
        <v/>
      </c>
      <c r="AB41" s="70">
        <f>IF('Final Calculation Sheet'!$AA$9="","",'Final Calculation Sheet'!$AA$9)</f>
        <v/>
      </c>
      <c r="AC41" s="70">
        <f>IF('Final Calculation Sheet'!$AB$9="","",'Final Calculation Sheet'!$AB$9)</f>
        <v/>
      </c>
      <c r="AD41" s="70">
        <f>IF('Final Calculation Sheet'!$AC$9="","",'Final Calculation Sheet'!$AC$9)</f>
        <v/>
      </c>
      <c r="AE41" s="70">
        <f>IF('Final Calculation Sheet'!$AD$9="","",'Final Calculation Sheet'!$AD$9)</f>
        <v/>
      </c>
      <c r="AF41" s="70">
        <f>IF('Final Calculation Sheet'!$AE$9="","",'Final Calculation Sheet'!$AE$9)</f>
        <v/>
      </c>
      <c r="AG41" s="74">
        <f>IF('Final Calculation Sheet'!$AF$9="","",'Final Calculation Sheet'!$AF$9)</f>
        <v/>
      </c>
      <c r="AH41" s="70">
        <f>IF('Final Calculation Sheet'!$AG$9="","",'Final Calculation Sheet'!$AG$9)</f>
        <v/>
      </c>
      <c r="AI41" s="75">
        <f>IF('Final Calculation Sheet'!$AD$9="","",IF('Final Calculation Sheet'!$AD$9&lt;=0,"SETTLED","OUTSTANDING"))</f>
        <v/>
      </c>
    </row>
    <row r="42" ht="15" customHeight="1" s="77">
      <c r="A42" s="67" t="n">
        <v>2</v>
      </c>
      <c r="B42" s="68">
        <f>IF('Final Calculation Sheet'!$F$14="","",'Final Calculation Sheet'!$F$14)</f>
        <v/>
      </c>
      <c r="C42" s="68">
        <f>IF('Final Calculation Sheet'!$G$14="","",'Final Calculation Sheet'!$G$14)</f>
        <v/>
      </c>
      <c r="D42" s="69">
        <f>IF('Final Calculation Sheet'!$B$14="","",'Final Calculation Sheet'!$B$14)</f>
        <v/>
      </c>
      <c r="E42" s="69">
        <f>IF('Final Calculation Sheet'!$D$14="","",'Final Calculation Sheet'!$D$14)</f>
        <v/>
      </c>
      <c r="F42" s="69">
        <f>IF('Final Calculation Sheet'!$A$14="","",'Final Calculation Sheet'!$A$14)</f>
        <v/>
      </c>
      <c r="G42" s="69">
        <f>IF('Final Calculation Sheet'!$E$14="","",'Final Calculation Sheet'!$E$14)</f>
        <v/>
      </c>
      <c r="H42" s="70">
        <f>IF('Final Calculation Sheet'!$C$14="","",'Final Calculation Sheet'!$C$14)</f>
        <v/>
      </c>
      <c r="I42" s="70">
        <f>IF('Final Calculation Sheet'!$H$14="","",'Final Calculation Sheet'!$H$14)</f>
        <v/>
      </c>
      <c r="J42" s="70">
        <f>IF('Final Calculation Sheet'!$I$14="","",'Final Calculation Sheet'!$I$14)</f>
        <v/>
      </c>
      <c r="K42" s="70">
        <f>IF('Final Calculation Sheet'!$J$14="","",'Final Calculation Sheet'!$J$14)</f>
        <v/>
      </c>
      <c r="L42" s="70">
        <f>IF('Final Calculation Sheet'!$K$14="","",'Final Calculation Sheet'!$K$14)</f>
        <v/>
      </c>
      <c r="M42" s="70">
        <f>IF('Final Calculation Sheet'!$L$14="","",'Final Calculation Sheet'!$L$14)</f>
        <v/>
      </c>
      <c r="N42" s="70">
        <f>IF('Final Calculation Sheet'!$M$14="","",'Final Calculation Sheet'!$M$14)</f>
        <v/>
      </c>
      <c r="O42" s="71">
        <f>IF('Final Calculation Sheet'!$N$14="","",'Final Calculation Sheet'!$N$14)</f>
        <v/>
      </c>
      <c r="P42" s="70">
        <f>IF('Final Calculation Sheet'!$O$14="","",'Final Calculation Sheet'!$O$14)</f>
        <v/>
      </c>
      <c r="Q42" s="70">
        <f>IF('Final Calculation Sheet'!$P$14="","",'Final Calculation Sheet'!$P$14)</f>
        <v/>
      </c>
      <c r="R42" s="72">
        <f>IF('Final Calculation Sheet'!$Q$14="","",'Final Calculation Sheet'!$Q$14)</f>
        <v/>
      </c>
      <c r="S42" s="70">
        <f>IF('Final Calculation Sheet'!$R$14="","",'Final Calculation Sheet'!$R$14)</f>
        <v/>
      </c>
      <c r="T42" s="70">
        <f>IF('Final Calculation Sheet'!$S$14="","",'Final Calculation Sheet'!$S$14)</f>
        <v/>
      </c>
      <c r="U42" s="70">
        <f>IF('Final Calculation Sheet'!$T$14="","",'Final Calculation Sheet'!$T$14)</f>
        <v/>
      </c>
      <c r="V42" s="73">
        <f>IF('Final Calculation Sheet'!$U$14="","",'Final Calculation Sheet'!$U$14)</f>
        <v/>
      </c>
      <c r="W42" s="70">
        <f>IF('Final Calculation Sheet'!$V$14="","",'Final Calculation Sheet'!$V$14)</f>
        <v/>
      </c>
      <c r="X42" s="70">
        <f>IF('Final Calculation Sheet'!$W$14="","",'Final Calculation Sheet'!$W$14)</f>
        <v/>
      </c>
      <c r="Y42" s="70">
        <f>IF('Final Calculation Sheet'!$X$14="","",'Final Calculation Sheet'!$X$14)</f>
        <v/>
      </c>
      <c r="Z42" s="70">
        <f>IF('Final Calculation Sheet'!$Y$14="","",'Final Calculation Sheet'!$Y$14)</f>
        <v/>
      </c>
      <c r="AA42" s="70">
        <f>IF('Final Calculation Sheet'!$Z$14="","",'Final Calculation Sheet'!$Z$14)</f>
        <v/>
      </c>
      <c r="AB42" s="70">
        <f>IF('Final Calculation Sheet'!$AA$14="","",'Final Calculation Sheet'!$AA$14)</f>
        <v/>
      </c>
      <c r="AC42" s="70">
        <f>IF('Final Calculation Sheet'!$AB$14="","",'Final Calculation Sheet'!$AB$14)</f>
        <v/>
      </c>
      <c r="AD42" s="70">
        <f>IF('Final Calculation Sheet'!$AC$14="","",'Final Calculation Sheet'!$AC$14)</f>
        <v/>
      </c>
      <c r="AE42" s="70">
        <f>IF('Final Calculation Sheet'!$AD$14="","",'Final Calculation Sheet'!$AD$14)</f>
        <v/>
      </c>
      <c r="AF42" s="70">
        <f>IF('Final Calculation Sheet'!$AE$14="","",'Final Calculation Sheet'!$AE$14)</f>
        <v/>
      </c>
      <c r="AG42" s="74">
        <f>IF('Final Calculation Sheet'!$AF$14="","",'Final Calculation Sheet'!$AF$14)</f>
        <v/>
      </c>
      <c r="AH42" s="70">
        <f>IF('Final Calculation Sheet'!$AG$14="","",'Final Calculation Sheet'!$AG$14)</f>
        <v/>
      </c>
      <c r="AI42" s="75">
        <f>IF('Final Calculation Sheet'!$AD$14="","",IF('Final Calculation Sheet'!$AD$14&lt;=0,"SETTLED","OUTSTANDING"))</f>
        <v/>
      </c>
    </row>
    <row r="43" ht="15" customHeight="1" s="77">
      <c r="A43" s="84" t="inlineStr">
        <is>
          <t>∑</t>
        </is>
      </c>
      <c r="B43" s="85" t="n"/>
      <c r="C43" s="85">
        <f>ROWS($C$41:$C$42)&amp;" lot(s)"</f>
        <v/>
      </c>
      <c r="D43" s="85" t="inlineStr">
        <is>
          <t>SUBTOTAL — SHAR JAHAN TRADERS</t>
        </is>
      </c>
      <c r="E43" s="85" t="inlineStr">
        <is>
          <t>–</t>
        </is>
      </c>
      <c r="F43" s="85">
        <f>SUM(F41:F42)</f>
        <v/>
      </c>
      <c r="G43" s="85" t="inlineStr">
        <is>
          <t>–</t>
        </is>
      </c>
      <c r="H43" s="86" t="inlineStr">
        <is>
          <t>–</t>
        </is>
      </c>
      <c r="I43" s="86">
        <f>SUM(I41:I42)</f>
        <v/>
      </c>
      <c r="J43" s="86">
        <f>SUM(J41:J42)</f>
        <v/>
      </c>
      <c r="K43" s="86">
        <f>SUM(K41:K42)</f>
        <v/>
      </c>
      <c r="L43" s="86">
        <f>SUM(L41:L42)</f>
        <v/>
      </c>
      <c r="M43" s="86">
        <f>SUM(M41:M42)</f>
        <v/>
      </c>
      <c r="N43" s="86">
        <f>SUM(N41:N42)</f>
        <v/>
      </c>
      <c r="O43" s="87">
        <f>SUM(O41:O42)</f>
        <v/>
      </c>
      <c r="P43" s="86">
        <f>SUM(P41:P42)</f>
        <v/>
      </c>
      <c r="Q43" s="86">
        <f>SUM(Q41:Q42)</f>
        <v/>
      </c>
      <c r="R43" s="88" t="inlineStr">
        <is>
          <t>–</t>
        </is>
      </c>
      <c r="S43" s="86">
        <f>SUM(S41:S42)</f>
        <v/>
      </c>
      <c r="T43" s="86">
        <f>SUM(T41:T42)</f>
        <v/>
      </c>
      <c r="U43" s="86">
        <f>SUM(U41:U42)</f>
        <v/>
      </c>
      <c r="V43" s="89">
        <f>SUM(V41:V42)</f>
        <v/>
      </c>
      <c r="W43" s="86" t="inlineStr">
        <is>
          <t>–</t>
        </is>
      </c>
      <c r="X43" s="86">
        <f>SUM(X41:X42)</f>
        <v/>
      </c>
      <c r="Y43" s="86">
        <f>SUM(Y41:Y42)</f>
        <v/>
      </c>
      <c r="Z43" s="86" t="inlineStr">
        <is>
          <t>–</t>
        </is>
      </c>
      <c r="AA43" s="86">
        <f>SUM(AA41:AA42)</f>
        <v/>
      </c>
      <c r="AB43" s="86">
        <f>SUM(AB41:AB42)</f>
        <v/>
      </c>
      <c r="AC43" s="86" t="inlineStr">
        <is>
          <t>–</t>
        </is>
      </c>
      <c r="AD43" s="86">
        <f>SUM(AD41:AD42)</f>
        <v/>
      </c>
      <c r="AE43" s="86">
        <f>SUM(AE41:AE42)</f>
        <v/>
      </c>
      <c r="AF43" s="86" t="inlineStr">
        <is>
          <t>–</t>
        </is>
      </c>
      <c r="AG43" s="90" t="inlineStr">
        <is>
          <t>–</t>
        </is>
      </c>
      <c r="AH43" s="86" t="inlineStr">
        <is>
          <t>–</t>
        </is>
      </c>
      <c r="AI43" s="91">
        <f>IF(AE43&lt;=0,"SETTLED","OUTSTANDING")</f>
        <v/>
      </c>
    </row>
    <row r="44" ht="15" customHeight="1" s="77">
      <c r="A44" s="67" t="n">
        <v>1</v>
      </c>
      <c r="B44" s="68">
        <f>IF('Final Calculation Sheet'!$F$13="","",'Final Calculation Sheet'!$F$13)</f>
        <v/>
      </c>
      <c r="C44" s="68">
        <f>IF('Final Calculation Sheet'!$G$13="","",'Final Calculation Sheet'!$G$13)</f>
        <v/>
      </c>
      <c r="D44" s="69">
        <f>IF('Final Calculation Sheet'!$B$13="","",'Final Calculation Sheet'!$B$13)</f>
        <v/>
      </c>
      <c r="E44" s="69">
        <f>IF('Final Calculation Sheet'!$D$13="","",'Final Calculation Sheet'!$D$13)</f>
        <v/>
      </c>
      <c r="F44" s="69">
        <f>IF('Final Calculation Sheet'!$A$13="","",'Final Calculation Sheet'!$A$13)</f>
        <v/>
      </c>
      <c r="G44" s="69">
        <f>IF('Final Calculation Sheet'!$E$13="","",'Final Calculation Sheet'!$E$13)</f>
        <v/>
      </c>
      <c r="H44" s="70">
        <f>IF('Final Calculation Sheet'!$C$13="","",'Final Calculation Sheet'!$C$13)</f>
        <v/>
      </c>
      <c r="I44" s="70">
        <f>IF('Final Calculation Sheet'!$H$13="","",'Final Calculation Sheet'!$H$13)</f>
        <v/>
      </c>
      <c r="J44" s="70">
        <f>IF('Final Calculation Sheet'!$I$13="","",'Final Calculation Sheet'!$I$13)</f>
        <v/>
      </c>
      <c r="K44" s="70">
        <f>IF('Final Calculation Sheet'!$J$13="","",'Final Calculation Sheet'!$J$13)</f>
        <v/>
      </c>
      <c r="L44" s="70">
        <f>IF('Final Calculation Sheet'!$K$13="","",'Final Calculation Sheet'!$K$13)</f>
        <v/>
      </c>
      <c r="M44" s="70">
        <f>IF('Final Calculation Sheet'!$L$13="","",'Final Calculation Sheet'!$L$13)</f>
        <v/>
      </c>
      <c r="N44" s="70">
        <f>IF('Final Calculation Sheet'!$M$13="","",'Final Calculation Sheet'!$M$13)</f>
        <v/>
      </c>
      <c r="O44" s="71">
        <f>IF('Final Calculation Sheet'!$N$13="","",'Final Calculation Sheet'!$N$13)</f>
        <v/>
      </c>
      <c r="P44" s="70">
        <f>IF('Final Calculation Sheet'!$O$13="","",'Final Calculation Sheet'!$O$13)</f>
        <v/>
      </c>
      <c r="Q44" s="70">
        <f>IF('Final Calculation Sheet'!$P$13="","",'Final Calculation Sheet'!$P$13)</f>
        <v/>
      </c>
      <c r="R44" s="72">
        <f>IF('Final Calculation Sheet'!$Q$13="","",'Final Calculation Sheet'!$Q$13)</f>
        <v/>
      </c>
      <c r="S44" s="70">
        <f>IF('Final Calculation Sheet'!$R$13="","",'Final Calculation Sheet'!$R$13)</f>
        <v/>
      </c>
      <c r="T44" s="70">
        <f>IF('Final Calculation Sheet'!$S$13="","",'Final Calculation Sheet'!$S$13)</f>
        <v/>
      </c>
      <c r="U44" s="70">
        <f>IF('Final Calculation Sheet'!$T$13="","",'Final Calculation Sheet'!$T$13)</f>
        <v/>
      </c>
      <c r="V44" s="73">
        <f>IF('Final Calculation Sheet'!$U$13="","",'Final Calculation Sheet'!$U$13)</f>
        <v/>
      </c>
      <c r="W44" s="70">
        <f>IF('Final Calculation Sheet'!$V$13="","",'Final Calculation Sheet'!$V$13)</f>
        <v/>
      </c>
      <c r="X44" s="70">
        <f>IF('Final Calculation Sheet'!$W$13="","",'Final Calculation Sheet'!$W$13)</f>
        <v/>
      </c>
      <c r="Y44" s="70">
        <f>IF('Final Calculation Sheet'!$X$13="","",'Final Calculation Sheet'!$X$13)</f>
        <v/>
      </c>
      <c r="Z44" s="70">
        <f>IF('Final Calculation Sheet'!$Y$13="","",'Final Calculation Sheet'!$Y$13)</f>
        <v/>
      </c>
      <c r="AA44" s="70">
        <f>IF('Final Calculation Sheet'!$Z$13="","",'Final Calculation Sheet'!$Z$13)</f>
        <v/>
      </c>
      <c r="AB44" s="70">
        <f>IF('Final Calculation Sheet'!$AA$13="","",'Final Calculation Sheet'!$AA$13)</f>
        <v/>
      </c>
      <c r="AC44" s="70">
        <f>IF('Final Calculation Sheet'!$AB$13="","",'Final Calculation Sheet'!$AB$13)</f>
        <v/>
      </c>
      <c r="AD44" s="70">
        <f>IF('Final Calculation Sheet'!$AC$13="","",'Final Calculation Sheet'!$AC$13)</f>
        <v/>
      </c>
      <c r="AE44" s="70">
        <f>IF('Final Calculation Sheet'!$AD$13="","",'Final Calculation Sheet'!$AD$13)</f>
        <v/>
      </c>
      <c r="AF44" s="70">
        <f>IF('Final Calculation Sheet'!$AE$13="","",'Final Calculation Sheet'!$AE$13)</f>
        <v/>
      </c>
      <c r="AG44" s="74">
        <f>IF('Final Calculation Sheet'!$AF$13="","",'Final Calculation Sheet'!$AF$13)</f>
        <v/>
      </c>
      <c r="AH44" s="70">
        <f>IF('Final Calculation Sheet'!$AG$13="","",'Final Calculation Sheet'!$AG$13)</f>
        <v/>
      </c>
      <c r="AI44" s="75">
        <f>IF('Final Calculation Sheet'!$AD$13="","",IF('Final Calculation Sheet'!$AD$13&lt;=0,"SETTLED","OUTSTANDING"))</f>
        <v/>
      </c>
    </row>
    <row r="45" ht="15" customHeight="1" s="77">
      <c r="A45" s="67" t="n">
        <v>2</v>
      </c>
      <c r="B45" s="68">
        <f>IF('Final Calculation Sheet'!$F$16="","",'Final Calculation Sheet'!$F$16)</f>
        <v/>
      </c>
      <c r="C45" s="68">
        <f>IF('Final Calculation Sheet'!$G$16="","",'Final Calculation Sheet'!$G$16)</f>
        <v/>
      </c>
      <c r="D45" s="69">
        <f>IF('Final Calculation Sheet'!$B$16="","",'Final Calculation Sheet'!$B$16)</f>
        <v/>
      </c>
      <c r="E45" s="69">
        <f>IF('Final Calculation Sheet'!$D$16="","",'Final Calculation Sheet'!$D$16)</f>
        <v/>
      </c>
      <c r="F45" s="69">
        <f>IF('Final Calculation Sheet'!$A$16="","",'Final Calculation Sheet'!$A$16)</f>
        <v/>
      </c>
      <c r="G45" s="69">
        <f>IF('Final Calculation Sheet'!$E$16="","",'Final Calculation Sheet'!$E$16)</f>
        <v/>
      </c>
      <c r="H45" s="70">
        <f>IF('Final Calculation Sheet'!$C$16="","",'Final Calculation Sheet'!$C$16)</f>
        <v/>
      </c>
      <c r="I45" s="70">
        <f>IF('Final Calculation Sheet'!$H$16="","",'Final Calculation Sheet'!$H$16)</f>
        <v/>
      </c>
      <c r="J45" s="70">
        <f>IF('Final Calculation Sheet'!$I$16="","",'Final Calculation Sheet'!$I$16)</f>
        <v/>
      </c>
      <c r="K45" s="70">
        <f>IF('Final Calculation Sheet'!$J$16="","",'Final Calculation Sheet'!$J$16)</f>
        <v/>
      </c>
      <c r="L45" s="70">
        <f>IF('Final Calculation Sheet'!$K$16="","",'Final Calculation Sheet'!$K$16)</f>
        <v/>
      </c>
      <c r="M45" s="70">
        <f>IF('Final Calculation Sheet'!$L$16="","",'Final Calculation Sheet'!$L$16)</f>
        <v/>
      </c>
      <c r="N45" s="70">
        <f>IF('Final Calculation Sheet'!$M$16="","",'Final Calculation Sheet'!$M$16)</f>
        <v/>
      </c>
      <c r="O45" s="71">
        <f>IF('Final Calculation Sheet'!$N$16="","",'Final Calculation Sheet'!$N$16)</f>
        <v/>
      </c>
      <c r="P45" s="70">
        <f>IF('Final Calculation Sheet'!$O$16="","",'Final Calculation Sheet'!$O$16)</f>
        <v/>
      </c>
      <c r="Q45" s="70">
        <f>IF('Final Calculation Sheet'!$P$16="","",'Final Calculation Sheet'!$P$16)</f>
        <v/>
      </c>
      <c r="R45" s="72">
        <f>IF('Final Calculation Sheet'!$Q$16="","",'Final Calculation Sheet'!$Q$16)</f>
        <v/>
      </c>
      <c r="S45" s="70">
        <f>IF('Final Calculation Sheet'!$R$16="","",'Final Calculation Sheet'!$R$16)</f>
        <v/>
      </c>
      <c r="T45" s="70">
        <f>IF('Final Calculation Sheet'!$S$16="","",'Final Calculation Sheet'!$S$16)</f>
        <v/>
      </c>
      <c r="U45" s="70">
        <f>IF('Final Calculation Sheet'!$T$16="","",'Final Calculation Sheet'!$T$16)</f>
        <v/>
      </c>
      <c r="V45" s="73">
        <f>IF('Final Calculation Sheet'!$U$16="","",'Final Calculation Sheet'!$U$16)</f>
        <v/>
      </c>
      <c r="W45" s="70">
        <f>IF('Final Calculation Sheet'!$V$16="","",'Final Calculation Sheet'!$V$16)</f>
        <v/>
      </c>
      <c r="X45" s="70">
        <f>IF('Final Calculation Sheet'!$W$16="","",'Final Calculation Sheet'!$W$16)</f>
        <v/>
      </c>
      <c r="Y45" s="70">
        <f>IF('Final Calculation Sheet'!$X$16="","",'Final Calculation Sheet'!$X$16)</f>
        <v/>
      </c>
      <c r="Z45" s="70">
        <f>IF('Final Calculation Sheet'!$Y$16="","",'Final Calculation Sheet'!$Y$16)</f>
        <v/>
      </c>
      <c r="AA45" s="70">
        <f>IF('Final Calculation Sheet'!$Z$16="","",'Final Calculation Sheet'!$Z$16)</f>
        <v/>
      </c>
      <c r="AB45" s="70">
        <f>IF('Final Calculation Sheet'!$AA$16="","",'Final Calculation Sheet'!$AA$16)</f>
        <v/>
      </c>
      <c r="AC45" s="70">
        <f>IF('Final Calculation Sheet'!$AB$16="","",'Final Calculation Sheet'!$AB$16)</f>
        <v/>
      </c>
      <c r="AD45" s="70">
        <f>IF('Final Calculation Sheet'!$AC$16="","",'Final Calculation Sheet'!$AC$16)</f>
        <v/>
      </c>
      <c r="AE45" s="70">
        <f>IF('Final Calculation Sheet'!$AD$16="","",'Final Calculation Sheet'!$AD$16)</f>
        <v/>
      </c>
      <c r="AF45" s="70">
        <f>IF('Final Calculation Sheet'!$AE$16="","",'Final Calculation Sheet'!$AE$16)</f>
        <v/>
      </c>
      <c r="AG45" s="74">
        <f>IF('Final Calculation Sheet'!$AF$16="","",'Final Calculation Sheet'!$AF$16)</f>
        <v/>
      </c>
      <c r="AH45" s="70">
        <f>IF('Final Calculation Sheet'!$AG$16="","",'Final Calculation Sheet'!$AG$16)</f>
        <v/>
      </c>
      <c r="AI45" s="75">
        <f>IF('Final Calculation Sheet'!$AD$16="","",IF('Final Calculation Sheet'!$AD$16&lt;=0,"SETTLED","OUTSTANDING"))</f>
        <v/>
      </c>
    </row>
    <row r="46" ht="15" customHeight="1" s="77">
      <c r="A46" s="67" t="n">
        <v>3</v>
      </c>
      <c r="B46" s="68">
        <f>IF('Final Calculation Sheet'!$F$17="","",'Final Calculation Sheet'!$F$17)</f>
        <v/>
      </c>
      <c r="C46" s="68">
        <f>IF('Final Calculation Sheet'!$G$17="","",'Final Calculation Sheet'!$G$17)</f>
        <v/>
      </c>
      <c r="D46" s="69">
        <f>IF('Final Calculation Sheet'!$B$17="","",'Final Calculation Sheet'!$B$17)</f>
        <v/>
      </c>
      <c r="E46" s="69">
        <f>IF('Final Calculation Sheet'!$D$17="","",'Final Calculation Sheet'!$D$17)</f>
        <v/>
      </c>
      <c r="F46" s="69">
        <f>IF('Final Calculation Sheet'!$A$17="","",'Final Calculation Sheet'!$A$17)</f>
        <v/>
      </c>
      <c r="G46" s="69">
        <f>IF('Final Calculation Sheet'!$E$17="","",'Final Calculation Sheet'!$E$17)</f>
        <v/>
      </c>
      <c r="H46" s="70">
        <f>IF('Final Calculation Sheet'!$C$17="","",'Final Calculation Sheet'!$C$17)</f>
        <v/>
      </c>
      <c r="I46" s="70">
        <f>IF('Final Calculation Sheet'!$H$17="","",'Final Calculation Sheet'!$H$17)</f>
        <v/>
      </c>
      <c r="J46" s="70">
        <f>IF('Final Calculation Sheet'!$I$17="","",'Final Calculation Sheet'!$I$17)</f>
        <v/>
      </c>
      <c r="K46" s="70">
        <f>IF('Final Calculation Sheet'!$J$17="","",'Final Calculation Sheet'!$J$17)</f>
        <v/>
      </c>
      <c r="L46" s="70">
        <f>IF('Final Calculation Sheet'!$K$17="","",'Final Calculation Sheet'!$K$17)</f>
        <v/>
      </c>
      <c r="M46" s="70">
        <f>IF('Final Calculation Sheet'!$L$17="","",'Final Calculation Sheet'!$L$17)</f>
        <v/>
      </c>
      <c r="N46" s="70">
        <f>IF('Final Calculation Sheet'!$M$17="","",'Final Calculation Sheet'!$M$17)</f>
        <v/>
      </c>
      <c r="O46" s="71">
        <f>IF('Final Calculation Sheet'!$N$17="","",'Final Calculation Sheet'!$N$17)</f>
        <v/>
      </c>
      <c r="P46" s="70">
        <f>IF('Final Calculation Sheet'!$O$17="","",'Final Calculation Sheet'!$O$17)</f>
        <v/>
      </c>
      <c r="Q46" s="70">
        <f>IF('Final Calculation Sheet'!$P$17="","",'Final Calculation Sheet'!$P$17)</f>
        <v/>
      </c>
      <c r="R46" s="72">
        <f>IF('Final Calculation Sheet'!$Q$17="","",'Final Calculation Sheet'!$Q$17)</f>
        <v/>
      </c>
      <c r="S46" s="70">
        <f>IF('Final Calculation Sheet'!$R$17="","",'Final Calculation Sheet'!$R$17)</f>
        <v/>
      </c>
      <c r="T46" s="70">
        <f>IF('Final Calculation Sheet'!$S$17="","",'Final Calculation Sheet'!$S$17)</f>
        <v/>
      </c>
      <c r="U46" s="70">
        <f>IF('Final Calculation Sheet'!$T$17="","",'Final Calculation Sheet'!$T$17)</f>
        <v/>
      </c>
      <c r="V46" s="73">
        <f>IF('Final Calculation Sheet'!$U$17="","",'Final Calculation Sheet'!$U$17)</f>
        <v/>
      </c>
      <c r="W46" s="70">
        <f>IF('Final Calculation Sheet'!$V$17="","",'Final Calculation Sheet'!$V$17)</f>
        <v/>
      </c>
      <c r="X46" s="70">
        <f>IF('Final Calculation Sheet'!$W$17="","",'Final Calculation Sheet'!$W$17)</f>
        <v/>
      </c>
      <c r="Y46" s="70">
        <f>IF('Final Calculation Sheet'!$X$17="","",'Final Calculation Sheet'!$X$17)</f>
        <v/>
      </c>
      <c r="Z46" s="70">
        <f>IF('Final Calculation Sheet'!$Y$17="","",'Final Calculation Sheet'!$Y$17)</f>
        <v/>
      </c>
      <c r="AA46" s="70">
        <f>IF('Final Calculation Sheet'!$Z$17="","",'Final Calculation Sheet'!$Z$17)</f>
        <v/>
      </c>
      <c r="AB46" s="70">
        <f>IF('Final Calculation Sheet'!$AA$17="","",'Final Calculation Sheet'!$AA$17)</f>
        <v/>
      </c>
      <c r="AC46" s="70">
        <f>IF('Final Calculation Sheet'!$AB$17="","",'Final Calculation Sheet'!$AB$17)</f>
        <v/>
      </c>
      <c r="AD46" s="70">
        <f>IF('Final Calculation Sheet'!$AC$17="","",'Final Calculation Sheet'!$AC$17)</f>
        <v/>
      </c>
      <c r="AE46" s="70">
        <f>IF('Final Calculation Sheet'!$AD$17="","",'Final Calculation Sheet'!$AD$17)</f>
        <v/>
      </c>
      <c r="AF46" s="70">
        <f>IF('Final Calculation Sheet'!$AE$17="","",'Final Calculation Sheet'!$AE$17)</f>
        <v/>
      </c>
      <c r="AG46" s="74">
        <f>IF('Final Calculation Sheet'!$AF$17="","",'Final Calculation Sheet'!$AF$17)</f>
        <v/>
      </c>
      <c r="AH46" s="70">
        <f>IF('Final Calculation Sheet'!$AG$17="","",'Final Calculation Sheet'!$AG$17)</f>
        <v/>
      </c>
      <c r="AI46" s="75">
        <f>IF('Final Calculation Sheet'!$AD$17="","",IF('Final Calculation Sheet'!$AD$17&lt;=0,"SETTLED","OUTSTANDING"))</f>
        <v/>
      </c>
    </row>
    <row r="47" ht="15" customHeight="1" s="77">
      <c r="A47" s="67" t="n">
        <v>4</v>
      </c>
      <c r="B47" s="68">
        <f>IF('Final Calculation Sheet'!$F$23="","",'Final Calculation Sheet'!$F$23)</f>
        <v/>
      </c>
      <c r="C47" s="68">
        <f>IF('Final Calculation Sheet'!$G$23="","",'Final Calculation Sheet'!$G$23)</f>
        <v/>
      </c>
      <c r="D47" s="69">
        <f>IF('Final Calculation Sheet'!$B$23="","",'Final Calculation Sheet'!$B$23)</f>
        <v/>
      </c>
      <c r="E47" s="69">
        <f>IF('Final Calculation Sheet'!$D$23="","",'Final Calculation Sheet'!$D$23)</f>
        <v/>
      </c>
      <c r="F47" s="69">
        <f>IF('Final Calculation Sheet'!$A$23="","",'Final Calculation Sheet'!$A$23)</f>
        <v/>
      </c>
      <c r="G47" s="69">
        <f>IF('Final Calculation Sheet'!$E$23="","",'Final Calculation Sheet'!$E$23)</f>
        <v/>
      </c>
      <c r="H47" s="70">
        <f>IF('Final Calculation Sheet'!$C$23="","",'Final Calculation Sheet'!$C$23)</f>
        <v/>
      </c>
      <c r="I47" s="70">
        <f>IF('Final Calculation Sheet'!$H$23="","",'Final Calculation Sheet'!$H$23)</f>
        <v/>
      </c>
      <c r="J47" s="70">
        <f>IF('Final Calculation Sheet'!$I$23="","",'Final Calculation Sheet'!$I$23)</f>
        <v/>
      </c>
      <c r="K47" s="70">
        <f>IF('Final Calculation Sheet'!$J$23="","",'Final Calculation Sheet'!$J$23)</f>
        <v/>
      </c>
      <c r="L47" s="70">
        <f>IF('Final Calculation Sheet'!$K$23="","",'Final Calculation Sheet'!$K$23)</f>
        <v/>
      </c>
      <c r="M47" s="70">
        <f>IF('Final Calculation Sheet'!$L$23="","",'Final Calculation Sheet'!$L$23)</f>
        <v/>
      </c>
      <c r="N47" s="70">
        <f>IF('Final Calculation Sheet'!$M$23="","",'Final Calculation Sheet'!$M$23)</f>
        <v/>
      </c>
      <c r="O47" s="71">
        <f>IF('Final Calculation Sheet'!$N$23="","",'Final Calculation Sheet'!$N$23)</f>
        <v/>
      </c>
      <c r="P47" s="70">
        <f>IF('Final Calculation Sheet'!$O$23="","",'Final Calculation Sheet'!$O$23)</f>
        <v/>
      </c>
      <c r="Q47" s="70">
        <f>IF('Final Calculation Sheet'!$P$23="","",'Final Calculation Sheet'!$P$23)</f>
        <v/>
      </c>
      <c r="R47" s="72">
        <f>IF('Final Calculation Sheet'!$Q$23="","",'Final Calculation Sheet'!$Q$23)</f>
        <v/>
      </c>
      <c r="S47" s="70">
        <f>IF('Final Calculation Sheet'!$R$23="","",'Final Calculation Sheet'!$R$23)</f>
        <v/>
      </c>
      <c r="T47" s="70">
        <f>IF('Final Calculation Sheet'!$S$23="","",'Final Calculation Sheet'!$S$23)</f>
        <v/>
      </c>
      <c r="U47" s="70">
        <f>IF('Final Calculation Sheet'!$T$23="","",'Final Calculation Sheet'!$T$23)</f>
        <v/>
      </c>
      <c r="V47" s="73">
        <f>IF('Final Calculation Sheet'!$U$23="","",'Final Calculation Sheet'!$U$23)</f>
        <v/>
      </c>
      <c r="W47" s="70">
        <f>IF('Final Calculation Sheet'!$V$23="","",'Final Calculation Sheet'!$V$23)</f>
        <v/>
      </c>
      <c r="X47" s="70">
        <f>IF('Final Calculation Sheet'!$W$23="","",'Final Calculation Sheet'!$W$23)</f>
        <v/>
      </c>
      <c r="Y47" s="70">
        <f>IF('Final Calculation Sheet'!$X$23="","",'Final Calculation Sheet'!$X$23)</f>
        <v/>
      </c>
      <c r="Z47" s="70">
        <f>IF('Final Calculation Sheet'!$Y$23="","",'Final Calculation Sheet'!$Y$23)</f>
        <v/>
      </c>
      <c r="AA47" s="70">
        <f>IF('Final Calculation Sheet'!$Z$23="","",'Final Calculation Sheet'!$Z$23)</f>
        <v/>
      </c>
      <c r="AB47" s="70">
        <f>IF('Final Calculation Sheet'!$AA$23="","",'Final Calculation Sheet'!$AA$23)</f>
        <v/>
      </c>
      <c r="AC47" s="70">
        <f>IF('Final Calculation Sheet'!$AB$23="","",'Final Calculation Sheet'!$AB$23)</f>
        <v/>
      </c>
      <c r="AD47" s="70">
        <f>IF('Final Calculation Sheet'!$AC$23="","",'Final Calculation Sheet'!$AC$23)</f>
        <v/>
      </c>
      <c r="AE47" s="70">
        <f>IF('Final Calculation Sheet'!$AD$23="","",'Final Calculation Sheet'!$AD$23)</f>
        <v/>
      </c>
      <c r="AF47" s="70">
        <f>IF('Final Calculation Sheet'!$AE$23="","",'Final Calculation Sheet'!$AE$23)</f>
        <v/>
      </c>
      <c r="AG47" s="74">
        <f>IF('Final Calculation Sheet'!$AF$23="","",'Final Calculation Sheet'!$AF$23)</f>
        <v/>
      </c>
      <c r="AH47" s="70">
        <f>IF('Final Calculation Sheet'!$AG$23="","",'Final Calculation Sheet'!$AG$23)</f>
        <v/>
      </c>
      <c r="AI47" s="75">
        <f>IF('Final Calculation Sheet'!$AD$23="","",IF('Final Calculation Sheet'!$AD$23&lt;=0,"SETTLED","OUTSTANDING"))</f>
        <v/>
      </c>
    </row>
    <row r="48" ht="15" customHeight="1" s="77">
      <c r="A48" s="67" t="n">
        <v>5</v>
      </c>
      <c r="B48" s="68">
        <f>IF('Final Calculation Sheet'!$F$29="","",'Final Calculation Sheet'!$F$29)</f>
        <v/>
      </c>
      <c r="C48" s="68">
        <f>IF('Final Calculation Sheet'!$G$29="","",'Final Calculation Sheet'!$G$29)</f>
        <v/>
      </c>
      <c r="D48" s="69">
        <f>IF('Final Calculation Sheet'!$B$29="","",'Final Calculation Sheet'!$B$29)</f>
        <v/>
      </c>
      <c r="E48" s="69">
        <f>IF('Final Calculation Sheet'!$D$29="","",'Final Calculation Sheet'!$D$29)</f>
        <v/>
      </c>
      <c r="F48" s="69">
        <f>IF('Final Calculation Sheet'!$A$29="","",'Final Calculation Sheet'!$A$29)</f>
        <v/>
      </c>
      <c r="G48" s="69">
        <f>IF('Final Calculation Sheet'!$E$29="","",'Final Calculation Sheet'!$E$29)</f>
        <v/>
      </c>
      <c r="H48" s="70">
        <f>IF('Final Calculation Sheet'!$C$29="","",'Final Calculation Sheet'!$C$29)</f>
        <v/>
      </c>
      <c r="I48" s="70">
        <f>IF('Final Calculation Sheet'!$H$29="","",'Final Calculation Sheet'!$H$29)</f>
        <v/>
      </c>
      <c r="J48" s="70">
        <f>IF('Final Calculation Sheet'!$I$29="","",'Final Calculation Sheet'!$I$29)</f>
        <v/>
      </c>
      <c r="K48" s="70">
        <f>IF('Final Calculation Sheet'!$J$29="","",'Final Calculation Sheet'!$J$29)</f>
        <v/>
      </c>
      <c r="L48" s="70">
        <f>IF('Final Calculation Sheet'!$K$29="","",'Final Calculation Sheet'!$K$29)</f>
        <v/>
      </c>
      <c r="M48" s="70">
        <f>IF('Final Calculation Sheet'!$L$29="","",'Final Calculation Sheet'!$L$29)</f>
        <v/>
      </c>
      <c r="N48" s="70">
        <f>IF('Final Calculation Sheet'!$M$29="","",'Final Calculation Sheet'!$M$29)</f>
        <v/>
      </c>
      <c r="O48" s="71">
        <f>IF('Final Calculation Sheet'!$N$29="","",'Final Calculation Sheet'!$N$29)</f>
        <v/>
      </c>
      <c r="P48" s="70">
        <f>IF('Final Calculation Sheet'!$O$29="","",'Final Calculation Sheet'!$O$29)</f>
        <v/>
      </c>
      <c r="Q48" s="70">
        <f>IF('Final Calculation Sheet'!$P$29="","",'Final Calculation Sheet'!$P$29)</f>
        <v/>
      </c>
      <c r="R48" s="72">
        <f>IF('Final Calculation Sheet'!$Q$29="","",'Final Calculation Sheet'!$Q$29)</f>
        <v/>
      </c>
      <c r="S48" s="70">
        <f>IF('Final Calculation Sheet'!$R$29="","",'Final Calculation Sheet'!$R$29)</f>
        <v/>
      </c>
      <c r="T48" s="70">
        <f>IF('Final Calculation Sheet'!$S$29="","",'Final Calculation Sheet'!$S$29)</f>
        <v/>
      </c>
      <c r="U48" s="70">
        <f>IF('Final Calculation Sheet'!$T$29="","",'Final Calculation Sheet'!$T$29)</f>
        <v/>
      </c>
      <c r="V48" s="73">
        <f>IF('Final Calculation Sheet'!$U$29="","",'Final Calculation Sheet'!$U$29)</f>
        <v/>
      </c>
      <c r="W48" s="70">
        <f>IF('Final Calculation Sheet'!$V$29="","",'Final Calculation Sheet'!$V$29)</f>
        <v/>
      </c>
      <c r="X48" s="70">
        <f>IF('Final Calculation Sheet'!$W$29="","",'Final Calculation Sheet'!$W$29)</f>
        <v/>
      </c>
      <c r="Y48" s="70">
        <f>IF('Final Calculation Sheet'!$X$29="","",'Final Calculation Sheet'!$X$29)</f>
        <v/>
      </c>
      <c r="Z48" s="70">
        <f>IF('Final Calculation Sheet'!$Y$29="","",'Final Calculation Sheet'!$Y$29)</f>
        <v/>
      </c>
      <c r="AA48" s="70">
        <f>IF('Final Calculation Sheet'!$Z$29="","",'Final Calculation Sheet'!$Z$29)</f>
        <v/>
      </c>
      <c r="AB48" s="70">
        <f>IF('Final Calculation Sheet'!$AA$29="","",'Final Calculation Sheet'!$AA$29)</f>
        <v/>
      </c>
      <c r="AC48" s="70">
        <f>IF('Final Calculation Sheet'!$AB$29="","",'Final Calculation Sheet'!$AB$29)</f>
        <v/>
      </c>
      <c r="AD48" s="70">
        <f>IF('Final Calculation Sheet'!$AC$29="","",'Final Calculation Sheet'!$AC$29)</f>
        <v/>
      </c>
      <c r="AE48" s="70">
        <f>IF('Final Calculation Sheet'!$AD$29="","",'Final Calculation Sheet'!$AD$29)</f>
        <v/>
      </c>
      <c r="AF48" s="70">
        <f>IF('Final Calculation Sheet'!$AE$29="","",'Final Calculation Sheet'!$AE$29)</f>
        <v/>
      </c>
      <c r="AG48" s="74">
        <f>IF('Final Calculation Sheet'!$AF$29="","",'Final Calculation Sheet'!$AF$29)</f>
        <v/>
      </c>
      <c r="AH48" s="70">
        <f>IF('Final Calculation Sheet'!$AG$29="","",'Final Calculation Sheet'!$AG$29)</f>
        <v/>
      </c>
      <c r="AI48" s="75">
        <f>IF('Final Calculation Sheet'!$AD$29="","",IF('Final Calculation Sheet'!$AD$29&lt;=0,"SETTLED","OUTSTANDING"))</f>
        <v/>
      </c>
    </row>
    <row r="49" ht="15" customHeight="1" s="77">
      <c r="A49" s="67" t="n">
        <v>6</v>
      </c>
      <c r="B49" s="68">
        <f>IF('Final Calculation Sheet'!$F$34="","",'Final Calculation Sheet'!$F$34)</f>
        <v/>
      </c>
      <c r="C49" s="68">
        <f>IF('Final Calculation Sheet'!$G$34="","",'Final Calculation Sheet'!$G$34)</f>
        <v/>
      </c>
      <c r="D49" s="69">
        <f>IF('Final Calculation Sheet'!$B$34="","",'Final Calculation Sheet'!$B$34)</f>
        <v/>
      </c>
      <c r="E49" s="69">
        <f>IF('Final Calculation Sheet'!$D$34="","",'Final Calculation Sheet'!$D$34)</f>
        <v/>
      </c>
      <c r="F49" s="69">
        <f>IF('Final Calculation Sheet'!$A$34="","",'Final Calculation Sheet'!$A$34)</f>
        <v/>
      </c>
      <c r="G49" s="69">
        <f>IF('Final Calculation Sheet'!$E$34="","",'Final Calculation Sheet'!$E$34)</f>
        <v/>
      </c>
      <c r="H49" s="70">
        <f>IF('Final Calculation Sheet'!$C$34="","",'Final Calculation Sheet'!$C$34)</f>
        <v/>
      </c>
      <c r="I49" s="70">
        <f>IF('Final Calculation Sheet'!$H$34="","",'Final Calculation Sheet'!$H$34)</f>
        <v/>
      </c>
      <c r="J49" s="70">
        <f>IF('Final Calculation Sheet'!$I$34="","",'Final Calculation Sheet'!$I$34)</f>
        <v/>
      </c>
      <c r="K49" s="70">
        <f>IF('Final Calculation Sheet'!$J$34="","",'Final Calculation Sheet'!$J$34)</f>
        <v/>
      </c>
      <c r="L49" s="70">
        <f>IF('Final Calculation Sheet'!$K$34="","",'Final Calculation Sheet'!$K$34)</f>
        <v/>
      </c>
      <c r="M49" s="70">
        <f>IF('Final Calculation Sheet'!$L$34="","",'Final Calculation Sheet'!$L$34)</f>
        <v/>
      </c>
      <c r="N49" s="70">
        <f>IF('Final Calculation Sheet'!$M$34="","",'Final Calculation Sheet'!$M$34)</f>
        <v/>
      </c>
      <c r="O49" s="71">
        <f>IF('Final Calculation Sheet'!$N$34="","",'Final Calculation Sheet'!$N$34)</f>
        <v/>
      </c>
      <c r="P49" s="70">
        <f>IF('Final Calculation Sheet'!$O$34="","",'Final Calculation Sheet'!$O$34)</f>
        <v/>
      </c>
      <c r="Q49" s="70">
        <f>IF('Final Calculation Sheet'!$P$34="","",'Final Calculation Sheet'!$P$34)</f>
        <v/>
      </c>
      <c r="R49" s="72">
        <f>IF('Final Calculation Sheet'!$Q$34="","",'Final Calculation Sheet'!$Q$34)</f>
        <v/>
      </c>
      <c r="S49" s="70">
        <f>IF('Final Calculation Sheet'!$R$34="","",'Final Calculation Sheet'!$R$34)</f>
        <v/>
      </c>
      <c r="T49" s="70">
        <f>IF('Final Calculation Sheet'!$S$34="","",'Final Calculation Sheet'!$S$34)</f>
        <v/>
      </c>
      <c r="U49" s="70">
        <f>IF('Final Calculation Sheet'!$T$34="","",'Final Calculation Sheet'!$T$34)</f>
        <v/>
      </c>
      <c r="V49" s="73">
        <f>IF('Final Calculation Sheet'!$U$34="","",'Final Calculation Sheet'!$U$34)</f>
        <v/>
      </c>
      <c r="W49" s="70">
        <f>IF('Final Calculation Sheet'!$V$34="","",'Final Calculation Sheet'!$V$34)</f>
        <v/>
      </c>
      <c r="X49" s="70">
        <f>IF('Final Calculation Sheet'!$W$34="","",'Final Calculation Sheet'!$W$34)</f>
        <v/>
      </c>
      <c r="Y49" s="70">
        <f>IF('Final Calculation Sheet'!$X$34="","",'Final Calculation Sheet'!$X$34)</f>
        <v/>
      </c>
      <c r="Z49" s="70">
        <f>IF('Final Calculation Sheet'!$Y$34="","",'Final Calculation Sheet'!$Y$34)</f>
        <v/>
      </c>
      <c r="AA49" s="70">
        <f>IF('Final Calculation Sheet'!$Z$34="","",'Final Calculation Sheet'!$Z$34)</f>
        <v/>
      </c>
      <c r="AB49" s="70">
        <f>IF('Final Calculation Sheet'!$AA$34="","",'Final Calculation Sheet'!$AA$34)</f>
        <v/>
      </c>
      <c r="AC49" s="70">
        <f>IF('Final Calculation Sheet'!$AB$34="","",'Final Calculation Sheet'!$AB$34)</f>
        <v/>
      </c>
      <c r="AD49" s="70">
        <f>IF('Final Calculation Sheet'!$AC$34="","",'Final Calculation Sheet'!$AC$34)</f>
        <v/>
      </c>
      <c r="AE49" s="70">
        <f>IF('Final Calculation Sheet'!$AD$34="","",'Final Calculation Sheet'!$AD$34)</f>
        <v/>
      </c>
      <c r="AF49" s="70">
        <f>IF('Final Calculation Sheet'!$AE$34="","",'Final Calculation Sheet'!$AE$34)</f>
        <v/>
      </c>
      <c r="AG49" s="74">
        <f>IF('Final Calculation Sheet'!$AF$34="","",'Final Calculation Sheet'!$AF$34)</f>
        <v/>
      </c>
      <c r="AH49" s="70">
        <f>IF('Final Calculation Sheet'!$AG$34="","",'Final Calculation Sheet'!$AG$34)</f>
        <v/>
      </c>
      <c r="AI49" s="75">
        <f>IF('Final Calculation Sheet'!$AD$34="","",IF('Final Calculation Sheet'!$AD$34&lt;=0,"SETTLED","OUTSTANDING"))</f>
        <v/>
      </c>
    </row>
    <row r="50" ht="15" customHeight="1" s="77">
      <c r="A50" s="67" t="n">
        <v>7</v>
      </c>
      <c r="B50" s="68">
        <f>IF('Final Calculation Sheet'!$F$36="","",'Final Calculation Sheet'!$F$36)</f>
        <v/>
      </c>
      <c r="C50" s="68">
        <f>IF('Final Calculation Sheet'!$G$36="","",'Final Calculation Sheet'!$G$36)</f>
        <v/>
      </c>
      <c r="D50" s="69">
        <f>IF('Final Calculation Sheet'!$B$36="","",'Final Calculation Sheet'!$B$36)</f>
        <v/>
      </c>
      <c r="E50" s="69">
        <f>IF('Final Calculation Sheet'!$D$36="","",'Final Calculation Sheet'!$D$36)</f>
        <v/>
      </c>
      <c r="F50" s="69">
        <f>IF('Final Calculation Sheet'!$A$36="","",'Final Calculation Sheet'!$A$36)</f>
        <v/>
      </c>
      <c r="G50" s="69">
        <f>IF('Final Calculation Sheet'!$E$36="","",'Final Calculation Sheet'!$E$36)</f>
        <v/>
      </c>
      <c r="H50" s="70">
        <f>IF('Final Calculation Sheet'!$C$36="","",'Final Calculation Sheet'!$C$36)</f>
        <v/>
      </c>
      <c r="I50" s="70">
        <f>IF('Final Calculation Sheet'!$H$36="","",'Final Calculation Sheet'!$H$36)</f>
        <v/>
      </c>
      <c r="J50" s="70">
        <f>IF('Final Calculation Sheet'!$I$36="","",'Final Calculation Sheet'!$I$36)</f>
        <v/>
      </c>
      <c r="K50" s="70">
        <f>IF('Final Calculation Sheet'!$J$36="","",'Final Calculation Sheet'!$J$36)</f>
        <v/>
      </c>
      <c r="L50" s="70">
        <f>IF('Final Calculation Sheet'!$K$36="","",'Final Calculation Sheet'!$K$36)</f>
        <v/>
      </c>
      <c r="M50" s="70">
        <f>IF('Final Calculation Sheet'!$L$36="","",'Final Calculation Sheet'!$L$36)</f>
        <v/>
      </c>
      <c r="N50" s="70">
        <f>IF('Final Calculation Sheet'!$M$36="","",'Final Calculation Sheet'!$M$36)</f>
        <v/>
      </c>
      <c r="O50" s="71">
        <f>IF('Final Calculation Sheet'!$N$36="","",'Final Calculation Sheet'!$N$36)</f>
        <v/>
      </c>
      <c r="P50" s="70">
        <f>IF('Final Calculation Sheet'!$O$36="","",'Final Calculation Sheet'!$O$36)</f>
        <v/>
      </c>
      <c r="Q50" s="70">
        <f>IF('Final Calculation Sheet'!$P$36="","",'Final Calculation Sheet'!$P$36)</f>
        <v/>
      </c>
      <c r="R50" s="72">
        <f>IF('Final Calculation Sheet'!$Q$36="","",'Final Calculation Sheet'!$Q$36)</f>
        <v/>
      </c>
      <c r="S50" s="70">
        <f>IF('Final Calculation Sheet'!$R$36="","",'Final Calculation Sheet'!$R$36)</f>
        <v/>
      </c>
      <c r="T50" s="70">
        <f>IF('Final Calculation Sheet'!$S$36="","",'Final Calculation Sheet'!$S$36)</f>
        <v/>
      </c>
      <c r="U50" s="70">
        <f>IF('Final Calculation Sheet'!$T$36="","",'Final Calculation Sheet'!$T$36)</f>
        <v/>
      </c>
      <c r="V50" s="73">
        <f>IF('Final Calculation Sheet'!$U$36="","",'Final Calculation Sheet'!$U$36)</f>
        <v/>
      </c>
      <c r="W50" s="70">
        <f>IF('Final Calculation Sheet'!$V$36="","",'Final Calculation Sheet'!$V$36)</f>
        <v/>
      </c>
      <c r="X50" s="70">
        <f>IF('Final Calculation Sheet'!$W$36="","",'Final Calculation Sheet'!$W$36)</f>
        <v/>
      </c>
      <c r="Y50" s="70">
        <f>IF('Final Calculation Sheet'!$X$36="","",'Final Calculation Sheet'!$X$36)</f>
        <v/>
      </c>
      <c r="Z50" s="70">
        <f>IF('Final Calculation Sheet'!$Y$36="","",'Final Calculation Sheet'!$Y$36)</f>
        <v/>
      </c>
      <c r="AA50" s="70">
        <f>IF('Final Calculation Sheet'!$Z$36="","",'Final Calculation Sheet'!$Z$36)</f>
        <v/>
      </c>
      <c r="AB50" s="70">
        <f>IF('Final Calculation Sheet'!$AA$36="","",'Final Calculation Sheet'!$AA$36)</f>
        <v/>
      </c>
      <c r="AC50" s="70">
        <f>IF('Final Calculation Sheet'!$AB$36="","",'Final Calculation Sheet'!$AB$36)</f>
        <v/>
      </c>
      <c r="AD50" s="70">
        <f>IF('Final Calculation Sheet'!$AC$36="","",'Final Calculation Sheet'!$AC$36)</f>
        <v/>
      </c>
      <c r="AE50" s="70">
        <f>IF('Final Calculation Sheet'!$AD$36="","",'Final Calculation Sheet'!$AD$36)</f>
        <v/>
      </c>
      <c r="AF50" s="70">
        <f>IF('Final Calculation Sheet'!$AE$36="","",'Final Calculation Sheet'!$AE$36)</f>
        <v/>
      </c>
      <c r="AG50" s="74">
        <f>IF('Final Calculation Sheet'!$AF$36="","",'Final Calculation Sheet'!$AF$36)</f>
        <v/>
      </c>
      <c r="AH50" s="70">
        <f>IF('Final Calculation Sheet'!$AG$36="","",'Final Calculation Sheet'!$AG$36)</f>
        <v/>
      </c>
      <c r="AI50" s="75">
        <f>IF('Final Calculation Sheet'!$AD$36="","",IF('Final Calculation Sheet'!$AD$36&lt;=0,"SETTLED","OUTSTANDING"))</f>
        <v/>
      </c>
    </row>
    <row r="51" ht="15" customHeight="1" s="77">
      <c r="A51" s="84" t="inlineStr">
        <is>
          <t>∑</t>
        </is>
      </c>
      <c r="B51" s="85" t="n"/>
      <c r="C51" s="85">
        <f>ROWS($C$44:$C$50)&amp;" lot(s)"</f>
        <v/>
      </c>
      <c r="D51" s="85" t="inlineStr">
        <is>
          <t>SUBTOTAL — STERLING ENTERPRISES</t>
        </is>
      </c>
      <c r="E51" s="85" t="inlineStr">
        <is>
          <t>–</t>
        </is>
      </c>
      <c r="F51" s="85">
        <f>SUM(F44:F50)</f>
        <v/>
      </c>
      <c r="G51" s="85" t="inlineStr">
        <is>
          <t>–</t>
        </is>
      </c>
      <c r="H51" s="86" t="inlineStr">
        <is>
          <t>–</t>
        </is>
      </c>
      <c r="I51" s="86">
        <f>SUM(I44:I50)</f>
        <v/>
      </c>
      <c r="J51" s="86">
        <f>SUM(J44:J50)</f>
        <v/>
      </c>
      <c r="K51" s="86">
        <f>SUM(K44:K50)</f>
        <v/>
      </c>
      <c r="L51" s="86">
        <f>SUM(L44:L50)</f>
        <v/>
      </c>
      <c r="M51" s="86">
        <f>SUM(M44:M50)</f>
        <v/>
      </c>
      <c r="N51" s="86">
        <f>SUM(N44:N50)</f>
        <v/>
      </c>
      <c r="O51" s="87">
        <f>SUM(O44:O50)</f>
        <v/>
      </c>
      <c r="P51" s="86">
        <f>SUM(P44:P50)</f>
        <v/>
      </c>
      <c r="Q51" s="86">
        <f>SUM(Q44:Q50)</f>
        <v/>
      </c>
      <c r="R51" s="88" t="inlineStr">
        <is>
          <t>–</t>
        </is>
      </c>
      <c r="S51" s="86">
        <f>SUM(S44:S50)</f>
        <v/>
      </c>
      <c r="T51" s="86">
        <f>SUM(T44:T50)</f>
        <v/>
      </c>
      <c r="U51" s="86">
        <f>SUM(U44:U50)</f>
        <v/>
      </c>
      <c r="V51" s="89">
        <f>SUM(V44:V50)</f>
        <v/>
      </c>
      <c r="W51" s="86" t="inlineStr">
        <is>
          <t>–</t>
        </is>
      </c>
      <c r="X51" s="86">
        <f>SUM(X44:X50)</f>
        <v/>
      </c>
      <c r="Y51" s="86">
        <f>SUM(Y44:Y50)</f>
        <v/>
      </c>
      <c r="Z51" s="86" t="inlineStr">
        <is>
          <t>–</t>
        </is>
      </c>
      <c r="AA51" s="86">
        <f>SUM(AA44:AA50)</f>
        <v/>
      </c>
      <c r="AB51" s="86">
        <f>SUM(AB44:AB50)</f>
        <v/>
      </c>
      <c r="AC51" s="86" t="inlineStr">
        <is>
          <t>–</t>
        </is>
      </c>
      <c r="AD51" s="86">
        <f>SUM(AD44:AD50)</f>
        <v/>
      </c>
      <c r="AE51" s="86">
        <f>SUM(AE44:AE50)</f>
        <v/>
      </c>
      <c r="AF51" s="86" t="inlineStr">
        <is>
          <t>–</t>
        </is>
      </c>
      <c r="AG51" s="90" t="inlineStr">
        <is>
          <t>–</t>
        </is>
      </c>
      <c r="AH51" s="86" t="inlineStr">
        <is>
          <t>–</t>
        </is>
      </c>
      <c r="AI51" s="91">
        <f>IF(AE51&lt;=0,"SETTLED","OUTSTANDING")</f>
        <v/>
      </c>
    </row>
    <row r="52" ht="15" customHeight="1" s="77">
      <c r="A52" s="67" t="n">
        <v>1</v>
      </c>
      <c r="B52" s="68">
        <f>IF('Final Calculation Sheet'!$F$25="","",'Final Calculation Sheet'!$F$25)</f>
        <v/>
      </c>
      <c r="C52" s="68">
        <f>IF('Final Calculation Sheet'!$G$25="","",'Final Calculation Sheet'!$G$25)</f>
        <v/>
      </c>
      <c r="D52" s="69">
        <f>IF('Final Calculation Sheet'!$B$25="","",'Final Calculation Sheet'!$B$25)</f>
        <v/>
      </c>
      <c r="E52" s="69">
        <f>IF('Final Calculation Sheet'!$D$25="","",'Final Calculation Sheet'!$D$25)</f>
        <v/>
      </c>
      <c r="F52" s="69">
        <f>IF('Final Calculation Sheet'!$A$25="","",'Final Calculation Sheet'!$A$25)</f>
        <v/>
      </c>
      <c r="G52" s="69">
        <f>IF('Final Calculation Sheet'!$E$25="","",'Final Calculation Sheet'!$E$25)</f>
        <v/>
      </c>
      <c r="H52" s="70">
        <f>IF('Final Calculation Sheet'!$C$25="","",'Final Calculation Sheet'!$C$25)</f>
        <v/>
      </c>
      <c r="I52" s="70">
        <f>IF('Final Calculation Sheet'!$H$25="","",'Final Calculation Sheet'!$H$25)</f>
        <v/>
      </c>
      <c r="J52" s="70">
        <f>IF('Final Calculation Sheet'!$I$25="","",'Final Calculation Sheet'!$I$25)</f>
        <v/>
      </c>
      <c r="K52" s="70">
        <f>IF('Final Calculation Sheet'!$J$25="","",'Final Calculation Sheet'!$J$25)</f>
        <v/>
      </c>
      <c r="L52" s="70">
        <f>IF('Final Calculation Sheet'!$K$25="","",'Final Calculation Sheet'!$K$25)</f>
        <v/>
      </c>
      <c r="M52" s="70">
        <f>IF('Final Calculation Sheet'!$L$25="","",'Final Calculation Sheet'!$L$25)</f>
        <v/>
      </c>
      <c r="N52" s="70">
        <f>IF('Final Calculation Sheet'!$M$25="","",'Final Calculation Sheet'!$M$25)</f>
        <v/>
      </c>
      <c r="O52" s="71">
        <f>IF('Final Calculation Sheet'!$N$25="","",'Final Calculation Sheet'!$N$25)</f>
        <v/>
      </c>
      <c r="P52" s="70">
        <f>IF('Final Calculation Sheet'!$O$25="","",'Final Calculation Sheet'!$O$25)</f>
        <v/>
      </c>
      <c r="Q52" s="70">
        <f>IF('Final Calculation Sheet'!$P$25="","",'Final Calculation Sheet'!$P$25)</f>
        <v/>
      </c>
      <c r="R52" s="72">
        <f>IF('Final Calculation Sheet'!$Q$25="","",'Final Calculation Sheet'!$Q$25)</f>
        <v/>
      </c>
      <c r="S52" s="70">
        <f>IF('Final Calculation Sheet'!$R$25="","",'Final Calculation Sheet'!$R$25)</f>
        <v/>
      </c>
      <c r="T52" s="70">
        <f>IF('Final Calculation Sheet'!$S$25="","",'Final Calculation Sheet'!$S$25)</f>
        <v/>
      </c>
      <c r="U52" s="70">
        <f>IF('Final Calculation Sheet'!$T$25="","",'Final Calculation Sheet'!$T$25)</f>
        <v/>
      </c>
      <c r="V52" s="73">
        <f>IF('Final Calculation Sheet'!$U$25="","",'Final Calculation Sheet'!$U$25)</f>
        <v/>
      </c>
      <c r="W52" s="70">
        <f>IF('Final Calculation Sheet'!$V$25="","",'Final Calculation Sheet'!$V$25)</f>
        <v/>
      </c>
      <c r="X52" s="70">
        <f>IF('Final Calculation Sheet'!$W$25="","",'Final Calculation Sheet'!$W$25)</f>
        <v/>
      </c>
      <c r="Y52" s="70">
        <f>IF('Final Calculation Sheet'!$X$25="","",'Final Calculation Sheet'!$X$25)</f>
        <v/>
      </c>
      <c r="Z52" s="70">
        <f>IF('Final Calculation Sheet'!$Y$25="","",'Final Calculation Sheet'!$Y$25)</f>
        <v/>
      </c>
      <c r="AA52" s="70">
        <f>IF('Final Calculation Sheet'!$Z$25="","",'Final Calculation Sheet'!$Z$25)</f>
        <v/>
      </c>
      <c r="AB52" s="70">
        <f>IF('Final Calculation Sheet'!$AA$25="","",'Final Calculation Sheet'!$AA$25)</f>
        <v/>
      </c>
      <c r="AC52" s="70">
        <f>IF('Final Calculation Sheet'!$AB$25="","",'Final Calculation Sheet'!$AB$25)</f>
        <v/>
      </c>
      <c r="AD52" s="70">
        <f>IF('Final Calculation Sheet'!$AC$25="","",'Final Calculation Sheet'!$AC$25)</f>
        <v/>
      </c>
      <c r="AE52" s="70">
        <f>IF('Final Calculation Sheet'!$AD$25="","",'Final Calculation Sheet'!$AD$25)</f>
        <v/>
      </c>
      <c r="AF52" s="70">
        <f>IF('Final Calculation Sheet'!$AE$25="","",'Final Calculation Sheet'!$AE$25)</f>
        <v/>
      </c>
      <c r="AG52" s="74">
        <f>IF('Final Calculation Sheet'!$AF$25="","",'Final Calculation Sheet'!$AF$25)</f>
        <v/>
      </c>
      <c r="AH52" s="70">
        <f>IF('Final Calculation Sheet'!$AG$25="","",'Final Calculation Sheet'!$AG$25)</f>
        <v/>
      </c>
      <c r="AI52" s="75">
        <f>IF('Final Calculation Sheet'!$AD$25="","",IF('Final Calculation Sheet'!$AD$25&lt;=0,"SETTLED","OUTSTANDING"))</f>
        <v/>
      </c>
    </row>
    <row r="53" ht="15" customHeight="1" s="77">
      <c r="A53" s="67" t="n">
        <v>2</v>
      </c>
      <c r="B53" s="68">
        <f>IF('Final Calculation Sheet'!$F$28="","",'Final Calculation Sheet'!$F$28)</f>
        <v/>
      </c>
      <c r="C53" s="68">
        <f>IF('Final Calculation Sheet'!$G$28="","",'Final Calculation Sheet'!$G$28)</f>
        <v/>
      </c>
      <c r="D53" s="69">
        <f>IF('Final Calculation Sheet'!$B$28="","",'Final Calculation Sheet'!$B$28)</f>
        <v/>
      </c>
      <c r="E53" s="69">
        <f>IF('Final Calculation Sheet'!$D$28="","",'Final Calculation Sheet'!$D$28)</f>
        <v/>
      </c>
      <c r="F53" s="69">
        <f>IF('Final Calculation Sheet'!$A$28="","",'Final Calculation Sheet'!$A$28)</f>
        <v/>
      </c>
      <c r="G53" s="69">
        <f>IF('Final Calculation Sheet'!$E$28="","",'Final Calculation Sheet'!$E$28)</f>
        <v/>
      </c>
      <c r="H53" s="70">
        <f>IF('Final Calculation Sheet'!$C$28="","",'Final Calculation Sheet'!$C$28)</f>
        <v/>
      </c>
      <c r="I53" s="70">
        <f>IF('Final Calculation Sheet'!$H$28="","",'Final Calculation Sheet'!$H$28)</f>
        <v/>
      </c>
      <c r="J53" s="70">
        <f>IF('Final Calculation Sheet'!$I$28="","",'Final Calculation Sheet'!$I$28)</f>
        <v/>
      </c>
      <c r="K53" s="70">
        <f>IF('Final Calculation Sheet'!$J$28="","",'Final Calculation Sheet'!$J$28)</f>
        <v/>
      </c>
      <c r="L53" s="70">
        <f>IF('Final Calculation Sheet'!$K$28="","",'Final Calculation Sheet'!$K$28)</f>
        <v/>
      </c>
      <c r="M53" s="70">
        <f>IF('Final Calculation Sheet'!$L$28="","",'Final Calculation Sheet'!$L$28)</f>
        <v/>
      </c>
      <c r="N53" s="70">
        <f>IF('Final Calculation Sheet'!$M$28="","",'Final Calculation Sheet'!$M$28)</f>
        <v/>
      </c>
      <c r="O53" s="71">
        <f>IF('Final Calculation Sheet'!$N$28="","",'Final Calculation Sheet'!$N$28)</f>
        <v/>
      </c>
      <c r="P53" s="70">
        <f>IF('Final Calculation Sheet'!$O$28="","",'Final Calculation Sheet'!$O$28)</f>
        <v/>
      </c>
      <c r="Q53" s="70">
        <f>IF('Final Calculation Sheet'!$P$28="","",'Final Calculation Sheet'!$P$28)</f>
        <v/>
      </c>
      <c r="R53" s="72">
        <f>IF('Final Calculation Sheet'!$Q$28="","",'Final Calculation Sheet'!$Q$28)</f>
        <v/>
      </c>
      <c r="S53" s="70">
        <f>IF('Final Calculation Sheet'!$R$28="","",'Final Calculation Sheet'!$R$28)</f>
        <v/>
      </c>
      <c r="T53" s="70">
        <f>IF('Final Calculation Sheet'!$S$28="","",'Final Calculation Sheet'!$S$28)</f>
        <v/>
      </c>
      <c r="U53" s="70">
        <f>IF('Final Calculation Sheet'!$T$28="","",'Final Calculation Sheet'!$T$28)</f>
        <v/>
      </c>
      <c r="V53" s="73">
        <f>IF('Final Calculation Sheet'!$U$28="","",'Final Calculation Sheet'!$U$28)</f>
        <v/>
      </c>
      <c r="W53" s="70">
        <f>IF('Final Calculation Sheet'!$V$28="","",'Final Calculation Sheet'!$V$28)</f>
        <v/>
      </c>
      <c r="X53" s="70">
        <f>IF('Final Calculation Sheet'!$W$28="","",'Final Calculation Sheet'!$W$28)</f>
        <v/>
      </c>
      <c r="Y53" s="70">
        <f>IF('Final Calculation Sheet'!$X$28="","",'Final Calculation Sheet'!$X$28)</f>
        <v/>
      </c>
      <c r="Z53" s="70">
        <f>IF('Final Calculation Sheet'!$Y$28="","",'Final Calculation Sheet'!$Y$28)</f>
        <v/>
      </c>
      <c r="AA53" s="70">
        <f>IF('Final Calculation Sheet'!$Z$28="","",'Final Calculation Sheet'!$Z$28)</f>
        <v/>
      </c>
      <c r="AB53" s="70">
        <f>IF('Final Calculation Sheet'!$AA$28="","",'Final Calculation Sheet'!$AA$28)</f>
        <v/>
      </c>
      <c r="AC53" s="70">
        <f>IF('Final Calculation Sheet'!$AB$28="","",'Final Calculation Sheet'!$AB$28)</f>
        <v/>
      </c>
      <c r="AD53" s="70">
        <f>IF('Final Calculation Sheet'!$AC$28="","",'Final Calculation Sheet'!$AC$28)</f>
        <v/>
      </c>
      <c r="AE53" s="70">
        <f>IF('Final Calculation Sheet'!$AD$28="","",'Final Calculation Sheet'!$AD$28)</f>
        <v/>
      </c>
      <c r="AF53" s="70">
        <f>IF('Final Calculation Sheet'!$AE$28="","",'Final Calculation Sheet'!$AE$28)</f>
        <v/>
      </c>
      <c r="AG53" s="74">
        <f>IF('Final Calculation Sheet'!$AF$28="","",'Final Calculation Sheet'!$AF$28)</f>
        <v/>
      </c>
      <c r="AH53" s="70">
        <f>IF('Final Calculation Sheet'!$AG$28="","",'Final Calculation Sheet'!$AG$28)</f>
        <v/>
      </c>
      <c r="AI53" s="75">
        <f>IF('Final Calculation Sheet'!$AD$28="","",IF('Final Calculation Sheet'!$AD$28&lt;=0,"SETTLED","OUTSTANDING"))</f>
        <v/>
      </c>
    </row>
    <row r="54" ht="15" customHeight="1" s="77">
      <c r="A54" s="67" t="n">
        <v>3</v>
      </c>
      <c r="B54" s="68">
        <f>IF('Final Calculation Sheet'!$F$35="","",'Final Calculation Sheet'!$F$35)</f>
        <v/>
      </c>
      <c r="C54" s="68">
        <f>IF('Final Calculation Sheet'!$G$35="","",'Final Calculation Sheet'!$G$35)</f>
        <v/>
      </c>
      <c r="D54" s="69">
        <f>IF('Final Calculation Sheet'!$B$35="","",'Final Calculation Sheet'!$B$35)</f>
        <v/>
      </c>
      <c r="E54" s="69">
        <f>IF('Final Calculation Sheet'!$D$35="","",'Final Calculation Sheet'!$D$35)</f>
        <v/>
      </c>
      <c r="F54" s="69">
        <f>IF('Final Calculation Sheet'!$A$35="","",'Final Calculation Sheet'!$A$35)</f>
        <v/>
      </c>
      <c r="G54" s="69">
        <f>IF('Final Calculation Sheet'!$E$35="","",'Final Calculation Sheet'!$E$35)</f>
        <v/>
      </c>
      <c r="H54" s="70">
        <f>IF('Final Calculation Sheet'!$C$35="","",'Final Calculation Sheet'!$C$35)</f>
        <v/>
      </c>
      <c r="I54" s="70">
        <f>IF('Final Calculation Sheet'!$H$35="","",'Final Calculation Sheet'!$H$35)</f>
        <v/>
      </c>
      <c r="J54" s="70">
        <f>IF('Final Calculation Sheet'!$I$35="","",'Final Calculation Sheet'!$I$35)</f>
        <v/>
      </c>
      <c r="K54" s="70">
        <f>IF('Final Calculation Sheet'!$J$35="","",'Final Calculation Sheet'!$J$35)</f>
        <v/>
      </c>
      <c r="L54" s="70">
        <f>IF('Final Calculation Sheet'!$K$35="","",'Final Calculation Sheet'!$K$35)</f>
        <v/>
      </c>
      <c r="M54" s="70">
        <f>IF('Final Calculation Sheet'!$L$35="","",'Final Calculation Sheet'!$L$35)</f>
        <v/>
      </c>
      <c r="N54" s="70">
        <f>IF('Final Calculation Sheet'!$M$35="","",'Final Calculation Sheet'!$M$35)</f>
        <v/>
      </c>
      <c r="O54" s="71">
        <f>IF('Final Calculation Sheet'!$N$35="","",'Final Calculation Sheet'!$N$35)</f>
        <v/>
      </c>
      <c r="P54" s="70">
        <f>IF('Final Calculation Sheet'!$O$35="","",'Final Calculation Sheet'!$O$35)</f>
        <v/>
      </c>
      <c r="Q54" s="70">
        <f>IF('Final Calculation Sheet'!$P$35="","",'Final Calculation Sheet'!$P$35)</f>
        <v/>
      </c>
      <c r="R54" s="72">
        <f>IF('Final Calculation Sheet'!$Q$35="","",'Final Calculation Sheet'!$Q$35)</f>
        <v/>
      </c>
      <c r="S54" s="70">
        <f>IF('Final Calculation Sheet'!$R$35="","",'Final Calculation Sheet'!$R$35)</f>
        <v/>
      </c>
      <c r="T54" s="70">
        <f>IF('Final Calculation Sheet'!$S$35="","",'Final Calculation Sheet'!$S$35)</f>
        <v/>
      </c>
      <c r="U54" s="70">
        <f>IF('Final Calculation Sheet'!$T$35="","",'Final Calculation Sheet'!$T$35)</f>
        <v/>
      </c>
      <c r="V54" s="73">
        <f>IF('Final Calculation Sheet'!$U$35="","",'Final Calculation Sheet'!$U$35)</f>
        <v/>
      </c>
      <c r="W54" s="70">
        <f>IF('Final Calculation Sheet'!$V$35="","",'Final Calculation Sheet'!$V$35)</f>
        <v/>
      </c>
      <c r="X54" s="70">
        <f>IF('Final Calculation Sheet'!$W$35="","",'Final Calculation Sheet'!$W$35)</f>
        <v/>
      </c>
      <c r="Y54" s="70">
        <f>IF('Final Calculation Sheet'!$X$35="","",'Final Calculation Sheet'!$X$35)</f>
        <v/>
      </c>
      <c r="Z54" s="70">
        <f>IF('Final Calculation Sheet'!$Y$35="","",'Final Calculation Sheet'!$Y$35)</f>
        <v/>
      </c>
      <c r="AA54" s="70">
        <f>IF('Final Calculation Sheet'!$Z$35="","",'Final Calculation Sheet'!$Z$35)</f>
        <v/>
      </c>
      <c r="AB54" s="70">
        <f>IF('Final Calculation Sheet'!$AA$35="","",'Final Calculation Sheet'!$AA$35)</f>
        <v/>
      </c>
      <c r="AC54" s="70">
        <f>IF('Final Calculation Sheet'!$AB$35="","",'Final Calculation Sheet'!$AB$35)</f>
        <v/>
      </c>
      <c r="AD54" s="70">
        <f>IF('Final Calculation Sheet'!$AC$35="","",'Final Calculation Sheet'!$AC$35)</f>
        <v/>
      </c>
      <c r="AE54" s="70">
        <f>IF('Final Calculation Sheet'!$AD$35="","",'Final Calculation Sheet'!$AD$35)</f>
        <v/>
      </c>
      <c r="AF54" s="70">
        <f>IF('Final Calculation Sheet'!$AE$35="","",'Final Calculation Sheet'!$AE$35)</f>
        <v/>
      </c>
      <c r="AG54" s="74">
        <f>IF('Final Calculation Sheet'!$AF$35="","",'Final Calculation Sheet'!$AF$35)</f>
        <v/>
      </c>
      <c r="AH54" s="70">
        <f>IF('Final Calculation Sheet'!$AG$35="","",'Final Calculation Sheet'!$AG$35)</f>
        <v/>
      </c>
      <c r="AI54" s="75">
        <f>IF('Final Calculation Sheet'!$AD$35="","",IF('Final Calculation Sheet'!$AD$35&lt;=0,"SETTLED","OUTSTANDING"))</f>
        <v/>
      </c>
    </row>
    <row r="55" ht="15" customHeight="1" s="77">
      <c r="A55" s="84" t="inlineStr">
        <is>
          <t>∑</t>
        </is>
      </c>
      <c r="B55" s="85" t="n"/>
      <c r="C55" s="85">
        <f>ROWS($C$52:$C$54)&amp;" lot(s)"</f>
        <v/>
      </c>
      <c r="D55" s="85" t="inlineStr">
        <is>
          <t>SUBTOTAL — WATAN SCRAP TRADERS</t>
        </is>
      </c>
      <c r="E55" s="85" t="inlineStr">
        <is>
          <t>–</t>
        </is>
      </c>
      <c r="F55" s="85">
        <f>SUM(F52:F54)</f>
        <v/>
      </c>
      <c r="G55" s="85" t="inlineStr">
        <is>
          <t>–</t>
        </is>
      </c>
      <c r="H55" s="86" t="inlineStr">
        <is>
          <t>–</t>
        </is>
      </c>
      <c r="I55" s="86">
        <f>SUM(I52:I54)</f>
        <v/>
      </c>
      <c r="J55" s="86">
        <f>SUM(J52:J54)</f>
        <v/>
      </c>
      <c r="K55" s="86">
        <f>SUM(K52:K54)</f>
        <v/>
      </c>
      <c r="L55" s="86">
        <f>SUM(L52:L54)</f>
        <v/>
      </c>
      <c r="M55" s="86">
        <f>SUM(M52:M54)</f>
        <v/>
      </c>
      <c r="N55" s="86">
        <f>SUM(N52:N54)</f>
        <v/>
      </c>
      <c r="O55" s="87">
        <f>SUM(O52:O54)</f>
        <v/>
      </c>
      <c r="P55" s="86">
        <f>SUM(P52:P54)</f>
        <v/>
      </c>
      <c r="Q55" s="86">
        <f>SUM(Q52:Q54)</f>
        <v/>
      </c>
      <c r="R55" s="88" t="inlineStr">
        <is>
          <t>–</t>
        </is>
      </c>
      <c r="S55" s="86">
        <f>SUM(S52:S54)</f>
        <v/>
      </c>
      <c r="T55" s="86">
        <f>SUM(T52:T54)</f>
        <v/>
      </c>
      <c r="U55" s="86">
        <f>SUM(U52:U54)</f>
        <v/>
      </c>
      <c r="V55" s="89">
        <f>SUM(V52:V54)</f>
        <v/>
      </c>
      <c r="W55" s="86" t="inlineStr">
        <is>
          <t>–</t>
        </is>
      </c>
      <c r="X55" s="86">
        <f>SUM(X52:X54)</f>
        <v/>
      </c>
      <c r="Y55" s="86">
        <f>SUM(Y52:Y54)</f>
        <v/>
      </c>
      <c r="Z55" s="86" t="inlineStr">
        <is>
          <t>–</t>
        </is>
      </c>
      <c r="AA55" s="86">
        <f>SUM(AA52:AA54)</f>
        <v/>
      </c>
      <c r="AB55" s="86">
        <f>SUM(AB52:AB54)</f>
        <v/>
      </c>
      <c r="AC55" s="86" t="inlineStr">
        <is>
          <t>–</t>
        </is>
      </c>
      <c r="AD55" s="86">
        <f>SUM(AD52:AD54)</f>
        <v/>
      </c>
      <c r="AE55" s="86">
        <f>SUM(AE52:AE54)</f>
        <v/>
      </c>
      <c r="AF55" s="86" t="inlineStr">
        <is>
          <t>–</t>
        </is>
      </c>
      <c r="AG55" s="90" t="inlineStr">
        <is>
          <t>–</t>
        </is>
      </c>
      <c r="AH55" s="86" t="inlineStr">
        <is>
          <t>–</t>
        </is>
      </c>
      <c r="AI55" s="91">
        <f>IF(AE55&lt;=0,"SETTLED","OUTSTANDING")</f>
        <v/>
      </c>
    </row>
    <row r="56" ht="15" customHeight="1" s="77">
      <c r="A56" s="92" t="inlineStr">
        <is>
          <t>∑</t>
        </is>
      </c>
      <c r="B56" s="93" t="n"/>
      <c r="C56" s="93">
        <f>COUNTA('Final Calculation Sheet'!$G$4:$G$40)&amp;" lot(s)"</f>
        <v/>
      </c>
      <c r="D56" s="93" t="inlineStr">
        <is>
          <t>TOTAL — every buyer together</t>
        </is>
      </c>
      <c r="E56" s="93" t="inlineStr">
        <is>
          <t>–</t>
        </is>
      </c>
      <c r="F56" s="93">
        <f>SUM(F7,F10,F12,F14,F16,F30,F32,F35,F38,F40,F43,F51,F55)</f>
        <v/>
      </c>
      <c r="G56" s="93" t="inlineStr">
        <is>
          <t>–</t>
        </is>
      </c>
      <c r="H56" s="94" t="inlineStr">
        <is>
          <t>–</t>
        </is>
      </c>
      <c r="I56" s="94">
        <f>SUM(I7,I10,I12,I14,I16,I30,I32,I35,I38,I40,I43,I51,I55)</f>
        <v/>
      </c>
      <c r="J56" s="94">
        <f>SUM(J7,J10,J12,J14,J16,J30,J32,J35,J38,J40,J43,J51,J55)</f>
        <v/>
      </c>
      <c r="K56" s="94">
        <f>SUM(K7,K10,K12,K14,K16,K30,K32,K35,K38,K40,K43,K51,K55)</f>
        <v/>
      </c>
      <c r="L56" s="94">
        <f>SUM(L7,L10,L12,L14,L16,L30,L32,L35,L38,L40,L43,L51,L55)</f>
        <v/>
      </c>
      <c r="M56" s="94">
        <f>SUM(M7,M10,M12,M14,M16,M30,M32,M35,M38,M40,M43,M51,M55)</f>
        <v/>
      </c>
      <c r="N56" s="94">
        <f>SUM(N7,N10,N12,N14,N16,N30,N32,N35,N38,N40,N43,N51,N55)</f>
        <v/>
      </c>
      <c r="O56" s="95">
        <f>SUM(O7,O10,O12,O14,O16,O30,O32,O35,O38,O40,O43,O51,O55)</f>
        <v/>
      </c>
      <c r="P56" s="94">
        <f>SUM(P7,P10,P12,P14,P16,P30,P32,P35,P38,P40,P43,P51,P55)</f>
        <v/>
      </c>
      <c r="Q56" s="94">
        <f>SUM(Q7,Q10,Q12,Q14,Q16,Q30,Q32,Q35,Q38,Q40,Q43,Q51,Q55)</f>
        <v/>
      </c>
      <c r="R56" s="96" t="inlineStr">
        <is>
          <t>–</t>
        </is>
      </c>
      <c r="S56" s="94">
        <f>SUM(S7,S10,S12,S14,S16,S30,S32,S35,S38,S40,S43,S51,S55)</f>
        <v/>
      </c>
      <c r="T56" s="94">
        <f>SUM(T7,T10,T12,T14,T16,T30,T32,T35,T38,T40,T43,T51,T55)</f>
        <v/>
      </c>
      <c r="U56" s="94">
        <f>SUM(U7,U10,U12,U14,U16,U30,U32,U35,U38,U40,U43,U51,U55)</f>
        <v/>
      </c>
      <c r="V56" s="97">
        <f>SUM(V7,V10,V12,V14,V16,V30,V32,V35,V38,V40,V43,V51,V55)</f>
        <v/>
      </c>
      <c r="W56" s="94" t="inlineStr">
        <is>
          <t>–</t>
        </is>
      </c>
      <c r="X56" s="94">
        <f>SUM(X7,X10,X12,X14,X16,X30,X32,X35,X38,X40,X43,X51,X55)</f>
        <v/>
      </c>
      <c r="Y56" s="94">
        <f>SUM(Y7,Y10,Y12,Y14,Y16,Y30,Y32,Y35,Y38,Y40,Y43,Y51,Y55)</f>
        <v/>
      </c>
      <c r="Z56" s="94" t="inlineStr">
        <is>
          <t>–</t>
        </is>
      </c>
      <c r="AA56" s="94">
        <f>SUM(AA7,AA10,AA12,AA14,AA16,AA30,AA32,AA35,AA38,AA40,AA43,AA51,AA55)</f>
        <v/>
      </c>
      <c r="AB56" s="94">
        <f>SUM(AB7,AB10,AB12,AB14,AB16,AB30,AB32,AB35,AB38,AB40,AB43,AB51,AB55)</f>
        <v/>
      </c>
      <c r="AC56" s="94" t="inlineStr">
        <is>
          <t>–</t>
        </is>
      </c>
      <c r="AD56" s="94">
        <f>SUM(AD7,AD10,AD12,AD14,AD16,AD30,AD32,AD35,AD38,AD40,AD43,AD51,AD55)</f>
        <v/>
      </c>
      <c r="AE56" s="94">
        <f>SUM(AE7,AE10,AE12,AE14,AE16,AE30,AE32,AE35,AE38,AE40,AE43,AE51,AE55)</f>
        <v/>
      </c>
      <c r="AF56" s="94" t="inlineStr">
        <is>
          <t>–</t>
        </is>
      </c>
      <c r="AG56" s="98" t="inlineStr">
        <is>
          <t>–</t>
        </is>
      </c>
      <c r="AH56" s="94" t="inlineStr">
        <is>
          <t>–</t>
        </is>
      </c>
      <c r="AI56" s="99">
        <f>IF(AE56&lt;=0,"SETTLED","OUTSTANDING")</f>
        <v/>
      </c>
    </row>
    <row r="57" ht="15" customHeight="1" s="77">
      <c r="A57" s="100" t="inlineStr">
        <is>
          <t>∑</t>
        </is>
      </c>
      <c r="B57" s="101" t="n"/>
      <c r="C57" s="101">
        <f>COUNTA('Final Calculation Sheet'!$G$4:$G$40)&amp;" lot(s)"</f>
        <v/>
      </c>
      <c r="D57" s="101" t="inlineStr">
        <is>
          <t>GRAND TOTAL — cross-checked to source</t>
        </is>
      </c>
      <c r="E57" s="101" t="inlineStr">
        <is>
          <t>–</t>
        </is>
      </c>
      <c r="F57" s="101">
        <f>SUM('Final Calculation Sheet'!$A$4:$A$40)</f>
        <v/>
      </c>
      <c r="G57" s="101" t="inlineStr">
        <is>
          <t>–</t>
        </is>
      </c>
      <c r="H57" s="102" t="inlineStr">
        <is>
          <t>–</t>
        </is>
      </c>
      <c r="I57" s="102">
        <f>SUM('Final Calculation Sheet'!$H$4:$H$40)</f>
        <v/>
      </c>
      <c r="J57" s="102">
        <f>SUM('Final Calculation Sheet'!$I$4:$I$40)</f>
        <v/>
      </c>
      <c r="K57" s="102">
        <f>SUM('Final Calculation Sheet'!$J$4:$J$40)</f>
        <v/>
      </c>
      <c r="L57" s="102">
        <f>SUM('Final Calculation Sheet'!$K$4:$K$40)</f>
        <v/>
      </c>
      <c r="M57" s="102">
        <f>SUM('Final Calculation Sheet'!$L$4:$L$40)</f>
        <v/>
      </c>
      <c r="N57" s="102">
        <f>SUM('Final Calculation Sheet'!$M$4:$M$40)</f>
        <v/>
      </c>
      <c r="O57" s="103">
        <f>SUM('Final Calculation Sheet'!$N$4:$N$40)</f>
        <v/>
      </c>
      <c r="P57" s="102">
        <f>SUM('Final Calculation Sheet'!$O$4:$O$40)</f>
        <v/>
      </c>
      <c r="Q57" s="102">
        <f>SUM('Final Calculation Sheet'!$P$4:$P$40)</f>
        <v/>
      </c>
      <c r="R57" s="104" t="inlineStr">
        <is>
          <t>–</t>
        </is>
      </c>
      <c r="S57" s="102">
        <f>SUM('Final Calculation Sheet'!$R$4:$R$40)</f>
        <v/>
      </c>
      <c r="T57" s="102">
        <f>SUM('Final Calculation Sheet'!$S$4:$S$40)</f>
        <v/>
      </c>
      <c r="U57" s="102">
        <f>SUM('Final Calculation Sheet'!$T$4:$T$40)</f>
        <v/>
      </c>
      <c r="V57" s="105">
        <f>SUM('Final Calculation Sheet'!$U$4:$U$40)</f>
        <v/>
      </c>
      <c r="W57" s="102" t="inlineStr">
        <is>
          <t>–</t>
        </is>
      </c>
      <c r="X57" s="102">
        <f>SUM('Final Calculation Sheet'!$W$4:$W$40)</f>
        <v/>
      </c>
      <c r="Y57" s="102">
        <f>SUM('Final Calculation Sheet'!$X$4:$X$40)</f>
        <v/>
      </c>
      <c r="Z57" s="102" t="inlineStr">
        <is>
          <t>–</t>
        </is>
      </c>
      <c r="AA57" s="102">
        <f>SUM('Final Calculation Sheet'!$Z$4:$Z$40)</f>
        <v/>
      </c>
      <c r="AB57" s="102">
        <f>SUM('Final Calculation Sheet'!$AA$4:$AA$40)</f>
        <v/>
      </c>
      <c r="AC57" s="102" t="inlineStr">
        <is>
          <t>–</t>
        </is>
      </c>
      <c r="AD57" s="102">
        <f>SUM('Final Calculation Sheet'!$AC$4:$AC$40)</f>
        <v/>
      </c>
      <c r="AE57" s="102">
        <f>SUM('Final Calculation Sheet'!$AD$4:$AD$40)</f>
        <v/>
      </c>
      <c r="AF57" s="102" t="inlineStr">
        <is>
          <t>–</t>
        </is>
      </c>
      <c r="AG57" s="106" t="inlineStr">
        <is>
          <t>–</t>
        </is>
      </c>
      <c r="AH57" s="102" t="inlineStr">
        <is>
          <t>–</t>
        </is>
      </c>
      <c r="AI57" s="107">
        <f>IF(AE57&lt;=0,"SETTLED","OUTSTANDING")</f>
        <v/>
      </c>
    </row>
  </sheetData>
  <mergeCells count="2">
    <mergeCell ref="A2:AI2"/>
    <mergeCell ref="A1:AI1"/>
  </mergeCells>
  <conditionalFormatting sqref="AE6:AE57">
    <cfRule type="cellIs" priority="1" operator="greaterThan" dxfId="2">
      <formula>0</formula>
    </cfRule>
  </conditionalFormatting>
  <conditionalFormatting sqref="AI6:AI57">
    <cfRule type="cellIs" priority="2" operator="equal" dxfId="11">
      <formula>"SETTLED"</formula>
    </cfRule>
    <cfRule type="cellIs" priority="3" operator="equal" dxfId="12">
      <formula>"OUTSTANDING"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2026-09-10T03:38:35Z</dcterms:modified>
  <cp:lastModifiedBy>S.M.C</cp:lastModifiedBy>
  <cp:revision>0</cp:revision>
</cp:coreProperties>
</file>