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7">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FF2F5496"/>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16">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1" fontId="14" fillId="16" borderId="0" applyAlignment="1" pivotButton="0" quotePrefix="0" xfId="0">
      <alignment horizontal="center" vertical="center" wrapText="1"/>
    </xf>
    <xf numFmtId="0" fontId="11" fillId="16" borderId="0" applyAlignment="1" pivotButton="0" quotePrefix="0" xfId="0">
      <alignment horizontal="left" vertical="center"/>
    </xf>
    <xf numFmtId="164" fontId="11" fillId="16" borderId="0" applyAlignment="1" pivotButton="0" quotePrefix="0" xfId="0">
      <alignment horizontal="right" vertical="center"/>
    </xf>
    <xf numFmtId="3" fontId="11" fillId="16" borderId="0" applyAlignment="1" pivotButton="0" quotePrefix="0" xfId="0">
      <alignment horizontal="right" vertical="center"/>
    </xf>
    <xf numFmtId="9" fontId="11" fillId="16" borderId="0" applyAlignment="1" pivotButton="0" quotePrefix="0" xfId="0">
      <alignment horizontal="right" vertical="center"/>
    </xf>
    <xf numFmtId="165" fontId="11" fillId="16" borderId="0" applyAlignment="1" pivotButton="0" quotePrefix="0" xfId="0">
      <alignment horizontal="right" vertical="center"/>
    </xf>
    <xf numFmtId="1" fontId="11" fillId="16" borderId="0" applyAlignment="1" pivotButton="0" quotePrefix="0" xfId="0">
      <alignment horizontal="right" vertical="center"/>
    </xf>
    <xf numFmtId="0" fontId="11" fillId="16"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85"/>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SETTLED / UNSETTLED - beneath every subtotal (and beneath TOTAL), two rows split the block into settled lots (short up to Rs. 5) and unsettled lots, each totalled separately.</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ht="15" customHeight="1" s="77">
      <c r="A8" s="108" t="inlineStr">
        <is>
          <t>↳</t>
        </is>
      </c>
      <c r="B8" s="109" t="n"/>
      <c r="C8" s="109">
        <f>COUNTIFS($AI$6:$AI$6,"SETTLED")&amp;" lot(s)"</f>
        <v/>
      </c>
      <c r="D8" s="109" t="inlineStr">
        <is>
          <t>↳ of which SETTLED</t>
        </is>
      </c>
      <c r="E8" s="109" t="inlineStr">
        <is>
          <t>–</t>
        </is>
      </c>
      <c r="F8" s="109">
        <f>SUMIFS(F$6:F$6,$AI$6:$AI$6,"SETTLED")</f>
        <v/>
      </c>
      <c r="G8" s="109" t="inlineStr">
        <is>
          <t>–</t>
        </is>
      </c>
      <c r="H8" s="110" t="inlineStr">
        <is>
          <t>–</t>
        </is>
      </c>
      <c r="I8" s="110">
        <f>SUMIFS(I$6:I$6,$AI$6:$AI$6,"SETTLED")</f>
        <v/>
      </c>
      <c r="J8" s="110">
        <f>SUMIFS(J$6:J$6,$AI$6:$AI$6,"SETTLED")</f>
        <v/>
      </c>
      <c r="K8" s="110">
        <f>SUMIFS(K$6:K$6,$AI$6:$AI$6,"SETTLED")</f>
        <v/>
      </c>
      <c r="L8" s="110">
        <f>SUMIFS(L$6:L$6,$AI$6:$AI$6,"SETTLED")</f>
        <v/>
      </c>
      <c r="M8" s="110">
        <f>SUMIFS(M$6:M$6,$AI$6:$AI$6,"SETTLED")</f>
        <v/>
      </c>
      <c r="N8" s="110">
        <f>SUMIFS(N$6:N$6,$AI$6:$AI$6,"SETTLED")</f>
        <v/>
      </c>
      <c r="O8" s="111">
        <f>SUMIFS(O$6:O$6,$AI$6:$AI$6,"SETTLED")</f>
        <v/>
      </c>
      <c r="P8" s="110">
        <f>SUMIFS(P$6:P$6,$AI$6:$AI$6,"SETTLED")</f>
        <v/>
      </c>
      <c r="Q8" s="110">
        <f>SUMIFS(Q$6:Q$6,$AI$6:$AI$6,"SETTLED")</f>
        <v/>
      </c>
      <c r="R8" s="112" t="inlineStr">
        <is>
          <t>–</t>
        </is>
      </c>
      <c r="S8" s="110">
        <f>SUMIFS(S$6:S$6,$AI$6:$AI$6,"SETTLED")</f>
        <v/>
      </c>
      <c r="T8" s="110">
        <f>SUMIFS(T$6:T$6,$AI$6:$AI$6,"SETTLED")</f>
        <v/>
      </c>
      <c r="U8" s="110">
        <f>SUMIFS(U$6:U$6,$AI$6:$AI$6,"SETTLED")</f>
        <v/>
      </c>
      <c r="V8" s="113">
        <f>SUMIFS(V$6:V$6,$AI$6:$AI$6,"SETTLED")</f>
        <v/>
      </c>
      <c r="W8" s="110" t="inlineStr">
        <is>
          <t>–</t>
        </is>
      </c>
      <c r="X8" s="110">
        <f>SUMIFS(X$6:X$6,$AI$6:$AI$6,"SETTLED")</f>
        <v/>
      </c>
      <c r="Y8" s="110">
        <f>SUMIFS(Y$6:Y$6,$AI$6:$AI$6,"SETTLED")</f>
        <v/>
      </c>
      <c r="Z8" s="110" t="inlineStr">
        <is>
          <t>–</t>
        </is>
      </c>
      <c r="AA8" s="110">
        <f>SUMIFS(AA$6:AA$6,$AI$6:$AI$6,"SETTLED")</f>
        <v/>
      </c>
      <c r="AB8" s="110">
        <f>SUMIFS(AB$6:AB$6,$AI$6:$AI$6,"SETTLED")</f>
        <v/>
      </c>
      <c r="AC8" s="110" t="inlineStr">
        <is>
          <t>–</t>
        </is>
      </c>
      <c r="AD8" s="110">
        <f>SUMIFS(AD$6:AD$6,$AI$6:$AI$6,"SETTLED")</f>
        <v/>
      </c>
      <c r="AE8" s="110">
        <f>SUMIFS(AE$6:AE$6,$AI$6:$AI$6,"SETTLED")</f>
        <v/>
      </c>
      <c r="AF8" s="110" t="inlineStr">
        <is>
          <t>–</t>
        </is>
      </c>
      <c r="AG8" s="114" t="inlineStr">
        <is>
          <t>–</t>
        </is>
      </c>
      <c r="AH8" s="110" t="inlineStr">
        <is>
          <t>–</t>
        </is>
      </c>
      <c r="AI8" s="115" t="inlineStr">
        <is>
          <t>SETTLED</t>
        </is>
      </c>
    </row>
    <row r="9" ht="15" customHeight="1" s="77">
      <c r="A9" s="108" t="inlineStr">
        <is>
          <t>↳</t>
        </is>
      </c>
      <c r="B9" s="109" t="n"/>
      <c r="C9" s="109">
        <f>COUNTIFS($AI$6:$AI$6,"OUTSTANDING")&amp;" lot(s)"</f>
        <v/>
      </c>
      <c r="D9" s="109" t="inlineStr">
        <is>
          <t>↳ of which UNSETTLED (outstanding)</t>
        </is>
      </c>
      <c r="E9" s="109" t="inlineStr">
        <is>
          <t>–</t>
        </is>
      </c>
      <c r="F9" s="109">
        <f>SUMIFS(F$6:F$6,$AI$6:$AI$6,"OUTSTANDING")</f>
        <v/>
      </c>
      <c r="G9" s="109" t="inlineStr">
        <is>
          <t>–</t>
        </is>
      </c>
      <c r="H9" s="110" t="inlineStr">
        <is>
          <t>–</t>
        </is>
      </c>
      <c r="I9" s="110">
        <f>SUMIFS(I$6:I$6,$AI$6:$AI$6,"OUTSTANDING")</f>
        <v/>
      </c>
      <c r="J9" s="110">
        <f>SUMIFS(J$6:J$6,$AI$6:$AI$6,"OUTSTANDING")</f>
        <v/>
      </c>
      <c r="K9" s="110">
        <f>SUMIFS(K$6:K$6,$AI$6:$AI$6,"OUTSTANDING")</f>
        <v/>
      </c>
      <c r="L9" s="110">
        <f>SUMIFS(L$6:L$6,$AI$6:$AI$6,"OUTSTANDING")</f>
        <v/>
      </c>
      <c r="M9" s="110">
        <f>SUMIFS(M$6:M$6,$AI$6:$AI$6,"OUTSTANDING")</f>
        <v/>
      </c>
      <c r="N9" s="110">
        <f>SUMIFS(N$6:N$6,$AI$6:$AI$6,"OUTSTANDING")</f>
        <v/>
      </c>
      <c r="O9" s="111">
        <f>SUMIFS(O$6:O$6,$AI$6:$AI$6,"OUTSTANDING")</f>
        <v/>
      </c>
      <c r="P9" s="110">
        <f>SUMIFS(P$6:P$6,$AI$6:$AI$6,"OUTSTANDING")</f>
        <v/>
      </c>
      <c r="Q9" s="110">
        <f>SUMIFS(Q$6:Q$6,$AI$6:$AI$6,"OUTSTANDING")</f>
        <v/>
      </c>
      <c r="R9" s="112" t="inlineStr">
        <is>
          <t>–</t>
        </is>
      </c>
      <c r="S9" s="110">
        <f>SUMIFS(S$6:S$6,$AI$6:$AI$6,"OUTSTANDING")</f>
        <v/>
      </c>
      <c r="T9" s="110">
        <f>SUMIFS(T$6:T$6,$AI$6:$AI$6,"OUTSTANDING")</f>
        <v/>
      </c>
      <c r="U9" s="110">
        <f>SUMIFS(U$6:U$6,$AI$6:$AI$6,"OUTSTANDING")</f>
        <v/>
      </c>
      <c r="V9" s="113">
        <f>SUMIFS(V$6:V$6,$AI$6:$AI$6,"OUTSTANDING")</f>
        <v/>
      </c>
      <c r="W9" s="110" t="inlineStr">
        <is>
          <t>–</t>
        </is>
      </c>
      <c r="X9" s="110">
        <f>SUMIFS(X$6:X$6,$AI$6:$AI$6,"OUTSTANDING")</f>
        <v/>
      </c>
      <c r="Y9" s="110">
        <f>SUMIFS(Y$6:Y$6,$AI$6:$AI$6,"OUTSTANDING")</f>
        <v/>
      </c>
      <c r="Z9" s="110" t="inlineStr">
        <is>
          <t>–</t>
        </is>
      </c>
      <c r="AA9" s="110">
        <f>SUMIFS(AA$6:AA$6,$AI$6:$AI$6,"OUTSTANDING")</f>
        <v/>
      </c>
      <c r="AB9" s="110">
        <f>SUMIFS(AB$6:AB$6,$AI$6:$AI$6,"OUTSTANDING")</f>
        <v/>
      </c>
      <c r="AC9" s="110" t="inlineStr">
        <is>
          <t>–</t>
        </is>
      </c>
      <c r="AD9" s="110">
        <f>SUMIFS(AD$6:AD$6,$AI$6:$AI$6,"OUTSTANDING")</f>
        <v/>
      </c>
      <c r="AE9" s="110">
        <f>SUMIFS(AE$6:AE$6,$AI$6:$AI$6,"OUTSTANDING")</f>
        <v/>
      </c>
      <c r="AF9" s="110" t="inlineStr">
        <is>
          <t>–</t>
        </is>
      </c>
      <c r="AG9" s="114" t="inlineStr">
        <is>
          <t>–</t>
        </is>
      </c>
      <c r="AH9" s="110" t="inlineStr">
        <is>
          <t>–</t>
        </is>
      </c>
      <c r="AI9" s="115" t="inlineStr">
        <is>
          <t>OUTSTANDING</t>
        </is>
      </c>
    </row>
    <row r="10" outlineLevel="1" ht="15" customHeight="1" s="77">
      <c r="A10" s="67" t="n">
        <v>1</v>
      </c>
      <c r="B10" s="68">
        <f>IF('Final Calculation Sheet'!$F$6="","",'Final Calculation Sheet'!$F$6)</f>
        <v/>
      </c>
      <c r="C10" s="68">
        <f>IF('Final Calculation Sheet'!$G$6="","",'Final Calculation Sheet'!$G$6)</f>
        <v/>
      </c>
      <c r="D10" s="69">
        <f>IF('Final Calculation Sheet'!$B$6="","",'Final Calculation Sheet'!$B$6)</f>
        <v/>
      </c>
      <c r="E10" s="69">
        <f>IF('Final Calculation Sheet'!$D$6="","",'Final Calculation Sheet'!$D$6)</f>
        <v/>
      </c>
      <c r="F10" s="69">
        <f>IF('Final Calculation Sheet'!$A$6="","",'Final Calculation Sheet'!$A$6)</f>
        <v/>
      </c>
      <c r="G10" s="69">
        <f>IF('Final Calculation Sheet'!$E$6="","",'Final Calculation Sheet'!$E$6)</f>
        <v/>
      </c>
      <c r="H10" s="70">
        <f>IF('Final Calculation Sheet'!$C$6="","",'Final Calculation Sheet'!$C$6)</f>
        <v/>
      </c>
      <c r="I10" s="70">
        <f>IF('Final Calculation Sheet'!$H$6="","",'Final Calculation Sheet'!$H$6)</f>
        <v/>
      </c>
      <c r="J10" s="70">
        <f>IF('Final Calculation Sheet'!$I$6="","",'Final Calculation Sheet'!$I$6)</f>
        <v/>
      </c>
      <c r="K10" s="70">
        <f>IF('Final Calculation Sheet'!$J$6="","",'Final Calculation Sheet'!$J$6)</f>
        <v/>
      </c>
      <c r="L10" s="70">
        <f>IF('Final Calculation Sheet'!$K$6="","",'Final Calculation Sheet'!$K$6)</f>
        <v/>
      </c>
      <c r="M10" s="70">
        <f>IF('Final Calculation Sheet'!$L$6="","",'Final Calculation Sheet'!$L$6)</f>
        <v/>
      </c>
      <c r="N10" s="70">
        <f>IF('Final Calculation Sheet'!$M$6="","",'Final Calculation Sheet'!$M$6)</f>
        <v/>
      </c>
      <c r="O10" s="71">
        <f>IF('Final Calculation Sheet'!$N$6="","",'Final Calculation Sheet'!$N$6)</f>
        <v/>
      </c>
      <c r="P10" s="70">
        <f>IF('Final Calculation Sheet'!$O$6="","",'Final Calculation Sheet'!$O$6)</f>
        <v/>
      </c>
      <c r="Q10" s="70">
        <f>IF('Final Calculation Sheet'!$P$6="","",'Final Calculation Sheet'!$P$6)</f>
        <v/>
      </c>
      <c r="R10" s="72">
        <f>IF('Final Calculation Sheet'!$Q$6="","",'Final Calculation Sheet'!$Q$6)</f>
        <v/>
      </c>
      <c r="S10" s="70">
        <f>IF('Final Calculation Sheet'!$R$6="","",'Final Calculation Sheet'!$R$6)</f>
        <v/>
      </c>
      <c r="T10" s="70">
        <f>IF('Final Calculation Sheet'!$S$6="","",'Final Calculation Sheet'!$S$6)</f>
        <v/>
      </c>
      <c r="U10" s="70">
        <f>IF('Final Calculation Sheet'!$T$6="","",'Final Calculation Sheet'!$T$6)</f>
        <v/>
      </c>
      <c r="V10" s="73">
        <f>IF('Final Calculation Sheet'!$U$6="","",'Final Calculation Sheet'!$U$6)</f>
        <v/>
      </c>
      <c r="W10" s="70">
        <f>IF('Final Calculation Sheet'!$V$6="","",'Final Calculation Sheet'!$V$6)</f>
        <v/>
      </c>
      <c r="X10" s="70">
        <f>IF('Final Calculation Sheet'!$W$6="","",'Final Calculation Sheet'!$W$6)</f>
        <v/>
      </c>
      <c r="Y10" s="70">
        <f>IF('Final Calculation Sheet'!$X$6="","",'Final Calculation Sheet'!$X$6)</f>
        <v/>
      </c>
      <c r="Z10" s="70">
        <f>IF('Final Calculation Sheet'!$Y$6="","",'Final Calculation Sheet'!$Y$6)</f>
        <v/>
      </c>
      <c r="AA10" s="70">
        <f>IF('Final Calculation Sheet'!$Z$6="","",'Final Calculation Sheet'!$Z$6)</f>
        <v/>
      </c>
      <c r="AB10" s="70">
        <f>IF('Final Calculation Sheet'!$AA$6="","",'Final Calculation Sheet'!$AA$6)</f>
        <v/>
      </c>
      <c r="AC10" s="70">
        <f>IF('Final Calculation Sheet'!$AB$6="","",'Final Calculation Sheet'!$AB$6)</f>
        <v/>
      </c>
      <c r="AD10" s="70">
        <f>IF('Final Calculation Sheet'!$AC$6="","",'Final Calculation Sheet'!$AC$6)</f>
        <v/>
      </c>
      <c r="AE10" s="70">
        <f>IF('Final Calculation Sheet'!$AD$6="","",'Final Calculation Sheet'!$AD$6)</f>
        <v/>
      </c>
      <c r="AF10" s="70">
        <f>IF('Final Calculation Sheet'!$AE$6="","",'Final Calculation Sheet'!$AE$6)</f>
        <v/>
      </c>
      <c r="AG10" s="74">
        <f>IF('Final Calculation Sheet'!$AF$6="","",'Final Calculation Sheet'!$AF$6)</f>
        <v/>
      </c>
      <c r="AH10" s="70">
        <f>IF('Final Calculation Sheet'!$AG$6="","",'Final Calculation Sheet'!$AG$6)</f>
        <v/>
      </c>
      <c r="AI10" s="75">
        <f>IF('Final Calculation Sheet'!$AD$6="","",IF('Final Calculation Sheet'!$AD$6&lt;=5,"SETTLED","OUTSTANDING"))</f>
        <v/>
      </c>
    </row>
    <row r="11" outlineLevel="1" ht="15" customHeight="1" s="77">
      <c r="A11" s="67" t="n">
        <v>2</v>
      </c>
      <c r="B11" s="68">
        <f>IF('Final Calculation Sheet'!$F$7="","",'Final Calculation Sheet'!$F$7)</f>
        <v/>
      </c>
      <c r="C11" s="68">
        <f>IF('Final Calculation Sheet'!$G$7="","",'Final Calculation Sheet'!$G$7)</f>
        <v/>
      </c>
      <c r="D11" s="69">
        <f>IF('Final Calculation Sheet'!$B$7="","",'Final Calculation Sheet'!$B$7)</f>
        <v/>
      </c>
      <c r="E11" s="69">
        <f>IF('Final Calculation Sheet'!$D$7="","",'Final Calculation Sheet'!$D$7)</f>
        <v/>
      </c>
      <c r="F11" s="69">
        <f>IF('Final Calculation Sheet'!$A$7="","",'Final Calculation Sheet'!$A$7)</f>
        <v/>
      </c>
      <c r="G11" s="69">
        <f>IF('Final Calculation Sheet'!$E$7="","",'Final Calculation Sheet'!$E$7)</f>
        <v/>
      </c>
      <c r="H11" s="70">
        <f>IF('Final Calculation Sheet'!$C$7="","",'Final Calculation Sheet'!$C$7)</f>
        <v/>
      </c>
      <c r="I11" s="70">
        <f>IF('Final Calculation Sheet'!$H$7="","",'Final Calculation Sheet'!$H$7)</f>
        <v/>
      </c>
      <c r="J11" s="70">
        <f>IF('Final Calculation Sheet'!$I$7="","",'Final Calculation Sheet'!$I$7)</f>
        <v/>
      </c>
      <c r="K11" s="70">
        <f>IF('Final Calculation Sheet'!$J$7="","",'Final Calculation Sheet'!$J$7)</f>
        <v/>
      </c>
      <c r="L11" s="70">
        <f>IF('Final Calculation Sheet'!$K$7="","",'Final Calculation Sheet'!$K$7)</f>
        <v/>
      </c>
      <c r="M11" s="70">
        <f>IF('Final Calculation Sheet'!$L$7="","",'Final Calculation Sheet'!$L$7)</f>
        <v/>
      </c>
      <c r="N11" s="70">
        <f>IF('Final Calculation Sheet'!$M$7="","",'Final Calculation Sheet'!$M$7)</f>
        <v/>
      </c>
      <c r="O11" s="71">
        <f>IF('Final Calculation Sheet'!$N$7="","",'Final Calculation Sheet'!$N$7)</f>
        <v/>
      </c>
      <c r="P11" s="70">
        <f>IF('Final Calculation Sheet'!$O$7="","",'Final Calculation Sheet'!$O$7)</f>
        <v/>
      </c>
      <c r="Q11" s="70">
        <f>IF('Final Calculation Sheet'!$P$7="","",'Final Calculation Sheet'!$P$7)</f>
        <v/>
      </c>
      <c r="R11" s="72">
        <f>IF('Final Calculation Sheet'!$Q$7="","",'Final Calculation Sheet'!$Q$7)</f>
        <v/>
      </c>
      <c r="S11" s="70">
        <f>IF('Final Calculation Sheet'!$R$7="","",'Final Calculation Sheet'!$R$7)</f>
        <v/>
      </c>
      <c r="T11" s="70">
        <f>IF('Final Calculation Sheet'!$S$7="","",'Final Calculation Sheet'!$S$7)</f>
        <v/>
      </c>
      <c r="U11" s="70">
        <f>IF('Final Calculation Sheet'!$T$7="","",'Final Calculation Sheet'!$T$7)</f>
        <v/>
      </c>
      <c r="V11" s="73">
        <f>IF('Final Calculation Sheet'!$U$7="","",'Final Calculation Sheet'!$U$7)</f>
        <v/>
      </c>
      <c r="W11" s="70">
        <f>IF('Final Calculation Sheet'!$V$7="","",'Final Calculation Sheet'!$V$7)</f>
        <v/>
      </c>
      <c r="X11" s="70">
        <f>IF('Final Calculation Sheet'!$W$7="","",'Final Calculation Sheet'!$W$7)</f>
        <v/>
      </c>
      <c r="Y11" s="70">
        <f>IF('Final Calculation Sheet'!$X$7="","",'Final Calculation Sheet'!$X$7)</f>
        <v/>
      </c>
      <c r="Z11" s="70">
        <f>IF('Final Calculation Sheet'!$Y$7="","",'Final Calculation Sheet'!$Y$7)</f>
        <v/>
      </c>
      <c r="AA11" s="70">
        <f>IF('Final Calculation Sheet'!$Z$7="","",'Final Calculation Sheet'!$Z$7)</f>
        <v/>
      </c>
      <c r="AB11" s="70">
        <f>IF('Final Calculation Sheet'!$AA$7="","",'Final Calculation Sheet'!$AA$7)</f>
        <v/>
      </c>
      <c r="AC11" s="70">
        <f>IF('Final Calculation Sheet'!$AB$7="","",'Final Calculation Sheet'!$AB$7)</f>
        <v/>
      </c>
      <c r="AD11" s="70">
        <f>IF('Final Calculation Sheet'!$AC$7="","",'Final Calculation Sheet'!$AC$7)</f>
        <v/>
      </c>
      <c r="AE11" s="70">
        <f>IF('Final Calculation Sheet'!$AD$7="","",'Final Calculation Sheet'!$AD$7)</f>
        <v/>
      </c>
      <c r="AF11" s="70">
        <f>IF('Final Calculation Sheet'!$AE$7="","",'Final Calculation Sheet'!$AE$7)</f>
        <v/>
      </c>
      <c r="AG11" s="74">
        <f>IF('Final Calculation Sheet'!$AF$7="","",'Final Calculation Sheet'!$AF$7)</f>
        <v/>
      </c>
      <c r="AH11" s="70">
        <f>IF('Final Calculation Sheet'!$AG$7="","",'Final Calculation Sheet'!$AG$7)</f>
        <v/>
      </c>
      <c r="AI11" s="75">
        <f>IF('Final Calculation Sheet'!$AD$7="","",IF('Final Calculation Sheet'!$AD$7&lt;=5,"SETTLED","OUTSTANDING"))</f>
        <v/>
      </c>
    </row>
    <row r="12" ht="15" customHeight="1" s="77">
      <c r="A12" s="84" t="inlineStr">
        <is>
          <t>∑</t>
        </is>
      </c>
      <c r="B12" s="85" t="n"/>
      <c r="C12" s="85">
        <f>ROWS($C$10:$C$11)&amp;" lot(s)"</f>
        <v/>
      </c>
      <c r="D12" s="85" t="inlineStr">
        <is>
          <t>SUBTOTAL — F R KHANS ENTERPRISES</t>
        </is>
      </c>
      <c r="E12" s="85" t="inlineStr">
        <is>
          <t>–</t>
        </is>
      </c>
      <c r="F12" s="85">
        <f>SUM(F10:F11)</f>
        <v/>
      </c>
      <c r="G12" s="85" t="inlineStr">
        <is>
          <t>–</t>
        </is>
      </c>
      <c r="H12" s="86" t="inlineStr">
        <is>
          <t>–</t>
        </is>
      </c>
      <c r="I12" s="86">
        <f>SUM(I10:I11)</f>
        <v/>
      </c>
      <c r="J12" s="86">
        <f>SUM(J10:J11)</f>
        <v/>
      </c>
      <c r="K12" s="86">
        <f>SUM(K10:K11)</f>
        <v/>
      </c>
      <c r="L12" s="86">
        <f>SUM(L10:L11)</f>
        <v/>
      </c>
      <c r="M12" s="86">
        <f>SUM(M10:M11)</f>
        <v/>
      </c>
      <c r="N12" s="86">
        <f>SUM(N10:N11)</f>
        <v/>
      </c>
      <c r="O12" s="87">
        <f>SUM(O10:O11)</f>
        <v/>
      </c>
      <c r="P12" s="86">
        <f>SUM(P10:P11)</f>
        <v/>
      </c>
      <c r="Q12" s="86">
        <f>SUM(Q10:Q11)</f>
        <v/>
      </c>
      <c r="R12" s="88" t="inlineStr">
        <is>
          <t>–</t>
        </is>
      </c>
      <c r="S12" s="86">
        <f>SUM(S10:S11)</f>
        <v/>
      </c>
      <c r="T12" s="86">
        <f>SUM(T10:T11)</f>
        <v/>
      </c>
      <c r="U12" s="86">
        <f>SUM(U10:U11)</f>
        <v/>
      </c>
      <c r="V12" s="89">
        <f>SUM(V10:V11)</f>
        <v/>
      </c>
      <c r="W12" s="86" t="inlineStr">
        <is>
          <t>–</t>
        </is>
      </c>
      <c r="X12" s="86">
        <f>SUM(X10:X11)</f>
        <v/>
      </c>
      <c r="Y12" s="86">
        <f>SUM(Y10:Y11)</f>
        <v/>
      </c>
      <c r="Z12" s="86" t="inlineStr">
        <is>
          <t>–</t>
        </is>
      </c>
      <c r="AA12" s="86">
        <f>SUM(AA10:AA11)</f>
        <v/>
      </c>
      <c r="AB12" s="86">
        <f>SUM(AB10:AB11)</f>
        <v/>
      </c>
      <c r="AC12" s="86" t="inlineStr">
        <is>
          <t>–</t>
        </is>
      </c>
      <c r="AD12" s="86">
        <f>SUM(AD10:AD11)</f>
        <v/>
      </c>
      <c r="AE12" s="86">
        <f>SUM(AE10:AE11)</f>
        <v/>
      </c>
      <c r="AF12" s="86" t="inlineStr">
        <is>
          <t>–</t>
        </is>
      </c>
      <c r="AG12" s="90" t="inlineStr">
        <is>
          <t>–</t>
        </is>
      </c>
      <c r="AH12" s="86" t="inlineStr">
        <is>
          <t>–</t>
        </is>
      </c>
      <c r="AI12" s="91">
        <f>IF(AE12&lt;=5,"SETTLED","OUTSTANDING")</f>
        <v/>
      </c>
    </row>
    <row r="13" ht="15" customHeight="1" s="77">
      <c r="A13" s="108" t="inlineStr">
        <is>
          <t>↳</t>
        </is>
      </c>
      <c r="B13" s="109" t="n"/>
      <c r="C13" s="109">
        <f>COUNTIFS($AI$10:$AI$11,"SETTLED")&amp;" lot(s)"</f>
        <v/>
      </c>
      <c r="D13" s="109" t="inlineStr">
        <is>
          <t>↳ of which SETTLED</t>
        </is>
      </c>
      <c r="E13" s="109" t="inlineStr">
        <is>
          <t>–</t>
        </is>
      </c>
      <c r="F13" s="109">
        <f>SUMIFS(F$10:F$11,$AI$10:$AI$11,"SETTLED")</f>
        <v/>
      </c>
      <c r="G13" s="109" t="inlineStr">
        <is>
          <t>–</t>
        </is>
      </c>
      <c r="H13" s="110" t="inlineStr">
        <is>
          <t>–</t>
        </is>
      </c>
      <c r="I13" s="110">
        <f>SUMIFS(I$10:I$11,$AI$10:$AI$11,"SETTLED")</f>
        <v/>
      </c>
      <c r="J13" s="110">
        <f>SUMIFS(J$10:J$11,$AI$10:$AI$11,"SETTLED")</f>
        <v/>
      </c>
      <c r="K13" s="110">
        <f>SUMIFS(K$10:K$11,$AI$10:$AI$11,"SETTLED")</f>
        <v/>
      </c>
      <c r="L13" s="110">
        <f>SUMIFS(L$10:L$11,$AI$10:$AI$11,"SETTLED")</f>
        <v/>
      </c>
      <c r="M13" s="110">
        <f>SUMIFS(M$10:M$11,$AI$10:$AI$11,"SETTLED")</f>
        <v/>
      </c>
      <c r="N13" s="110">
        <f>SUMIFS(N$10:N$11,$AI$10:$AI$11,"SETTLED")</f>
        <v/>
      </c>
      <c r="O13" s="111">
        <f>SUMIFS(O$10:O$11,$AI$10:$AI$11,"SETTLED")</f>
        <v/>
      </c>
      <c r="P13" s="110">
        <f>SUMIFS(P$10:P$11,$AI$10:$AI$11,"SETTLED")</f>
        <v/>
      </c>
      <c r="Q13" s="110">
        <f>SUMIFS(Q$10:Q$11,$AI$10:$AI$11,"SETTLED")</f>
        <v/>
      </c>
      <c r="R13" s="112" t="inlineStr">
        <is>
          <t>–</t>
        </is>
      </c>
      <c r="S13" s="110">
        <f>SUMIFS(S$10:S$11,$AI$10:$AI$11,"SETTLED")</f>
        <v/>
      </c>
      <c r="T13" s="110">
        <f>SUMIFS(T$10:T$11,$AI$10:$AI$11,"SETTLED")</f>
        <v/>
      </c>
      <c r="U13" s="110">
        <f>SUMIFS(U$10:U$11,$AI$10:$AI$11,"SETTLED")</f>
        <v/>
      </c>
      <c r="V13" s="113">
        <f>SUMIFS(V$10:V$11,$AI$10:$AI$11,"SETTLED")</f>
        <v/>
      </c>
      <c r="W13" s="110" t="inlineStr">
        <is>
          <t>–</t>
        </is>
      </c>
      <c r="X13" s="110">
        <f>SUMIFS(X$10:X$11,$AI$10:$AI$11,"SETTLED")</f>
        <v/>
      </c>
      <c r="Y13" s="110">
        <f>SUMIFS(Y$10:Y$11,$AI$10:$AI$11,"SETTLED")</f>
        <v/>
      </c>
      <c r="Z13" s="110" t="inlineStr">
        <is>
          <t>–</t>
        </is>
      </c>
      <c r="AA13" s="110">
        <f>SUMIFS(AA$10:AA$11,$AI$10:$AI$11,"SETTLED")</f>
        <v/>
      </c>
      <c r="AB13" s="110">
        <f>SUMIFS(AB$10:AB$11,$AI$10:$AI$11,"SETTLED")</f>
        <v/>
      </c>
      <c r="AC13" s="110" t="inlineStr">
        <is>
          <t>–</t>
        </is>
      </c>
      <c r="AD13" s="110">
        <f>SUMIFS(AD$10:AD$11,$AI$10:$AI$11,"SETTLED")</f>
        <v/>
      </c>
      <c r="AE13" s="110">
        <f>SUMIFS(AE$10:AE$11,$AI$10:$AI$11,"SETTLED")</f>
        <v/>
      </c>
      <c r="AF13" s="110" t="inlineStr">
        <is>
          <t>–</t>
        </is>
      </c>
      <c r="AG13" s="114" t="inlineStr">
        <is>
          <t>–</t>
        </is>
      </c>
      <c r="AH13" s="110" t="inlineStr">
        <is>
          <t>–</t>
        </is>
      </c>
      <c r="AI13" s="115" t="inlineStr">
        <is>
          <t>SETTLED</t>
        </is>
      </c>
    </row>
    <row r="14" ht="15" customHeight="1" s="77">
      <c r="A14" s="108" t="inlineStr">
        <is>
          <t>↳</t>
        </is>
      </c>
      <c r="B14" s="109" t="n"/>
      <c r="C14" s="109">
        <f>COUNTIFS($AI$10:$AI$11,"OUTSTANDING")&amp;" lot(s)"</f>
        <v/>
      </c>
      <c r="D14" s="109" t="inlineStr">
        <is>
          <t>↳ of which UNSETTLED (outstanding)</t>
        </is>
      </c>
      <c r="E14" s="109" t="inlineStr">
        <is>
          <t>–</t>
        </is>
      </c>
      <c r="F14" s="109">
        <f>SUMIFS(F$10:F$11,$AI$10:$AI$11,"OUTSTANDING")</f>
        <v/>
      </c>
      <c r="G14" s="109" t="inlineStr">
        <is>
          <t>–</t>
        </is>
      </c>
      <c r="H14" s="110" t="inlineStr">
        <is>
          <t>–</t>
        </is>
      </c>
      <c r="I14" s="110">
        <f>SUMIFS(I$10:I$11,$AI$10:$AI$11,"OUTSTANDING")</f>
        <v/>
      </c>
      <c r="J14" s="110">
        <f>SUMIFS(J$10:J$11,$AI$10:$AI$11,"OUTSTANDING")</f>
        <v/>
      </c>
      <c r="K14" s="110">
        <f>SUMIFS(K$10:K$11,$AI$10:$AI$11,"OUTSTANDING")</f>
        <v/>
      </c>
      <c r="L14" s="110">
        <f>SUMIFS(L$10:L$11,$AI$10:$AI$11,"OUTSTANDING")</f>
        <v/>
      </c>
      <c r="M14" s="110">
        <f>SUMIFS(M$10:M$11,$AI$10:$AI$11,"OUTSTANDING")</f>
        <v/>
      </c>
      <c r="N14" s="110">
        <f>SUMIFS(N$10:N$11,$AI$10:$AI$11,"OUTSTANDING")</f>
        <v/>
      </c>
      <c r="O14" s="111">
        <f>SUMIFS(O$10:O$11,$AI$10:$AI$11,"OUTSTANDING")</f>
        <v/>
      </c>
      <c r="P14" s="110">
        <f>SUMIFS(P$10:P$11,$AI$10:$AI$11,"OUTSTANDING")</f>
        <v/>
      </c>
      <c r="Q14" s="110">
        <f>SUMIFS(Q$10:Q$11,$AI$10:$AI$11,"OUTSTANDING")</f>
        <v/>
      </c>
      <c r="R14" s="112" t="inlineStr">
        <is>
          <t>–</t>
        </is>
      </c>
      <c r="S14" s="110">
        <f>SUMIFS(S$10:S$11,$AI$10:$AI$11,"OUTSTANDING")</f>
        <v/>
      </c>
      <c r="T14" s="110">
        <f>SUMIFS(T$10:T$11,$AI$10:$AI$11,"OUTSTANDING")</f>
        <v/>
      </c>
      <c r="U14" s="110">
        <f>SUMIFS(U$10:U$11,$AI$10:$AI$11,"OUTSTANDING")</f>
        <v/>
      </c>
      <c r="V14" s="113">
        <f>SUMIFS(V$10:V$11,$AI$10:$AI$11,"OUTSTANDING")</f>
        <v/>
      </c>
      <c r="W14" s="110" t="inlineStr">
        <is>
          <t>–</t>
        </is>
      </c>
      <c r="X14" s="110">
        <f>SUMIFS(X$10:X$11,$AI$10:$AI$11,"OUTSTANDING")</f>
        <v/>
      </c>
      <c r="Y14" s="110">
        <f>SUMIFS(Y$10:Y$11,$AI$10:$AI$11,"OUTSTANDING")</f>
        <v/>
      </c>
      <c r="Z14" s="110" t="inlineStr">
        <is>
          <t>–</t>
        </is>
      </c>
      <c r="AA14" s="110">
        <f>SUMIFS(AA$10:AA$11,$AI$10:$AI$11,"OUTSTANDING")</f>
        <v/>
      </c>
      <c r="AB14" s="110">
        <f>SUMIFS(AB$10:AB$11,$AI$10:$AI$11,"OUTSTANDING")</f>
        <v/>
      </c>
      <c r="AC14" s="110" t="inlineStr">
        <is>
          <t>–</t>
        </is>
      </c>
      <c r="AD14" s="110">
        <f>SUMIFS(AD$10:AD$11,$AI$10:$AI$11,"OUTSTANDING")</f>
        <v/>
      </c>
      <c r="AE14" s="110">
        <f>SUMIFS(AE$10:AE$11,$AI$10:$AI$11,"OUTSTANDING")</f>
        <v/>
      </c>
      <c r="AF14" s="110" t="inlineStr">
        <is>
          <t>–</t>
        </is>
      </c>
      <c r="AG14" s="114" t="inlineStr">
        <is>
          <t>–</t>
        </is>
      </c>
      <c r="AH14" s="110" t="inlineStr">
        <is>
          <t>–</t>
        </is>
      </c>
      <c r="AI14" s="115" t="inlineStr">
        <is>
          <t>OUTSTANDING</t>
        </is>
      </c>
    </row>
    <row r="15" outlineLevel="1" ht="15" customHeight="1" s="77">
      <c r="A15" s="67" t="n">
        <v>1</v>
      </c>
      <c r="B15" s="68">
        <f>IF('Final Calculation Sheet'!$F$15="","",'Final Calculation Sheet'!$F$15)</f>
        <v/>
      </c>
      <c r="C15" s="68">
        <f>IF('Final Calculation Sheet'!$G$15="","",'Final Calculation Sheet'!$G$15)</f>
        <v/>
      </c>
      <c r="D15" s="69">
        <f>IF('Final Calculation Sheet'!$B$15="","",'Final Calculation Sheet'!$B$15)</f>
        <v/>
      </c>
      <c r="E15" s="69">
        <f>IF('Final Calculation Sheet'!$D$15="","",'Final Calculation Sheet'!$D$15)</f>
        <v/>
      </c>
      <c r="F15" s="69">
        <f>IF('Final Calculation Sheet'!$A$15="","",'Final Calculation Sheet'!$A$15)</f>
        <v/>
      </c>
      <c r="G15" s="69">
        <f>IF('Final Calculation Sheet'!$E$15="","",'Final Calculation Sheet'!$E$15)</f>
        <v/>
      </c>
      <c r="H15" s="70">
        <f>IF('Final Calculation Sheet'!$C$15="","",'Final Calculation Sheet'!$C$15)</f>
        <v/>
      </c>
      <c r="I15" s="70">
        <f>IF('Final Calculation Sheet'!$H$15="","",'Final Calculation Sheet'!$H$15)</f>
        <v/>
      </c>
      <c r="J15" s="70">
        <f>IF('Final Calculation Sheet'!$I$15="","",'Final Calculation Sheet'!$I$15)</f>
        <v/>
      </c>
      <c r="K15" s="70">
        <f>IF('Final Calculation Sheet'!$J$15="","",'Final Calculation Sheet'!$J$15)</f>
        <v/>
      </c>
      <c r="L15" s="70">
        <f>IF('Final Calculation Sheet'!$K$15="","",'Final Calculation Sheet'!$K$15)</f>
        <v/>
      </c>
      <c r="M15" s="70">
        <f>IF('Final Calculation Sheet'!$L$15="","",'Final Calculation Sheet'!$L$15)</f>
        <v/>
      </c>
      <c r="N15" s="70">
        <f>IF('Final Calculation Sheet'!$M$15="","",'Final Calculation Sheet'!$M$15)</f>
        <v/>
      </c>
      <c r="O15" s="71">
        <f>IF('Final Calculation Sheet'!$N$15="","",'Final Calculation Sheet'!$N$15)</f>
        <v/>
      </c>
      <c r="P15" s="70">
        <f>IF('Final Calculation Sheet'!$O$15="","",'Final Calculation Sheet'!$O$15)</f>
        <v/>
      </c>
      <c r="Q15" s="70">
        <f>IF('Final Calculation Sheet'!$P$15="","",'Final Calculation Sheet'!$P$15)</f>
        <v/>
      </c>
      <c r="R15" s="72">
        <f>IF('Final Calculation Sheet'!$Q$15="","",'Final Calculation Sheet'!$Q$15)</f>
        <v/>
      </c>
      <c r="S15" s="70">
        <f>IF('Final Calculation Sheet'!$R$15="","",'Final Calculation Sheet'!$R$15)</f>
        <v/>
      </c>
      <c r="T15" s="70">
        <f>IF('Final Calculation Sheet'!$S$15="","",'Final Calculation Sheet'!$S$15)</f>
        <v/>
      </c>
      <c r="U15" s="70">
        <f>IF('Final Calculation Sheet'!$T$15="","",'Final Calculation Sheet'!$T$15)</f>
        <v/>
      </c>
      <c r="V15" s="73">
        <f>IF('Final Calculation Sheet'!$U$15="","",'Final Calculation Sheet'!$U$15)</f>
        <v/>
      </c>
      <c r="W15" s="70">
        <f>IF('Final Calculation Sheet'!$V$15="","",'Final Calculation Sheet'!$V$15)</f>
        <v/>
      </c>
      <c r="X15" s="70">
        <f>IF('Final Calculation Sheet'!$W$15="","",'Final Calculation Sheet'!$W$15)</f>
        <v/>
      </c>
      <c r="Y15" s="70">
        <f>IF('Final Calculation Sheet'!$X$15="","",'Final Calculation Sheet'!$X$15)</f>
        <v/>
      </c>
      <c r="Z15" s="70">
        <f>IF('Final Calculation Sheet'!$Y$15="","",'Final Calculation Sheet'!$Y$15)</f>
        <v/>
      </c>
      <c r="AA15" s="70">
        <f>IF('Final Calculation Sheet'!$Z$15="","",'Final Calculation Sheet'!$Z$15)</f>
        <v/>
      </c>
      <c r="AB15" s="70">
        <f>IF('Final Calculation Sheet'!$AA$15="","",'Final Calculation Sheet'!$AA$15)</f>
        <v/>
      </c>
      <c r="AC15" s="70">
        <f>IF('Final Calculation Sheet'!$AB$15="","",'Final Calculation Sheet'!$AB$15)</f>
        <v/>
      </c>
      <c r="AD15" s="70">
        <f>IF('Final Calculation Sheet'!$AC$15="","",'Final Calculation Sheet'!$AC$15)</f>
        <v/>
      </c>
      <c r="AE15" s="70">
        <f>IF('Final Calculation Sheet'!$AD$15="","",'Final Calculation Sheet'!$AD$15)</f>
        <v/>
      </c>
      <c r="AF15" s="70">
        <f>IF('Final Calculation Sheet'!$AE$15="","",'Final Calculation Sheet'!$AE$15)</f>
        <v/>
      </c>
      <c r="AG15" s="74">
        <f>IF('Final Calculation Sheet'!$AF$15="","",'Final Calculation Sheet'!$AF$15)</f>
        <v/>
      </c>
      <c r="AH15" s="70">
        <f>IF('Final Calculation Sheet'!$AG$15="","",'Final Calculation Sheet'!$AG$15)</f>
        <v/>
      </c>
      <c r="AI15" s="75">
        <f>IF('Final Calculation Sheet'!$AD$15="","",IF('Final Calculation Sheet'!$AD$15&lt;=5,"SETTLED","OUTSTANDING"))</f>
        <v/>
      </c>
    </row>
    <row r="16" ht="15" customHeight="1" s="77">
      <c r="A16" s="84" t="inlineStr">
        <is>
          <t>∑</t>
        </is>
      </c>
      <c r="B16" s="85" t="n"/>
      <c r="C16" s="85">
        <f>ROWS($C$15:$C$15)&amp;" lot(s)"</f>
        <v/>
      </c>
      <c r="D16" s="85" t="inlineStr">
        <is>
          <t>SUBTOTAL — HIND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ht="15" customHeight="1" s="77">
      <c r="A17" s="108" t="inlineStr">
        <is>
          <t>↳</t>
        </is>
      </c>
      <c r="B17" s="109" t="n"/>
      <c r="C17" s="109">
        <f>COUNTIFS($AI$15:$AI$15,"SETTLED")&amp;" lot(s)"</f>
        <v/>
      </c>
      <c r="D17" s="109" t="inlineStr">
        <is>
          <t>↳ of which SETTLED</t>
        </is>
      </c>
      <c r="E17" s="109" t="inlineStr">
        <is>
          <t>–</t>
        </is>
      </c>
      <c r="F17" s="109">
        <f>SUMIFS(F$15:F$15,$AI$15:$AI$15,"SETTLED")</f>
        <v/>
      </c>
      <c r="G17" s="109" t="inlineStr">
        <is>
          <t>–</t>
        </is>
      </c>
      <c r="H17" s="110" t="inlineStr">
        <is>
          <t>–</t>
        </is>
      </c>
      <c r="I17" s="110">
        <f>SUMIFS(I$15:I$15,$AI$15:$AI$15,"SETTLED")</f>
        <v/>
      </c>
      <c r="J17" s="110">
        <f>SUMIFS(J$15:J$15,$AI$15:$AI$15,"SETTLED")</f>
        <v/>
      </c>
      <c r="K17" s="110">
        <f>SUMIFS(K$15:K$15,$AI$15:$AI$15,"SETTLED")</f>
        <v/>
      </c>
      <c r="L17" s="110">
        <f>SUMIFS(L$15:L$15,$AI$15:$AI$15,"SETTLED")</f>
        <v/>
      </c>
      <c r="M17" s="110">
        <f>SUMIFS(M$15:M$15,$AI$15:$AI$15,"SETTLED")</f>
        <v/>
      </c>
      <c r="N17" s="110">
        <f>SUMIFS(N$15:N$15,$AI$15:$AI$15,"SETTLED")</f>
        <v/>
      </c>
      <c r="O17" s="111">
        <f>SUMIFS(O$15:O$15,$AI$15:$AI$15,"SETTLED")</f>
        <v/>
      </c>
      <c r="P17" s="110">
        <f>SUMIFS(P$15:P$15,$AI$15:$AI$15,"SETTLED")</f>
        <v/>
      </c>
      <c r="Q17" s="110">
        <f>SUMIFS(Q$15:Q$15,$AI$15:$AI$15,"SETTLED")</f>
        <v/>
      </c>
      <c r="R17" s="112" t="inlineStr">
        <is>
          <t>–</t>
        </is>
      </c>
      <c r="S17" s="110">
        <f>SUMIFS(S$15:S$15,$AI$15:$AI$15,"SETTLED")</f>
        <v/>
      </c>
      <c r="T17" s="110">
        <f>SUMIFS(T$15:T$15,$AI$15:$AI$15,"SETTLED")</f>
        <v/>
      </c>
      <c r="U17" s="110">
        <f>SUMIFS(U$15:U$15,$AI$15:$AI$15,"SETTLED")</f>
        <v/>
      </c>
      <c r="V17" s="113">
        <f>SUMIFS(V$15:V$15,$AI$15:$AI$15,"SETTLED")</f>
        <v/>
      </c>
      <c r="W17" s="110" t="inlineStr">
        <is>
          <t>–</t>
        </is>
      </c>
      <c r="X17" s="110">
        <f>SUMIFS(X$15:X$15,$AI$15:$AI$15,"SETTLED")</f>
        <v/>
      </c>
      <c r="Y17" s="110">
        <f>SUMIFS(Y$15:Y$15,$AI$15:$AI$15,"SETTLED")</f>
        <v/>
      </c>
      <c r="Z17" s="110" t="inlineStr">
        <is>
          <t>–</t>
        </is>
      </c>
      <c r="AA17" s="110">
        <f>SUMIFS(AA$15:AA$15,$AI$15:$AI$15,"SETTLED")</f>
        <v/>
      </c>
      <c r="AB17" s="110">
        <f>SUMIFS(AB$15:AB$15,$AI$15:$AI$15,"SETTLED")</f>
        <v/>
      </c>
      <c r="AC17" s="110" t="inlineStr">
        <is>
          <t>–</t>
        </is>
      </c>
      <c r="AD17" s="110">
        <f>SUMIFS(AD$15:AD$15,$AI$15:$AI$15,"SETTLED")</f>
        <v/>
      </c>
      <c r="AE17" s="110">
        <f>SUMIFS(AE$15:AE$15,$AI$15:$AI$15,"SETTLED")</f>
        <v/>
      </c>
      <c r="AF17" s="110" t="inlineStr">
        <is>
          <t>–</t>
        </is>
      </c>
      <c r="AG17" s="114" t="inlineStr">
        <is>
          <t>–</t>
        </is>
      </c>
      <c r="AH17" s="110" t="inlineStr">
        <is>
          <t>–</t>
        </is>
      </c>
      <c r="AI17" s="115" t="inlineStr">
        <is>
          <t>SETTLED</t>
        </is>
      </c>
    </row>
    <row r="18" ht="15" customHeight="1" s="77">
      <c r="A18" s="108" t="inlineStr">
        <is>
          <t>↳</t>
        </is>
      </c>
      <c r="B18" s="109" t="n"/>
      <c r="C18" s="109">
        <f>COUNTIFS($AI$15:$AI$15,"OUTSTANDING")&amp;" lot(s)"</f>
        <v/>
      </c>
      <c r="D18" s="109" t="inlineStr">
        <is>
          <t>↳ of which UNSETTLED (outstanding)</t>
        </is>
      </c>
      <c r="E18" s="109" t="inlineStr">
        <is>
          <t>–</t>
        </is>
      </c>
      <c r="F18" s="109">
        <f>SUMIFS(F$15:F$15,$AI$15:$AI$15,"OUTSTANDING")</f>
        <v/>
      </c>
      <c r="G18" s="109" t="inlineStr">
        <is>
          <t>–</t>
        </is>
      </c>
      <c r="H18" s="110" t="inlineStr">
        <is>
          <t>–</t>
        </is>
      </c>
      <c r="I18" s="110">
        <f>SUMIFS(I$15:I$15,$AI$15:$AI$15,"OUTSTANDING")</f>
        <v/>
      </c>
      <c r="J18" s="110">
        <f>SUMIFS(J$15:J$15,$AI$15:$AI$15,"OUTSTANDING")</f>
        <v/>
      </c>
      <c r="K18" s="110">
        <f>SUMIFS(K$15:K$15,$AI$15:$AI$15,"OUTSTANDING")</f>
        <v/>
      </c>
      <c r="L18" s="110">
        <f>SUMIFS(L$15:L$15,$AI$15:$AI$15,"OUTSTANDING")</f>
        <v/>
      </c>
      <c r="M18" s="110">
        <f>SUMIFS(M$15:M$15,$AI$15:$AI$15,"OUTSTANDING")</f>
        <v/>
      </c>
      <c r="N18" s="110">
        <f>SUMIFS(N$15:N$15,$AI$15:$AI$15,"OUTSTANDING")</f>
        <v/>
      </c>
      <c r="O18" s="111">
        <f>SUMIFS(O$15:O$15,$AI$15:$AI$15,"OUTSTANDING")</f>
        <v/>
      </c>
      <c r="P18" s="110">
        <f>SUMIFS(P$15:P$15,$AI$15:$AI$15,"OUTSTANDING")</f>
        <v/>
      </c>
      <c r="Q18" s="110">
        <f>SUMIFS(Q$15:Q$15,$AI$15:$AI$15,"OUTSTANDING")</f>
        <v/>
      </c>
      <c r="R18" s="112" t="inlineStr">
        <is>
          <t>–</t>
        </is>
      </c>
      <c r="S18" s="110">
        <f>SUMIFS(S$15:S$15,$AI$15:$AI$15,"OUTSTANDING")</f>
        <v/>
      </c>
      <c r="T18" s="110">
        <f>SUMIFS(T$15:T$15,$AI$15:$AI$15,"OUTSTANDING")</f>
        <v/>
      </c>
      <c r="U18" s="110">
        <f>SUMIFS(U$15:U$15,$AI$15:$AI$15,"OUTSTANDING")</f>
        <v/>
      </c>
      <c r="V18" s="113">
        <f>SUMIFS(V$15:V$15,$AI$15:$AI$15,"OUTSTANDING")</f>
        <v/>
      </c>
      <c r="W18" s="110" t="inlineStr">
        <is>
          <t>–</t>
        </is>
      </c>
      <c r="X18" s="110">
        <f>SUMIFS(X$15:X$15,$AI$15:$AI$15,"OUTSTANDING")</f>
        <v/>
      </c>
      <c r="Y18" s="110">
        <f>SUMIFS(Y$15:Y$15,$AI$15:$AI$15,"OUTSTANDING")</f>
        <v/>
      </c>
      <c r="Z18" s="110" t="inlineStr">
        <is>
          <t>–</t>
        </is>
      </c>
      <c r="AA18" s="110">
        <f>SUMIFS(AA$15:AA$15,$AI$15:$AI$15,"OUTSTANDING")</f>
        <v/>
      </c>
      <c r="AB18" s="110">
        <f>SUMIFS(AB$15:AB$15,$AI$15:$AI$15,"OUTSTANDING")</f>
        <v/>
      </c>
      <c r="AC18" s="110" t="inlineStr">
        <is>
          <t>–</t>
        </is>
      </c>
      <c r="AD18" s="110">
        <f>SUMIFS(AD$15:AD$15,$AI$15:$AI$15,"OUTSTANDING")</f>
        <v/>
      </c>
      <c r="AE18" s="110">
        <f>SUMIFS(AE$15:AE$15,$AI$15:$AI$15,"OUTSTANDING")</f>
        <v/>
      </c>
      <c r="AF18" s="110" t="inlineStr">
        <is>
          <t>–</t>
        </is>
      </c>
      <c r="AG18" s="114" t="inlineStr">
        <is>
          <t>–</t>
        </is>
      </c>
      <c r="AH18" s="110" t="inlineStr">
        <is>
          <t>–</t>
        </is>
      </c>
      <c r="AI18" s="115" t="inlineStr">
        <is>
          <t>OUTSTANDING</t>
        </is>
      </c>
    </row>
    <row r="19" outlineLevel="1" ht="15" customHeight="1" s="77">
      <c r="A19" s="67" t="n">
        <v>1</v>
      </c>
      <c r="B19" s="68">
        <f>IF('Final Calculation Sheet'!$F$38="","",'Final Calculation Sheet'!$F$38)</f>
        <v/>
      </c>
      <c r="C19" s="68">
        <f>IF('Final Calculation Sheet'!$G$38="","",'Final Calculation Sheet'!$G$38)</f>
        <v/>
      </c>
      <c r="D19" s="69">
        <f>IF('Final Calculation Sheet'!$B$38="","",'Final Calculation Sheet'!$B$38)</f>
        <v/>
      </c>
      <c r="E19" s="69">
        <f>IF('Final Calculation Sheet'!$D$38="","",'Final Calculation Sheet'!$D$38)</f>
        <v/>
      </c>
      <c r="F19" s="69">
        <f>IF('Final Calculation Sheet'!$A$38="","",'Final Calculation Sheet'!$A$38)</f>
        <v/>
      </c>
      <c r="G19" s="69">
        <f>IF('Final Calculation Sheet'!$E$38="","",'Final Calculation Sheet'!$E$38)</f>
        <v/>
      </c>
      <c r="H19" s="70">
        <f>IF('Final Calculation Sheet'!$C$38="","",'Final Calculation Sheet'!$C$38)</f>
        <v/>
      </c>
      <c r="I19" s="70">
        <f>IF('Final Calculation Sheet'!$H$38="","",'Final Calculation Sheet'!$H$38)</f>
        <v/>
      </c>
      <c r="J19" s="70">
        <f>IF('Final Calculation Sheet'!$I$38="","",'Final Calculation Sheet'!$I$38)</f>
        <v/>
      </c>
      <c r="K19" s="70">
        <f>IF('Final Calculation Sheet'!$J$38="","",'Final Calculation Sheet'!$J$38)</f>
        <v/>
      </c>
      <c r="L19" s="70">
        <f>IF('Final Calculation Sheet'!$K$38="","",'Final Calculation Sheet'!$K$38)</f>
        <v/>
      </c>
      <c r="M19" s="70">
        <f>IF('Final Calculation Sheet'!$L$38="","",'Final Calculation Sheet'!$L$38)</f>
        <v/>
      </c>
      <c r="N19" s="70">
        <f>IF('Final Calculation Sheet'!$M$38="","",'Final Calculation Sheet'!$M$38)</f>
        <v/>
      </c>
      <c r="O19" s="71">
        <f>IF('Final Calculation Sheet'!$N$38="","",'Final Calculation Sheet'!$N$38)</f>
        <v/>
      </c>
      <c r="P19" s="70">
        <f>IF('Final Calculation Sheet'!$O$38="","",'Final Calculation Sheet'!$O$38)</f>
        <v/>
      </c>
      <c r="Q19" s="70">
        <f>IF('Final Calculation Sheet'!$P$38="","",'Final Calculation Sheet'!$P$38)</f>
        <v/>
      </c>
      <c r="R19" s="72">
        <f>IF('Final Calculation Sheet'!$Q$38="","",'Final Calculation Sheet'!$Q$38)</f>
        <v/>
      </c>
      <c r="S19" s="70">
        <f>IF('Final Calculation Sheet'!$R$38="","",'Final Calculation Sheet'!$R$38)</f>
        <v/>
      </c>
      <c r="T19" s="70">
        <f>IF('Final Calculation Sheet'!$S$38="","",'Final Calculation Sheet'!$S$38)</f>
        <v/>
      </c>
      <c r="U19" s="70">
        <f>IF('Final Calculation Sheet'!$T$38="","",'Final Calculation Sheet'!$T$38)</f>
        <v/>
      </c>
      <c r="V19" s="73">
        <f>IF('Final Calculation Sheet'!$U$38="","",'Final Calculation Sheet'!$U$38)</f>
        <v/>
      </c>
      <c r="W19" s="70">
        <f>IF('Final Calculation Sheet'!$V$38="","",'Final Calculation Sheet'!$V$38)</f>
        <v/>
      </c>
      <c r="X19" s="70">
        <f>IF('Final Calculation Sheet'!$W$38="","",'Final Calculation Sheet'!$W$38)</f>
        <v/>
      </c>
      <c r="Y19" s="70">
        <f>IF('Final Calculation Sheet'!$X$38="","",'Final Calculation Sheet'!$X$38)</f>
        <v/>
      </c>
      <c r="Z19" s="70">
        <f>IF('Final Calculation Sheet'!$Y$38="","",'Final Calculation Sheet'!$Y$38)</f>
        <v/>
      </c>
      <c r="AA19" s="70">
        <f>IF('Final Calculation Sheet'!$Z$38="","",'Final Calculation Sheet'!$Z$38)</f>
        <v/>
      </c>
      <c r="AB19" s="70">
        <f>IF('Final Calculation Sheet'!$AA$38="","",'Final Calculation Sheet'!$AA$38)</f>
        <v/>
      </c>
      <c r="AC19" s="70">
        <f>IF('Final Calculation Sheet'!$AB$38="","",'Final Calculation Sheet'!$AB$38)</f>
        <v/>
      </c>
      <c r="AD19" s="70">
        <f>IF('Final Calculation Sheet'!$AC$38="","",'Final Calculation Sheet'!$AC$38)</f>
        <v/>
      </c>
      <c r="AE19" s="70">
        <f>IF('Final Calculation Sheet'!$AD$38="","",'Final Calculation Sheet'!$AD$38)</f>
        <v/>
      </c>
      <c r="AF19" s="70">
        <f>IF('Final Calculation Sheet'!$AE$38="","",'Final Calculation Sheet'!$AE$38)</f>
        <v/>
      </c>
      <c r="AG19" s="74">
        <f>IF('Final Calculation Sheet'!$AF$38="","",'Final Calculation Sheet'!$AF$38)</f>
        <v/>
      </c>
      <c r="AH19" s="70">
        <f>IF('Final Calculation Sheet'!$AG$38="","",'Final Calculation Sheet'!$AG$38)</f>
        <v/>
      </c>
      <c r="AI19" s="75">
        <f>IF('Final Calculation Sheet'!$AD$38="","",IF('Final Calculation Sheet'!$AD$38&lt;=5,"SETTLED","OUTSTANDING"))</f>
        <v/>
      </c>
    </row>
    <row r="20" ht="15" customHeight="1" s="77">
      <c r="A20" s="84" t="inlineStr">
        <is>
          <t>∑</t>
        </is>
      </c>
      <c r="B20" s="85" t="n"/>
      <c r="C20" s="85">
        <f>ROWS($C$19:$C$19)&amp;" lot(s)"</f>
        <v/>
      </c>
      <c r="D20" s="85" t="inlineStr">
        <is>
          <t>SUBTOTAL — KASHYAP TRADING CO</t>
        </is>
      </c>
      <c r="E20" s="85" t="inlineStr">
        <is>
          <t>–</t>
        </is>
      </c>
      <c r="F20" s="85">
        <f>SUM(F19:F19)</f>
        <v/>
      </c>
      <c r="G20" s="85" t="inlineStr">
        <is>
          <t>–</t>
        </is>
      </c>
      <c r="H20" s="86" t="inlineStr">
        <is>
          <t>–</t>
        </is>
      </c>
      <c r="I20" s="86">
        <f>SUM(I19:I19)</f>
        <v/>
      </c>
      <c r="J20" s="86">
        <f>SUM(J19:J19)</f>
        <v/>
      </c>
      <c r="K20" s="86">
        <f>SUM(K19:K19)</f>
        <v/>
      </c>
      <c r="L20" s="86">
        <f>SUM(L19:L19)</f>
        <v/>
      </c>
      <c r="M20" s="86">
        <f>SUM(M19:M19)</f>
        <v/>
      </c>
      <c r="N20" s="86">
        <f>SUM(N19:N19)</f>
        <v/>
      </c>
      <c r="O20" s="87">
        <f>SUM(O19:O19)</f>
        <v/>
      </c>
      <c r="P20" s="86">
        <f>SUM(P19:P19)</f>
        <v/>
      </c>
      <c r="Q20" s="86">
        <f>SUM(Q19:Q19)</f>
        <v/>
      </c>
      <c r="R20" s="88" t="inlineStr">
        <is>
          <t>–</t>
        </is>
      </c>
      <c r="S20" s="86">
        <f>SUM(S19:S19)</f>
        <v/>
      </c>
      <c r="T20" s="86">
        <f>SUM(T19:T19)</f>
        <v/>
      </c>
      <c r="U20" s="86">
        <f>SUM(U19:U19)</f>
        <v/>
      </c>
      <c r="V20" s="89">
        <f>SUM(V19:V19)</f>
        <v/>
      </c>
      <c r="W20" s="86" t="inlineStr">
        <is>
          <t>–</t>
        </is>
      </c>
      <c r="X20" s="86">
        <f>SUM(X19:X19)</f>
        <v/>
      </c>
      <c r="Y20" s="86">
        <f>SUM(Y19:Y19)</f>
        <v/>
      </c>
      <c r="Z20" s="86" t="inlineStr">
        <is>
          <t>–</t>
        </is>
      </c>
      <c r="AA20" s="86">
        <f>SUM(AA19:AA19)</f>
        <v/>
      </c>
      <c r="AB20" s="86">
        <f>SUM(AB19:AB19)</f>
        <v/>
      </c>
      <c r="AC20" s="86" t="inlineStr">
        <is>
          <t>–</t>
        </is>
      </c>
      <c r="AD20" s="86">
        <f>SUM(AD19:AD19)</f>
        <v/>
      </c>
      <c r="AE20" s="86">
        <f>SUM(AE19:AE19)</f>
        <v/>
      </c>
      <c r="AF20" s="86" t="inlineStr">
        <is>
          <t>–</t>
        </is>
      </c>
      <c r="AG20" s="90" t="inlineStr">
        <is>
          <t>–</t>
        </is>
      </c>
      <c r="AH20" s="86" t="inlineStr">
        <is>
          <t>–</t>
        </is>
      </c>
      <c r="AI20" s="91">
        <f>IF(AE20&lt;=5,"SETTLED","OUTSTANDING")</f>
        <v/>
      </c>
    </row>
    <row r="21" ht="15" customHeight="1" s="77">
      <c r="A21" s="108" t="inlineStr">
        <is>
          <t>↳</t>
        </is>
      </c>
      <c r="B21" s="109" t="n"/>
      <c r="C21" s="109">
        <f>COUNTIFS($AI$19:$AI$19,"SETTLED")&amp;" lot(s)"</f>
        <v/>
      </c>
      <c r="D21" s="109" t="inlineStr">
        <is>
          <t>↳ of which SETTLED</t>
        </is>
      </c>
      <c r="E21" s="109" t="inlineStr">
        <is>
          <t>–</t>
        </is>
      </c>
      <c r="F21" s="109">
        <f>SUMIFS(F$19:F$19,$AI$19:$AI$19,"SETTLED")</f>
        <v/>
      </c>
      <c r="G21" s="109" t="inlineStr">
        <is>
          <t>–</t>
        </is>
      </c>
      <c r="H21" s="110" t="inlineStr">
        <is>
          <t>–</t>
        </is>
      </c>
      <c r="I21" s="110">
        <f>SUMIFS(I$19:I$19,$AI$19:$AI$19,"SETTLED")</f>
        <v/>
      </c>
      <c r="J21" s="110">
        <f>SUMIFS(J$19:J$19,$AI$19:$AI$19,"SETTLED")</f>
        <v/>
      </c>
      <c r="K21" s="110">
        <f>SUMIFS(K$19:K$19,$AI$19:$AI$19,"SETTLED")</f>
        <v/>
      </c>
      <c r="L21" s="110">
        <f>SUMIFS(L$19:L$19,$AI$19:$AI$19,"SETTLED")</f>
        <v/>
      </c>
      <c r="M21" s="110">
        <f>SUMIFS(M$19:M$19,$AI$19:$AI$19,"SETTLED")</f>
        <v/>
      </c>
      <c r="N21" s="110">
        <f>SUMIFS(N$19:N$19,$AI$19:$AI$19,"SETTLED")</f>
        <v/>
      </c>
      <c r="O21" s="111">
        <f>SUMIFS(O$19:O$19,$AI$19:$AI$19,"SETTLED")</f>
        <v/>
      </c>
      <c r="P21" s="110">
        <f>SUMIFS(P$19:P$19,$AI$19:$AI$19,"SETTLED")</f>
        <v/>
      </c>
      <c r="Q21" s="110">
        <f>SUMIFS(Q$19:Q$19,$AI$19:$AI$19,"SETTLED")</f>
        <v/>
      </c>
      <c r="R21" s="112" t="inlineStr">
        <is>
          <t>–</t>
        </is>
      </c>
      <c r="S21" s="110">
        <f>SUMIFS(S$19:S$19,$AI$19:$AI$19,"SETTLED")</f>
        <v/>
      </c>
      <c r="T21" s="110">
        <f>SUMIFS(T$19:T$19,$AI$19:$AI$19,"SETTLED")</f>
        <v/>
      </c>
      <c r="U21" s="110">
        <f>SUMIFS(U$19:U$19,$AI$19:$AI$19,"SETTLED")</f>
        <v/>
      </c>
      <c r="V21" s="113">
        <f>SUMIFS(V$19:V$19,$AI$19:$AI$19,"SETTLED")</f>
        <v/>
      </c>
      <c r="W21" s="110" t="inlineStr">
        <is>
          <t>–</t>
        </is>
      </c>
      <c r="X21" s="110">
        <f>SUMIFS(X$19:X$19,$AI$19:$AI$19,"SETTLED")</f>
        <v/>
      </c>
      <c r="Y21" s="110">
        <f>SUMIFS(Y$19:Y$19,$AI$19:$AI$19,"SETTLED")</f>
        <v/>
      </c>
      <c r="Z21" s="110" t="inlineStr">
        <is>
          <t>–</t>
        </is>
      </c>
      <c r="AA21" s="110">
        <f>SUMIFS(AA$19:AA$19,$AI$19:$AI$19,"SETTLED")</f>
        <v/>
      </c>
      <c r="AB21" s="110">
        <f>SUMIFS(AB$19:AB$19,$AI$19:$AI$19,"SETTLED")</f>
        <v/>
      </c>
      <c r="AC21" s="110" t="inlineStr">
        <is>
          <t>–</t>
        </is>
      </c>
      <c r="AD21" s="110">
        <f>SUMIFS(AD$19:AD$19,$AI$19:$AI$19,"SETTLED")</f>
        <v/>
      </c>
      <c r="AE21" s="110">
        <f>SUMIFS(AE$19:AE$19,$AI$19:$AI$19,"SETTLED")</f>
        <v/>
      </c>
      <c r="AF21" s="110" t="inlineStr">
        <is>
          <t>–</t>
        </is>
      </c>
      <c r="AG21" s="114" t="inlineStr">
        <is>
          <t>–</t>
        </is>
      </c>
      <c r="AH21" s="110" t="inlineStr">
        <is>
          <t>–</t>
        </is>
      </c>
      <c r="AI21" s="115" t="inlineStr">
        <is>
          <t>SETTLED</t>
        </is>
      </c>
    </row>
    <row r="22" ht="15" customHeight="1" s="77">
      <c r="A22" s="108" t="inlineStr">
        <is>
          <t>↳</t>
        </is>
      </c>
      <c r="B22" s="109" t="n"/>
      <c r="C22" s="109">
        <f>COUNTIFS($AI$19:$AI$19,"OUTSTANDING")&amp;" lot(s)"</f>
        <v/>
      </c>
      <c r="D22" s="109" t="inlineStr">
        <is>
          <t>↳ of which UNSETTLED (outstanding)</t>
        </is>
      </c>
      <c r="E22" s="109" t="inlineStr">
        <is>
          <t>–</t>
        </is>
      </c>
      <c r="F22" s="109">
        <f>SUMIFS(F$19:F$19,$AI$19:$AI$19,"OUTSTANDING")</f>
        <v/>
      </c>
      <c r="G22" s="109" t="inlineStr">
        <is>
          <t>–</t>
        </is>
      </c>
      <c r="H22" s="110" t="inlineStr">
        <is>
          <t>–</t>
        </is>
      </c>
      <c r="I22" s="110">
        <f>SUMIFS(I$19:I$19,$AI$19:$AI$19,"OUTSTANDING")</f>
        <v/>
      </c>
      <c r="J22" s="110">
        <f>SUMIFS(J$19:J$19,$AI$19:$AI$19,"OUTSTANDING")</f>
        <v/>
      </c>
      <c r="K22" s="110">
        <f>SUMIFS(K$19:K$19,$AI$19:$AI$19,"OUTSTANDING")</f>
        <v/>
      </c>
      <c r="L22" s="110">
        <f>SUMIFS(L$19:L$19,$AI$19:$AI$19,"OUTSTANDING")</f>
        <v/>
      </c>
      <c r="M22" s="110">
        <f>SUMIFS(M$19:M$19,$AI$19:$AI$19,"OUTSTANDING")</f>
        <v/>
      </c>
      <c r="N22" s="110">
        <f>SUMIFS(N$19:N$19,$AI$19:$AI$19,"OUTSTANDING")</f>
        <v/>
      </c>
      <c r="O22" s="111">
        <f>SUMIFS(O$19:O$19,$AI$19:$AI$19,"OUTSTANDING")</f>
        <v/>
      </c>
      <c r="P22" s="110">
        <f>SUMIFS(P$19:P$19,$AI$19:$AI$19,"OUTSTANDING")</f>
        <v/>
      </c>
      <c r="Q22" s="110">
        <f>SUMIFS(Q$19:Q$19,$AI$19:$AI$19,"OUTSTANDING")</f>
        <v/>
      </c>
      <c r="R22" s="112" t="inlineStr">
        <is>
          <t>–</t>
        </is>
      </c>
      <c r="S22" s="110">
        <f>SUMIFS(S$19:S$19,$AI$19:$AI$19,"OUTSTANDING")</f>
        <v/>
      </c>
      <c r="T22" s="110">
        <f>SUMIFS(T$19:T$19,$AI$19:$AI$19,"OUTSTANDING")</f>
        <v/>
      </c>
      <c r="U22" s="110">
        <f>SUMIFS(U$19:U$19,$AI$19:$AI$19,"OUTSTANDING")</f>
        <v/>
      </c>
      <c r="V22" s="113">
        <f>SUMIFS(V$19:V$19,$AI$19:$AI$19,"OUTSTANDING")</f>
        <v/>
      </c>
      <c r="W22" s="110" t="inlineStr">
        <is>
          <t>–</t>
        </is>
      </c>
      <c r="X22" s="110">
        <f>SUMIFS(X$19:X$19,$AI$19:$AI$19,"OUTSTANDING")</f>
        <v/>
      </c>
      <c r="Y22" s="110">
        <f>SUMIFS(Y$19:Y$19,$AI$19:$AI$19,"OUTSTANDING")</f>
        <v/>
      </c>
      <c r="Z22" s="110" t="inlineStr">
        <is>
          <t>–</t>
        </is>
      </c>
      <c r="AA22" s="110">
        <f>SUMIFS(AA$19:AA$19,$AI$19:$AI$19,"OUTSTANDING")</f>
        <v/>
      </c>
      <c r="AB22" s="110">
        <f>SUMIFS(AB$19:AB$19,$AI$19:$AI$19,"OUTSTANDING")</f>
        <v/>
      </c>
      <c r="AC22" s="110" t="inlineStr">
        <is>
          <t>–</t>
        </is>
      </c>
      <c r="AD22" s="110">
        <f>SUMIFS(AD$19:AD$19,$AI$19:$AI$19,"OUTSTANDING")</f>
        <v/>
      </c>
      <c r="AE22" s="110">
        <f>SUMIFS(AE$19:AE$19,$AI$19:$AI$19,"OUTSTANDING")</f>
        <v/>
      </c>
      <c r="AF22" s="110" t="inlineStr">
        <is>
          <t>–</t>
        </is>
      </c>
      <c r="AG22" s="114" t="inlineStr">
        <is>
          <t>–</t>
        </is>
      </c>
      <c r="AH22" s="110" t="inlineStr">
        <is>
          <t>–</t>
        </is>
      </c>
      <c r="AI22" s="115" t="inlineStr">
        <is>
          <t>OUTSTANDING</t>
        </is>
      </c>
    </row>
    <row r="23" outlineLevel="1" ht="15" customHeight="1" s="77">
      <c r="A23" s="67" t="n">
        <v>1</v>
      </c>
      <c r="B23" s="68">
        <f>IF('Final Calculation Sheet'!$F$27="","",'Final Calculation Sheet'!$F$27)</f>
        <v/>
      </c>
      <c r="C23" s="68">
        <f>IF('Final Calculation Sheet'!$G$27="","",'Final Calculation Sheet'!$G$27)</f>
        <v/>
      </c>
      <c r="D23" s="69">
        <f>IF('Final Calculation Sheet'!$B$27="","",'Final Calculation Sheet'!$B$27)</f>
        <v/>
      </c>
      <c r="E23" s="69">
        <f>IF('Final Calculation Sheet'!$D$27="","",'Final Calculation Sheet'!$D$27)</f>
        <v/>
      </c>
      <c r="F23" s="69">
        <f>IF('Final Calculation Sheet'!$A$27="","",'Final Calculation Sheet'!$A$27)</f>
        <v/>
      </c>
      <c r="G23" s="69">
        <f>IF('Final Calculation Sheet'!$E$27="","",'Final Calculation Sheet'!$E$27)</f>
        <v/>
      </c>
      <c r="H23" s="70">
        <f>IF('Final Calculation Sheet'!$C$27="","",'Final Calculation Sheet'!$C$27)</f>
        <v/>
      </c>
      <c r="I23" s="70">
        <f>IF('Final Calculation Sheet'!$H$27="","",'Final Calculation Sheet'!$H$27)</f>
        <v/>
      </c>
      <c r="J23" s="70">
        <f>IF('Final Calculation Sheet'!$I$27="","",'Final Calculation Sheet'!$I$27)</f>
        <v/>
      </c>
      <c r="K23" s="70">
        <f>IF('Final Calculation Sheet'!$J$27="","",'Final Calculation Sheet'!$J$27)</f>
        <v/>
      </c>
      <c r="L23" s="70">
        <f>IF('Final Calculation Sheet'!$K$27="","",'Final Calculation Sheet'!$K$27)</f>
        <v/>
      </c>
      <c r="M23" s="70">
        <f>IF('Final Calculation Sheet'!$L$27="","",'Final Calculation Sheet'!$L$27)</f>
        <v/>
      </c>
      <c r="N23" s="70">
        <f>IF('Final Calculation Sheet'!$M$27="","",'Final Calculation Sheet'!$M$27)</f>
        <v/>
      </c>
      <c r="O23" s="71">
        <f>IF('Final Calculation Sheet'!$N$27="","",'Final Calculation Sheet'!$N$27)</f>
        <v/>
      </c>
      <c r="P23" s="70">
        <f>IF('Final Calculation Sheet'!$O$27="","",'Final Calculation Sheet'!$O$27)</f>
        <v/>
      </c>
      <c r="Q23" s="70">
        <f>IF('Final Calculation Sheet'!$P$27="","",'Final Calculation Sheet'!$P$27)</f>
        <v/>
      </c>
      <c r="R23" s="72">
        <f>IF('Final Calculation Sheet'!$Q$27="","",'Final Calculation Sheet'!$Q$27)</f>
        <v/>
      </c>
      <c r="S23" s="70">
        <f>IF('Final Calculation Sheet'!$R$27="","",'Final Calculation Sheet'!$R$27)</f>
        <v/>
      </c>
      <c r="T23" s="70">
        <f>IF('Final Calculation Sheet'!$S$27="","",'Final Calculation Sheet'!$S$27)</f>
        <v/>
      </c>
      <c r="U23" s="70">
        <f>IF('Final Calculation Sheet'!$T$27="","",'Final Calculation Sheet'!$T$27)</f>
        <v/>
      </c>
      <c r="V23" s="73">
        <f>IF('Final Calculation Sheet'!$U$27="","",'Final Calculation Sheet'!$U$27)</f>
        <v/>
      </c>
      <c r="W23" s="70">
        <f>IF('Final Calculation Sheet'!$V$27="","",'Final Calculation Sheet'!$V$27)</f>
        <v/>
      </c>
      <c r="X23" s="70">
        <f>IF('Final Calculation Sheet'!$W$27="","",'Final Calculation Sheet'!$W$27)</f>
        <v/>
      </c>
      <c r="Y23" s="70">
        <f>IF('Final Calculation Sheet'!$X$27="","",'Final Calculation Sheet'!$X$27)</f>
        <v/>
      </c>
      <c r="Z23" s="70">
        <f>IF('Final Calculation Sheet'!$Y$27="","",'Final Calculation Sheet'!$Y$27)</f>
        <v/>
      </c>
      <c r="AA23" s="70">
        <f>IF('Final Calculation Sheet'!$Z$27="","",'Final Calculation Sheet'!$Z$27)</f>
        <v/>
      </c>
      <c r="AB23" s="70">
        <f>IF('Final Calculation Sheet'!$AA$27="","",'Final Calculation Sheet'!$AA$27)</f>
        <v/>
      </c>
      <c r="AC23" s="70">
        <f>IF('Final Calculation Sheet'!$AB$27="","",'Final Calculation Sheet'!$AB$27)</f>
        <v/>
      </c>
      <c r="AD23" s="70">
        <f>IF('Final Calculation Sheet'!$AC$27="","",'Final Calculation Sheet'!$AC$27)</f>
        <v/>
      </c>
      <c r="AE23" s="70">
        <f>IF('Final Calculation Sheet'!$AD$27="","",'Final Calculation Sheet'!$AD$27)</f>
        <v/>
      </c>
      <c r="AF23" s="70">
        <f>IF('Final Calculation Sheet'!$AE$27="","",'Final Calculation Sheet'!$AE$27)</f>
        <v/>
      </c>
      <c r="AG23" s="74">
        <f>IF('Final Calculation Sheet'!$AF$27="","",'Final Calculation Sheet'!$AF$27)</f>
        <v/>
      </c>
      <c r="AH23" s="70">
        <f>IF('Final Calculation Sheet'!$AG$27="","",'Final Calculation Sheet'!$AG$27)</f>
        <v/>
      </c>
      <c r="AI23" s="75">
        <f>IF('Final Calculation Sheet'!$AD$27="","",IF('Final Calculation Sheet'!$AD$27&lt;=5,"SETTLED","OUTSTANDING"))</f>
        <v/>
      </c>
    </row>
    <row r="24" ht="15" customHeight="1" s="77">
      <c r="A24" s="84" t="inlineStr">
        <is>
          <t>∑</t>
        </is>
      </c>
      <c r="B24" s="85" t="n"/>
      <c r="C24" s="85">
        <f>ROWS($C$23:$C$23)&amp;" lot(s)"</f>
        <v/>
      </c>
      <c r="D24" s="85" t="inlineStr">
        <is>
          <t>SUBTOTAL — M I SCRAP TRADERS</t>
        </is>
      </c>
      <c r="E24" s="85" t="inlineStr">
        <is>
          <t>–</t>
        </is>
      </c>
      <c r="F24" s="85">
        <f>SUM(F23:F23)</f>
        <v/>
      </c>
      <c r="G24" s="85" t="inlineStr">
        <is>
          <t>–</t>
        </is>
      </c>
      <c r="H24" s="86" t="inlineStr">
        <is>
          <t>–</t>
        </is>
      </c>
      <c r="I24" s="86">
        <f>SUM(I23:I23)</f>
        <v/>
      </c>
      <c r="J24" s="86">
        <f>SUM(J23:J23)</f>
        <v/>
      </c>
      <c r="K24" s="86">
        <f>SUM(K23:K23)</f>
        <v/>
      </c>
      <c r="L24" s="86">
        <f>SUM(L23:L23)</f>
        <v/>
      </c>
      <c r="M24" s="86">
        <f>SUM(M23:M23)</f>
        <v/>
      </c>
      <c r="N24" s="86">
        <f>SUM(N23:N23)</f>
        <v/>
      </c>
      <c r="O24" s="87">
        <f>SUM(O23:O23)</f>
        <v/>
      </c>
      <c r="P24" s="86">
        <f>SUM(P23:P23)</f>
        <v/>
      </c>
      <c r="Q24" s="86">
        <f>SUM(Q23:Q23)</f>
        <v/>
      </c>
      <c r="R24" s="88" t="inlineStr">
        <is>
          <t>–</t>
        </is>
      </c>
      <c r="S24" s="86">
        <f>SUM(S23:S23)</f>
        <v/>
      </c>
      <c r="T24" s="86">
        <f>SUM(T23:T23)</f>
        <v/>
      </c>
      <c r="U24" s="86">
        <f>SUM(U23:U23)</f>
        <v/>
      </c>
      <c r="V24" s="89">
        <f>SUM(V23:V23)</f>
        <v/>
      </c>
      <c r="W24" s="86" t="inlineStr">
        <is>
          <t>–</t>
        </is>
      </c>
      <c r="X24" s="86">
        <f>SUM(X23:X23)</f>
        <v/>
      </c>
      <c r="Y24" s="86">
        <f>SUM(Y23:Y23)</f>
        <v/>
      </c>
      <c r="Z24" s="86" t="inlineStr">
        <is>
          <t>–</t>
        </is>
      </c>
      <c r="AA24" s="86">
        <f>SUM(AA23:AA23)</f>
        <v/>
      </c>
      <c r="AB24" s="86">
        <f>SUM(AB23:AB23)</f>
        <v/>
      </c>
      <c r="AC24" s="86" t="inlineStr">
        <is>
          <t>–</t>
        </is>
      </c>
      <c r="AD24" s="86">
        <f>SUM(AD23:AD23)</f>
        <v/>
      </c>
      <c r="AE24" s="86">
        <f>SUM(AE23:AE23)</f>
        <v/>
      </c>
      <c r="AF24" s="86" t="inlineStr">
        <is>
          <t>–</t>
        </is>
      </c>
      <c r="AG24" s="90" t="inlineStr">
        <is>
          <t>–</t>
        </is>
      </c>
      <c r="AH24" s="86" t="inlineStr">
        <is>
          <t>–</t>
        </is>
      </c>
      <c r="AI24" s="91">
        <f>IF(AE24&lt;=5,"SETTLED","OUTSTANDING")</f>
        <v/>
      </c>
    </row>
    <row r="25" ht="15" customHeight="1" s="77">
      <c r="A25" s="108" t="inlineStr">
        <is>
          <t>↳</t>
        </is>
      </c>
      <c r="B25" s="109" t="n"/>
      <c r="C25" s="109">
        <f>COUNTIFS($AI$23:$AI$23,"SETTLED")&amp;" lot(s)"</f>
        <v/>
      </c>
      <c r="D25" s="109" t="inlineStr">
        <is>
          <t>↳ of which SETTLED</t>
        </is>
      </c>
      <c r="E25" s="109" t="inlineStr">
        <is>
          <t>–</t>
        </is>
      </c>
      <c r="F25" s="109">
        <f>SUMIFS(F$23:F$23,$AI$23:$AI$23,"SETTLED")</f>
        <v/>
      </c>
      <c r="G25" s="109" t="inlineStr">
        <is>
          <t>–</t>
        </is>
      </c>
      <c r="H25" s="110" t="inlineStr">
        <is>
          <t>–</t>
        </is>
      </c>
      <c r="I25" s="110">
        <f>SUMIFS(I$23:I$23,$AI$23:$AI$23,"SETTLED")</f>
        <v/>
      </c>
      <c r="J25" s="110">
        <f>SUMIFS(J$23:J$23,$AI$23:$AI$23,"SETTLED")</f>
        <v/>
      </c>
      <c r="K25" s="110">
        <f>SUMIFS(K$23:K$23,$AI$23:$AI$23,"SETTLED")</f>
        <v/>
      </c>
      <c r="L25" s="110">
        <f>SUMIFS(L$23:L$23,$AI$23:$AI$23,"SETTLED")</f>
        <v/>
      </c>
      <c r="M25" s="110">
        <f>SUMIFS(M$23:M$23,$AI$23:$AI$23,"SETTLED")</f>
        <v/>
      </c>
      <c r="N25" s="110">
        <f>SUMIFS(N$23:N$23,$AI$23:$AI$23,"SETTLED")</f>
        <v/>
      </c>
      <c r="O25" s="111">
        <f>SUMIFS(O$23:O$23,$AI$23:$AI$23,"SETTLED")</f>
        <v/>
      </c>
      <c r="P25" s="110">
        <f>SUMIFS(P$23:P$23,$AI$23:$AI$23,"SETTLED")</f>
        <v/>
      </c>
      <c r="Q25" s="110">
        <f>SUMIFS(Q$23:Q$23,$AI$23:$AI$23,"SETTLED")</f>
        <v/>
      </c>
      <c r="R25" s="112" t="inlineStr">
        <is>
          <t>–</t>
        </is>
      </c>
      <c r="S25" s="110">
        <f>SUMIFS(S$23:S$23,$AI$23:$AI$23,"SETTLED")</f>
        <v/>
      </c>
      <c r="T25" s="110">
        <f>SUMIFS(T$23:T$23,$AI$23:$AI$23,"SETTLED")</f>
        <v/>
      </c>
      <c r="U25" s="110">
        <f>SUMIFS(U$23:U$23,$AI$23:$AI$23,"SETTLED")</f>
        <v/>
      </c>
      <c r="V25" s="113">
        <f>SUMIFS(V$23:V$23,$AI$23:$AI$23,"SETTLED")</f>
        <v/>
      </c>
      <c r="W25" s="110" t="inlineStr">
        <is>
          <t>–</t>
        </is>
      </c>
      <c r="X25" s="110">
        <f>SUMIFS(X$23:X$23,$AI$23:$AI$23,"SETTLED")</f>
        <v/>
      </c>
      <c r="Y25" s="110">
        <f>SUMIFS(Y$23:Y$23,$AI$23:$AI$23,"SETTLED")</f>
        <v/>
      </c>
      <c r="Z25" s="110" t="inlineStr">
        <is>
          <t>–</t>
        </is>
      </c>
      <c r="AA25" s="110">
        <f>SUMIFS(AA$23:AA$23,$AI$23:$AI$23,"SETTLED")</f>
        <v/>
      </c>
      <c r="AB25" s="110">
        <f>SUMIFS(AB$23:AB$23,$AI$23:$AI$23,"SETTLED")</f>
        <v/>
      </c>
      <c r="AC25" s="110" t="inlineStr">
        <is>
          <t>–</t>
        </is>
      </c>
      <c r="AD25" s="110">
        <f>SUMIFS(AD$23:AD$23,$AI$23:$AI$23,"SETTLED")</f>
        <v/>
      </c>
      <c r="AE25" s="110">
        <f>SUMIFS(AE$23:AE$23,$AI$23:$AI$23,"SETTLED")</f>
        <v/>
      </c>
      <c r="AF25" s="110" t="inlineStr">
        <is>
          <t>–</t>
        </is>
      </c>
      <c r="AG25" s="114" t="inlineStr">
        <is>
          <t>–</t>
        </is>
      </c>
      <c r="AH25" s="110" t="inlineStr">
        <is>
          <t>–</t>
        </is>
      </c>
      <c r="AI25" s="115" t="inlineStr">
        <is>
          <t>SETTLED</t>
        </is>
      </c>
    </row>
    <row r="26" ht="15" customHeight="1" s="77">
      <c r="A26" s="108" t="inlineStr">
        <is>
          <t>↳</t>
        </is>
      </c>
      <c r="B26" s="109" t="n"/>
      <c r="C26" s="109">
        <f>COUNTIFS($AI$23:$AI$23,"OUTSTANDING")&amp;" lot(s)"</f>
        <v/>
      </c>
      <c r="D26" s="109" t="inlineStr">
        <is>
          <t>↳ of which UNSETTLED (outstanding)</t>
        </is>
      </c>
      <c r="E26" s="109" t="inlineStr">
        <is>
          <t>–</t>
        </is>
      </c>
      <c r="F26" s="109">
        <f>SUMIFS(F$23:F$23,$AI$23:$AI$23,"OUTSTANDING")</f>
        <v/>
      </c>
      <c r="G26" s="109" t="inlineStr">
        <is>
          <t>–</t>
        </is>
      </c>
      <c r="H26" s="110" t="inlineStr">
        <is>
          <t>–</t>
        </is>
      </c>
      <c r="I26" s="110">
        <f>SUMIFS(I$23:I$23,$AI$23:$AI$23,"OUTSTANDING")</f>
        <v/>
      </c>
      <c r="J26" s="110">
        <f>SUMIFS(J$23:J$23,$AI$23:$AI$23,"OUTSTANDING")</f>
        <v/>
      </c>
      <c r="K26" s="110">
        <f>SUMIFS(K$23:K$23,$AI$23:$AI$23,"OUTSTANDING")</f>
        <v/>
      </c>
      <c r="L26" s="110">
        <f>SUMIFS(L$23:L$23,$AI$23:$AI$23,"OUTSTANDING")</f>
        <v/>
      </c>
      <c r="M26" s="110">
        <f>SUMIFS(M$23:M$23,$AI$23:$AI$23,"OUTSTANDING")</f>
        <v/>
      </c>
      <c r="N26" s="110">
        <f>SUMIFS(N$23:N$23,$AI$23:$AI$23,"OUTSTANDING")</f>
        <v/>
      </c>
      <c r="O26" s="111">
        <f>SUMIFS(O$23:O$23,$AI$23:$AI$23,"OUTSTANDING")</f>
        <v/>
      </c>
      <c r="P26" s="110">
        <f>SUMIFS(P$23:P$23,$AI$23:$AI$23,"OUTSTANDING")</f>
        <v/>
      </c>
      <c r="Q26" s="110">
        <f>SUMIFS(Q$23:Q$23,$AI$23:$AI$23,"OUTSTANDING")</f>
        <v/>
      </c>
      <c r="R26" s="112" t="inlineStr">
        <is>
          <t>–</t>
        </is>
      </c>
      <c r="S26" s="110">
        <f>SUMIFS(S$23:S$23,$AI$23:$AI$23,"OUTSTANDING")</f>
        <v/>
      </c>
      <c r="T26" s="110">
        <f>SUMIFS(T$23:T$23,$AI$23:$AI$23,"OUTSTANDING")</f>
        <v/>
      </c>
      <c r="U26" s="110">
        <f>SUMIFS(U$23:U$23,$AI$23:$AI$23,"OUTSTANDING")</f>
        <v/>
      </c>
      <c r="V26" s="113">
        <f>SUMIFS(V$23:V$23,$AI$23:$AI$23,"OUTSTANDING")</f>
        <v/>
      </c>
      <c r="W26" s="110" t="inlineStr">
        <is>
          <t>–</t>
        </is>
      </c>
      <c r="X26" s="110">
        <f>SUMIFS(X$23:X$23,$AI$23:$AI$23,"OUTSTANDING")</f>
        <v/>
      </c>
      <c r="Y26" s="110">
        <f>SUMIFS(Y$23:Y$23,$AI$23:$AI$23,"OUTSTANDING")</f>
        <v/>
      </c>
      <c r="Z26" s="110" t="inlineStr">
        <is>
          <t>–</t>
        </is>
      </c>
      <c r="AA26" s="110">
        <f>SUMIFS(AA$23:AA$23,$AI$23:$AI$23,"OUTSTANDING")</f>
        <v/>
      </c>
      <c r="AB26" s="110">
        <f>SUMIFS(AB$23:AB$23,$AI$23:$AI$23,"OUTSTANDING")</f>
        <v/>
      </c>
      <c r="AC26" s="110" t="inlineStr">
        <is>
          <t>–</t>
        </is>
      </c>
      <c r="AD26" s="110">
        <f>SUMIFS(AD$23:AD$23,$AI$23:$AI$23,"OUTSTANDING")</f>
        <v/>
      </c>
      <c r="AE26" s="110">
        <f>SUMIFS(AE$23:AE$23,$AI$23:$AI$23,"OUTSTANDING")</f>
        <v/>
      </c>
      <c r="AF26" s="110" t="inlineStr">
        <is>
          <t>–</t>
        </is>
      </c>
      <c r="AG26" s="114" t="inlineStr">
        <is>
          <t>–</t>
        </is>
      </c>
      <c r="AH26" s="110" t="inlineStr">
        <is>
          <t>–</t>
        </is>
      </c>
      <c r="AI26" s="115" t="inlineStr">
        <is>
          <t>OUTSTANDING</t>
        </is>
      </c>
    </row>
    <row r="27" outlineLevel="1" ht="15" customHeight="1" s="77">
      <c r="A27" s="67" t="n">
        <v>1</v>
      </c>
      <c r="B27" s="68">
        <f>IF('Final Calculation Sheet'!$F$5="","",'Final Calculation Sheet'!$F$5)</f>
        <v/>
      </c>
      <c r="C27" s="68">
        <f>IF('Final Calculation Sheet'!$G$5="","",'Final Calculation Sheet'!$G$5)</f>
        <v/>
      </c>
      <c r="D27" s="69">
        <f>IF('Final Calculation Sheet'!$B$5="","",'Final Calculation Sheet'!$B$5)</f>
        <v/>
      </c>
      <c r="E27" s="69">
        <f>IF('Final Calculation Sheet'!$D$5="","",'Final Calculation Sheet'!$D$5)</f>
        <v/>
      </c>
      <c r="F27" s="69">
        <f>IF('Final Calculation Sheet'!$A$5="","",'Final Calculation Sheet'!$A$5)</f>
        <v/>
      </c>
      <c r="G27" s="69">
        <f>IF('Final Calculation Sheet'!$E$5="","",'Final Calculation Sheet'!$E$5)</f>
        <v/>
      </c>
      <c r="H27" s="70">
        <f>IF('Final Calculation Sheet'!$C$5="","",'Final Calculation Sheet'!$C$5)</f>
        <v/>
      </c>
      <c r="I27" s="70">
        <f>IF('Final Calculation Sheet'!$H$5="","",'Final Calculation Sheet'!$H$5)</f>
        <v/>
      </c>
      <c r="J27" s="70">
        <f>IF('Final Calculation Sheet'!$I$5="","",'Final Calculation Sheet'!$I$5)</f>
        <v/>
      </c>
      <c r="K27" s="70">
        <f>IF('Final Calculation Sheet'!$J$5="","",'Final Calculation Sheet'!$J$5)</f>
        <v/>
      </c>
      <c r="L27" s="70">
        <f>IF('Final Calculation Sheet'!$K$5="","",'Final Calculation Sheet'!$K$5)</f>
        <v/>
      </c>
      <c r="M27" s="70">
        <f>IF('Final Calculation Sheet'!$L$5="","",'Final Calculation Sheet'!$L$5)</f>
        <v/>
      </c>
      <c r="N27" s="70">
        <f>IF('Final Calculation Sheet'!$M$5="","",'Final Calculation Sheet'!$M$5)</f>
        <v/>
      </c>
      <c r="O27" s="71">
        <f>IF('Final Calculation Sheet'!$N$5="","",'Final Calculation Sheet'!$N$5)</f>
        <v/>
      </c>
      <c r="P27" s="70">
        <f>IF('Final Calculation Sheet'!$O$5="","",'Final Calculation Sheet'!$O$5)</f>
        <v/>
      </c>
      <c r="Q27" s="70">
        <f>IF('Final Calculation Sheet'!$P$5="","",'Final Calculation Sheet'!$P$5)</f>
        <v/>
      </c>
      <c r="R27" s="72">
        <f>IF('Final Calculation Sheet'!$Q$5="","",'Final Calculation Sheet'!$Q$5)</f>
        <v/>
      </c>
      <c r="S27" s="70">
        <f>IF('Final Calculation Sheet'!$R$5="","",'Final Calculation Sheet'!$R$5)</f>
        <v/>
      </c>
      <c r="T27" s="70">
        <f>IF('Final Calculation Sheet'!$S$5="","",'Final Calculation Sheet'!$S$5)</f>
        <v/>
      </c>
      <c r="U27" s="70">
        <f>IF('Final Calculation Sheet'!$T$5="","",'Final Calculation Sheet'!$T$5)</f>
        <v/>
      </c>
      <c r="V27" s="73">
        <f>IF('Final Calculation Sheet'!$U$5="","",'Final Calculation Sheet'!$U$5)</f>
        <v/>
      </c>
      <c r="W27" s="70">
        <f>IF('Final Calculation Sheet'!$V$5="","",'Final Calculation Sheet'!$V$5)</f>
        <v/>
      </c>
      <c r="X27" s="70">
        <f>IF('Final Calculation Sheet'!$W$5="","",'Final Calculation Sheet'!$W$5)</f>
        <v/>
      </c>
      <c r="Y27" s="70">
        <f>IF('Final Calculation Sheet'!$X$5="","",'Final Calculation Sheet'!$X$5)</f>
        <v/>
      </c>
      <c r="Z27" s="70">
        <f>IF('Final Calculation Sheet'!$Y$5="","",'Final Calculation Sheet'!$Y$5)</f>
        <v/>
      </c>
      <c r="AA27" s="70">
        <f>IF('Final Calculation Sheet'!$Z$5="","",'Final Calculation Sheet'!$Z$5)</f>
        <v/>
      </c>
      <c r="AB27" s="70">
        <f>IF('Final Calculation Sheet'!$AA$5="","",'Final Calculation Sheet'!$AA$5)</f>
        <v/>
      </c>
      <c r="AC27" s="70">
        <f>IF('Final Calculation Sheet'!$AB$5="","",'Final Calculation Sheet'!$AB$5)</f>
        <v/>
      </c>
      <c r="AD27" s="70">
        <f>IF('Final Calculation Sheet'!$AC$5="","",'Final Calculation Sheet'!$AC$5)</f>
        <v/>
      </c>
      <c r="AE27" s="70">
        <f>IF('Final Calculation Sheet'!$AD$5="","",'Final Calculation Sheet'!$AD$5)</f>
        <v/>
      </c>
      <c r="AF27" s="70">
        <f>IF('Final Calculation Sheet'!$AE$5="","",'Final Calculation Sheet'!$AE$5)</f>
        <v/>
      </c>
      <c r="AG27" s="74">
        <f>IF('Final Calculation Sheet'!$AF$5="","",'Final Calculation Sheet'!$AF$5)</f>
        <v/>
      </c>
      <c r="AH27" s="70">
        <f>IF('Final Calculation Sheet'!$AG$5="","",'Final Calculation Sheet'!$AG$5)</f>
        <v/>
      </c>
      <c r="AI27" s="75">
        <f>IF('Final Calculation Sheet'!$AD$5="","",IF('Final Calculation Sheet'!$AD$5&lt;=5,"SETTLED","OUTSTANDING"))</f>
        <v/>
      </c>
    </row>
    <row r="28" outlineLevel="1" ht="15" customHeight="1" s="77">
      <c r="A28" s="67" t="n">
        <v>2</v>
      </c>
      <c r="B28" s="68">
        <f>IF('Final Calculation Sheet'!$F$10="","",'Final Calculation Sheet'!$F$10)</f>
        <v/>
      </c>
      <c r="C28" s="68">
        <f>IF('Final Calculation Sheet'!$G$10="","",'Final Calculation Sheet'!$G$10)</f>
        <v/>
      </c>
      <c r="D28" s="69">
        <f>IF('Final Calculation Sheet'!$B$10="","",'Final Calculation Sheet'!$B$10)</f>
        <v/>
      </c>
      <c r="E28" s="69">
        <f>IF('Final Calculation Sheet'!$D$10="","",'Final Calculation Sheet'!$D$10)</f>
        <v/>
      </c>
      <c r="F28" s="69">
        <f>IF('Final Calculation Sheet'!$A$10="","",'Final Calculation Sheet'!$A$10)</f>
        <v/>
      </c>
      <c r="G28" s="69">
        <f>IF('Final Calculation Sheet'!$E$10="","",'Final Calculation Sheet'!$E$10)</f>
        <v/>
      </c>
      <c r="H28" s="70">
        <f>IF('Final Calculation Sheet'!$C$10="","",'Final Calculation Sheet'!$C$10)</f>
        <v/>
      </c>
      <c r="I28" s="70">
        <f>IF('Final Calculation Sheet'!$H$10="","",'Final Calculation Sheet'!$H$10)</f>
        <v/>
      </c>
      <c r="J28" s="70">
        <f>IF('Final Calculation Sheet'!$I$10="","",'Final Calculation Sheet'!$I$10)</f>
        <v/>
      </c>
      <c r="K28" s="70">
        <f>IF('Final Calculation Sheet'!$J$10="","",'Final Calculation Sheet'!$J$10)</f>
        <v/>
      </c>
      <c r="L28" s="70">
        <f>IF('Final Calculation Sheet'!$K$10="","",'Final Calculation Sheet'!$K$10)</f>
        <v/>
      </c>
      <c r="M28" s="70">
        <f>IF('Final Calculation Sheet'!$L$10="","",'Final Calculation Sheet'!$L$10)</f>
        <v/>
      </c>
      <c r="N28" s="70">
        <f>IF('Final Calculation Sheet'!$M$10="","",'Final Calculation Sheet'!$M$10)</f>
        <v/>
      </c>
      <c r="O28" s="71">
        <f>IF('Final Calculation Sheet'!$N$10="","",'Final Calculation Sheet'!$N$10)</f>
        <v/>
      </c>
      <c r="P28" s="70">
        <f>IF('Final Calculation Sheet'!$O$10="","",'Final Calculation Sheet'!$O$10)</f>
        <v/>
      </c>
      <c r="Q28" s="70">
        <f>IF('Final Calculation Sheet'!$P$10="","",'Final Calculation Sheet'!$P$10)</f>
        <v/>
      </c>
      <c r="R28" s="72">
        <f>IF('Final Calculation Sheet'!$Q$10="","",'Final Calculation Sheet'!$Q$10)</f>
        <v/>
      </c>
      <c r="S28" s="70">
        <f>IF('Final Calculation Sheet'!$R$10="","",'Final Calculation Sheet'!$R$10)</f>
        <v/>
      </c>
      <c r="T28" s="70">
        <f>IF('Final Calculation Sheet'!$S$10="","",'Final Calculation Sheet'!$S$10)</f>
        <v/>
      </c>
      <c r="U28" s="70">
        <f>IF('Final Calculation Sheet'!$T$10="","",'Final Calculation Sheet'!$T$10)</f>
        <v/>
      </c>
      <c r="V28" s="73">
        <f>IF('Final Calculation Sheet'!$U$10="","",'Final Calculation Sheet'!$U$10)</f>
        <v/>
      </c>
      <c r="W28" s="70">
        <f>IF('Final Calculation Sheet'!$V$10="","",'Final Calculation Sheet'!$V$10)</f>
        <v/>
      </c>
      <c r="X28" s="70">
        <f>IF('Final Calculation Sheet'!$W$10="","",'Final Calculation Sheet'!$W$10)</f>
        <v/>
      </c>
      <c r="Y28" s="70">
        <f>IF('Final Calculation Sheet'!$X$10="","",'Final Calculation Sheet'!$X$10)</f>
        <v/>
      </c>
      <c r="Z28" s="70">
        <f>IF('Final Calculation Sheet'!$Y$10="","",'Final Calculation Sheet'!$Y$10)</f>
        <v/>
      </c>
      <c r="AA28" s="70">
        <f>IF('Final Calculation Sheet'!$Z$10="","",'Final Calculation Sheet'!$Z$10)</f>
        <v/>
      </c>
      <c r="AB28" s="70">
        <f>IF('Final Calculation Sheet'!$AA$10="","",'Final Calculation Sheet'!$AA$10)</f>
        <v/>
      </c>
      <c r="AC28" s="70">
        <f>IF('Final Calculation Sheet'!$AB$10="","",'Final Calculation Sheet'!$AB$10)</f>
        <v/>
      </c>
      <c r="AD28" s="70">
        <f>IF('Final Calculation Sheet'!$AC$10="","",'Final Calculation Sheet'!$AC$10)</f>
        <v/>
      </c>
      <c r="AE28" s="70">
        <f>IF('Final Calculation Sheet'!$AD$10="","",'Final Calculation Sheet'!$AD$10)</f>
        <v/>
      </c>
      <c r="AF28" s="70">
        <f>IF('Final Calculation Sheet'!$AE$10="","",'Final Calculation Sheet'!$AE$10)</f>
        <v/>
      </c>
      <c r="AG28" s="74">
        <f>IF('Final Calculation Sheet'!$AF$10="","",'Final Calculation Sheet'!$AF$10)</f>
        <v/>
      </c>
      <c r="AH28" s="70">
        <f>IF('Final Calculation Sheet'!$AG$10="","",'Final Calculation Sheet'!$AG$10)</f>
        <v/>
      </c>
      <c r="AI28" s="75">
        <f>IF('Final Calculation Sheet'!$AD$10="","",IF('Final Calculation Sheet'!$AD$10&lt;=5,"SETTLED","OUTSTANDING"))</f>
        <v/>
      </c>
    </row>
    <row r="29" outlineLevel="1" ht="15" customHeight="1" s="77">
      <c r="A29" s="67" t="n">
        <v>3</v>
      </c>
      <c r="B29" s="68">
        <f>IF('Final Calculation Sheet'!$F$11="","",'Final Calculation Sheet'!$F$11)</f>
        <v/>
      </c>
      <c r="C29" s="68">
        <f>IF('Final Calculation Sheet'!$G$11="","",'Final Calculation Sheet'!$G$11)</f>
        <v/>
      </c>
      <c r="D29" s="69">
        <f>IF('Final Calculation Sheet'!$B$11="","",'Final Calculation Sheet'!$B$11)</f>
        <v/>
      </c>
      <c r="E29" s="69">
        <f>IF('Final Calculation Sheet'!$D$11="","",'Final Calculation Sheet'!$D$11)</f>
        <v/>
      </c>
      <c r="F29" s="69">
        <f>IF('Final Calculation Sheet'!$A$11="","",'Final Calculation Sheet'!$A$11)</f>
        <v/>
      </c>
      <c r="G29" s="69">
        <f>IF('Final Calculation Sheet'!$E$11="","",'Final Calculation Sheet'!$E$11)</f>
        <v/>
      </c>
      <c r="H29" s="70">
        <f>IF('Final Calculation Sheet'!$C$11="","",'Final Calculation Sheet'!$C$11)</f>
        <v/>
      </c>
      <c r="I29" s="70">
        <f>IF('Final Calculation Sheet'!$H$11="","",'Final Calculation Sheet'!$H$11)</f>
        <v/>
      </c>
      <c r="J29" s="70">
        <f>IF('Final Calculation Sheet'!$I$11="","",'Final Calculation Sheet'!$I$11)</f>
        <v/>
      </c>
      <c r="K29" s="70">
        <f>IF('Final Calculation Sheet'!$J$11="","",'Final Calculation Sheet'!$J$11)</f>
        <v/>
      </c>
      <c r="L29" s="70">
        <f>IF('Final Calculation Sheet'!$K$11="","",'Final Calculation Sheet'!$K$11)</f>
        <v/>
      </c>
      <c r="M29" s="70">
        <f>IF('Final Calculation Sheet'!$L$11="","",'Final Calculation Sheet'!$L$11)</f>
        <v/>
      </c>
      <c r="N29" s="70">
        <f>IF('Final Calculation Sheet'!$M$11="","",'Final Calculation Sheet'!$M$11)</f>
        <v/>
      </c>
      <c r="O29" s="71">
        <f>IF('Final Calculation Sheet'!$N$11="","",'Final Calculation Sheet'!$N$11)</f>
        <v/>
      </c>
      <c r="P29" s="70">
        <f>IF('Final Calculation Sheet'!$O$11="","",'Final Calculation Sheet'!$O$11)</f>
        <v/>
      </c>
      <c r="Q29" s="70">
        <f>IF('Final Calculation Sheet'!$P$11="","",'Final Calculation Sheet'!$P$11)</f>
        <v/>
      </c>
      <c r="R29" s="72">
        <f>IF('Final Calculation Sheet'!$Q$11="","",'Final Calculation Sheet'!$Q$11)</f>
        <v/>
      </c>
      <c r="S29" s="70">
        <f>IF('Final Calculation Sheet'!$R$11="","",'Final Calculation Sheet'!$R$11)</f>
        <v/>
      </c>
      <c r="T29" s="70">
        <f>IF('Final Calculation Sheet'!$S$11="","",'Final Calculation Sheet'!$S$11)</f>
        <v/>
      </c>
      <c r="U29" s="70">
        <f>IF('Final Calculation Sheet'!$T$11="","",'Final Calculation Sheet'!$T$11)</f>
        <v/>
      </c>
      <c r="V29" s="73">
        <f>IF('Final Calculation Sheet'!$U$11="","",'Final Calculation Sheet'!$U$11)</f>
        <v/>
      </c>
      <c r="W29" s="70">
        <f>IF('Final Calculation Sheet'!$V$11="","",'Final Calculation Sheet'!$V$11)</f>
        <v/>
      </c>
      <c r="X29" s="70">
        <f>IF('Final Calculation Sheet'!$W$11="","",'Final Calculation Sheet'!$W$11)</f>
        <v/>
      </c>
      <c r="Y29" s="70">
        <f>IF('Final Calculation Sheet'!$X$11="","",'Final Calculation Sheet'!$X$11)</f>
        <v/>
      </c>
      <c r="Z29" s="70">
        <f>IF('Final Calculation Sheet'!$Y$11="","",'Final Calculation Sheet'!$Y$11)</f>
        <v/>
      </c>
      <c r="AA29" s="70">
        <f>IF('Final Calculation Sheet'!$Z$11="","",'Final Calculation Sheet'!$Z$11)</f>
        <v/>
      </c>
      <c r="AB29" s="70">
        <f>IF('Final Calculation Sheet'!$AA$11="","",'Final Calculation Sheet'!$AA$11)</f>
        <v/>
      </c>
      <c r="AC29" s="70">
        <f>IF('Final Calculation Sheet'!$AB$11="","",'Final Calculation Sheet'!$AB$11)</f>
        <v/>
      </c>
      <c r="AD29" s="70">
        <f>IF('Final Calculation Sheet'!$AC$11="","",'Final Calculation Sheet'!$AC$11)</f>
        <v/>
      </c>
      <c r="AE29" s="70">
        <f>IF('Final Calculation Sheet'!$AD$11="","",'Final Calculation Sheet'!$AD$11)</f>
        <v/>
      </c>
      <c r="AF29" s="70">
        <f>IF('Final Calculation Sheet'!$AE$11="","",'Final Calculation Sheet'!$AE$11)</f>
        <v/>
      </c>
      <c r="AG29" s="74">
        <f>IF('Final Calculation Sheet'!$AF$11="","",'Final Calculation Sheet'!$AF$11)</f>
        <v/>
      </c>
      <c r="AH29" s="70">
        <f>IF('Final Calculation Sheet'!$AG$11="","",'Final Calculation Sheet'!$AG$11)</f>
        <v/>
      </c>
      <c r="AI29" s="75">
        <f>IF('Final Calculation Sheet'!$AD$11="","",IF('Final Calculation Sheet'!$AD$11&lt;=5,"SETTLED","OUTSTANDING"))</f>
        <v/>
      </c>
    </row>
    <row r="30" outlineLevel="1" ht="15" customHeight="1" s="77">
      <c r="A30" s="67" t="n">
        <v>4</v>
      </c>
      <c r="B30" s="68">
        <f>IF('Final Calculation Sheet'!$F$12="","",'Final Calculation Sheet'!$F$12)</f>
        <v/>
      </c>
      <c r="C30" s="68">
        <f>IF('Final Calculation Sheet'!$G$12="","",'Final Calculation Sheet'!$G$12)</f>
        <v/>
      </c>
      <c r="D30" s="69">
        <f>IF('Final Calculation Sheet'!$B$12="","",'Final Calculation Sheet'!$B$12)</f>
        <v/>
      </c>
      <c r="E30" s="69">
        <f>IF('Final Calculation Sheet'!$D$12="","",'Final Calculation Sheet'!$D$12)</f>
        <v/>
      </c>
      <c r="F30" s="69">
        <f>IF('Final Calculation Sheet'!$A$12="","",'Final Calculation Sheet'!$A$12)</f>
        <v/>
      </c>
      <c r="G30" s="69">
        <f>IF('Final Calculation Sheet'!$E$12="","",'Final Calculation Sheet'!$E$12)</f>
        <v/>
      </c>
      <c r="H30" s="70">
        <f>IF('Final Calculation Sheet'!$C$12="","",'Final Calculation Sheet'!$C$12)</f>
        <v/>
      </c>
      <c r="I30" s="70">
        <f>IF('Final Calculation Sheet'!$H$12="","",'Final Calculation Sheet'!$H$12)</f>
        <v/>
      </c>
      <c r="J30" s="70">
        <f>IF('Final Calculation Sheet'!$I$12="","",'Final Calculation Sheet'!$I$12)</f>
        <v/>
      </c>
      <c r="K30" s="70">
        <f>IF('Final Calculation Sheet'!$J$12="","",'Final Calculation Sheet'!$J$12)</f>
        <v/>
      </c>
      <c r="L30" s="70">
        <f>IF('Final Calculation Sheet'!$K$12="","",'Final Calculation Sheet'!$K$12)</f>
        <v/>
      </c>
      <c r="M30" s="70">
        <f>IF('Final Calculation Sheet'!$L$12="","",'Final Calculation Sheet'!$L$12)</f>
        <v/>
      </c>
      <c r="N30" s="70">
        <f>IF('Final Calculation Sheet'!$M$12="","",'Final Calculation Sheet'!$M$12)</f>
        <v/>
      </c>
      <c r="O30" s="71">
        <f>IF('Final Calculation Sheet'!$N$12="","",'Final Calculation Sheet'!$N$12)</f>
        <v/>
      </c>
      <c r="P30" s="70">
        <f>IF('Final Calculation Sheet'!$O$12="","",'Final Calculation Sheet'!$O$12)</f>
        <v/>
      </c>
      <c r="Q30" s="70">
        <f>IF('Final Calculation Sheet'!$P$12="","",'Final Calculation Sheet'!$P$12)</f>
        <v/>
      </c>
      <c r="R30" s="72">
        <f>IF('Final Calculation Sheet'!$Q$12="","",'Final Calculation Sheet'!$Q$12)</f>
        <v/>
      </c>
      <c r="S30" s="70">
        <f>IF('Final Calculation Sheet'!$R$12="","",'Final Calculation Sheet'!$R$12)</f>
        <v/>
      </c>
      <c r="T30" s="70">
        <f>IF('Final Calculation Sheet'!$S$12="","",'Final Calculation Sheet'!$S$12)</f>
        <v/>
      </c>
      <c r="U30" s="70">
        <f>IF('Final Calculation Sheet'!$T$12="","",'Final Calculation Sheet'!$T$12)</f>
        <v/>
      </c>
      <c r="V30" s="73">
        <f>IF('Final Calculation Sheet'!$U$12="","",'Final Calculation Sheet'!$U$12)</f>
        <v/>
      </c>
      <c r="W30" s="70">
        <f>IF('Final Calculation Sheet'!$V$12="","",'Final Calculation Sheet'!$V$12)</f>
        <v/>
      </c>
      <c r="X30" s="70">
        <f>IF('Final Calculation Sheet'!$W$12="","",'Final Calculation Sheet'!$W$12)</f>
        <v/>
      </c>
      <c r="Y30" s="70">
        <f>IF('Final Calculation Sheet'!$X$12="","",'Final Calculation Sheet'!$X$12)</f>
        <v/>
      </c>
      <c r="Z30" s="70">
        <f>IF('Final Calculation Sheet'!$Y$12="","",'Final Calculation Sheet'!$Y$12)</f>
        <v/>
      </c>
      <c r="AA30" s="70">
        <f>IF('Final Calculation Sheet'!$Z$12="","",'Final Calculation Sheet'!$Z$12)</f>
        <v/>
      </c>
      <c r="AB30" s="70">
        <f>IF('Final Calculation Sheet'!$AA$12="","",'Final Calculation Sheet'!$AA$12)</f>
        <v/>
      </c>
      <c r="AC30" s="70">
        <f>IF('Final Calculation Sheet'!$AB$12="","",'Final Calculation Sheet'!$AB$12)</f>
        <v/>
      </c>
      <c r="AD30" s="70">
        <f>IF('Final Calculation Sheet'!$AC$12="","",'Final Calculation Sheet'!$AC$12)</f>
        <v/>
      </c>
      <c r="AE30" s="70">
        <f>IF('Final Calculation Sheet'!$AD$12="","",'Final Calculation Sheet'!$AD$12)</f>
        <v/>
      </c>
      <c r="AF30" s="70">
        <f>IF('Final Calculation Sheet'!$AE$12="","",'Final Calculation Sheet'!$AE$12)</f>
        <v/>
      </c>
      <c r="AG30" s="74">
        <f>IF('Final Calculation Sheet'!$AF$12="","",'Final Calculation Sheet'!$AF$12)</f>
        <v/>
      </c>
      <c r="AH30" s="70">
        <f>IF('Final Calculation Sheet'!$AG$12="","",'Final Calculation Sheet'!$AG$12)</f>
        <v/>
      </c>
      <c r="AI30" s="75">
        <f>IF('Final Calculation Sheet'!$AD$12="","",IF('Final Calculation Sheet'!$AD$12&lt;=5,"SETTLED","OUTSTANDING"))</f>
        <v/>
      </c>
    </row>
    <row r="31" outlineLevel="1" ht="15" customHeight="1" s="77">
      <c r="A31" s="67" t="n">
        <v>5</v>
      </c>
      <c r="B31" s="68">
        <f>IF('Final Calculation Sheet'!$F$18="","",'Final Calculation Sheet'!$F$18)</f>
        <v/>
      </c>
      <c r="C31" s="68">
        <f>IF('Final Calculation Sheet'!$G$18="","",'Final Calculation Sheet'!$G$18)</f>
        <v/>
      </c>
      <c r="D31" s="69">
        <f>IF('Final Calculation Sheet'!$B$18="","",'Final Calculation Sheet'!$B$18)</f>
        <v/>
      </c>
      <c r="E31" s="69">
        <f>IF('Final Calculation Sheet'!$D$18="","",'Final Calculation Sheet'!$D$18)</f>
        <v/>
      </c>
      <c r="F31" s="69">
        <f>IF('Final Calculation Sheet'!$A$18="","",'Final Calculation Sheet'!$A$18)</f>
        <v/>
      </c>
      <c r="G31" s="69">
        <f>IF('Final Calculation Sheet'!$E$18="","",'Final Calculation Sheet'!$E$18)</f>
        <v/>
      </c>
      <c r="H31" s="70">
        <f>IF('Final Calculation Sheet'!$C$18="","",'Final Calculation Sheet'!$C$18)</f>
        <v/>
      </c>
      <c r="I31" s="70">
        <f>IF('Final Calculation Sheet'!$H$18="","",'Final Calculation Sheet'!$H$18)</f>
        <v/>
      </c>
      <c r="J31" s="70">
        <f>IF('Final Calculation Sheet'!$I$18="","",'Final Calculation Sheet'!$I$18)</f>
        <v/>
      </c>
      <c r="K31" s="70">
        <f>IF('Final Calculation Sheet'!$J$18="","",'Final Calculation Sheet'!$J$18)</f>
        <v/>
      </c>
      <c r="L31" s="70">
        <f>IF('Final Calculation Sheet'!$K$18="","",'Final Calculation Sheet'!$K$18)</f>
        <v/>
      </c>
      <c r="M31" s="70">
        <f>IF('Final Calculation Sheet'!$L$18="","",'Final Calculation Sheet'!$L$18)</f>
        <v/>
      </c>
      <c r="N31" s="70">
        <f>IF('Final Calculation Sheet'!$M$18="","",'Final Calculation Sheet'!$M$18)</f>
        <v/>
      </c>
      <c r="O31" s="71">
        <f>IF('Final Calculation Sheet'!$N$18="","",'Final Calculation Sheet'!$N$18)</f>
        <v/>
      </c>
      <c r="P31" s="70">
        <f>IF('Final Calculation Sheet'!$O$18="","",'Final Calculation Sheet'!$O$18)</f>
        <v/>
      </c>
      <c r="Q31" s="70">
        <f>IF('Final Calculation Sheet'!$P$18="","",'Final Calculation Sheet'!$P$18)</f>
        <v/>
      </c>
      <c r="R31" s="72">
        <f>IF('Final Calculation Sheet'!$Q$18="","",'Final Calculation Sheet'!$Q$18)</f>
        <v/>
      </c>
      <c r="S31" s="70">
        <f>IF('Final Calculation Sheet'!$R$18="","",'Final Calculation Sheet'!$R$18)</f>
        <v/>
      </c>
      <c r="T31" s="70">
        <f>IF('Final Calculation Sheet'!$S$18="","",'Final Calculation Sheet'!$S$18)</f>
        <v/>
      </c>
      <c r="U31" s="70">
        <f>IF('Final Calculation Sheet'!$T$18="","",'Final Calculation Sheet'!$T$18)</f>
        <v/>
      </c>
      <c r="V31" s="73">
        <f>IF('Final Calculation Sheet'!$U$18="","",'Final Calculation Sheet'!$U$18)</f>
        <v/>
      </c>
      <c r="W31" s="70">
        <f>IF('Final Calculation Sheet'!$V$18="","",'Final Calculation Sheet'!$V$18)</f>
        <v/>
      </c>
      <c r="X31" s="70">
        <f>IF('Final Calculation Sheet'!$W$18="","",'Final Calculation Sheet'!$W$18)</f>
        <v/>
      </c>
      <c r="Y31" s="70">
        <f>IF('Final Calculation Sheet'!$X$18="","",'Final Calculation Sheet'!$X$18)</f>
        <v/>
      </c>
      <c r="Z31" s="70">
        <f>IF('Final Calculation Sheet'!$Y$18="","",'Final Calculation Sheet'!$Y$18)</f>
        <v/>
      </c>
      <c r="AA31" s="70">
        <f>IF('Final Calculation Sheet'!$Z$18="","",'Final Calculation Sheet'!$Z$18)</f>
        <v/>
      </c>
      <c r="AB31" s="70">
        <f>IF('Final Calculation Sheet'!$AA$18="","",'Final Calculation Sheet'!$AA$18)</f>
        <v/>
      </c>
      <c r="AC31" s="70">
        <f>IF('Final Calculation Sheet'!$AB$18="","",'Final Calculation Sheet'!$AB$18)</f>
        <v/>
      </c>
      <c r="AD31" s="70">
        <f>IF('Final Calculation Sheet'!$AC$18="","",'Final Calculation Sheet'!$AC$18)</f>
        <v/>
      </c>
      <c r="AE31" s="70">
        <f>IF('Final Calculation Sheet'!$AD$18="","",'Final Calculation Sheet'!$AD$18)</f>
        <v/>
      </c>
      <c r="AF31" s="70">
        <f>IF('Final Calculation Sheet'!$AE$18="","",'Final Calculation Sheet'!$AE$18)</f>
        <v/>
      </c>
      <c r="AG31" s="74">
        <f>IF('Final Calculation Sheet'!$AF$18="","",'Final Calculation Sheet'!$AF$18)</f>
        <v/>
      </c>
      <c r="AH31" s="70">
        <f>IF('Final Calculation Sheet'!$AG$18="","",'Final Calculation Sheet'!$AG$18)</f>
        <v/>
      </c>
      <c r="AI31" s="75">
        <f>IF('Final Calculation Sheet'!$AD$18="","",IF('Final Calculation Sheet'!$AD$18&lt;=5,"SETTLED","OUTSTANDING"))</f>
        <v/>
      </c>
    </row>
    <row r="32" outlineLevel="1" ht="15" customHeight="1" s="77">
      <c r="A32" s="67" t="n">
        <v>6</v>
      </c>
      <c r="B32" s="68">
        <f>IF('Final Calculation Sheet'!$F$19="","",'Final Calculation Sheet'!$F$19)</f>
        <v/>
      </c>
      <c r="C32" s="68">
        <f>IF('Final Calculation Sheet'!$G$19="","",'Final Calculation Sheet'!$G$19)</f>
        <v/>
      </c>
      <c r="D32" s="69">
        <f>IF('Final Calculation Sheet'!$B$19="","",'Final Calculation Sheet'!$B$19)</f>
        <v/>
      </c>
      <c r="E32" s="69">
        <f>IF('Final Calculation Sheet'!$D$19="","",'Final Calculation Sheet'!$D$19)</f>
        <v/>
      </c>
      <c r="F32" s="69">
        <f>IF('Final Calculation Sheet'!$A$19="","",'Final Calculation Sheet'!$A$19)</f>
        <v/>
      </c>
      <c r="G32" s="69">
        <f>IF('Final Calculation Sheet'!$E$19="","",'Final Calculation Sheet'!$E$19)</f>
        <v/>
      </c>
      <c r="H32" s="70">
        <f>IF('Final Calculation Sheet'!$C$19="","",'Final Calculation Sheet'!$C$19)</f>
        <v/>
      </c>
      <c r="I32" s="70">
        <f>IF('Final Calculation Sheet'!$H$19="","",'Final Calculation Sheet'!$H$19)</f>
        <v/>
      </c>
      <c r="J32" s="70">
        <f>IF('Final Calculation Sheet'!$I$19="","",'Final Calculation Sheet'!$I$19)</f>
        <v/>
      </c>
      <c r="K32" s="70">
        <f>IF('Final Calculation Sheet'!$J$19="","",'Final Calculation Sheet'!$J$19)</f>
        <v/>
      </c>
      <c r="L32" s="70">
        <f>IF('Final Calculation Sheet'!$K$19="","",'Final Calculation Sheet'!$K$19)</f>
        <v/>
      </c>
      <c r="M32" s="70">
        <f>IF('Final Calculation Sheet'!$L$19="","",'Final Calculation Sheet'!$L$19)</f>
        <v/>
      </c>
      <c r="N32" s="70">
        <f>IF('Final Calculation Sheet'!$M$19="","",'Final Calculation Sheet'!$M$19)</f>
        <v/>
      </c>
      <c r="O32" s="71">
        <f>IF('Final Calculation Sheet'!$N$19="","",'Final Calculation Sheet'!$N$19)</f>
        <v/>
      </c>
      <c r="P32" s="70">
        <f>IF('Final Calculation Sheet'!$O$19="","",'Final Calculation Sheet'!$O$19)</f>
        <v/>
      </c>
      <c r="Q32" s="70">
        <f>IF('Final Calculation Sheet'!$P$19="","",'Final Calculation Sheet'!$P$19)</f>
        <v/>
      </c>
      <c r="R32" s="72">
        <f>IF('Final Calculation Sheet'!$Q$19="","",'Final Calculation Sheet'!$Q$19)</f>
        <v/>
      </c>
      <c r="S32" s="70">
        <f>IF('Final Calculation Sheet'!$R$19="","",'Final Calculation Sheet'!$R$19)</f>
        <v/>
      </c>
      <c r="T32" s="70">
        <f>IF('Final Calculation Sheet'!$S$19="","",'Final Calculation Sheet'!$S$19)</f>
        <v/>
      </c>
      <c r="U32" s="70">
        <f>IF('Final Calculation Sheet'!$T$19="","",'Final Calculation Sheet'!$T$19)</f>
        <v/>
      </c>
      <c r="V32" s="73">
        <f>IF('Final Calculation Sheet'!$U$19="","",'Final Calculation Sheet'!$U$19)</f>
        <v/>
      </c>
      <c r="W32" s="70">
        <f>IF('Final Calculation Sheet'!$V$19="","",'Final Calculation Sheet'!$V$19)</f>
        <v/>
      </c>
      <c r="X32" s="70">
        <f>IF('Final Calculation Sheet'!$W$19="","",'Final Calculation Sheet'!$W$19)</f>
        <v/>
      </c>
      <c r="Y32" s="70">
        <f>IF('Final Calculation Sheet'!$X$19="","",'Final Calculation Sheet'!$X$19)</f>
        <v/>
      </c>
      <c r="Z32" s="70">
        <f>IF('Final Calculation Sheet'!$Y$19="","",'Final Calculation Sheet'!$Y$19)</f>
        <v/>
      </c>
      <c r="AA32" s="70">
        <f>IF('Final Calculation Sheet'!$Z$19="","",'Final Calculation Sheet'!$Z$19)</f>
        <v/>
      </c>
      <c r="AB32" s="70">
        <f>IF('Final Calculation Sheet'!$AA$19="","",'Final Calculation Sheet'!$AA$19)</f>
        <v/>
      </c>
      <c r="AC32" s="70">
        <f>IF('Final Calculation Sheet'!$AB$19="","",'Final Calculation Sheet'!$AB$19)</f>
        <v/>
      </c>
      <c r="AD32" s="70">
        <f>IF('Final Calculation Sheet'!$AC$19="","",'Final Calculation Sheet'!$AC$19)</f>
        <v/>
      </c>
      <c r="AE32" s="70">
        <f>IF('Final Calculation Sheet'!$AD$19="","",'Final Calculation Sheet'!$AD$19)</f>
        <v/>
      </c>
      <c r="AF32" s="70">
        <f>IF('Final Calculation Sheet'!$AE$19="","",'Final Calculation Sheet'!$AE$19)</f>
        <v/>
      </c>
      <c r="AG32" s="74">
        <f>IF('Final Calculation Sheet'!$AF$19="","",'Final Calculation Sheet'!$AF$19)</f>
        <v/>
      </c>
      <c r="AH32" s="70">
        <f>IF('Final Calculation Sheet'!$AG$19="","",'Final Calculation Sheet'!$AG$19)</f>
        <v/>
      </c>
      <c r="AI32" s="75">
        <f>IF('Final Calculation Sheet'!$AD$19="","",IF('Final Calculation Sheet'!$AD$19&lt;=5,"SETTLED","OUTSTANDING"))</f>
        <v/>
      </c>
    </row>
    <row r="33" outlineLevel="1" ht="15" customHeight="1" s="77">
      <c r="A33" s="67" t="n">
        <v>7</v>
      </c>
      <c r="B33" s="68">
        <f>IF('Final Calculation Sheet'!$F$22="","",'Final Calculation Sheet'!$F$22)</f>
        <v/>
      </c>
      <c r="C33" s="68">
        <f>IF('Final Calculation Sheet'!$G$22="","",'Final Calculation Sheet'!$G$22)</f>
        <v/>
      </c>
      <c r="D33" s="69">
        <f>IF('Final Calculation Sheet'!$B$22="","",'Final Calculation Sheet'!$B$22)</f>
        <v/>
      </c>
      <c r="E33" s="69">
        <f>IF('Final Calculation Sheet'!$D$22="","",'Final Calculation Sheet'!$D$22)</f>
        <v/>
      </c>
      <c r="F33" s="69">
        <f>IF('Final Calculation Sheet'!$A$22="","",'Final Calculation Sheet'!$A$22)</f>
        <v/>
      </c>
      <c r="G33" s="69">
        <f>IF('Final Calculation Sheet'!$E$22="","",'Final Calculation Sheet'!$E$22)</f>
        <v/>
      </c>
      <c r="H33" s="70">
        <f>IF('Final Calculation Sheet'!$C$22="","",'Final Calculation Sheet'!$C$22)</f>
        <v/>
      </c>
      <c r="I33" s="70">
        <f>IF('Final Calculation Sheet'!$H$22="","",'Final Calculation Sheet'!$H$22)</f>
        <v/>
      </c>
      <c r="J33" s="70">
        <f>IF('Final Calculation Sheet'!$I$22="","",'Final Calculation Sheet'!$I$22)</f>
        <v/>
      </c>
      <c r="K33" s="70">
        <f>IF('Final Calculation Sheet'!$J$22="","",'Final Calculation Sheet'!$J$22)</f>
        <v/>
      </c>
      <c r="L33" s="70">
        <f>IF('Final Calculation Sheet'!$K$22="","",'Final Calculation Sheet'!$K$22)</f>
        <v/>
      </c>
      <c r="M33" s="70">
        <f>IF('Final Calculation Sheet'!$L$22="","",'Final Calculation Sheet'!$L$22)</f>
        <v/>
      </c>
      <c r="N33" s="70">
        <f>IF('Final Calculation Sheet'!$M$22="","",'Final Calculation Sheet'!$M$22)</f>
        <v/>
      </c>
      <c r="O33" s="71">
        <f>IF('Final Calculation Sheet'!$N$22="","",'Final Calculation Sheet'!$N$22)</f>
        <v/>
      </c>
      <c r="P33" s="70">
        <f>IF('Final Calculation Sheet'!$O$22="","",'Final Calculation Sheet'!$O$22)</f>
        <v/>
      </c>
      <c r="Q33" s="70">
        <f>IF('Final Calculation Sheet'!$P$22="","",'Final Calculation Sheet'!$P$22)</f>
        <v/>
      </c>
      <c r="R33" s="72">
        <f>IF('Final Calculation Sheet'!$Q$22="","",'Final Calculation Sheet'!$Q$22)</f>
        <v/>
      </c>
      <c r="S33" s="70">
        <f>IF('Final Calculation Sheet'!$R$22="","",'Final Calculation Sheet'!$R$22)</f>
        <v/>
      </c>
      <c r="T33" s="70">
        <f>IF('Final Calculation Sheet'!$S$22="","",'Final Calculation Sheet'!$S$22)</f>
        <v/>
      </c>
      <c r="U33" s="70">
        <f>IF('Final Calculation Sheet'!$T$22="","",'Final Calculation Sheet'!$T$22)</f>
        <v/>
      </c>
      <c r="V33" s="73">
        <f>IF('Final Calculation Sheet'!$U$22="","",'Final Calculation Sheet'!$U$22)</f>
        <v/>
      </c>
      <c r="W33" s="70">
        <f>IF('Final Calculation Sheet'!$V$22="","",'Final Calculation Sheet'!$V$22)</f>
        <v/>
      </c>
      <c r="X33" s="70">
        <f>IF('Final Calculation Sheet'!$W$22="","",'Final Calculation Sheet'!$W$22)</f>
        <v/>
      </c>
      <c r="Y33" s="70">
        <f>IF('Final Calculation Sheet'!$X$22="","",'Final Calculation Sheet'!$X$22)</f>
        <v/>
      </c>
      <c r="Z33" s="70">
        <f>IF('Final Calculation Sheet'!$Y$22="","",'Final Calculation Sheet'!$Y$22)</f>
        <v/>
      </c>
      <c r="AA33" s="70">
        <f>IF('Final Calculation Sheet'!$Z$22="","",'Final Calculation Sheet'!$Z$22)</f>
        <v/>
      </c>
      <c r="AB33" s="70">
        <f>IF('Final Calculation Sheet'!$AA$22="","",'Final Calculation Sheet'!$AA$22)</f>
        <v/>
      </c>
      <c r="AC33" s="70">
        <f>IF('Final Calculation Sheet'!$AB$22="","",'Final Calculation Sheet'!$AB$22)</f>
        <v/>
      </c>
      <c r="AD33" s="70">
        <f>IF('Final Calculation Sheet'!$AC$22="","",'Final Calculation Sheet'!$AC$22)</f>
        <v/>
      </c>
      <c r="AE33" s="70">
        <f>IF('Final Calculation Sheet'!$AD$22="","",'Final Calculation Sheet'!$AD$22)</f>
        <v/>
      </c>
      <c r="AF33" s="70">
        <f>IF('Final Calculation Sheet'!$AE$22="","",'Final Calculation Sheet'!$AE$22)</f>
        <v/>
      </c>
      <c r="AG33" s="74">
        <f>IF('Final Calculation Sheet'!$AF$22="","",'Final Calculation Sheet'!$AF$22)</f>
        <v/>
      </c>
      <c r="AH33" s="70">
        <f>IF('Final Calculation Sheet'!$AG$22="","",'Final Calculation Sheet'!$AG$22)</f>
        <v/>
      </c>
      <c r="AI33" s="75">
        <f>IF('Final Calculation Sheet'!$AD$22="","",IF('Final Calculation Sheet'!$AD$22&lt;=5,"SETTLED","OUTSTANDING"))</f>
        <v/>
      </c>
    </row>
    <row r="34" outlineLevel="1" ht="15" customHeight="1" s="77">
      <c r="A34" s="67" t="n">
        <v>8</v>
      </c>
      <c r="B34" s="68">
        <f>IF('Final Calculation Sheet'!$F$24="","",'Final Calculation Sheet'!$F$24)</f>
        <v/>
      </c>
      <c r="C34" s="68">
        <f>IF('Final Calculation Sheet'!$G$24="","",'Final Calculation Sheet'!$G$24)</f>
        <v/>
      </c>
      <c r="D34" s="69">
        <f>IF('Final Calculation Sheet'!$B$24="","",'Final Calculation Sheet'!$B$24)</f>
        <v/>
      </c>
      <c r="E34" s="69">
        <f>IF('Final Calculation Sheet'!$D$24="","",'Final Calculation Sheet'!$D$24)</f>
        <v/>
      </c>
      <c r="F34" s="69">
        <f>IF('Final Calculation Sheet'!$A$24="","",'Final Calculation Sheet'!$A$24)</f>
        <v/>
      </c>
      <c r="G34" s="69">
        <f>IF('Final Calculation Sheet'!$E$24="","",'Final Calculation Sheet'!$E$24)</f>
        <v/>
      </c>
      <c r="H34" s="70">
        <f>IF('Final Calculation Sheet'!$C$24="","",'Final Calculation Sheet'!$C$24)</f>
        <v/>
      </c>
      <c r="I34" s="70">
        <f>IF('Final Calculation Sheet'!$H$24="","",'Final Calculation Sheet'!$H$24)</f>
        <v/>
      </c>
      <c r="J34" s="70">
        <f>IF('Final Calculation Sheet'!$I$24="","",'Final Calculation Sheet'!$I$24)</f>
        <v/>
      </c>
      <c r="K34" s="70">
        <f>IF('Final Calculation Sheet'!$J$24="","",'Final Calculation Sheet'!$J$24)</f>
        <v/>
      </c>
      <c r="L34" s="70">
        <f>IF('Final Calculation Sheet'!$K$24="","",'Final Calculation Sheet'!$K$24)</f>
        <v/>
      </c>
      <c r="M34" s="70">
        <f>IF('Final Calculation Sheet'!$L$24="","",'Final Calculation Sheet'!$L$24)</f>
        <v/>
      </c>
      <c r="N34" s="70">
        <f>IF('Final Calculation Sheet'!$M$24="","",'Final Calculation Sheet'!$M$24)</f>
        <v/>
      </c>
      <c r="O34" s="71">
        <f>IF('Final Calculation Sheet'!$N$24="","",'Final Calculation Sheet'!$N$24)</f>
        <v/>
      </c>
      <c r="P34" s="70">
        <f>IF('Final Calculation Sheet'!$O$24="","",'Final Calculation Sheet'!$O$24)</f>
        <v/>
      </c>
      <c r="Q34" s="70">
        <f>IF('Final Calculation Sheet'!$P$24="","",'Final Calculation Sheet'!$P$24)</f>
        <v/>
      </c>
      <c r="R34" s="72">
        <f>IF('Final Calculation Sheet'!$Q$24="","",'Final Calculation Sheet'!$Q$24)</f>
        <v/>
      </c>
      <c r="S34" s="70">
        <f>IF('Final Calculation Sheet'!$R$24="","",'Final Calculation Sheet'!$R$24)</f>
        <v/>
      </c>
      <c r="T34" s="70">
        <f>IF('Final Calculation Sheet'!$S$24="","",'Final Calculation Sheet'!$S$24)</f>
        <v/>
      </c>
      <c r="U34" s="70">
        <f>IF('Final Calculation Sheet'!$T$24="","",'Final Calculation Sheet'!$T$24)</f>
        <v/>
      </c>
      <c r="V34" s="73">
        <f>IF('Final Calculation Sheet'!$U$24="","",'Final Calculation Sheet'!$U$24)</f>
        <v/>
      </c>
      <c r="W34" s="70">
        <f>IF('Final Calculation Sheet'!$V$24="","",'Final Calculation Sheet'!$V$24)</f>
        <v/>
      </c>
      <c r="X34" s="70">
        <f>IF('Final Calculation Sheet'!$W$24="","",'Final Calculation Sheet'!$W$24)</f>
        <v/>
      </c>
      <c r="Y34" s="70">
        <f>IF('Final Calculation Sheet'!$X$24="","",'Final Calculation Sheet'!$X$24)</f>
        <v/>
      </c>
      <c r="Z34" s="70">
        <f>IF('Final Calculation Sheet'!$Y$24="","",'Final Calculation Sheet'!$Y$24)</f>
        <v/>
      </c>
      <c r="AA34" s="70">
        <f>IF('Final Calculation Sheet'!$Z$24="","",'Final Calculation Sheet'!$Z$24)</f>
        <v/>
      </c>
      <c r="AB34" s="70">
        <f>IF('Final Calculation Sheet'!$AA$24="","",'Final Calculation Sheet'!$AA$24)</f>
        <v/>
      </c>
      <c r="AC34" s="70">
        <f>IF('Final Calculation Sheet'!$AB$24="","",'Final Calculation Sheet'!$AB$24)</f>
        <v/>
      </c>
      <c r="AD34" s="70">
        <f>IF('Final Calculation Sheet'!$AC$24="","",'Final Calculation Sheet'!$AC$24)</f>
        <v/>
      </c>
      <c r="AE34" s="70">
        <f>IF('Final Calculation Sheet'!$AD$24="","",'Final Calculation Sheet'!$AD$24)</f>
        <v/>
      </c>
      <c r="AF34" s="70">
        <f>IF('Final Calculation Sheet'!$AE$24="","",'Final Calculation Sheet'!$AE$24)</f>
        <v/>
      </c>
      <c r="AG34" s="74">
        <f>IF('Final Calculation Sheet'!$AF$24="","",'Final Calculation Sheet'!$AF$24)</f>
        <v/>
      </c>
      <c r="AH34" s="70">
        <f>IF('Final Calculation Sheet'!$AG$24="","",'Final Calculation Sheet'!$AG$24)</f>
        <v/>
      </c>
      <c r="AI34" s="75">
        <f>IF('Final Calculation Sheet'!$AD$24="","",IF('Final Calculation Sheet'!$AD$24&lt;=5,"SETTLED","OUTSTANDING"))</f>
        <v/>
      </c>
    </row>
    <row r="35" outlineLevel="1" ht="15" customHeight="1" s="77">
      <c r="A35" s="67" t="n">
        <v>9</v>
      </c>
      <c r="B35" s="68">
        <f>IF('Final Calculation Sheet'!$F$26="","",'Final Calculation Sheet'!$F$26)</f>
        <v/>
      </c>
      <c r="C35" s="68">
        <f>IF('Final Calculation Sheet'!$G$26="","",'Final Calculation Sheet'!$G$26)</f>
        <v/>
      </c>
      <c r="D35" s="69">
        <f>IF('Final Calculation Sheet'!$B$26="","",'Final Calculation Sheet'!$B$26)</f>
        <v/>
      </c>
      <c r="E35" s="69">
        <f>IF('Final Calculation Sheet'!$D$26="","",'Final Calculation Sheet'!$D$26)</f>
        <v/>
      </c>
      <c r="F35" s="69">
        <f>IF('Final Calculation Sheet'!$A$26="","",'Final Calculation Sheet'!$A$26)</f>
        <v/>
      </c>
      <c r="G35" s="69">
        <f>IF('Final Calculation Sheet'!$E$26="","",'Final Calculation Sheet'!$E$26)</f>
        <v/>
      </c>
      <c r="H35" s="70">
        <f>IF('Final Calculation Sheet'!$C$26="","",'Final Calculation Sheet'!$C$26)</f>
        <v/>
      </c>
      <c r="I35" s="70">
        <f>IF('Final Calculation Sheet'!$H$26="","",'Final Calculation Sheet'!$H$26)</f>
        <v/>
      </c>
      <c r="J35" s="70">
        <f>IF('Final Calculation Sheet'!$I$26="","",'Final Calculation Sheet'!$I$26)</f>
        <v/>
      </c>
      <c r="K35" s="70">
        <f>IF('Final Calculation Sheet'!$J$26="","",'Final Calculation Sheet'!$J$26)</f>
        <v/>
      </c>
      <c r="L35" s="70">
        <f>IF('Final Calculation Sheet'!$K$26="","",'Final Calculation Sheet'!$K$26)</f>
        <v/>
      </c>
      <c r="M35" s="70">
        <f>IF('Final Calculation Sheet'!$L$26="","",'Final Calculation Sheet'!$L$26)</f>
        <v/>
      </c>
      <c r="N35" s="70">
        <f>IF('Final Calculation Sheet'!$M$26="","",'Final Calculation Sheet'!$M$26)</f>
        <v/>
      </c>
      <c r="O35" s="71">
        <f>IF('Final Calculation Sheet'!$N$26="","",'Final Calculation Sheet'!$N$26)</f>
        <v/>
      </c>
      <c r="P35" s="70">
        <f>IF('Final Calculation Sheet'!$O$26="","",'Final Calculation Sheet'!$O$26)</f>
        <v/>
      </c>
      <c r="Q35" s="70">
        <f>IF('Final Calculation Sheet'!$P$26="","",'Final Calculation Sheet'!$P$26)</f>
        <v/>
      </c>
      <c r="R35" s="72">
        <f>IF('Final Calculation Sheet'!$Q$26="","",'Final Calculation Sheet'!$Q$26)</f>
        <v/>
      </c>
      <c r="S35" s="70">
        <f>IF('Final Calculation Sheet'!$R$26="","",'Final Calculation Sheet'!$R$26)</f>
        <v/>
      </c>
      <c r="T35" s="70">
        <f>IF('Final Calculation Sheet'!$S$26="","",'Final Calculation Sheet'!$S$26)</f>
        <v/>
      </c>
      <c r="U35" s="70">
        <f>IF('Final Calculation Sheet'!$T$26="","",'Final Calculation Sheet'!$T$26)</f>
        <v/>
      </c>
      <c r="V35" s="73">
        <f>IF('Final Calculation Sheet'!$U$26="","",'Final Calculation Sheet'!$U$26)</f>
        <v/>
      </c>
      <c r="W35" s="70">
        <f>IF('Final Calculation Sheet'!$V$26="","",'Final Calculation Sheet'!$V$26)</f>
        <v/>
      </c>
      <c r="X35" s="70">
        <f>IF('Final Calculation Sheet'!$W$26="","",'Final Calculation Sheet'!$W$26)</f>
        <v/>
      </c>
      <c r="Y35" s="70">
        <f>IF('Final Calculation Sheet'!$X$26="","",'Final Calculation Sheet'!$X$26)</f>
        <v/>
      </c>
      <c r="Z35" s="70">
        <f>IF('Final Calculation Sheet'!$Y$26="","",'Final Calculation Sheet'!$Y$26)</f>
        <v/>
      </c>
      <c r="AA35" s="70">
        <f>IF('Final Calculation Sheet'!$Z$26="","",'Final Calculation Sheet'!$Z$26)</f>
        <v/>
      </c>
      <c r="AB35" s="70">
        <f>IF('Final Calculation Sheet'!$AA$26="","",'Final Calculation Sheet'!$AA$26)</f>
        <v/>
      </c>
      <c r="AC35" s="70">
        <f>IF('Final Calculation Sheet'!$AB$26="","",'Final Calculation Sheet'!$AB$26)</f>
        <v/>
      </c>
      <c r="AD35" s="70">
        <f>IF('Final Calculation Sheet'!$AC$26="","",'Final Calculation Sheet'!$AC$26)</f>
        <v/>
      </c>
      <c r="AE35" s="70">
        <f>IF('Final Calculation Sheet'!$AD$26="","",'Final Calculation Sheet'!$AD$26)</f>
        <v/>
      </c>
      <c r="AF35" s="70">
        <f>IF('Final Calculation Sheet'!$AE$26="","",'Final Calculation Sheet'!$AE$26)</f>
        <v/>
      </c>
      <c r="AG35" s="74">
        <f>IF('Final Calculation Sheet'!$AF$26="","",'Final Calculation Sheet'!$AF$26)</f>
        <v/>
      </c>
      <c r="AH35" s="70">
        <f>IF('Final Calculation Sheet'!$AG$26="","",'Final Calculation Sheet'!$AG$26)</f>
        <v/>
      </c>
      <c r="AI35" s="75">
        <f>IF('Final Calculation Sheet'!$AD$26="","",IF('Final Calculation Sheet'!$AD$26&lt;=5,"SETTLED","OUTSTANDING"))</f>
        <v/>
      </c>
    </row>
    <row r="36" outlineLevel="1" ht="15" customHeight="1" s="77">
      <c r="A36" s="67" t="n">
        <v>10</v>
      </c>
      <c r="B36" s="68">
        <f>IF('Final Calculation Sheet'!$F$30="","",'Final Calculation Sheet'!$F$30)</f>
        <v/>
      </c>
      <c r="C36" s="68">
        <f>IF('Final Calculation Sheet'!$G$30="","",'Final Calculation Sheet'!$G$30)</f>
        <v/>
      </c>
      <c r="D36" s="69">
        <f>IF('Final Calculation Sheet'!$B$30="","",'Final Calculation Sheet'!$B$30)</f>
        <v/>
      </c>
      <c r="E36" s="69">
        <f>IF('Final Calculation Sheet'!$D$30="","",'Final Calculation Sheet'!$D$30)</f>
        <v/>
      </c>
      <c r="F36" s="69">
        <f>IF('Final Calculation Sheet'!$A$30="","",'Final Calculation Sheet'!$A$30)</f>
        <v/>
      </c>
      <c r="G36" s="69">
        <f>IF('Final Calculation Sheet'!$E$30="","",'Final Calculation Sheet'!$E$30)</f>
        <v/>
      </c>
      <c r="H36" s="70">
        <f>IF('Final Calculation Sheet'!$C$30="","",'Final Calculation Sheet'!$C$30)</f>
        <v/>
      </c>
      <c r="I36" s="70">
        <f>IF('Final Calculation Sheet'!$H$30="","",'Final Calculation Sheet'!$H$30)</f>
        <v/>
      </c>
      <c r="J36" s="70">
        <f>IF('Final Calculation Sheet'!$I$30="","",'Final Calculation Sheet'!$I$30)</f>
        <v/>
      </c>
      <c r="K36" s="70">
        <f>IF('Final Calculation Sheet'!$J$30="","",'Final Calculation Sheet'!$J$30)</f>
        <v/>
      </c>
      <c r="L36" s="70">
        <f>IF('Final Calculation Sheet'!$K$30="","",'Final Calculation Sheet'!$K$30)</f>
        <v/>
      </c>
      <c r="M36" s="70">
        <f>IF('Final Calculation Sheet'!$L$30="","",'Final Calculation Sheet'!$L$30)</f>
        <v/>
      </c>
      <c r="N36" s="70">
        <f>IF('Final Calculation Sheet'!$M$30="","",'Final Calculation Sheet'!$M$30)</f>
        <v/>
      </c>
      <c r="O36" s="71">
        <f>IF('Final Calculation Sheet'!$N$30="","",'Final Calculation Sheet'!$N$30)</f>
        <v/>
      </c>
      <c r="P36" s="70">
        <f>IF('Final Calculation Sheet'!$O$30="","",'Final Calculation Sheet'!$O$30)</f>
        <v/>
      </c>
      <c r="Q36" s="70">
        <f>IF('Final Calculation Sheet'!$P$30="","",'Final Calculation Sheet'!$P$30)</f>
        <v/>
      </c>
      <c r="R36" s="72">
        <f>IF('Final Calculation Sheet'!$Q$30="","",'Final Calculation Sheet'!$Q$30)</f>
        <v/>
      </c>
      <c r="S36" s="70">
        <f>IF('Final Calculation Sheet'!$R$30="","",'Final Calculation Sheet'!$R$30)</f>
        <v/>
      </c>
      <c r="T36" s="70">
        <f>IF('Final Calculation Sheet'!$S$30="","",'Final Calculation Sheet'!$S$30)</f>
        <v/>
      </c>
      <c r="U36" s="70">
        <f>IF('Final Calculation Sheet'!$T$30="","",'Final Calculation Sheet'!$T$30)</f>
        <v/>
      </c>
      <c r="V36" s="73">
        <f>IF('Final Calculation Sheet'!$U$30="","",'Final Calculation Sheet'!$U$30)</f>
        <v/>
      </c>
      <c r="W36" s="70">
        <f>IF('Final Calculation Sheet'!$V$30="","",'Final Calculation Sheet'!$V$30)</f>
        <v/>
      </c>
      <c r="X36" s="70">
        <f>IF('Final Calculation Sheet'!$W$30="","",'Final Calculation Sheet'!$W$30)</f>
        <v/>
      </c>
      <c r="Y36" s="70">
        <f>IF('Final Calculation Sheet'!$X$30="","",'Final Calculation Sheet'!$X$30)</f>
        <v/>
      </c>
      <c r="Z36" s="70">
        <f>IF('Final Calculation Sheet'!$Y$30="","",'Final Calculation Sheet'!$Y$30)</f>
        <v/>
      </c>
      <c r="AA36" s="70">
        <f>IF('Final Calculation Sheet'!$Z$30="","",'Final Calculation Sheet'!$Z$30)</f>
        <v/>
      </c>
      <c r="AB36" s="70">
        <f>IF('Final Calculation Sheet'!$AA$30="","",'Final Calculation Sheet'!$AA$30)</f>
        <v/>
      </c>
      <c r="AC36" s="70">
        <f>IF('Final Calculation Sheet'!$AB$30="","",'Final Calculation Sheet'!$AB$30)</f>
        <v/>
      </c>
      <c r="AD36" s="70">
        <f>IF('Final Calculation Sheet'!$AC$30="","",'Final Calculation Sheet'!$AC$30)</f>
        <v/>
      </c>
      <c r="AE36" s="70">
        <f>IF('Final Calculation Sheet'!$AD$30="","",'Final Calculation Sheet'!$AD$30)</f>
        <v/>
      </c>
      <c r="AF36" s="70">
        <f>IF('Final Calculation Sheet'!$AE$30="","",'Final Calculation Sheet'!$AE$30)</f>
        <v/>
      </c>
      <c r="AG36" s="74">
        <f>IF('Final Calculation Sheet'!$AF$30="","",'Final Calculation Sheet'!$AF$30)</f>
        <v/>
      </c>
      <c r="AH36" s="70">
        <f>IF('Final Calculation Sheet'!$AG$30="","",'Final Calculation Sheet'!$AG$30)</f>
        <v/>
      </c>
      <c r="AI36" s="75">
        <f>IF('Final Calculation Sheet'!$AD$30="","",IF('Final Calculation Sheet'!$AD$30&lt;=5,"SETTLED","OUTSTANDING"))</f>
        <v/>
      </c>
    </row>
    <row r="37" outlineLevel="1" ht="15" customHeight="1" s="77">
      <c r="A37" s="67" t="n">
        <v>11</v>
      </c>
      <c r="B37" s="68">
        <f>IF('Final Calculation Sheet'!$F$32="","",'Final Calculation Sheet'!$F$32)</f>
        <v/>
      </c>
      <c r="C37" s="68">
        <f>IF('Final Calculation Sheet'!$G$32="","",'Final Calculation Sheet'!$G$32)</f>
        <v/>
      </c>
      <c r="D37" s="69">
        <f>IF('Final Calculation Sheet'!$B$32="","",'Final Calculation Sheet'!$B$32)</f>
        <v/>
      </c>
      <c r="E37" s="69">
        <f>IF('Final Calculation Sheet'!$D$32="","",'Final Calculation Sheet'!$D$32)</f>
        <v/>
      </c>
      <c r="F37" s="69">
        <f>IF('Final Calculation Sheet'!$A$32="","",'Final Calculation Sheet'!$A$32)</f>
        <v/>
      </c>
      <c r="G37" s="69">
        <f>IF('Final Calculation Sheet'!$E$32="","",'Final Calculation Sheet'!$E$32)</f>
        <v/>
      </c>
      <c r="H37" s="70">
        <f>IF('Final Calculation Sheet'!$C$32="","",'Final Calculation Sheet'!$C$32)</f>
        <v/>
      </c>
      <c r="I37" s="70">
        <f>IF('Final Calculation Sheet'!$H$32="","",'Final Calculation Sheet'!$H$32)</f>
        <v/>
      </c>
      <c r="J37" s="70">
        <f>IF('Final Calculation Sheet'!$I$32="","",'Final Calculation Sheet'!$I$32)</f>
        <v/>
      </c>
      <c r="K37" s="70">
        <f>IF('Final Calculation Sheet'!$J$32="","",'Final Calculation Sheet'!$J$32)</f>
        <v/>
      </c>
      <c r="L37" s="70">
        <f>IF('Final Calculation Sheet'!$K$32="","",'Final Calculation Sheet'!$K$32)</f>
        <v/>
      </c>
      <c r="M37" s="70">
        <f>IF('Final Calculation Sheet'!$L$32="","",'Final Calculation Sheet'!$L$32)</f>
        <v/>
      </c>
      <c r="N37" s="70">
        <f>IF('Final Calculation Sheet'!$M$32="","",'Final Calculation Sheet'!$M$32)</f>
        <v/>
      </c>
      <c r="O37" s="71">
        <f>IF('Final Calculation Sheet'!$N$32="","",'Final Calculation Sheet'!$N$32)</f>
        <v/>
      </c>
      <c r="P37" s="70">
        <f>IF('Final Calculation Sheet'!$O$32="","",'Final Calculation Sheet'!$O$32)</f>
        <v/>
      </c>
      <c r="Q37" s="70">
        <f>IF('Final Calculation Sheet'!$P$32="","",'Final Calculation Sheet'!$P$32)</f>
        <v/>
      </c>
      <c r="R37" s="72">
        <f>IF('Final Calculation Sheet'!$Q$32="","",'Final Calculation Sheet'!$Q$32)</f>
        <v/>
      </c>
      <c r="S37" s="70">
        <f>IF('Final Calculation Sheet'!$R$32="","",'Final Calculation Sheet'!$R$32)</f>
        <v/>
      </c>
      <c r="T37" s="70">
        <f>IF('Final Calculation Sheet'!$S$32="","",'Final Calculation Sheet'!$S$32)</f>
        <v/>
      </c>
      <c r="U37" s="70">
        <f>IF('Final Calculation Sheet'!$T$32="","",'Final Calculation Sheet'!$T$32)</f>
        <v/>
      </c>
      <c r="V37" s="73">
        <f>IF('Final Calculation Sheet'!$U$32="","",'Final Calculation Sheet'!$U$32)</f>
        <v/>
      </c>
      <c r="W37" s="70">
        <f>IF('Final Calculation Sheet'!$V$32="","",'Final Calculation Sheet'!$V$32)</f>
        <v/>
      </c>
      <c r="X37" s="70">
        <f>IF('Final Calculation Sheet'!$W$32="","",'Final Calculation Sheet'!$W$32)</f>
        <v/>
      </c>
      <c r="Y37" s="70">
        <f>IF('Final Calculation Sheet'!$X$32="","",'Final Calculation Sheet'!$X$32)</f>
        <v/>
      </c>
      <c r="Z37" s="70">
        <f>IF('Final Calculation Sheet'!$Y$32="","",'Final Calculation Sheet'!$Y$32)</f>
        <v/>
      </c>
      <c r="AA37" s="70">
        <f>IF('Final Calculation Sheet'!$Z$32="","",'Final Calculation Sheet'!$Z$32)</f>
        <v/>
      </c>
      <c r="AB37" s="70">
        <f>IF('Final Calculation Sheet'!$AA$32="","",'Final Calculation Sheet'!$AA$32)</f>
        <v/>
      </c>
      <c r="AC37" s="70">
        <f>IF('Final Calculation Sheet'!$AB$32="","",'Final Calculation Sheet'!$AB$32)</f>
        <v/>
      </c>
      <c r="AD37" s="70">
        <f>IF('Final Calculation Sheet'!$AC$32="","",'Final Calculation Sheet'!$AC$32)</f>
        <v/>
      </c>
      <c r="AE37" s="70">
        <f>IF('Final Calculation Sheet'!$AD$32="","",'Final Calculation Sheet'!$AD$32)</f>
        <v/>
      </c>
      <c r="AF37" s="70">
        <f>IF('Final Calculation Sheet'!$AE$32="","",'Final Calculation Sheet'!$AE$32)</f>
        <v/>
      </c>
      <c r="AG37" s="74">
        <f>IF('Final Calculation Sheet'!$AF$32="","",'Final Calculation Sheet'!$AF$32)</f>
        <v/>
      </c>
      <c r="AH37" s="70">
        <f>IF('Final Calculation Sheet'!$AG$32="","",'Final Calculation Sheet'!$AG$32)</f>
        <v/>
      </c>
      <c r="AI37" s="75">
        <f>IF('Final Calculation Sheet'!$AD$32="","",IF('Final Calculation Sheet'!$AD$32&lt;=5,"SETTLED","OUTSTANDING"))</f>
        <v/>
      </c>
    </row>
    <row r="38" outlineLevel="1" ht="15" customHeight="1" s="77">
      <c r="A38" s="67" t="n">
        <v>12</v>
      </c>
      <c r="B38" s="68">
        <f>IF('Final Calculation Sheet'!$F$33="","",'Final Calculation Sheet'!$F$33)</f>
        <v/>
      </c>
      <c r="C38" s="68">
        <f>IF('Final Calculation Sheet'!$G$33="","",'Final Calculation Sheet'!$G$33)</f>
        <v/>
      </c>
      <c r="D38" s="69">
        <f>IF('Final Calculation Sheet'!$B$33="","",'Final Calculation Sheet'!$B$33)</f>
        <v/>
      </c>
      <c r="E38" s="69">
        <f>IF('Final Calculation Sheet'!$D$33="","",'Final Calculation Sheet'!$D$33)</f>
        <v/>
      </c>
      <c r="F38" s="69">
        <f>IF('Final Calculation Sheet'!$A$33="","",'Final Calculation Sheet'!$A$33)</f>
        <v/>
      </c>
      <c r="G38" s="69">
        <f>IF('Final Calculation Sheet'!$E$33="","",'Final Calculation Sheet'!$E$33)</f>
        <v/>
      </c>
      <c r="H38" s="70">
        <f>IF('Final Calculation Sheet'!$C$33="","",'Final Calculation Sheet'!$C$33)</f>
        <v/>
      </c>
      <c r="I38" s="70">
        <f>IF('Final Calculation Sheet'!$H$33="","",'Final Calculation Sheet'!$H$33)</f>
        <v/>
      </c>
      <c r="J38" s="70">
        <f>IF('Final Calculation Sheet'!$I$33="","",'Final Calculation Sheet'!$I$33)</f>
        <v/>
      </c>
      <c r="K38" s="70">
        <f>IF('Final Calculation Sheet'!$J$33="","",'Final Calculation Sheet'!$J$33)</f>
        <v/>
      </c>
      <c r="L38" s="70">
        <f>IF('Final Calculation Sheet'!$K$33="","",'Final Calculation Sheet'!$K$33)</f>
        <v/>
      </c>
      <c r="M38" s="70">
        <f>IF('Final Calculation Sheet'!$L$33="","",'Final Calculation Sheet'!$L$33)</f>
        <v/>
      </c>
      <c r="N38" s="70">
        <f>IF('Final Calculation Sheet'!$M$33="","",'Final Calculation Sheet'!$M$33)</f>
        <v/>
      </c>
      <c r="O38" s="71">
        <f>IF('Final Calculation Sheet'!$N$33="","",'Final Calculation Sheet'!$N$33)</f>
        <v/>
      </c>
      <c r="P38" s="70">
        <f>IF('Final Calculation Sheet'!$O$33="","",'Final Calculation Sheet'!$O$33)</f>
        <v/>
      </c>
      <c r="Q38" s="70">
        <f>IF('Final Calculation Sheet'!$P$33="","",'Final Calculation Sheet'!$P$33)</f>
        <v/>
      </c>
      <c r="R38" s="72">
        <f>IF('Final Calculation Sheet'!$Q$33="","",'Final Calculation Sheet'!$Q$33)</f>
        <v/>
      </c>
      <c r="S38" s="70">
        <f>IF('Final Calculation Sheet'!$R$33="","",'Final Calculation Sheet'!$R$33)</f>
        <v/>
      </c>
      <c r="T38" s="70">
        <f>IF('Final Calculation Sheet'!$S$33="","",'Final Calculation Sheet'!$S$33)</f>
        <v/>
      </c>
      <c r="U38" s="70">
        <f>IF('Final Calculation Sheet'!$T$33="","",'Final Calculation Sheet'!$T$33)</f>
        <v/>
      </c>
      <c r="V38" s="73">
        <f>IF('Final Calculation Sheet'!$U$33="","",'Final Calculation Sheet'!$U$33)</f>
        <v/>
      </c>
      <c r="W38" s="70">
        <f>IF('Final Calculation Sheet'!$V$33="","",'Final Calculation Sheet'!$V$33)</f>
        <v/>
      </c>
      <c r="X38" s="70">
        <f>IF('Final Calculation Sheet'!$W$33="","",'Final Calculation Sheet'!$W$33)</f>
        <v/>
      </c>
      <c r="Y38" s="70">
        <f>IF('Final Calculation Sheet'!$X$33="","",'Final Calculation Sheet'!$X$33)</f>
        <v/>
      </c>
      <c r="Z38" s="70">
        <f>IF('Final Calculation Sheet'!$Y$33="","",'Final Calculation Sheet'!$Y$33)</f>
        <v/>
      </c>
      <c r="AA38" s="70">
        <f>IF('Final Calculation Sheet'!$Z$33="","",'Final Calculation Sheet'!$Z$33)</f>
        <v/>
      </c>
      <c r="AB38" s="70">
        <f>IF('Final Calculation Sheet'!$AA$33="","",'Final Calculation Sheet'!$AA$33)</f>
        <v/>
      </c>
      <c r="AC38" s="70">
        <f>IF('Final Calculation Sheet'!$AB$33="","",'Final Calculation Sheet'!$AB$33)</f>
        <v/>
      </c>
      <c r="AD38" s="70">
        <f>IF('Final Calculation Sheet'!$AC$33="","",'Final Calculation Sheet'!$AC$33)</f>
        <v/>
      </c>
      <c r="AE38" s="70">
        <f>IF('Final Calculation Sheet'!$AD$33="","",'Final Calculation Sheet'!$AD$33)</f>
        <v/>
      </c>
      <c r="AF38" s="70">
        <f>IF('Final Calculation Sheet'!$AE$33="","",'Final Calculation Sheet'!$AE$33)</f>
        <v/>
      </c>
      <c r="AG38" s="74">
        <f>IF('Final Calculation Sheet'!$AF$33="","",'Final Calculation Sheet'!$AF$33)</f>
        <v/>
      </c>
      <c r="AH38" s="70">
        <f>IF('Final Calculation Sheet'!$AG$33="","",'Final Calculation Sheet'!$AG$33)</f>
        <v/>
      </c>
      <c r="AI38" s="75">
        <f>IF('Final Calculation Sheet'!$AD$33="","",IF('Final Calculation Sheet'!$AD$33&lt;=5,"SETTLED","OUTSTANDING"))</f>
        <v/>
      </c>
    </row>
    <row r="39" outlineLevel="1" ht="15" customHeight="1" s="77">
      <c r="A39" s="67" t="n">
        <v>13</v>
      </c>
      <c r="B39" s="68">
        <f>IF('Final Calculation Sheet'!$F$37="","",'Final Calculation Sheet'!$F$37)</f>
        <v/>
      </c>
      <c r="C39" s="68">
        <f>IF('Final Calculation Sheet'!$G$37="","",'Final Calculation Sheet'!$G$37)</f>
        <v/>
      </c>
      <c r="D39" s="69">
        <f>IF('Final Calculation Sheet'!$B$37="","",'Final Calculation Sheet'!$B$37)</f>
        <v/>
      </c>
      <c r="E39" s="69">
        <f>IF('Final Calculation Sheet'!$D$37="","",'Final Calculation Sheet'!$D$37)</f>
        <v/>
      </c>
      <c r="F39" s="69">
        <f>IF('Final Calculation Sheet'!$A$37="","",'Final Calculation Sheet'!$A$37)</f>
        <v/>
      </c>
      <c r="G39" s="69">
        <f>IF('Final Calculation Sheet'!$E$37="","",'Final Calculation Sheet'!$E$37)</f>
        <v/>
      </c>
      <c r="H39" s="70">
        <f>IF('Final Calculation Sheet'!$C$37="","",'Final Calculation Sheet'!$C$37)</f>
        <v/>
      </c>
      <c r="I39" s="70">
        <f>IF('Final Calculation Sheet'!$H$37="","",'Final Calculation Sheet'!$H$37)</f>
        <v/>
      </c>
      <c r="J39" s="70">
        <f>IF('Final Calculation Sheet'!$I$37="","",'Final Calculation Sheet'!$I$37)</f>
        <v/>
      </c>
      <c r="K39" s="70">
        <f>IF('Final Calculation Sheet'!$J$37="","",'Final Calculation Sheet'!$J$37)</f>
        <v/>
      </c>
      <c r="L39" s="70">
        <f>IF('Final Calculation Sheet'!$K$37="","",'Final Calculation Sheet'!$K$37)</f>
        <v/>
      </c>
      <c r="M39" s="70">
        <f>IF('Final Calculation Sheet'!$L$37="","",'Final Calculation Sheet'!$L$37)</f>
        <v/>
      </c>
      <c r="N39" s="70">
        <f>IF('Final Calculation Sheet'!$M$37="","",'Final Calculation Sheet'!$M$37)</f>
        <v/>
      </c>
      <c r="O39" s="71">
        <f>IF('Final Calculation Sheet'!$N$37="","",'Final Calculation Sheet'!$N$37)</f>
        <v/>
      </c>
      <c r="P39" s="70">
        <f>IF('Final Calculation Sheet'!$O$37="","",'Final Calculation Sheet'!$O$37)</f>
        <v/>
      </c>
      <c r="Q39" s="70">
        <f>IF('Final Calculation Sheet'!$P$37="","",'Final Calculation Sheet'!$P$37)</f>
        <v/>
      </c>
      <c r="R39" s="72">
        <f>IF('Final Calculation Sheet'!$Q$37="","",'Final Calculation Sheet'!$Q$37)</f>
        <v/>
      </c>
      <c r="S39" s="70">
        <f>IF('Final Calculation Sheet'!$R$37="","",'Final Calculation Sheet'!$R$37)</f>
        <v/>
      </c>
      <c r="T39" s="70">
        <f>IF('Final Calculation Sheet'!$S$37="","",'Final Calculation Sheet'!$S$37)</f>
        <v/>
      </c>
      <c r="U39" s="70">
        <f>IF('Final Calculation Sheet'!$T$37="","",'Final Calculation Sheet'!$T$37)</f>
        <v/>
      </c>
      <c r="V39" s="73">
        <f>IF('Final Calculation Sheet'!$U$37="","",'Final Calculation Sheet'!$U$37)</f>
        <v/>
      </c>
      <c r="W39" s="70">
        <f>IF('Final Calculation Sheet'!$V$37="","",'Final Calculation Sheet'!$V$37)</f>
        <v/>
      </c>
      <c r="X39" s="70">
        <f>IF('Final Calculation Sheet'!$W$37="","",'Final Calculation Sheet'!$W$37)</f>
        <v/>
      </c>
      <c r="Y39" s="70">
        <f>IF('Final Calculation Sheet'!$X$37="","",'Final Calculation Sheet'!$X$37)</f>
        <v/>
      </c>
      <c r="Z39" s="70">
        <f>IF('Final Calculation Sheet'!$Y$37="","",'Final Calculation Sheet'!$Y$37)</f>
        <v/>
      </c>
      <c r="AA39" s="70">
        <f>IF('Final Calculation Sheet'!$Z$37="","",'Final Calculation Sheet'!$Z$37)</f>
        <v/>
      </c>
      <c r="AB39" s="70">
        <f>IF('Final Calculation Sheet'!$AA$37="","",'Final Calculation Sheet'!$AA$37)</f>
        <v/>
      </c>
      <c r="AC39" s="70">
        <f>IF('Final Calculation Sheet'!$AB$37="","",'Final Calculation Sheet'!$AB$37)</f>
        <v/>
      </c>
      <c r="AD39" s="70">
        <f>IF('Final Calculation Sheet'!$AC$37="","",'Final Calculation Sheet'!$AC$37)</f>
        <v/>
      </c>
      <c r="AE39" s="70">
        <f>IF('Final Calculation Sheet'!$AD$37="","",'Final Calculation Sheet'!$AD$37)</f>
        <v/>
      </c>
      <c r="AF39" s="70">
        <f>IF('Final Calculation Sheet'!$AE$37="","",'Final Calculation Sheet'!$AE$37)</f>
        <v/>
      </c>
      <c r="AG39" s="74">
        <f>IF('Final Calculation Sheet'!$AF$37="","",'Final Calculation Sheet'!$AF$37)</f>
        <v/>
      </c>
      <c r="AH39" s="70">
        <f>IF('Final Calculation Sheet'!$AG$37="","",'Final Calculation Sheet'!$AG$37)</f>
        <v/>
      </c>
      <c r="AI39" s="75">
        <f>IF('Final Calculation Sheet'!$AD$37="","",IF('Final Calculation Sheet'!$AD$37&lt;=5,"SETTLED","OUTSTANDING"))</f>
        <v/>
      </c>
    </row>
    <row r="40" ht="15" customHeight="1" s="77">
      <c r="A40" s="84" t="inlineStr">
        <is>
          <t>∑</t>
        </is>
      </c>
      <c r="B40" s="85" t="n"/>
      <c r="C40" s="85">
        <f>ROWS($C$27:$C$39)&amp;" lot(s)"</f>
        <v/>
      </c>
      <c r="D40" s="85" t="inlineStr">
        <is>
          <t>SUBTOTAL — NATIONAL ENTERPRISES</t>
        </is>
      </c>
      <c r="E40" s="85" t="inlineStr">
        <is>
          <t>–</t>
        </is>
      </c>
      <c r="F40" s="85">
        <f>SUM(F27:F39)</f>
        <v/>
      </c>
      <c r="G40" s="85" t="inlineStr">
        <is>
          <t>–</t>
        </is>
      </c>
      <c r="H40" s="86" t="inlineStr">
        <is>
          <t>–</t>
        </is>
      </c>
      <c r="I40" s="86">
        <f>SUM(I27:I39)</f>
        <v/>
      </c>
      <c r="J40" s="86">
        <f>SUM(J27:J39)</f>
        <v/>
      </c>
      <c r="K40" s="86">
        <f>SUM(K27:K39)</f>
        <v/>
      </c>
      <c r="L40" s="86">
        <f>SUM(L27:L39)</f>
        <v/>
      </c>
      <c r="M40" s="86">
        <f>SUM(M27:M39)</f>
        <v/>
      </c>
      <c r="N40" s="86">
        <f>SUM(N27:N39)</f>
        <v/>
      </c>
      <c r="O40" s="87">
        <f>SUM(O27:O39)</f>
        <v/>
      </c>
      <c r="P40" s="86">
        <f>SUM(P27:P39)</f>
        <v/>
      </c>
      <c r="Q40" s="86">
        <f>SUM(Q27:Q39)</f>
        <v/>
      </c>
      <c r="R40" s="88" t="inlineStr">
        <is>
          <t>–</t>
        </is>
      </c>
      <c r="S40" s="86">
        <f>SUM(S27:S39)</f>
        <v/>
      </c>
      <c r="T40" s="86">
        <f>SUM(T27:T39)</f>
        <v/>
      </c>
      <c r="U40" s="86">
        <f>SUM(U27:U39)</f>
        <v/>
      </c>
      <c r="V40" s="89">
        <f>SUM(V27:V39)</f>
        <v/>
      </c>
      <c r="W40" s="86" t="inlineStr">
        <is>
          <t>–</t>
        </is>
      </c>
      <c r="X40" s="86">
        <f>SUM(X27:X39)</f>
        <v/>
      </c>
      <c r="Y40" s="86">
        <f>SUM(Y27:Y39)</f>
        <v/>
      </c>
      <c r="Z40" s="86" t="inlineStr">
        <is>
          <t>–</t>
        </is>
      </c>
      <c r="AA40" s="86">
        <f>SUM(AA27:AA39)</f>
        <v/>
      </c>
      <c r="AB40" s="86">
        <f>SUM(AB27:AB39)</f>
        <v/>
      </c>
      <c r="AC40" s="86" t="inlineStr">
        <is>
          <t>–</t>
        </is>
      </c>
      <c r="AD40" s="86">
        <f>SUM(AD27:AD39)</f>
        <v/>
      </c>
      <c r="AE40" s="86">
        <f>SUM(AE27:AE39)</f>
        <v/>
      </c>
      <c r="AF40" s="86" t="inlineStr">
        <is>
          <t>–</t>
        </is>
      </c>
      <c r="AG40" s="90" t="inlineStr">
        <is>
          <t>–</t>
        </is>
      </c>
      <c r="AH40" s="86" t="inlineStr">
        <is>
          <t>–</t>
        </is>
      </c>
      <c r="AI40" s="91">
        <f>IF(AE40&lt;=5,"SETTLED","OUTSTANDING")</f>
        <v/>
      </c>
    </row>
    <row r="41" ht="15" customHeight="1" s="77">
      <c r="A41" s="108" t="inlineStr">
        <is>
          <t>↳</t>
        </is>
      </c>
      <c r="B41" s="109" t="n"/>
      <c r="C41" s="109">
        <f>COUNTIFS($AI$27:$AI$39,"SETTLED")&amp;" lot(s)"</f>
        <v/>
      </c>
      <c r="D41" s="109" t="inlineStr">
        <is>
          <t>↳ of which SETTLED</t>
        </is>
      </c>
      <c r="E41" s="109" t="inlineStr">
        <is>
          <t>–</t>
        </is>
      </c>
      <c r="F41" s="109">
        <f>SUMIFS(F$27:F$39,$AI$27:$AI$39,"SETTLED")</f>
        <v/>
      </c>
      <c r="G41" s="109" t="inlineStr">
        <is>
          <t>–</t>
        </is>
      </c>
      <c r="H41" s="110" t="inlineStr">
        <is>
          <t>–</t>
        </is>
      </c>
      <c r="I41" s="110">
        <f>SUMIFS(I$27:I$39,$AI$27:$AI$39,"SETTLED")</f>
        <v/>
      </c>
      <c r="J41" s="110">
        <f>SUMIFS(J$27:J$39,$AI$27:$AI$39,"SETTLED")</f>
        <v/>
      </c>
      <c r="K41" s="110">
        <f>SUMIFS(K$27:K$39,$AI$27:$AI$39,"SETTLED")</f>
        <v/>
      </c>
      <c r="L41" s="110">
        <f>SUMIFS(L$27:L$39,$AI$27:$AI$39,"SETTLED")</f>
        <v/>
      </c>
      <c r="M41" s="110">
        <f>SUMIFS(M$27:M$39,$AI$27:$AI$39,"SETTLED")</f>
        <v/>
      </c>
      <c r="N41" s="110">
        <f>SUMIFS(N$27:N$39,$AI$27:$AI$39,"SETTLED")</f>
        <v/>
      </c>
      <c r="O41" s="111">
        <f>SUMIFS(O$27:O$39,$AI$27:$AI$39,"SETTLED")</f>
        <v/>
      </c>
      <c r="P41" s="110">
        <f>SUMIFS(P$27:P$39,$AI$27:$AI$39,"SETTLED")</f>
        <v/>
      </c>
      <c r="Q41" s="110">
        <f>SUMIFS(Q$27:Q$39,$AI$27:$AI$39,"SETTLED")</f>
        <v/>
      </c>
      <c r="R41" s="112" t="inlineStr">
        <is>
          <t>–</t>
        </is>
      </c>
      <c r="S41" s="110">
        <f>SUMIFS(S$27:S$39,$AI$27:$AI$39,"SETTLED")</f>
        <v/>
      </c>
      <c r="T41" s="110">
        <f>SUMIFS(T$27:T$39,$AI$27:$AI$39,"SETTLED")</f>
        <v/>
      </c>
      <c r="U41" s="110">
        <f>SUMIFS(U$27:U$39,$AI$27:$AI$39,"SETTLED")</f>
        <v/>
      </c>
      <c r="V41" s="113">
        <f>SUMIFS(V$27:V$39,$AI$27:$AI$39,"SETTLED")</f>
        <v/>
      </c>
      <c r="W41" s="110" t="inlineStr">
        <is>
          <t>–</t>
        </is>
      </c>
      <c r="X41" s="110">
        <f>SUMIFS(X$27:X$39,$AI$27:$AI$39,"SETTLED")</f>
        <v/>
      </c>
      <c r="Y41" s="110">
        <f>SUMIFS(Y$27:Y$39,$AI$27:$AI$39,"SETTLED")</f>
        <v/>
      </c>
      <c r="Z41" s="110" t="inlineStr">
        <is>
          <t>–</t>
        </is>
      </c>
      <c r="AA41" s="110">
        <f>SUMIFS(AA$27:AA$39,$AI$27:$AI$39,"SETTLED")</f>
        <v/>
      </c>
      <c r="AB41" s="110">
        <f>SUMIFS(AB$27:AB$39,$AI$27:$AI$39,"SETTLED")</f>
        <v/>
      </c>
      <c r="AC41" s="110" t="inlineStr">
        <is>
          <t>–</t>
        </is>
      </c>
      <c r="AD41" s="110">
        <f>SUMIFS(AD$27:AD$39,$AI$27:$AI$39,"SETTLED")</f>
        <v/>
      </c>
      <c r="AE41" s="110">
        <f>SUMIFS(AE$27:AE$39,$AI$27:$AI$39,"SETTLED")</f>
        <v/>
      </c>
      <c r="AF41" s="110" t="inlineStr">
        <is>
          <t>–</t>
        </is>
      </c>
      <c r="AG41" s="114" t="inlineStr">
        <is>
          <t>–</t>
        </is>
      </c>
      <c r="AH41" s="110" t="inlineStr">
        <is>
          <t>–</t>
        </is>
      </c>
      <c r="AI41" s="115" t="inlineStr">
        <is>
          <t>SETTLED</t>
        </is>
      </c>
    </row>
    <row r="42" ht="15" customHeight="1" s="77">
      <c r="A42" s="108" t="inlineStr">
        <is>
          <t>↳</t>
        </is>
      </c>
      <c r="B42" s="109" t="n"/>
      <c r="C42" s="109">
        <f>COUNTIFS($AI$27:$AI$39,"OUTSTANDING")&amp;" lot(s)"</f>
        <v/>
      </c>
      <c r="D42" s="109" t="inlineStr">
        <is>
          <t>↳ of which UNSETTLED (outstanding)</t>
        </is>
      </c>
      <c r="E42" s="109" t="inlineStr">
        <is>
          <t>–</t>
        </is>
      </c>
      <c r="F42" s="109">
        <f>SUMIFS(F$27:F$39,$AI$27:$AI$39,"OUTSTANDING")</f>
        <v/>
      </c>
      <c r="G42" s="109" t="inlineStr">
        <is>
          <t>–</t>
        </is>
      </c>
      <c r="H42" s="110" t="inlineStr">
        <is>
          <t>–</t>
        </is>
      </c>
      <c r="I42" s="110">
        <f>SUMIFS(I$27:I$39,$AI$27:$AI$39,"OUTSTANDING")</f>
        <v/>
      </c>
      <c r="J42" s="110">
        <f>SUMIFS(J$27:J$39,$AI$27:$AI$39,"OUTSTANDING")</f>
        <v/>
      </c>
      <c r="K42" s="110">
        <f>SUMIFS(K$27:K$39,$AI$27:$AI$39,"OUTSTANDING")</f>
        <v/>
      </c>
      <c r="L42" s="110">
        <f>SUMIFS(L$27:L$39,$AI$27:$AI$39,"OUTSTANDING")</f>
        <v/>
      </c>
      <c r="M42" s="110">
        <f>SUMIFS(M$27:M$39,$AI$27:$AI$39,"OUTSTANDING")</f>
        <v/>
      </c>
      <c r="N42" s="110">
        <f>SUMIFS(N$27:N$39,$AI$27:$AI$39,"OUTSTANDING")</f>
        <v/>
      </c>
      <c r="O42" s="111">
        <f>SUMIFS(O$27:O$39,$AI$27:$AI$39,"OUTSTANDING")</f>
        <v/>
      </c>
      <c r="P42" s="110">
        <f>SUMIFS(P$27:P$39,$AI$27:$AI$39,"OUTSTANDING")</f>
        <v/>
      </c>
      <c r="Q42" s="110">
        <f>SUMIFS(Q$27:Q$39,$AI$27:$AI$39,"OUTSTANDING")</f>
        <v/>
      </c>
      <c r="R42" s="112" t="inlineStr">
        <is>
          <t>–</t>
        </is>
      </c>
      <c r="S42" s="110">
        <f>SUMIFS(S$27:S$39,$AI$27:$AI$39,"OUTSTANDING")</f>
        <v/>
      </c>
      <c r="T42" s="110">
        <f>SUMIFS(T$27:T$39,$AI$27:$AI$39,"OUTSTANDING")</f>
        <v/>
      </c>
      <c r="U42" s="110">
        <f>SUMIFS(U$27:U$39,$AI$27:$AI$39,"OUTSTANDING")</f>
        <v/>
      </c>
      <c r="V42" s="113">
        <f>SUMIFS(V$27:V$39,$AI$27:$AI$39,"OUTSTANDING")</f>
        <v/>
      </c>
      <c r="W42" s="110" t="inlineStr">
        <is>
          <t>–</t>
        </is>
      </c>
      <c r="X42" s="110">
        <f>SUMIFS(X$27:X$39,$AI$27:$AI$39,"OUTSTANDING")</f>
        <v/>
      </c>
      <c r="Y42" s="110">
        <f>SUMIFS(Y$27:Y$39,$AI$27:$AI$39,"OUTSTANDING")</f>
        <v/>
      </c>
      <c r="Z42" s="110" t="inlineStr">
        <is>
          <t>–</t>
        </is>
      </c>
      <c r="AA42" s="110">
        <f>SUMIFS(AA$27:AA$39,$AI$27:$AI$39,"OUTSTANDING")</f>
        <v/>
      </c>
      <c r="AB42" s="110">
        <f>SUMIFS(AB$27:AB$39,$AI$27:$AI$39,"OUTSTANDING")</f>
        <v/>
      </c>
      <c r="AC42" s="110" t="inlineStr">
        <is>
          <t>–</t>
        </is>
      </c>
      <c r="AD42" s="110">
        <f>SUMIFS(AD$27:AD$39,$AI$27:$AI$39,"OUTSTANDING")</f>
        <v/>
      </c>
      <c r="AE42" s="110">
        <f>SUMIFS(AE$27:AE$39,$AI$27:$AI$39,"OUTSTANDING")</f>
        <v/>
      </c>
      <c r="AF42" s="110" t="inlineStr">
        <is>
          <t>–</t>
        </is>
      </c>
      <c r="AG42" s="114" t="inlineStr">
        <is>
          <t>–</t>
        </is>
      </c>
      <c r="AH42" s="110" t="inlineStr">
        <is>
          <t>–</t>
        </is>
      </c>
      <c r="AI42" s="115" t="inlineStr">
        <is>
          <t>OUTSTANDING</t>
        </is>
      </c>
    </row>
    <row r="43" outlineLevel="1" ht="15" customHeight="1" s="77">
      <c r="A43" s="67" t="n">
        <v>1</v>
      </c>
      <c r="B43" s="68">
        <f>IF('Final Calculation Sheet'!$F$21="","",'Final Calculation Sheet'!$F$21)</f>
        <v/>
      </c>
      <c r="C43" s="68">
        <f>IF('Final Calculation Sheet'!$G$21="","",'Final Calculation Sheet'!$G$21)</f>
        <v/>
      </c>
      <c r="D43" s="69">
        <f>IF('Final Calculation Sheet'!$B$21="","",'Final Calculation Sheet'!$B$21)</f>
        <v/>
      </c>
      <c r="E43" s="69">
        <f>IF('Final Calculation Sheet'!$D$21="","",'Final Calculation Sheet'!$D$21)</f>
        <v/>
      </c>
      <c r="F43" s="69">
        <f>IF('Final Calculation Sheet'!$A$21="","",'Final Calculation Sheet'!$A$21)</f>
        <v/>
      </c>
      <c r="G43" s="69">
        <f>IF('Final Calculation Sheet'!$E$21="","",'Final Calculation Sheet'!$E$21)</f>
        <v/>
      </c>
      <c r="H43" s="70">
        <f>IF('Final Calculation Sheet'!$C$21="","",'Final Calculation Sheet'!$C$21)</f>
        <v/>
      </c>
      <c r="I43" s="70">
        <f>IF('Final Calculation Sheet'!$H$21="","",'Final Calculation Sheet'!$H$21)</f>
        <v/>
      </c>
      <c r="J43" s="70">
        <f>IF('Final Calculation Sheet'!$I$21="","",'Final Calculation Sheet'!$I$21)</f>
        <v/>
      </c>
      <c r="K43" s="70">
        <f>IF('Final Calculation Sheet'!$J$21="","",'Final Calculation Sheet'!$J$21)</f>
        <v/>
      </c>
      <c r="L43" s="70">
        <f>IF('Final Calculation Sheet'!$K$21="","",'Final Calculation Sheet'!$K$21)</f>
        <v/>
      </c>
      <c r="M43" s="70">
        <f>IF('Final Calculation Sheet'!$L$21="","",'Final Calculation Sheet'!$L$21)</f>
        <v/>
      </c>
      <c r="N43" s="70">
        <f>IF('Final Calculation Sheet'!$M$21="","",'Final Calculation Sheet'!$M$21)</f>
        <v/>
      </c>
      <c r="O43" s="71">
        <f>IF('Final Calculation Sheet'!$N$21="","",'Final Calculation Sheet'!$N$21)</f>
        <v/>
      </c>
      <c r="P43" s="70">
        <f>IF('Final Calculation Sheet'!$O$21="","",'Final Calculation Sheet'!$O$21)</f>
        <v/>
      </c>
      <c r="Q43" s="70">
        <f>IF('Final Calculation Sheet'!$P$21="","",'Final Calculation Sheet'!$P$21)</f>
        <v/>
      </c>
      <c r="R43" s="72">
        <f>IF('Final Calculation Sheet'!$Q$21="","",'Final Calculation Sheet'!$Q$21)</f>
        <v/>
      </c>
      <c r="S43" s="70">
        <f>IF('Final Calculation Sheet'!$R$21="","",'Final Calculation Sheet'!$R$21)</f>
        <v/>
      </c>
      <c r="T43" s="70">
        <f>IF('Final Calculation Sheet'!$S$21="","",'Final Calculation Sheet'!$S$21)</f>
        <v/>
      </c>
      <c r="U43" s="70">
        <f>IF('Final Calculation Sheet'!$T$21="","",'Final Calculation Sheet'!$T$21)</f>
        <v/>
      </c>
      <c r="V43" s="73">
        <f>IF('Final Calculation Sheet'!$U$21="","",'Final Calculation Sheet'!$U$21)</f>
        <v/>
      </c>
      <c r="W43" s="70">
        <f>IF('Final Calculation Sheet'!$V$21="","",'Final Calculation Sheet'!$V$21)</f>
        <v/>
      </c>
      <c r="X43" s="70">
        <f>IF('Final Calculation Sheet'!$W$21="","",'Final Calculation Sheet'!$W$21)</f>
        <v/>
      </c>
      <c r="Y43" s="70">
        <f>IF('Final Calculation Sheet'!$X$21="","",'Final Calculation Sheet'!$X$21)</f>
        <v/>
      </c>
      <c r="Z43" s="70">
        <f>IF('Final Calculation Sheet'!$Y$21="","",'Final Calculation Sheet'!$Y$21)</f>
        <v/>
      </c>
      <c r="AA43" s="70">
        <f>IF('Final Calculation Sheet'!$Z$21="","",'Final Calculation Sheet'!$Z$21)</f>
        <v/>
      </c>
      <c r="AB43" s="70">
        <f>IF('Final Calculation Sheet'!$AA$21="","",'Final Calculation Sheet'!$AA$21)</f>
        <v/>
      </c>
      <c r="AC43" s="70">
        <f>IF('Final Calculation Sheet'!$AB$21="","",'Final Calculation Sheet'!$AB$21)</f>
        <v/>
      </c>
      <c r="AD43" s="70">
        <f>IF('Final Calculation Sheet'!$AC$21="","",'Final Calculation Sheet'!$AC$21)</f>
        <v/>
      </c>
      <c r="AE43" s="70">
        <f>IF('Final Calculation Sheet'!$AD$21="","",'Final Calculation Sheet'!$AD$21)</f>
        <v/>
      </c>
      <c r="AF43" s="70">
        <f>IF('Final Calculation Sheet'!$AE$21="","",'Final Calculation Sheet'!$AE$21)</f>
        <v/>
      </c>
      <c r="AG43" s="74">
        <f>IF('Final Calculation Sheet'!$AF$21="","",'Final Calculation Sheet'!$AF$21)</f>
        <v/>
      </c>
      <c r="AH43" s="70">
        <f>IF('Final Calculation Sheet'!$AG$21="","",'Final Calculation Sheet'!$AG$21)</f>
        <v/>
      </c>
      <c r="AI43" s="75">
        <f>IF('Final Calculation Sheet'!$AD$21="","",IF('Final Calculation Sheet'!$AD$21&lt;=5,"SETTLED","OUTSTANDING"))</f>
        <v/>
      </c>
    </row>
    <row r="44" ht="15" customHeight="1" s="77">
      <c r="A44" s="84" t="inlineStr">
        <is>
          <t>∑</t>
        </is>
      </c>
      <c r="B44" s="85" t="n"/>
      <c r="C44" s="85">
        <f>ROWS($C$43:$C$43)&amp;" lot(s)"</f>
        <v/>
      </c>
      <c r="D44" s="85" t="inlineStr">
        <is>
          <t>SUBTOTAL — NATIONAL SCRAP AND BUILDING MATERIAL SUPPLIER</t>
        </is>
      </c>
      <c r="E44" s="85" t="inlineStr">
        <is>
          <t>–</t>
        </is>
      </c>
      <c r="F44" s="85">
        <f>SUM(F43:F43)</f>
        <v/>
      </c>
      <c r="G44" s="85" t="inlineStr">
        <is>
          <t>–</t>
        </is>
      </c>
      <c r="H44" s="86" t="inlineStr">
        <is>
          <t>–</t>
        </is>
      </c>
      <c r="I44" s="86">
        <f>SUM(I43:I43)</f>
        <v/>
      </c>
      <c r="J44" s="86">
        <f>SUM(J43:J43)</f>
        <v/>
      </c>
      <c r="K44" s="86">
        <f>SUM(K43:K43)</f>
        <v/>
      </c>
      <c r="L44" s="86">
        <f>SUM(L43:L43)</f>
        <v/>
      </c>
      <c r="M44" s="86">
        <f>SUM(M43:M43)</f>
        <v/>
      </c>
      <c r="N44" s="86">
        <f>SUM(N43:N43)</f>
        <v/>
      </c>
      <c r="O44" s="87">
        <f>SUM(O43:O43)</f>
        <v/>
      </c>
      <c r="P44" s="86">
        <f>SUM(P43:P43)</f>
        <v/>
      </c>
      <c r="Q44" s="86">
        <f>SUM(Q43:Q43)</f>
        <v/>
      </c>
      <c r="R44" s="88" t="inlineStr">
        <is>
          <t>–</t>
        </is>
      </c>
      <c r="S44" s="86">
        <f>SUM(S43:S43)</f>
        <v/>
      </c>
      <c r="T44" s="86">
        <f>SUM(T43:T43)</f>
        <v/>
      </c>
      <c r="U44" s="86">
        <f>SUM(U43:U43)</f>
        <v/>
      </c>
      <c r="V44" s="89">
        <f>SUM(V43:V43)</f>
        <v/>
      </c>
      <c r="W44" s="86" t="inlineStr">
        <is>
          <t>–</t>
        </is>
      </c>
      <c r="X44" s="86">
        <f>SUM(X43:X43)</f>
        <v/>
      </c>
      <c r="Y44" s="86">
        <f>SUM(Y43:Y43)</f>
        <v/>
      </c>
      <c r="Z44" s="86" t="inlineStr">
        <is>
          <t>–</t>
        </is>
      </c>
      <c r="AA44" s="86">
        <f>SUM(AA43:AA43)</f>
        <v/>
      </c>
      <c r="AB44" s="86">
        <f>SUM(AB43:AB43)</f>
        <v/>
      </c>
      <c r="AC44" s="86" t="inlineStr">
        <is>
          <t>–</t>
        </is>
      </c>
      <c r="AD44" s="86">
        <f>SUM(AD43:AD43)</f>
        <v/>
      </c>
      <c r="AE44" s="86">
        <f>SUM(AE43:AE43)</f>
        <v/>
      </c>
      <c r="AF44" s="86" t="inlineStr">
        <is>
          <t>–</t>
        </is>
      </c>
      <c r="AG44" s="90" t="inlineStr">
        <is>
          <t>–</t>
        </is>
      </c>
      <c r="AH44" s="86" t="inlineStr">
        <is>
          <t>–</t>
        </is>
      </c>
      <c r="AI44" s="91">
        <f>IF(AE44&lt;=5,"SETTLED","OUTSTANDING")</f>
        <v/>
      </c>
    </row>
    <row r="45" ht="15" customHeight="1" s="77">
      <c r="A45" s="108" t="inlineStr">
        <is>
          <t>↳</t>
        </is>
      </c>
      <c r="B45" s="109" t="n"/>
      <c r="C45" s="109">
        <f>COUNTIFS($AI$43:$AI$43,"SETTLED")&amp;" lot(s)"</f>
        <v/>
      </c>
      <c r="D45" s="109" t="inlineStr">
        <is>
          <t>↳ of which SETTLED</t>
        </is>
      </c>
      <c r="E45" s="109" t="inlineStr">
        <is>
          <t>–</t>
        </is>
      </c>
      <c r="F45" s="109">
        <f>SUMIFS(F$43:F$43,$AI$43:$AI$43,"SETTLED")</f>
        <v/>
      </c>
      <c r="G45" s="109" t="inlineStr">
        <is>
          <t>–</t>
        </is>
      </c>
      <c r="H45" s="110" t="inlineStr">
        <is>
          <t>–</t>
        </is>
      </c>
      <c r="I45" s="110">
        <f>SUMIFS(I$43:I$43,$AI$43:$AI$43,"SETTLED")</f>
        <v/>
      </c>
      <c r="J45" s="110">
        <f>SUMIFS(J$43:J$43,$AI$43:$AI$43,"SETTLED")</f>
        <v/>
      </c>
      <c r="K45" s="110">
        <f>SUMIFS(K$43:K$43,$AI$43:$AI$43,"SETTLED")</f>
        <v/>
      </c>
      <c r="L45" s="110">
        <f>SUMIFS(L$43:L$43,$AI$43:$AI$43,"SETTLED")</f>
        <v/>
      </c>
      <c r="M45" s="110">
        <f>SUMIFS(M$43:M$43,$AI$43:$AI$43,"SETTLED")</f>
        <v/>
      </c>
      <c r="N45" s="110">
        <f>SUMIFS(N$43:N$43,$AI$43:$AI$43,"SETTLED")</f>
        <v/>
      </c>
      <c r="O45" s="111">
        <f>SUMIFS(O$43:O$43,$AI$43:$AI$43,"SETTLED")</f>
        <v/>
      </c>
      <c r="P45" s="110">
        <f>SUMIFS(P$43:P$43,$AI$43:$AI$43,"SETTLED")</f>
        <v/>
      </c>
      <c r="Q45" s="110">
        <f>SUMIFS(Q$43:Q$43,$AI$43:$AI$43,"SETTLED")</f>
        <v/>
      </c>
      <c r="R45" s="112" t="inlineStr">
        <is>
          <t>–</t>
        </is>
      </c>
      <c r="S45" s="110">
        <f>SUMIFS(S$43:S$43,$AI$43:$AI$43,"SETTLED")</f>
        <v/>
      </c>
      <c r="T45" s="110">
        <f>SUMIFS(T$43:T$43,$AI$43:$AI$43,"SETTLED")</f>
        <v/>
      </c>
      <c r="U45" s="110">
        <f>SUMIFS(U$43:U$43,$AI$43:$AI$43,"SETTLED")</f>
        <v/>
      </c>
      <c r="V45" s="113">
        <f>SUMIFS(V$43:V$43,$AI$43:$AI$43,"SETTLED")</f>
        <v/>
      </c>
      <c r="W45" s="110" t="inlineStr">
        <is>
          <t>–</t>
        </is>
      </c>
      <c r="X45" s="110">
        <f>SUMIFS(X$43:X$43,$AI$43:$AI$43,"SETTLED")</f>
        <v/>
      </c>
      <c r="Y45" s="110">
        <f>SUMIFS(Y$43:Y$43,$AI$43:$AI$43,"SETTLED")</f>
        <v/>
      </c>
      <c r="Z45" s="110" t="inlineStr">
        <is>
          <t>–</t>
        </is>
      </c>
      <c r="AA45" s="110">
        <f>SUMIFS(AA$43:AA$43,$AI$43:$AI$43,"SETTLED")</f>
        <v/>
      </c>
      <c r="AB45" s="110">
        <f>SUMIFS(AB$43:AB$43,$AI$43:$AI$43,"SETTLED")</f>
        <v/>
      </c>
      <c r="AC45" s="110" t="inlineStr">
        <is>
          <t>–</t>
        </is>
      </c>
      <c r="AD45" s="110">
        <f>SUMIFS(AD$43:AD$43,$AI$43:$AI$43,"SETTLED")</f>
        <v/>
      </c>
      <c r="AE45" s="110">
        <f>SUMIFS(AE$43:AE$43,$AI$43:$AI$43,"SETTLED")</f>
        <v/>
      </c>
      <c r="AF45" s="110" t="inlineStr">
        <is>
          <t>–</t>
        </is>
      </c>
      <c r="AG45" s="114" t="inlineStr">
        <is>
          <t>–</t>
        </is>
      </c>
      <c r="AH45" s="110" t="inlineStr">
        <is>
          <t>–</t>
        </is>
      </c>
      <c r="AI45" s="115" t="inlineStr">
        <is>
          <t>SETTLED</t>
        </is>
      </c>
    </row>
    <row r="46" ht="15" customHeight="1" s="77">
      <c r="A46" s="108" t="inlineStr">
        <is>
          <t>↳</t>
        </is>
      </c>
      <c r="B46" s="109" t="n"/>
      <c r="C46" s="109">
        <f>COUNTIFS($AI$43:$AI$43,"OUTSTANDING")&amp;" lot(s)"</f>
        <v/>
      </c>
      <c r="D46" s="109" t="inlineStr">
        <is>
          <t>↳ of which UNSETTLED (outstanding)</t>
        </is>
      </c>
      <c r="E46" s="109" t="inlineStr">
        <is>
          <t>–</t>
        </is>
      </c>
      <c r="F46" s="109">
        <f>SUMIFS(F$43:F$43,$AI$43:$AI$43,"OUTSTANDING")</f>
        <v/>
      </c>
      <c r="G46" s="109" t="inlineStr">
        <is>
          <t>–</t>
        </is>
      </c>
      <c r="H46" s="110" t="inlineStr">
        <is>
          <t>–</t>
        </is>
      </c>
      <c r="I46" s="110">
        <f>SUMIFS(I$43:I$43,$AI$43:$AI$43,"OUTSTANDING")</f>
        <v/>
      </c>
      <c r="J46" s="110">
        <f>SUMIFS(J$43:J$43,$AI$43:$AI$43,"OUTSTANDING")</f>
        <v/>
      </c>
      <c r="K46" s="110">
        <f>SUMIFS(K$43:K$43,$AI$43:$AI$43,"OUTSTANDING")</f>
        <v/>
      </c>
      <c r="L46" s="110">
        <f>SUMIFS(L$43:L$43,$AI$43:$AI$43,"OUTSTANDING")</f>
        <v/>
      </c>
      <c r="M46" s="110">
        <f>SUMIFS(M$43:M$43,$AI$43:$AI$43,"OUTSTANDING")</f>
        <v/>
      </c>
      <c r="N46" s="110">
        <f>SUMIFS(N$43:N$43,$AI$43:$AI$43,"OUTSTANDING")</f>
        <v/>
      </c>
      <c r="O46" s="111">
        <f>SUMIFS(O$43:O$43,$AI$43:$AI$43,"OUTSTANDING")</f>
        <v/>
      </c>
      <c r="P46" s="110">
        <f>SUMIFS(P$43:P$43,$AI$43:$AI$43,"OUTSTANDING")</f>
        <v/>
      </c>
      <c r="Q46" s="110">
        <f>SUMIFS(Q$43:Q$43,$AI$43:$AI$43,"OUTSTANDING")</f>
        <v/>
      </c>
      <c r="R46" s="112" t="inlineStr">
        <is>
          <t>–</t>
        </is>
      </c>
      <c r="S46" s="110">
        <f>SUMIFS(S$43:S$43,$AI$43:$AI$43,"OUTSTANDING")</f>
        <v/>
      </c>
      <c r="T46" s="110">
        <f>SUMIFS(T$43:T$43,$AI$43:$AI$43,"OUTSTANDING")</f>
        <v/>
      </c>
      <c r="U46" s="110">
        <f>SUMIFS(U$43:U$43,$AI$43:$AI$43,"OUTSTANDING")</f>
        <v/>
      </c>
      <c r="V46" s="113">
        <f>SUMIFS(V$43:V$43,$AI$43:$AI$43,"OUTSTANDING")</f>
        <v/>
      </c>
      <c r="W46" s="110" t="inlineStr">
        <is>
          <t>–</t>
        </is>
      </c>
      <c r="X46" s="110">
        <f>SUMIFS(X$43:X$43,$AI$43:$AI$43,"OUTSTANDING")</f>
        <v/>
      </c>
      <c r="Y46" s="110">
        <f>SUMIFS(Y$43:Y$43,$AI$43:$AI$43,"OUTSTANDING")</f>
        <v/>
      </c>
      <c r="Z46" s="110" t="inlineStr">
        <is>
          <t>–</t>
        </is>
      </c>
      <c r="AA46" s="110">
        <f>SUMIFS(AA$43:AA$43,$AI$43:$AI$43,"OUTSTANDING")</f>
        <v/>
      </c>
      <c r="AB46" s="110">
        <f>SUMIFS(AB$43:AB$43,$AI$43:$AI$43,"OUTSTANDING")</f>
        <v/>
      </c>
      <c r="AC46" s="110" t="inlineStr">
        <is>
          <t>–</t>
        </is>
      </c>
      <c r="AD46" s="110">
        <f>SUMIFS(AD$43:AD$43,$AI$43:$AI$43,"OUTSTANDING")</f>
        <v/>
      </c>
      <c r="AE46" s="110">
        <f>SUMIFS(AE$43:AE$43,$AI$43:$AI$43,"OUTSTANDING")</f>
        <v/>
      </c>
      <c r="AF46" s="110" t="inlineStr">
        <is>
          <t>–</t>
        </is>
      </c>
      <c r="AG46" s="114" t="inlineStr">
        <is>
          <t>–</t>
        </is>
      </c>
      <c r="AH46" s="110" t="inlineStr">
        <is>
          <t>–</t>
        </is>
      </c>
      <c r="AI46" s="115" t="inlineStr">
        <is>
          <t>OUTSTANDING</t>
        </is>
      </c>
    </row>
    <row r="47" outlineLevel="1" ht="15" customHeight="1" s="77">
      <c r="A47" s="67" t="n">
        <v>1</v>
      </c>
      <c r="B47" s="68">
        <f>IF('Final Calculation Sheet'!$F$8="","",'Final Calculation Sheet'!$F$8)</f>
        <v/>
      </c>
      <c r="C47" s="68">
        <f>IF('Final Calculation Sheet'!$G$8="","",'Final Calculation Sheet'!$G$8)</f>
        <v/>
      </c>
      <c r="D47" s="69">
        <f>IF('Final Calculation Sheet'!$B$8="","",'Final Calculation Sheet'!$B$8)</f>
        <v/>
      </c>
      <c r="E47" s="69">
        <f>IF('Final Calculation Sheet'!$D$8="","",'Final Calculation Sheet'!$D$8)</f>
        <v/>
      </c>
      <c r="F47" s="69">
        <f>IF('Final Calculation Sheet'!$A$8="","",'Final Calculation Sheet'!$A$8)</f>
        <v/>
      </c>
      <c r="G47" s="69">
        <f>IF('Final Calculation Sheet'!$E$8="","",'Final Calculation Sheet'!$E$8)</f>
        <v/>
      </c>
      <c r="H47" s="70">
        <f>IF('Final Calculation Sheet'!$C$8="","",'Final Calculation Sheet'!$C$8)</f>
        <v/>
      </c>
      <c r="I47" s="70">
        <f>IF('Final Calculation Sheet'!$H$8="","",'Final Calculation Sheet'!$H$8)</f>
        <v/>
      </c>
      <c r="J47" s="70">
        <f>IF('Final Calculation Sheet'!$I$8="","",'Final Calculation Sheet'!$I$8)</f>
        <v/>
      </c>
      <c r="K47" s="70">
        <f>IF('Final Calculation Sheet'!$J$8="","",'Final Calculation Sheet'!$J$8)</f>
        <v/>
      </c>
      <c r="L47" s="70">
        <f>IF('Final Calculation Sheet'!$K$8="","",'Final Calculation Sheet'!$K$8)</f>
        <v/>
      </c>
      <c r="M47" s="70">
        <f>IF('Final Calculation Sheet'!$L$8="","",'Final Calculation Sheet'!$L$8)</f>
        <v/>
      </c>
      <c r="N47" s="70">
        <f>IF('Final Calculation Sheet'!$M$8="","",'Final Calculation Sheet'!$M$8)</f>
        <v/>
      </c>
      <c r="O47" s="71">
        <f>IF('Final Calculation Sheet'!$N$8="","",'Final Calculation Sheet'!$N$8)</f>
        <v/>
      </c>
      <c r="P47" s="70">
        <f>IF('Final Calculation Sheet'!$O$8="","",'Final Calculation Sheet'!$O$8)</f>
        <v/>
      </c>
      <c r="Q47" s="70">
        <f>IF('Final Calculation Sheet'!$P$8="","",'Final Calculation Sheet'!$P$8)</f>
        <v/>
      </c>
      <c r="R47" s="72">
        <f>IF('Final Calculation Sheet'!$Q$8="","",'Final Calculation Sheet'!$Q$8)</f>
        <v/>
      </c>
      <c r="S47" s="70">
        <f>IF('Final Calculation Sheet'!$R$8="","",'Final Calculation Sheet'!$R$8)</f>
        <v/>
      </c>
      <c r="T47" s="70">
        <f>IF('Final Calculation Sheet'!$S$8="","",'Final Calculation Sheet'!$S$8)</f>
        <v/>
      </c>
      <c r="U47" s="70">
        <f>IF('Final Calculation Sheet'!$T$8="","",'Final Calculation Sheet'!$T$8)</f>
        <v/>
      </c>
      <c r="V47" s="73">
        <f>IF('Final Calculation Sheet'!$U$8="","",'Final Calculation Sheet'!$U$8)</f>
        <v/>
      </c>
      <c r="W47" s="70">
        <f>IF('Final Calculation Sheet'!$V$8="","",'Final Calculation Sheet'!$V$8)</f>
        <v/>
      </c>
      <c r="X47" s="70">
        <f>IF('Final Calculation Sheet'!$W$8="","",'Final Calculation Sheet'!$W$8)</f>
        <v/>
      </c>
      <c r="Y47" s="70">
        <f>IF('Final Calculation Sheet'!$X$8="","",'Final Calculation Sheet'!$X$8)</f>
        <v/>
      </c>
      <c r="Z47" s="70">
        <f>IF('Final Calculation Sheet'!$Y$8="","",'Final Calculation Sheet'!$Y$8)</f>
        <v/>
      </c>
      <c r="AA47" s="70">
        <f>IF('Final Calculation Sheet'!$Z$8="","",'Final Calculation Sheet'!$Z$8)</f>
        <v/>
      </c>
      <c r="AB47" s="70">
        <f>IF('Final Calculation Sheet'!$AA$8="","",'Final Calculation Sheet'!$AA$8)</f>
        <v/>
      </c>
      <c r="AC47" s="70">
        <f>IF('Final Calculation Sheet'!$AB$8="","",'Final Calculation Sheet'!$AB$8)</f>
        <v/>
      </c>
      <c r="AD47" s="70">
        <f>IF('Final Calculation Sheet'!$AC$8="","",'Final Calculation Sheet'!$AC$8)</f>
        <v/>
      </c>
      <c r="AE47" s="70">
        <f>IF('Final Calculation Sheet'!$AD$8="","",'Final Calculation Sheet'!$AD$8)</f>
        <v/>
      </c>
      <c r="AF47" s="70">
        <f>IF('Final Calculation Sheet'!$AE$8="","",'Final Calculation Sheet'!$AE$8)</f>
        <v/>
      </c>
      <c r="AG47" s="74">
        <f>IF('Final Calculation Sheet'!$AF$8="","",'Final Calculation Sheet'!$AF$8)</f>
        <v/>
      </c>
      <c r="AH47" s="70">
        <f>IF('Final Calculation Sheet'!$AG$8="","",'Final Calculation Sheet'!$AG$8)</f>
        <v/>
      </c>
      <c r="AI47" s="75">
        <f>IF('Final Calculation Sheet'!$AD$8="","",IF('Final Calculation Sheet'!$AD$8&lt;=5,"SETTLED","OUTSTANDING"))</f>
        <v/>
      </c>
    </row>
    <row r="48" outlineLevel="1" ht="15" customHeight="1" s="77">
      <c r="A48" s="67" t="n">
        <v>2</v>
      </c>
      <c r="B48" s="68">
        <f>IF('Final Calculation Sheet'!$F$20="","",'Final Calculation Sheet'!$F$20)</f>
        <v/>
      </c>
      <c r="C48" s="68">
        <f>IF('Final Calculation Sheet'!$G$20="","",'Final Calculation Sheet'!$G$20)</f>
        <v/>
      </c>
      <c r="D48" s="69">
        <f>IF('Final Calculation Sheet'!$B$20="","",'Final Calculation Sheet'!$B$20)</f>
        <v/>
      </c>
      <c r="E48" s="69">
        <f>IF('Final Calculation Sheet'!$D$20="","",'Final Calculation Sheet'!$D$20)</f>
        <v/>
      </c>
      <c r="F48" s="69">
        <f>IF('Final Calculation Sheet'!$A$20="","",'Final Calculation Sheet'!$A$20)</f>
        <v/>
      </c>
      <c r="G48" s="69">
        <f>IF('Final Calculation Sheet'!$E$20="","",'Final Calculation Sheet'!$E$20)</f>
        <v/>
      </c>
      <c r="H48" s="70">
        <f>IF('Final Calculation Sheet'!$C$20="","",'Final Calculation Sheet'!$C$20)</f>
        <v/>
      </c>
      <c r="I48" s="70">
        <f>IF('Final Calculation Sheet'!$H$20="","",'Final Calculation Sheet'!$H$20)</f>
        <v/>
      </c>
      <c r="J48" s="70">
        <f>IF('Final Calculation Sheet'!$I$20="","",'Final Calculation Sheet'!$I$20)</f>
        <v/>
      </c>
      <c r="K48" s="70">
        <f>IF('Final Calculation Sheet'!$J$20="","",'Final Calculation Sheet'!$J$20)</f>
        <v/>
      </c>
      <c r="L48" s="70">
        <f>IF('Final Calculation Sheet'!$K$20="","",'Final Calculation Sheet'!$K$20)</f>
        <v/>
      </c>
      <c r="M48" s="70">
        <f>IF('Final Calculation Sheet'!$L$20="","",'Final Calculation Sheet'!$L$20)</f>
        <v/>
      </c>
      <c r="N48" s="70">
        <f>IF('Final Calculation Sheet'!$M$20="","",'Final Calculation Sheet'!$M$20)</f>
        <v/>
      </c>
      <c r="O48" s="71">
        <f>IF('Final Calculation Sheet'!$N$20="","",'Final Calculation Sheet'!$N$20)</f>
        <v/>
      </c>
      <c r="P48" s="70">
        <f>IF('Final Calculation Sheet'!$O$20="","",'Final Calculation Sheet'!$O$20)</f>
        <v/>
      </c>
      <c r="Q48" s="70">
        <f>IF('Final Calculation Sheet'!$P$20="","",'Final Calculation Sheet'!$P$20)</f>
        <v/>
      </c>
      <c r="R48" s="72">
        <f>IF('Final Calculation Sheet'!$Q$20="","",'Final Calculation Sheet'!$Q$20)</f>
        <v/>
      </c>
      <c r="S48" s="70">
        <f>IF('Final Calculation Sheet'!$R$20="","",'Final Calculation Sheet'!$R$20)</f>
        <v/>
      </c>
      <c r="T48" s="70">
        <f>IF('Final Calculation Sheet'!$S$20="","",'Final Calculation Sheet'!$S$20)</f>
        <v/>
      </c>
      <c r="U48" s="70">
        <f>IF('Final Calculation Sheet'!$T$20="","",'Final Calculation Sheet'!$T$20)</f>
        <v/>
      </c>
      <c r="V48" s="73">
        <f>IF('Final Calculation Sheet'!$U$20="","",'Final Calculation Sheet'!$U$20)</f>
        <v/>
      </c>
      <c r="W48" s="70">
        <f>IF('Final Calculation Sheet'!$V$20="","",'Final Calculation Sheet'!$V$20)</f>
        <v/>
      </c>
      <c r="X48" s="70">
        <f>IF('Final Calculation Sheet'!$W$20="","",'Final Calculation Sheet'!$W$20)</f>
        <v/>
      </c>
      <c r="Y48" s="70">
        <f>IF('Final Calculation Sheet'!$X$20="","",'Final Calculation Sheet'!$X$20)</f>
        <v/>
      </c>
      <c r="Z48" s="70">
        <f>IF('Final Calculation Sheet'!$Y$20="","",'Final Calculation Sheet'!$Y$20)</f>
        <v/>
      </c>
      <c r="AA48" s="70">
        <f>IF('Final Calculation Sheet'!$Z$20="","",'Final Calculation Sheet'!$Z$20)</f>
        <v/>
      </c>
      <c r="AB48" s="70">
        <f>IF('Final Calculation Sheet'!$AA$20="","",'Final Calculation Sheet'!$AA$20)</f>
        <v/>
      </c>
      <c r="AC48" s="70">
        <f>IF('Final Calculation Sheet'!$AB$20="","",'Final Calculation Sheet'!$AB$20)</f>
        <v/>
      </c>
      <c r="AD48" s="70">
        <f>IF('Final Calculation Sheet'!$AC$20="","",'Final Calculation Sheet'!$AC$20)</f>
        <v/>
      </c>
      <c r="AE48" s="70">
        <f>IF('Final Calculation Sheet'!$AD$20="","",'Final Calculation Sheet'!$AD$20)</f>
        <v/>
      </c>
      <c r="AF48" s="70">
        <f>IF('Final Calculation Sheet'!$AE$20="","",'Final Calculation Sheet'!$AE$20)</f>
        <v/>
      </c>
      <c r="AG48" s="74">
        <f>IF('Final Calculation Sheet'!$AF$20="","",'Final Calculation Sheet'!$AF$20)</f>
        <v/>
      </c>
      <c r="AH48" s="70">
        <f>IF('Final Calculation Sheet'!$AG$20="","",'Final Calculation Sheet'!$AG$20)</f>
        <v/>
      </c>
      <c r="AI48" s="75">
        <f>IF('Final Calculation Sheet'!$AD$20="","",IF('Final Calculation Sheet'!$AD$20&lt;=5,"SETTLED","OUTSTANDING"))</f>
        <v/>
      </c>
    </row>
    <row r="49" ht="15" customHeight="1" s="77">
      <c r="A49" s="84" t="inlineStr">
        <is>
          <t>∑</t>
        </is>
      </c>
      <c r="B49" s="85" t="n"/>
      <c r="C49" s="85">
        <f>ROWS($C$47:$C$48)&amp;" lot(s)"</f>
        <v/>
      </c>
      <c r="D49" s="85" t="inlineStr">
        <is>
          <t>SUBTOTAL — OMKAR STEELS</t>
        </is>
      </c>
      <c r="E49" s="85" t="inlineStr">
        <is>
          <t>–</t>
        </is>
      </c>
      <c r="F49" s="85">
        <f>SUM(F47:F48)</f>
        <v/>
      </c>
      <c r="G49" s="85" t="inlineStr">
        <is>
          <t>–</t>
        </is>
      </c>
      <c r="H49" s="86" t="inlineStr">
        <is>
          <t>–</t>
        </is>
      </c>
      <c r="I49" s="86">
        <f>SUM(I47:I48)</f>
        <v/>
      </c>
      <c r="J49" s="86">
        <f>SUM(J47:J48)</f>
        <v/>
      </c>
      <c r="K49" s="86">
        <f>SUM(K47:K48)</f>
        <v/>
      </c>
      <c r="L49" s="86">
        <f>SUM(L47:L48)</f>
        <v/>
      </c>
      <c r="M49" s="86">
        <f>SUM(M47:M48)</f>
        <v/>
      </c>
      <c r="N49" s="86">
        <f>SUM(N47:N48)</f>
        <v/>
      </c>
      <c r="O49" s="87">
        <f>SUM(O47:O48)</f>
        <v/>
      </c>
      <c r="P49" s="86">
        <f>SUM(P47:P48)</f>
        <v/>
      </c>
      <c r="Q49" s="86">
        <f>SUM(Q47:Q48)</f>
        <v/>
      </c>
      <c r="R49" s="88" t="inlineStr">
        <is>
          <t>–</t>
        </is>
      </c>
      <c r="S49" s="86">
        <f>SUM(S47:S48)</f>
        <v/>
      </c>
      <c r="T49" s="86">
        <f>SUM(T47:T48)</f>
        <v/>
      </c>
      <c r="U49" s="86">
        <f>SUM(U47:U48)</f>
        <v/>
      </c>
      <c r="V49" s="89">
        <f>SUM(V47:V48)</f>
        <v/>
      </c>
      <c r="W49" s="86" t="inlineStr">
        <is>
          <t>–</t>
        </is>
      </c>
      <c r="X49" s="86">
        <f>SUM(X47:X48)</f>
        <v/>
      </c>
      <c r="Y49" s="86">
        <f>SUM(Y47:Y48)</f>
        <v/>
      </c>
      <c r="Z49" s="86" t="inlineStr">
        <is>
          <t>–</t>
        </is>
      </c>
      <c r="AA49" s="86">
        <f>SUM(AA47:AA48)</f>
        <v/>
      </c>
      <c r="AB49" s="86">
        <f>SUM(AB47:AB48)</f>
        <v/>
      </c>
      <c r="AC49" s="86" t="inlineStr">
        <is>
          <t>–</t>
        </is>
      </c>
      <c r="AD49" s="86">
        <f>SUM(AD47:AD48)</f>
        <v/>
      </c>
      <c r="AE49" s="86">
        <f>SUM(AE47:AE48)</f>
        <v/>
      </c>
      <c r="AF49" s="86" t="inlineStr">
        <is>
          <t>–</t>
        </is>
      </c>
      <c r="AG49" s="90" t="inlineStr">
        <is>
          <t>–</t>
        </is>
      </c>
      <c r="AH49" s="86" t="inlineStr">
        <is>
          <t>–</t>
        </is>
      </c>
      <c r="AI49" s="91">
        <f>IF(AE49&lt;=5,"SETTLED","OUTSTANDING")</f>
        <v/>
      </c>
    </row>
    <row r="50" ht="15" customHeight="1" s="77">
      <c r="A50" s="108" t="inlineStr">
        <is>
          <t>↳</t>
        </is>
      </c>
      <c r="B50" s="109" t="n"/>
      <c r="C50" s="109">
        <f>COUNTIFS($AI$47:$AI$48,"SETTLED")&amp;" lot(s)"</f>
        <v/>
      </c>
      <c r="D50" s="109" t="inlineStr">
        <is>
          <t>↳ of which SETTLED</t>
        </is>
      </c>
      <c r="E50" s="109" t="inlineStr">
        <is>
          <t>–</t>
        </is>
      </c>
      <c r="F50" s="109">
        <f>SUMIFS(F$47:F$48,$AI$47:$AI$48,"SETTLED")</f>
        <v/>
      </c>
      <c r="G50" s="109" t="inlineStr">
        <is>
          <t>–</t>
        </is>
      </c>
      <c r="H50" s="110" t="inlineStr">
        <is>
          <t>–</t>
        </is>
      </c>
      <c r="I50" s="110">
        <f>SUMIFS(I$47:I$48,$AI$47:$AI$48,"SETTLED")</f>
        <v/>
      </c>
      <c r="J50" s="110">
        <f>SUMIFS(J$47:J$48,$AI$47:$AI$48,"SETTLED")</f>
        <v/>
      </c>
      <c r="K50" s="110">
        <f>SUMIFS(K$47:K$48,$AI$47:$AI$48,"SETTLED")</f>
        <v/>
      </c>
      <c r="L50" s="110">
        <f>SUMIFS(L$47:L$48,$AI$47:$AI$48,"SETTLED")</f>
        <v/>
      </c>
      <c r="M50" s="110">
        <f>SUMIFS(M$47:M$48,$AI$47:$AI$48,"SETTLED")</f>
        <v/>
      </c>
      <c r="N50" s="110">
        <f>SUMIFS(N$47:N$48,$AI$47:$AI$48,"SETTLED")</f>
        <v/>
      </c>
      <c r="O50" s="111">
        <f>SUMIFS(O$47:O$48,$AI$47:$AI$48,"SETTLED")</f>
        <v/>
      </c>
      <c r="P50" s="110">
        <f>SUMIFS(P$47:P$48,$AI$47:$AI$48,"SETTLED")</f>
        <v/>
      </c>
      <c r="Q50" s="110">
        <f>SUMIFS(Q$47:Q$48,$AI$47:$AI$48,"SETTLED")</f>
        <v/>
      </c>
      <c r="R50" s="112" t="inlineStr">
        <is>
          <t>–</t>
        </is>
      </c>
      <c r="S50" s="110">
        <f>SUMIFS(S$47:S$48,$AI$47:$AI$48,"SETTLED")</f>
        <v/>
      </c>
      <c r="T50" s="110">
        <f>SUMIFS(T$47:T$48,$AI$47:$AI$48,"SETTLED")</f>
        <v/>
      </c>
      <c r="U50" s="110">
        <f>SUMIFS(U$47:U$48,$AI$47:$AI$48,"SETTLED")</f>
        <v/>
      </c>
      <c r="V50" s="113">
        <f>SUMIFS(V$47:V$48,$AI$47:$AI$48,"SETTLED")</f>
        <v/>
      </c>
      <c r="W50" s="110" t="inlineStr">
        <is>
          <t>–</t>
        </is>
      </c>
      <c r="X50" s="110">
        <f>SUMIFS(X$47:X$48,$AI$47:$AI$48,"SETTLED")</f>
        <v/>
      </c>
      <c r="Y50" s="110">
        <f>SUMIFS(Y$47:Y$48,$AI$47:$AI$48,"SETTLED")</f>
        <v/>
      </c>
      <c r="Z50" s="110" t="inlineStr">
        <is>
          <t>–</t>
        </is>
      </c>
      <c r="AA50" s="110">
        <f>SUMIFS(AA$47:AA$48,$AI$47:$AI$48,"SETTLED")</f>
        <v/>
      </c>
      <c r="AB50" s="110">
        <f>SUMIFS(AB$47:AB$48,$AI$47:$AI$48,"SETTLED")</f>
        <v/>
      </c>
      <c r="AC50" s="110" t="inlineStr">
        <is>
          <t>–</t>
        </is>
      </c>
      <c r="AD50" s="110">
        <f>SUMIFS(AD$47:AD$48,$AI$47:$AI$48,"SETTLED")</f>
        <v/>
      </c>
      <c r="AE50" s="110">
        <f>SUMIFS(AE$47:AE$48,$AI$47:$AI$48,"SETTLED")</f>
        <v/>
      </c>
      <c r="AF50" s="110" t="inlineStr">
        <is>
          <t>–</t>
        </is>
      </c>
      <c r="AG50" s="114" t="inlineStr">
        <is>
          <t>–</t>
        </is>
      </c>
      <c r="AH50" s="110" t="inlineStr">
        <is>
          <t>–</t>
        </is>
      </c>
      <c r="AI50" s="115" t="inlineStr">
        <is>
          <t>SETTLED</t>
        </is>
      </c>
    </row>
    <row r="51" ht="15" customHeight="1" s="77">
      <c r="A51" s="108" t="inlineStr">
        <is>
          <t>↳</t>
        </is>
      </c>
      <c r="B51" s="109" t="n"/>
      <c r="C51" s="109">
        <f>COUNTIFS($AI$47:$AI$48,"OUTSTANDING")&amp;" lot(s)"</f>
        <v/>
      </c>
      <c r="D51" s="109" t="inlineStr">
        <is>
          <t>↳ of which UNSETTLED (outstanding)</t>
        </is>
      </c>
      <c r="E51" s="109" t="inlineStr">
        <is>
          <t>–</t>
        </is>
      </c>
      <c r="F51" s="109">
        <f>SUMIFS(F$47:F$48,$AI$47:$AI$48,"OUTSTANDING")</f>
        <v/>
      </c>
      <c r="G51" s="109" t="inlineStr">
        <is>
          <t>–</t>
        </is>
      </c>
      <c r="H51" s="110" t="inlineStr">
        <is>
          <t>–</t>
        </is>
      </c>
      <c r="I51" s="110">
        <f>SUMIFS(I$47:I$48,$AI$47:$AI$48,"OUTSTANDING")</f>
        <v/>
      </c>
      <c r="J51" s="110">
        <f>SUMIFS(J$47:J$48,$AI$47:$AI$48,"OUTSTANDING")</f>
        <v/>
      </c>
      <c r="K51" s="110">
        <f>SUMIFS(K$47:K$48,$AI$47:$AI$48,"OUTSTANDING")</f>
        <v/>
      </c>
      <c r="L51" s="110">
        <f>SUMIFS(L$47:L$48,$AI$47:$AI$48,"OUTSTANDING")</f>
        <v/>
      </c>
      <c r="M51" s="110">
        <f>SUMIFS(M$47:M$48,$AI$47:$AI$48,"OUTSTANDING")</f>
        <v/>
      </c>
      <c r="N51" s="110">
        <f>SUMIFS(N$47:N$48,$AI$47:$AI$48,"OUTSTANDING")</f>
        <v/>
      </c>
      <c r="O51" s="111">
        <f>SUMIFS(O$47:O$48,$AI$47:$AI$48,"OUTSTANDING")</f>
        <v/>
      </c>
      <c r="P51" s="110">
        <f>SUMIFS(P$47:P$48,$AI$47:$AI$48,"OUTSTANDING")</f>
        <v/>
      </c>
      <c r="Q51" s="110">
        <f>SUMIFS(Q$47:Q$48,$AI$47:$AI$48,"OUTSTANDING")</f>
        <v/>
      </c>
      <c r="R51" s="112" t="inlineStr">
        <is>
          <t>–</t>
        </is>
      </c>
      <c r="S51" s="110">
        <f>SUMIFS(S$47:S$48,$AI$47:$AI$48,"OUTSTANDING")</f>
        <v/>
      </c>
      <c r="T51" s="110">
        <f>SUMIFS(T$47:T$48,$AI$47:$AI$48,"OUTSTANDING")</f>
        <v/>
      </c>
      <c r="U51" s="110">
        <f>SUMIFS(U$47:U$48,$AI$47:$AI$48,"OUTSTANDING")</f>
        <v/>
      </c>
      <c r="V51" s="113">
        <f>SUMIFS(V$47:V$48,$AI$47:$AI$48,"OUTSTANDING")</f>
        <v/>
      </c>
      <c r="W51" s="110" t="inlineStr">
        <is>
          <t>–</t>
        </is>
      </c>
      <c r="X51" s="110">
        <f>SUMIFS(X$47:X$48,$AI$47:$AI$48,"OUTSTANDING")</f>
        <v/>
      </c>
      <c r="Y51" s="110">
        <f>SUMIFS(Y$47:Y$48,$AI$47:$AI$48,"OUTSTANDING")</f>
        <v/>
      </c>
      <c r="Z51" s="110" t="inlineStr">
        <is>
          <t>–</t>
        </is>
      </c>
      <c r="AA51" s="110">
        <f>SUMIFS(AA$47:AA$48,$AI$47:$AI$48,"OUTSTANDING")</f>
        <v/>
      </c>
      <c r="AB51" s="110">
        <f>SUMIFS(AB$47:AB$48,$AI$47:$AI$48,"OUTSTANDING")</f>
        <v/>
      </c>
      <c r="AC51" s="110" t="inlineStr">
        <is>
          <t>–</t>
        </is>
      </c>
      <c r="AD51" s="110">
        <f>SUMIFS(AD$47:AD$48,$AI$47:$AI$48,"OUTSTANDING")</f>
        <v/>
      </c>
      <c r="AE51" s="110">
        <f>SUMIFS(AE$47:AE$48,$AI$47:$AI$48,"OUTSTANDING")</f>
        <v/>
      </c>
      <c r="AF51" s="110" t="inlineStr">
        <is>
          <t>–</t>
        </is>
      </c>
      <c r="AG51" s="114" t="inlineStr">
        <is>
          <t>–</t>
        </is>
      </c>
      <c r="AH51" s="110" t="inlineStr">
        <is>
          <t>–</t>
        </is>
      </c>
      <c r="AI51" s="115" t="inlineStr">
        <is>
          <t>OUTSTANDING</t>
        </is>
      </c>
    </row>
    <row r="52" outlineLevel="1" ht="15" customHeight="1" s="77">
      <c r="A52" s="67" t="n">
        <v>1</v>
      </c>
      <c r="B52" s="68">
        <f>IF('Final Calculation Sheet'!$F$39="","",'Final Calculation Sheet'!$F$39)</f>
        <v/>
      </c>
      <c r="C52" s="68">
        <f>IF('Final Calculation Sheet'!$G$39="","",'Final Calculation Sheet'!$G$39)</f>
        <v/>
      </c>
      <c r="D52" s="69">
        <f>IF('Final Calculation Sheet'!$B$39="","",'Final Calculation Sheet'!$B$39)</f>
        <v/>
      </c>
      <c r="E52" s="69">
        <f>IF('Final Calculation Sheet'!$D$39="","",'Final Calculation Sheet'!$D$39)</f>
        <v/>
      </c>
      <c r="F52" s="69">
        <f>IF('Final Calculation Sheet'!$A$39="","",'Final Calculation Sheet'!$A$39)</f>
        <v/>
      </c>
      <c r="G52" s="69">
        <f>IF('Final Calculation Sheet'!$E$39="","",'Final Calculation Sheet'!$E$39)</f>
        <v/>
      </c>
      <c r="H52" s="70">
        <f>IF('Final Calculation Sheet'!$C$39="","",'Final Calculation Sheet'!$C$39)</f>
        <v/>
      </c>
      <c r="I52" s="70">
        <f>IF('Final Calculation Sheet'!$H$39="","",'Final Calculation Sheet'!$H$39)</f>
        <v/>
      </c>
      <c r="J52" s="70">
        <f>IF('Final Calculation Sheet'!$I$39="","",'Final Calculation Sheet'!$I$39)</f>
        <v/>
      </c>
      <c r="K52" s="70">
        <f>IF('Final Calculation Sheet'!$J$39="","",'Final Calculation Sheet'!$J$39)</f>
        <v/>
      </c>
      <c r="L52" s="70">
        <f>IF('Final Calculation Sheet'!$K$39="","",'Final Calculation Sheet'!$K$39)</f>
        <v/>
      </c>
      <c r="M52" s="70">
        <f>IF('Final Calculation Sheet'!$L$39="","",'Final Calculation Sheet'!$L$39)</f>
        <v/>
      </c>
      <c r="N52" s="70">
        <f>IF('Final Calculation Sheet'!$M$39="","",'Final Calculation Sheet'!$M$39)</f>
        <v/>
      </c>
      <c r="O52" s="71">
        <f>IF('Final Calculation Sheet'!$N$39="","",'Final Calculation Sheet'!$N$39)</f>
        <v/>
      </c>
      <c r="P52" s="70">
        <f>IF('Final Calculation Sheet'!$O$39="","",'Final Calculation Sheet'!$O$39)</f>
        <v/>
      </c>
      <c r="Q52" s="70">
        <f>IF('Final Calculation Sheet'!$P$39="","",'Final Calculation Sheet'!$P$39)</f>
        <v/>
      </c>
      <c r="R52" s="72">
        <f>IF('Final Calculation Sheet'!$Q$39="","",'Final Calculation Sheet'!$Q$39)</f>
        <v/>
      </c>
      <c r="S52" s="70">
        <f>IF('Final Calculation Sheet'!$R$39="","",'Final Calculation Sheet'!$R$39)</f>
        <v/>
      </c>
      <c r="T52" s="70">
        <f>IF('Final Calculation Sheet'!$S$39="","",'Final Calculation Sheet'!$S$39)</f>
        <v/>
      </c>
      <c r="U52" s="70">
        <f>IF('Final Calculation Sheet'!$T$39="","",'Final Calculation Sheet'!$T$39)</f>
        <v/>
      </c>
      <c r="V52" s="73">
        <f>IF('Final Calculation Sheet'!$U$39="","",'Final Calculation Sheet'!$U$39)</f>
        <v/>
      </c>
      <c r="W52" s="70">
        <f>IF('Final Calculation Sheet'!$V$39="","",'Final Calculation Sheet'!$V$39)</f>
        <v/>
      </c>
      <c r="X52" s="70">
        <f>IF('Final Calculation Sheet'!$W$39="","",'Final Calculation Sheet'!$W$39)</f>
        <v/>
      </c>
      <c r="Y52" s="70">
        <f>IF('Final Calculation Sheet'!$X$39="","",'Final Calculation Sheet'!$X$39)</f>
        <v/>
      </c>
      <c r="Z52" s="70">
        <f>IF('Final Calculation Sheet'!$Y$39="","",'Final Calculation Sheet'!$Y$39)</f>
        <v/>
      </c>
      <c r="AA52" s="70">
        <f>IF('Final Calculation Sheet'!$Z$39="","",'Final Calculation Sheet'!$Z$39)</f>
        <v/>
      </c>
      <c r="AB52" s="70">
        <f>IF('Final Calculation Sheet'!$AA$39="","",'Final Calculation Sheet'!$AA$39)</f>
        <v/>
      </c>
      <c r="AC52" s="70">
        <f>IF('Final Calculation Sheet'!$AB$39="","",'Final Calculation Sheet'!$AB$39)</f>
        <v/>
      </c>
      <c r="AD52" s="70">
        <f>IF('Final Calculation Sheet'!$AC$39="","",'Final Calculation Sheet'!$AC$39)</f>
        <v/>
      </c>
      <c r="AE52" s="70">
        <f>IF('Final Calculation Sheet'!$AD$39="","",'Final Calculation Sheet'!$AD$39)</f>
        <v/>
      </c>
      <c r="AF52" s="70">
        <f>IF('Final Calculation Sheet'!$AE$39="","",'Final Calculation Sheet'!$AE$39)</f>
        <v/>
      </c>
      <c r="AG52" s="74">
        <f>IF('Final Calculation Sheet'!$AF$39="","",'Final Calculation Sheet'!$AF$39)</f>
        <v/>
      </c>
      <c r="AH52" s="70">
        <f>IF('Final Calculation Sheet'!$AG$39="","",'Final Calculation Sheet'!$AG$39)</f>
        <v/>
      </c>
      <c r="AI52" s="75">
        <f>IF('Final Calculation Sheet'!$AD$39="","",IF('Final Calculation Sheet'!$AD$39&lt;=5,"SETTLED","OUTSTANDING"))</f>
        <v/>
      </c>
    </row>
    <row r="53" outlineLevel="1" ht="15" customHeight="1" s="77">
      <c r="A53" s="67" t="n">
        <v>2</v>
      </c>
      <c r="B53" s="68">
        <f>IF('Final Calculation Sheet'!$F$40="","",'Final Calculation Sheet'!$F$40)</f>
        <v/>
      </c>
      <c r="C53" s="68">
        <f>IF('Final Calculation Sheet'!$G$40="","",'Final Calculation Sheet'!$G$40)</f>
        <v/>
      </c>
      <c r="D53" s="69">
        <f>IF('Final Calculation Sheet'!$B$40="","",'Final Calculation Sheet'!$B$40)</f>
        <v/>
      </c>
      <c r="E53" s="69">
        <f>IF('Final Calculation Sheet'!$D$40="","",'Final Calculation Sheet'!$D$40)</f>
        <v/>
      </c>
      <c r="F53" s="69">
        <f>IF('Final Calculation Sheet'!$A$40="","",'Final Calculation Sheet'!$A$40)</f>
        <v/>
      </c>
      <c r="G53" s="69">
        <f>IF('Final Calculation Sheet'!$E$40="","",'Final Calculation Sheet'!$E$40)</f>
        <v/>
      </c>
      <c r="H53" s="70">
        <f>IF('Final Calculation Sheet'!$C$40="","",'Final Calculation Sheet'!$C$40)</f>
        <v/>
      </c>
      <c r="I53" s="70">
        <f>IF('Final Calculation Sheet'!$H$40="","",'Final Calculation Sheet'!$H$40)</f>
        <v/>
      </c>
      <c r="J53" s="70">
        <f>IF('Final Calculation Sheet'!$I$40="","",'Final Calculation Sheet'!$I$40)</f>
        <v/>
      </c>
      <c r="K53" s="70">
        <f>IF('Final Calculation Sheet'!$J$40="","",'Final Calculation Sheet'!$J$40)</f>
        <v/>
      </c>
      <c r="L53" s="70">
        <f>IF('Final Calculation Sheet'!$K$40="","",'Final Calculation Sheet'!$K$40)</f>
        <v/>
      </c>
      <c r="M53" s="70">
        <f>IF('Final Calculation Sheet'!$L$40="","",'Final Calculation Sheet'!$L$40)</f>
        <v/>
      </c>
      <c r="N53" s="70">
        <f>IF('Final Calculation Sheet'!$M$40="","",'Final Calculation Sheet'!$M$40)</f>
        <v/>
      </c>
      <c r="O53" s="71">
        <f>IF('Final Calculation Sheet'!$N$40="","",'Final Calculation Sheet'!$N$40)</f>
        <v/>
      </c>
      <c r="P53" s="70">
        <f>IF('Final Calculation Sheet'!$O$40="","",'Final Calculation Sheet'!$O$40)</f>
        <v/>
      </c>
      <c r="Q53" s="70">
        <f>IF('Final Calculation Sheet'!$P$40="","",'Final Calculation Sheet'!$P$40)</f>
        <v/>
      </c>
      <c r="R53" s="72">
        <f>IF('Final Calculation Sheet'!$Q$40="","",'Final Calculation Sheet'!$Q$40)</f>
        <v/>
      </c>
      <c r="S53" s="70">
        <f>IF('Final Calculation Sheet'!$R$40="","",'Final Calculation Sheet'!$R$40)</f>
        <v/>
      </c>
      <c r="T53" s="70">
        <f>IF('Final Calculation Sheet'!$S$40="","",'Final Calculation Sheet'!$S$40)</f>
        <v/>
      </c>
      <c r="U53" s="70">
        <f>IF('Final Calculation Sheet'!$T$40="","",'Final Calculation Sheet'!$T$40)</f>
        <v/>
      </c>
      <c r="V53" s="73">
        <f>IF('Final Calculation Sheet'!$U$40="","",'Final Calculation Sheet'!$U$40)</f>
        <v/>
      </c>
      <c r="W53" s="70">
        <f>IF('Final Calculation Sheet'!$V$40="","",'Final Calculation Sheet'!$V$40)</f>
        <v/>
      </c>
      <c r="X53" s="70">
        <f>IF('Final Calculation Sheet'!$W$40="","",'Final Calculation Sheet'!$W$40)</f>
        <v/>
      </c>
      <c r="Y53" s="70">
        <f>IF('Final Calculation Sheet'!$X$40="","",'Final Calculation Sheet'!$X$40)</f>
        <v/>
      </c>
      <c r="Z53" s="70">
        <f>IF('Final Calculation Sheet'!$Y$40="","",'Final Calculation Sheet'!$Y$40)</f>
        <v/>
      </c>
      <c r="AA53" s="70">
        <f>IF('Final Calculation Sheet'!$Z$40="","",'Final Calculation Sheet'!$Z$40)</f>
        <v/>
      </c>
      <c r="AB53" s="70">
        <f>IF('Final Calculation Sheet'!$AA$40="","",'Final Calculation Sheet'!$AA$40)</f>
        <v/>
      </c>
      <c r="AC53" s="70">
        <f>IF('Final Calculation Sheet'!$AB$40="","",'Final Calculation Sheet'!$AB$40)</f>
        <v/>
      </c>
      <c r="AD53" s="70">
        <f>IF('Final Calculation Sheet'!$AC$40="","",'Final Calculation Sheet'!$AC$40)</f>
        <v/>
      </c>
      <c r="AE53" s="70">
        <f>IF('Final Calculation Sheet'!$AD$40="","",'Final Calculation Sheet'!$AD$40)</f>
        <v/>
      </c>
      <c r="AF53" s="70">
        <f>IF('Final Calculation Sheet'!$AE$40="","",'Final Calculation Sheet'!$AE$40)</f>
        <v/>
      </c>
      <c r="AG53" s="74">
        <f>IF('Final Calculation Sheet'!$AF$40="","",'Final Calculation Sheet'!$AF$40)</f>
        <v/>
      </c>
      <c r="AH53" s="70">
        <f>IF('Final Calculation Sheet'!$AG$40="","",'Final Calculation Sheet'!$AG$40)</f>
        <v/>
      </c>
      <c r="AI53" s="75">
        <f>IF('Final Calculation Sheet'!$AD$40="","",IF('Final Calculation Sheet'!$AD$40&lt;=5,"SETTLED","OUTSTANDING"))</f>
        <v/>
      </c>
    </row>
    <row r="54" ht="15" customHeight="1" s="77">
      <c r="A54" s="84" t="inlineStr">
        <is>
          <t>∑</t>
        </is>
      </c>
      <c r="B54" s="85" t="n"/>
      <c r="C54" s="85">
        <f>ROWS($C$52:$C$53)&amp;" lot(s)"</f>
        <v/>
      </c>
      <c r="D54" s="85" t="inlineStr">
        <is>
          <t>SUBTOTAL — S M ENTERPRISES</t>
        </is>
      </c>
      <c r="E54" s="85" t="inlineStr">
        <is>
          <t>–</t>
        </is>
      </c>
      <c r="F54" s="85">
        <f>SUM(F52:F53)</f>
        <v/>
      </c>
      <c r="G54" s="85" t="inlineStr">
        <is>
          <t>–</t>
        </is>
      </c>
      <c r="H54" s="86" t="inlineStr">
        <is>
          <t>–</t>
        </is>
      </c>
      <c r="I54" s="86">
        <f>SUM(I52:I53)</f>
        <v/>
      </c>
      <c r="J54" s="86">
        <f>SUM(J52:J53)</f>
        <v/>
      </c>
      <c r="K54" s="86">
        <f>SUM(K52:K53)</f>
        <v/>
      </c>
      <c r="L54" s="86">
        <f>SUM(L52:L53)</f>
        <v/>
      </c>
      <c r="M54" s="86">
        <f>SUM(M52:M53)</f>
        <v/>
      </c>
      <c r="N54" s="86">
        <f>SUM(N52:N53)</f>
        <v/>
      </c>
      <c r="O54" s="87">
        <f>SUM(O52:O53)</f>
        <v/>
      </c>
      <c r="P54" s="86">
        <f>SUM(P52:P53)</f>
        <v/>
      </c>
      <c r="Q54" s="86">
        <f>SUM(Q52:Q53)</f>
        <v/>
      </c>
      <c r="R54" s="88" t="inlineStr">
        <is>
          <t>–</t>
        </is>
      </c>
      <c r="S54" s="86">
        <f>SUM(S52:S53)</f>
        <v/>
      </c>
      <c r="T54" s="86">
        <f>SUM(T52:T53)</f>
        <v/>
      </c>
      <c r="U54" s="86">
        <f>SUM(U52:U53)</f>
        <v/>
      </c>
      <c r="V54" s="89">
        <f>SUM(V52:V53)</f>
        <v/>
      </c>
      <c r="W54" s="86" t="inlineStr">
        <is>
          <t>–</t>
        </is>
      </c>
      <c r="X54" s="86">
        <f>SUM(X52:X53)</f>
        <v/>
      </c>
      <c r="Y54" s="86">
        <f>SUM(Y52:Y53)</f>
        <v/>
      </c>
      <c r="Z54" s="86" t="inlineStr">
        <is>
          <t>–</t>
        </is>
      </c>
      <c r="AA54" s="86">
        <f>SUM(AA52:AA53)</f>
        <v/>
      </c>
      <c r="AB54" s="86">
        <f>SUM(AB52:AB53)</f>
        <v/>
      </c>
      <c r="AC54" s="86" t="inlineStr">
        <is>
          <t>–</t>
        </is>
      </c>
      <c r="AD54" s="86">
        <f>SUM(AD52:AD53)</f>
        <v/>
      </c>
      <c r="AE54" s="86">
        <f>SUM(AE52:AE53)</f>
        <v/>
      </c>
      <c r="AF54" s="86" t="inlineStr">
        <is>
          <t>–</t>
        </is>
      </c>
      <c r="AG54" s="90" t="inlineStr">
        <is>
          <t>–</t>
        </is>
      </c>
      <c r="AH54" s="86" t="inlineStr">
        <is>
          <t>–</t>
        </is>
      </c>
      <c r="AI54" s="91">
        <f>IF(AE54&lt;=5,"SETTLED","OUTSTANDING")</f>
        <v/>
      </c>
    </row>
    <row r="55" ht="15" customHeight="1" s="77">
      <c r="A55" s="108" t="inlineStr">
        <is>
          <t>↳</t>
        </is>
      </c>
      <c r="B55" s="109" t="n"/>
      <c r="C55" s="109">
        <f>COUNTIFS($AI$52:$AI$53,"SETTLED")&amp;" lot(s)"</f>
        <v/>
      </c>
      <c r="D55" s="109" t="inlineStr">
        <is>
          <t>↳ of which SETTLED</t>
        </is>
      </c>
      <c r="E55" s="109" t="inlineStr">
        <is>
          <t>–</t>
        </is>
      </c>
      <c r="F55" s="109">
        <f>SUMIFS(F$52:F$53,$AI$52:$AI$53,"SETTLED")</f>
        <v/>
      </c>
      <c r="G55" s="109" t="inlineStr">
        <is>
          <t>–</t>
        </is>
      </c>
      <c r="H55" s="110" t="inlineStr">
        <is>
          <t>–</t>
        </is>
      </c>
      <c r="I55" s="110">
        <f>SUMIFS(I$52:I$53,$AI$52:$AI$53,"SETTLED")</f>
        <v/>
      </c>
      <c r="J55" s="110">
        <f>SUMIFS(J$52:J$53,$AI$52:$AI$53,"SETTLED")</f>
        <v/>
      </c>
      <c r="K55" s="110">
        <f>SUMIFS(K$52:K$53,$AI$52:$AI$53,"SETTLED")</f>
        <v/>
      </c>
      <c r="L55" s="110">
        <f>SUMIFS(L$52:L$53,$AI$52:$AI$53,"SETTLED")</f>
        <v/>
      </c>
      <c r="M55" s="110">
        <f>SUMIFS(M$52:M$53,$AI$52:$AI$53,"SETTLED")</f>
        <v/>
      </c>
      <c r="N55" s="110">
        <f>SUMIFS(N$52:N$53,$AI$52:$AI$53,"SETTLED")</f>
        <v/>
      </c>
      <c r="O55" s="111">
        <f>SUMIFS(O$52:O$53,$AI$52:$AI$53,"SETTLED")</f>
        <v/>
      </c>
      <c r="P55" s="110">
        <f>SUMIFS(P$52:P$53,$AI$52:$AI$53,"SETTLED")</f>
        <v/>
      </c>
      <c r="Q55" s="110">
        <f>SUMIFS(Q$52:Q$53,$AI$52:$AI$53,"SETTLED")</f>
        <v/>
      </c>
      <c r="R55" s="112" t="inlineStr">
        <is>
          <t>–</t>
        </is>
      </c>
      <c r="S55" s="110">
        <f>SUMIFS(S$52:S$53,$AI$52:$AI$53,"SETTLED")</f>
        <v/>
      </c>
      <c r="T55" s="110">
        <f>SUMIFS(T$52:T$53,$AI$52:$AI$53,"SETTLED")</f>
        <v/>
      </c>
      <c r="U55" s="110">
        <f>SUMIFS(U$52:U$53,$AI$52:$AI$53,"SETTLED")</f>
        <v/>
      </c>
      <c r="V55" s="113">
        <f>SUMIFS(V$52:V$53,$AI$52:$AI$53,"SETTLED")</f>
        <v/>
      </c>
      <c r="W55" s="110" t="inlineStr">
        <is>
          <t>–</t>
        </is>
      </c>
      <c r="X55" s="110">
        <f>SUMIFS(X$52:X$53,$AI$52:$AI$53,"SETTLED")</f>
        <v/>
      </c>
      <c r="Y55" s="110">
        <f>SUMIFS(Y$52:Y$53,$AI$52:$AI$53,"SETTLED")</f>
        <v/>
      </c>
      <c r="Z55" s="110" t="inlineStr">
        <is>
          <t>–</t>
        </is>
      </c>
      <c r="AA55" s="110">
        <f>SUMIFS(AA$52:AA$53,$AI$52:$AI$53,"SETTLED")</f>
        <v/>
      </c>
      <c r="AB55" s="110">
        <f>SUMIFS(AB$52:AB$53,$AI$52:$AI$53,"SETTLED")</f>
        <v/>
      </c>
      <c r="AC55" s="110" t="inlineStr">
        <is>
          <t>–</t>
        </is>
      </c>
      <c r="AD55" s="110">
        <f>SUMIFS(AD$52:AD$53,$AI$52:$AI$53,"SETTLED")</f>
        <v/>
      </c>
      <c r="AE55" s="110">
        <f>SUMIFS(AE$52:AE$53,$AI$52:$AI$53,"SETTLED")</f>
        <v/>
      </c>
      <c r="AF55" s="110" t="inlineStr">
        <is>
          <t>–</t>
        </is>
      </c>
      <c r="AG55" s="114" t="inlineStr">
        <is>
          <t>–</t>
        </is>
      </c>
      <c r="AH55" s="110" t="inlineStr">
        <is>
          <t>–</t>
        </is>
      </c>
      <c r="AI55" s="115" t="inlineStr">
        <is>
          <t>SETTLED</t>
        </is>
      </c>
    </row>
    <row r="56" ht="15" customHeight="1" s="77">
      <c r="A56" s="108" t="inlineStr">
        <is>
          <t>↳</t>
        </is>
      </c>
      <c r="B56" s="109" t="n"/>
      <c r="C56" s="109">
        <f>COUNTIFS($AI$52:$AI$53,"OUTSTANDING")&amp;" lot(s)"</f>
        <v/>
      </c>
      <c r="D56" s="109" t="inlineStr">
        <is>
          <t>↳ of which UNSETTLED (outstanding)</t>
        </is>
      </c>
      <c r="E56" s="109" t="inlineStr">
        <is>
          <t>–</t>
        </is>
      </c>
      <c r="F56" s="109">
        <f>SUMIFS(F$52:F$53,$AI$52:$AI$53,"OUTSTANDING")</f>
        <v/>
      </c>
      <c r="G56" s="109" t="inlineStr">
        <is>
          <t>–</t>
        </is>
      </c>
      <c r="H56" s="110" t="inlineStr">
        <is>
          <t>–</t>
        </is>
      </c>
      <c r="I56" s="110">
        <f>SUMIFS(I$52:I$53,$AI$52:$AI$53,"OUTSTANDING")</f>
        <v/>
      </c>
      <c r="J56" s="110">
        <f>SUMIFS(J$52:J$53,$AI$52:$AI$53,"OUTSTANDING")</f>
        <v/>
      </c>
      <c r="K56" s="110">
        <f>SUMIFS(K$52:K$53,$AI$52:$AI$53,"OUTSTANDING")</f>
        <v/>
      </c>
      <c r="L56" s="110">
        <f>SUMIFS(L$52:L$53,$AI$52:$AI$53,"OUTSTANDING")</f>
        <v/>
      </c>
      <c r="M56" s="110">
        <f>SUMIFS(M$52:M$53,$AI$52:$AI$53,"OUTSTANDING")</f>
        <v/>
      </c>
      <c r="N56" s="110">
        <f>SUMIFS(N$52:N$53,$AI$52:$AI$53,"OUTSTANDING")</f>
        <v/>
      </c>
      <c r="O56" s="111">
        <f>SUMIFS(O$52:O$53,$AI$52:$AI$53,"OUTSTANDING")</f>
        <v/>
      </c>
      <c r="P56" s="110">
        <f>SUMIFS(P$52:P$53,$AI$52:$AI$53,"OUTSTANDING")</f>
        <v/>
      </c>
      <c r="Q56" s="110">
        <f>SUMIFS(Q$52:Q$53,$AI$52:$AI$53,"OUTSTANDING")</f>
        <v/>
      </c>
      <c r="R56" s="112" t="inlineStr">
        <is>
          <t>–</t>
        </is>
      </c>
      <c r="S56" s="110">
        <f>SUMIFS(S$52:S$53,$AI$52:$AI$53,"OUTSTANDING")</f>
        <v/>
      </c>
      <c r="T56" s="110">
        <f>SUMIFS(T$52:T$53,$AI$52:$AI$53,"OUTSTANDING")</f>
        <v/>
      </c>
      <c r="U56" s="110">
        <f>SUMIFS(U$52:U$53,$AI$52:$AI$53,"OUTSTANDING")</f>
        <v/>
      </c>
      <c r="V56" s="113">
        <f>SUMIFS(V$52:V$53,$AI$52:$AI$53,"OUTSTANDING")</f>
        <v/>
      </c>
      <c r="W56" s="110" t="inlineStr">
        <is>
          <t>–</t>
        </is>
      </c>
      <c r="X56" s="110">
        <f>SUMIFS(X$52:X$53,$AI$52:$AI$53,"OUTSTANDING")</f>
        <v/>
      </c>
      <c r="Y56" s="110">
        <f>SUMIFS(Y$52:Y$53,$AI$52:$AI$53,"OUTSTANDING")</f>
        <v/>
      </c>
      <c r="Z56" s="110" t="inlineStr">
        <is>
          <t>–</t>
        </is>
      </c>
      <c r="AA56" s="110">
        <f>SUMIFS(AA$52:AA$53,$AI$52:$AI$53,"OUTSTANDING")</f>
        <v/>
      </c>
      <c r="AB56" s="110">
        <f>SUMIFS(AB$52:AB$53,$AI$52:$AI$53,"OUTSTANDING")</f>
        <v/>
      </c>
      <c r="AC56" s="110" t="inlineStr">
        <is>
          <t>–</t>
        </is>
      </c>
      <c r="AD56" s="110">
        <f>SUMIFS(AD$52:AD$53,$AI$52:$AI$53,"OUTSTANDING")</f>
        <v/>
      </c>
      <c r="AE56" s="110">
        <f>SUMIFS(AE$52:AE$53,$AI$52:$AI$53,"OUTSTANDING")</f>
        <v/>
      </c>
      <c r="AF56" s="110" t="inlineStr">
        <is>
          <t>–</t>
        </is>
      </c>
      <c r="AG56" s="114" t="inlineStr">
        <is>
          <t>–</t>
        </is>
      </c>
      <c r="AH56" s="110" t="inlineStr">
        <is>
          <t>–</t>
        </is>
      </c>
      <c r="AI56" s="115" t="inlineStr">
        <is>
          <t>OUTSTANDING</t>
        </is>
      </c>
    </row>
    <row r="57" outlineLevel="1" ht="15" customHeight="1" s="77">
      <c r="A57" s="67" t="n">
        <v>1</v>
      </c>
      <c r="B57" s="68">
        <f>IF('Final Calculation Sheet'!$F$31="","",'Final Calculation Sheet'!$F$31)</f>
        <v/>
      </c>
      <c r="C57" s="68">
        <f>IF('Final Calculation Sheet'!$G$31="","",'Final Calculation Sheet'!$G$31)</f>
        <v/>
      </c>
      <c r="D57" s="69">
        <f>IF('Final Calculation Sheet'!$B$31="","",'Final Calculation Sheet'!$B$31)</f>
        <v/>
      </c>
      <c r="E57" s="69">
        <f>IF('Final Calculation Sheet'!$D$31="","",'Final Calculation Sheet'!$D$31)</f>
        <v/>
      </c>
      <c r="F57" s="69">
        <f>IF('Final Calculation Sheet'!$A$31="","",'Final Calculation Sheet'!$A$31)</f>
        <v/>
      </c>
      <c r="G57" s="69">
        <f>IF('Final Calculation Sheet'!$E$31="","",'Final Calculation Sheet'!$E$31)</f>
        <v/>
      </c>
      <c r="H57" s="70">
        <f>IF('Final Calculation Sheet'!$C$31="","",'Final Calculation Sheet'!$C$31)</f>
        <v/>
      </c>
      <c r="I57" s="70">
        <f>IF('Final Calculation Sheet'!$H$31="","",'Final Calculation Sheet'!$H$31)</f>
        <v/>
      </c>
      <c r="J57" s="70">
        <f>IF('Final Calculation Sheet'!$I$31="","",'Final Calculation Sheet'!$I$31)</f>
        <v/>
      </c>
      <c r="K57" s="70">
        <f>IF('Final Calculation Sheet'!$J$31="","",'Final Calculation Sheet'!$J$31)</f>
        <v/>
      </c>
      <c r="L57" s="70">
        <f>IF('Final Calculation Sheet'!$K$31="","",'Final Calculation Sheet'!$K$31)</f>
        <v/>
      </c>
      <c r="M57" s="70">
        <f>IF('Final Calculation Sheet'!$L$31="","",'Final Calculation Sheet'!$L$31)</f>
        <v/>
      </c>
      <c r="N57" s="70">
        <f>IF('Final Calculation Sheet'!$M$31="","",'Final Calculation Sheet'!$M$31)</f>
        <v/>
      </c>
      <c r="O57" s="71">
        <f>IF('Final Calculation Sheet'!$N$31="","",'Final Calculation Sheet'!$N$31)</f>
        <v/>
      </c>
      <c r="P57" s="70">
        <f>IF('Final Calculation Sheet'!$O$31="","",'Final Calculation Sheet'!$O$31)</f>
        <v/>
      </c>
      <c r="Q57" s="70">
        <f>IF('Final Calculation Sheet'!$P$31="","",'Final Calculation Sheet'!$P$31)</f>
        <v/>
      </c>
      <c r="R57" s="72">
        <f>IF('Final Calculation Sheet'!$Q$31="","",'Final Calculation Sheet'!$Q$31)</f>
        <v/>
      </c>
      <c r="S57" s="70">
        <f>IF('Final Calculation Sheet'!$R$31="","",'Final Calculation Sheet'!$R$31)</f>
        <v/>
      </c>
      <c r="T57" s="70">
        <f>IF('Final Calculation Sheet'!$S$31="","",'Final Calculation Sheet'!$S$31)</f>
        <v/>
      </c>
      <c r="U57" s="70">
        <f>IF('Final Calculation Sheet'!$T$31="","",'Final Calculation Sheet'!$T$31)</f>
        <v/>
      </c>
      <c r="V57" s="73">
        <f>IF('Final Calculation Sheet'!$U$31="","",'Final Calculation Sheet'!$U$31)</f>
        <v/>
      </c>
      <c r="W57" s="70">
        <f>IF('Final Calculation Sheet'!$V$31="","",'Final Calculation Sheet'!$V$31)</f>
        <v/>
      </c>
      <c r="X57" s="70">
        <f>IF('Final Calculation Sheet'!$W$31="","",'Final Calculation Sheet'!$W$31)</f>
        <v/>
      </c>
      <c r="Y57" s="70">
        <f>IF('Final Calculation Sheet'!$X$31="","",'Final Calculation Sheet'!$X$31)</f>
        <v/>
      </c>
      <c r="Z57" s="70">
        <f>IF('Final Calculation Sheet'!$Y$31="","",'Final Calculation Sheet'!$Y$31)</f>
        <v/>
      </c>
      <c r="AA57" s="70">
        <f>IF('Final Calculation Sheet'!$Z$31="","",'Final Calculation Sheet'!$Z$31)</f>
        <v/>
      </c>
      <c r="AB57" s="70">
        <f>IF('Final Calculation Sheet'!$AA$31="","",'Final Calculation Sheet'!$AA$31)</f>
        <v/>
      </c>
      <c r="AC57" s="70">
        <f>IF('Final Calculation Sheet'!$AB$31="","",'Final Calculation Sheet'!$AB$31)</f>
        <v/>
      </c>
      <c r="AD57" s="70">
        <f>IF('Final Calculation Sheet'!$AC$31="","",'Final Calculation Sheet'!$AC$31)</f>
        <v/>
      </c>
      <c r="AE57" s="70">
        <f>IF('Final Calculation Sheet'!$AD$31="","",'Final Calculation Sheet'!$AD$31)</f>
        <v/>
      </c>
      <c r="AF57" s="70">
        <f>IF('Final Calculation Sheet'!$AE$31="","",'Final Calculation Sheet'!$AE$31)</f>
        <v/>
      </c>
      <c r="AG57" s="74">
        <f>IF('Final Calculation Sheet'!$AF$31="","",'Final Calculation Sheet'!$AF$31)</f>
        <v/>
      </c>
      <c r="AH57" s="70">
        <f>IF('Final Calculation Sheet'!$AG$31="","",'Final Calculation Sheet'!$AG$31)</f>
        <v/>
      </c>
      <c r="AI57" s="75">
        <f>IF('Final Calculation Sheet'!$AD$31="","",IF('Final Calculation Sheet'!$AD$31&lt;=5,"SETTLED","OUTSTANDING"))</f>
        <v/>
      </c>
    </row>
    <row r="58" s="77">
      <c r="A58" s="84" t="inlineStr">
        <is>
          <t>∑</t>
        </is>
      </c>
      <c r="B58" s="85" t="n"/>
      <c r="C58" s="85">
        <f>ROWS($C$57:$C$57)&amp;" lot(s)"</f>
        <v/>
      </c>
      <c r="D58" s="85" t="inlineStr">
        <is>
          <t>SUBTOTAL — SAHARA ENTERPRISES</t>
        </is>
      </c>
      <c r="E58" s="85" t="inlineStr">
        <is>
          <t>–</t>
        </is>
      </c>
      <c r="F58" s="85">
        <f>SUM(F57:F57)</f>
        <v/>
      </c>
      <c r="G58" s="85" t="inlineStr">
        <is>
          <t>–</t>
        </is>
      </c>
      <c r="H58" s="86" t="inlineStr">
        <is>
          <t>–</t>
        </is>
      </c>
      <c r="I58" s="86">
        <f>SUM(I57:I57)</f>
        <v/>
      </c>
      <c r="J58" s="86">
        <f>SUM(J57:J57)</f>
        <v/>
      </c>
      <c r="K58" s="86">
        <f>SUM(K57:K57)</f>
        <v/>
      </c>
      <c r="L58" s="86">
        <f>SUM(L57:L57)</f>
        <v/>
      </c>
      <c r="M58" s="86">
        <f>SUM(M57:M57)</f>
        <v/>
      </c>
      <c r="N58" s="86">
        <f>SUM(N57:N57)</f>
        <v/>
      </c>
      <c r="O58" s="87">
        <f>SUM(O57:O57)</f>
        <v/>
      </c>
      <c r="P58" s="86">
        <f>SUM(P57:P57)</f>
        <v/>
      </c>
      <c r="Q58" s="86">
        <f>SUM(Q57:Q57)</f>
        <v/>
      </c>
      <c r="R58" s="88" t="inlineStr">
        <is>
          <t>–</t>
        </is>
      </c>
      <c r="S58" s="86">
        <f>SUM(S57:S57)</f>
        <v/>
      </c>
      <c r="T58" s="86">
        <f>SUM(T57:T57)</f>
        <v/>
      </c>
      <c r="U58" s="86">
        <f>SUM(U57:U57)</f>
        <v/>
      </c>
      <c r="V58" s="89">
        <f>SUM(V57:V57)</f>
        <v/>
      </c>
      <c r="W58" s="86" t="inlineStr">
        <is>
          <t>–</t>
        </is>
      </c>
      <c r="X58" s="86">
        <f>SUM(X57:X57)</f>
        <v/>
      </c>
      <c r="Y58" s="86">
        <f>SUM(Y57:Y57)</f>
        <v/>
      </c>
      <c r="Z58" s="86" t="inlineStr">
        <is>
          <t>–</t>
        </is>
      </c>
      <c r="AA58" s="86">
        <f>SUM(AA57:AA57)</f>
        <v/>
      </c>
      <c r="AB58" s="86">
        <f>SUM(AB57:AB57)</f>
        <v/>
      </c>
      <c r="AC58" s="86" t="inlineStr">
        <is>
          <t>–</t>
        </is>
      </c>
      <c r="AD58" s="86">
        <f>SUM(AD57:AD57)</f>
        <v/>
      </c>
      <c r="AE58" s="86">
        <f>SUM(AE57:AE57)</f>
        <v/>
      </c>
      <c r="AF58" s="86" t="inlineStr">
        <is>
          <t>–</t>
        </is>
      </c>
      <c r="AG58" s="90" t="inlineStr">
        <is>
          <t>–</t>
        </is>
      </c>
      <c r="AH58" s="86" t="inlineStr">
        <is>
          <t>–</t>
        </is>
      </c>
      <c r="AI58" s="91">
        <f>IF(AE58&lt;=5,"SETTLED","OUTSTANDING")</f>
        <v/>
      </c>
    </row>
    <row r="59" s="77">
      <c r="A59" s="108" t="inlineStr">
        <is>
          <t>↳</t>
        </is>
      </c>
      <c r="B59" s="109" t="n"/>
      <c r="C59" s="109">
        <f>COUNTIFS($AI$57:$AI$57,"SETTLED")&amp;" lot(s)"</f>
        <v/>
      </c>
      <c r="D59" s="109" t="inlineStr">
        <is>
          <t>↳ of which SETTLED</t>
        </is>
      </c>
      <c r="E59" s="109" t="inlineStr">
        <is>
          <t>–</t>
        </is>
      </c>
      <c r="F59" s="109">
        <f>SUMIFS(F$57:F$57,$AI$57:$AI$57,"SETTLED")</f>
        <v/>
      </c>
      <c r="G59" s="109" t="inlineStr">
        <is>
          <t>–</t>
        </is>
      </c>
      <c r="H59" s="110" t="inlineStr">
        <is>
          <t>–</t>
        </is>
      </c>
      <c r="I59" s="110">
        <f>SUMIFS(I$57:I$57,$AI$57:$AI$57,"SETTLED")</f>
        <v/>
      </c>
      <c r="J59" s="110">
        <f>SUMIFS(J$57:J$57,$AI$57:$AI$57,"SETTLED")</f>
        <v/>
      </c>
      <c r="K59" s="110">
        <f>SUMIFS(K$57:K$57,$AI$57:$AI$57,"SETTLED")</f>
        <v/>
      </c>
      <c r="L59" s="110">
        <f>SUMIFS(L$57:L$57,$AI$57:$AI$57,"SETTLED")</f>
        <v/>
      </c>
      <c r="M59" s="110">
        <f>SUMIFS(M$57:M$57,$AI$57:$AI$57,"SETTLED")</f>
        <v/>
      </c>
      <c r="N59" s="110">
        <f>SUMIFS(N$57:N$57,$AI$57:$AI$57,"SETTLED")</f>
        <v/>
      </c>
      <c r="O59" s="111">
        <f>SUMIFS(O$57:O$57,$AI$57:$AI$57,"SETTLED")</f>
        <v/>
      </c>
      <c r="P59" s="110">
        <f>SUMIFS(P$57:P$57,$AI$57:$AI$57,"SETTLED")</f>
        <v/>
      </c>
      <c r="Q59" s="110">
        <f>SUMIFS(Q$57:Q$57,$AI$57:$AI$57,"SETTLED")</f>
        <v/>
      </c>
      <c r="R59" s="112" t="inlineStr">
        <is>
          <t>–</t>
        </is>
      </c>
      <c r="S59" s="110">
        <f>SUMIFS(S$57:S$57,$AI$57:$AI$57,"SETTLED")</f>
        <v/>
      </c>
      <c r="T59" s="110">
        <f>SUMIFS(T$57:T$57,$AI$57:$AI$57,"SETTLED")</f>
        <v/>
      </c>
      <c r="U59" s="110">
        <f>SUMIFS(U$57:U$57,$AI$57:$AI$57,"SETTLED")</f>
        <v/>
      </c>
      <c r="V59" s="113">
        <f>SUMIFS(V$57:V$57,$AI$57:$AI$57,"SETTLED")</f>
        <v/>
      </c>
      <c r="W59" s="110" t="inlineStr">
        <is>
          <t>–</t>
        </is>
      </c>
      <c r="X59" s="110">
        <f>SUMIFS(X$57:X$57,$AI$57:$AI$57,"SETTLED")</f>
        <v/>
      </c>
      <c r="Y59" s="110">
        <f>SUMIFS(Y$57:Y$57,$AI$57:$AI$57,"SETTLED")</f>
        <v/>
      </c>
      <c r="Z59" s="110" t="inlineStr">
        <is>
          <t>–</t>
        </is>
      </c>
      <c r="AA59" s="110">
        <f>SUMIFS(AA$57:AA$57,$AI$57:$AI$57,"SETTLED")</f>
        <v/>
      </c>
      <c r="AB59" s="110">
        <f>SUMIFS(AB$57:AB$57,$AI$57:$AI$57,"SETTLED")</f>
        <v/>
      </c>
      <c r="AC59" s="110" t="inlineStr">
        <is>
          <t>–</t>
        </is>
      </c>
      <c r="AD59" s="110">
        <f>SUMIFS(AD$57:AD$57,$AI$57:$AI$57,"SETTLED")</f>
        <v/>
      </c>
      <c r="AE59" s="110">
        <f>SUMIFS(AE$57:AE$57,$AI$57:$AI$57,"SETTLED")</f>
        <v/>
      </c>
      <c r="AF59" s="110" t="inlineStr">
        <is>
          <t>–</t>
        </is>
      </c>
      <c r="AG59" s="114" t="inlineStr">
        <is>
          <t>–</t>
        </is>
      </c>
      <c r="AH59" s="110" t="inlineStr">
        <is>
          <t>–</t>
        </is>
      </c>
      <c r="AI59" s="115" t="inlineStr">
        <is>
          <t>SETTLED</t>
        </is>
      </c>
    </row>
    <row r="60" s="77">
      <c r="A60" s="108" t="inlineStr">
        <is>
          <t>↳</t>
        </is>
      </c>
      <c r="B60" s="109" t="n"/>
      <c r="C60" s="109">
        <f>COUNTIFS($AI$57:$AI$57,"OUTSTANDING")&amp;" lot(s)"</f>
        <v/>
      </c>
      <c r="D60" s="109" t="inlineStr">
        <is>
          <t>↳ of which UNSETTLED (outstanding)</t>
        </is>
      </c>
      <c r="E60" s="109" t="inlineStr">
        <is>
          <t>–</t>
        </is>
      </c>
      <c r="F60" s="109">
        <f>SUMIFS(F$57:F$57,$AI$57:$AI$57,"OUTSTANDING")</f>
        <v/>
      </c>
      <c r="G60" s="109" t="inlineStr">
        <is>
          <t>–</t>
        </is>
      </c>
      <c r="H60" s="110" t="inlineStr">
        <is>
          <t>–</t>
        </is>
      </c>
      <c r="I60" s="110">
        <f>SUMIFS(I$57:I$57,$AI$57:$AI$57,"OUTSTANDING")</f>
        <v/>
      </c>
      <c r="J60" s="110">
        <f>SUMIFS(J$57:J$57,$AI$57:$AI$57,"OUTSTANDING")</f>
        <v/>
      </c>
      <c r="K60" s="110">
        <f>SUMIFS(K$57:K$57,$AI$57:$AI$57,"OUTSTANDING")</f>
        <v/>
      </c>
      <c r="L60" s="110">
        <f>SUMIFS(L$57:L$57,$AI$57:$AI$57,"OUTSTANDING")</f>
        <v/>
      </c>
      <c r="M60" s="110">
        <f>SUMIFS(M$57:M$57,$AI$57:$AI$57,"OUTSTANDING")</f>
        <v/>
      </c>
      <c r="N60" s="110">
        <f>SUMIFS(N$57:N$57,$AI$57:$AI$57,"OUTSTANDING")</f>
        <v/>
      </c>
      <c r="O60" s="111">
        <f>SUMIFS(O$57:O$57,$AI$57:$AI$57,"OUTSTANDING")</f>
        <v/>
      </c>
      <c r="P60" s="110">
        <f>SUMIFS(P$57:P$57,$AI$57:$AI$57,"OUTSTANDING")</f>
        <v/>
      </c>
      <c r="Q60" s="110">
        <f>SUMIFS(Q$57:Q$57,$AI$57:$AI$57,"OUTSTANDING")</f>
        <v/>
      </c>
      <c r="R60" s="112" t="inlineStr">
        <is>
          <t>–</t>
        </is>
      </c>
      <c r="S60" s="110">
        <f>SUMIFS(S$57:S$57,$AI$57:$AI$57,"OUTSTANDING")</f>
        <v/>
      </c>
      <c r="T60" s="110">
        <f>SUMIFS(T$57:T$57,$AI$57:$AI$57,"OUTSTANDING")</f>
        <v/>
      </c>
      <c r="U60" s="110">
        <f>SUMIFS(U$57:U$57,$AI$57:$AI$57,"OUTSTANDING")</f>
        <v/>
      </c>
      <c r="V60" s="113">
        <f>SUMIFS(V$57:V$57,$AI$57:$AI$57,"OUTSTANDING")</f>
        <v/>
      </c>
      <c r="W60" s="110" t="inlineStr">
        <is>
          <t>–</t>
        </is>
      </c>
      <c r="X60" s="110">
        <f>SUMIFS(X$57:X$57,$AI$57:$AI$57,"OUTSTANDING")</f>
        <v/>
      </c>
      <c r="Y60" s="110">
        <f>SUMIFS(Y$57:Y$57,$AI$57:$AI$57,"OUTSTANDING")</f>
        <v/>
      </c>
      <c r="Z60" s="110" t="inlineStr">
        <is>
          <t>–</t>
        </is>
      </c>
      <c r="AA60" s="110">
        <f>SUMIFS(AA$57:AA$57,$AI$57:$AI$57,"OUTSTANDING")</f>
        <v/>
      </c>
      <c r="AB60" s="110">
        <f>SUMIFS(AB$57:AB$57,$AI$57:$AI$57,"OUTSTANDING")</f>
        <v/>
      </c>
      <c r="AC60" s="110" t="inlineStr">
        <is>
          <t>–</t>
        </is>
      </c>
      <c r="AD60" s="110">
        <f>SUMIFS(AD$57:AD$57,$AI$57:$AI$57,"OUTSTANDING")</f>
        <v/>
      </c>
      <c r="AE60" s="110">
        <f>SUMIFS(AE$57:AE$57,$AI$57:$AI$57,"OUTSTANDING")</f>
        <v/>
      </c>
      <c r="AF60" s="110" t="inlineStr">
        <is>
          <t>–</t>
        </is>
      </c>
      <c r="AG60" s="114" t="inlineStr">
        <is>
          <t>–</t>
        </is>
      </c>
      <c r="AH60" s="110" t="inlineStr">
        <is>
          <t>–</t>
        </is>
      </c>
      <c r="AI60" s="115" t="inlineStr">
        <is>
          <t>OUTSTANDING</t>
        </is>
      </c>
    </row>
    <row r="61" outlineLevel="1" s="77">
      <c r="A61" s="67" t="n">
        <v>1</v>
      </c>
      <c r="B61" s="68">
        <f>IF('Final Calculation Sheet'!$F$9="","",'Final Calculation Sheet'!$F$9)</f>
        <v/>
      </c>
      <c r="C61" s="68">
        <f>IF('Final Calculation Sheet'!$G$9="","",'Final Calculation Sheet'!$G$9)</f>
        <v/>
      </c>
      <c r="D61" s="69">
        <f>IF('Final Calculation Sheet'!$B$9="","",'Final Calculation Sheet'!$B$9)</f>
        <v/>
      </c>
      <c r="E61" s="69">
        <f>IF('Final Calculation Sheet'!$D$9="","",'Final Calculation Sheet'!$D$9)</f>
        <v/>
      </c>
      <c r="F61" s="69">
        <f>IF('Final Calculation Sheet'!$A$9="","",'Final Calculation Sheet'!$A$9)</f>
        <v/>
      </c>
      <c r="G61" s="69">
        <f>IF('Final Calculation Sheet'!$E$9="","",'Final Calculation Sheet'!$E$9)</f>
        <v/>
      </c>
      <c r="H61" s="70">
        <f>IF('Final Calculation Sheet'!$C$9="","",'Final Calculation Sheet'!$C$9)</f>
        <v/>
      </c>
      <c r="I61" s="70">
        <f>IF('Final Calculation Sheet'!$H$9="","",'Final Calculation Sheet'!$H$9)</f>
        <v/>
      </c>
      <c r="J61" s="70">
        <f>IF('Final Calculation Sheet'!$I$9="","",'Final Calculation Sheet'!$I$9)</f>
        <v/>
      </c>
      <c r="K61" s="70">
        <f>IF('Final Calculation Sheet'!$J$9="","",'Final Calculation Sheet'!$J$9)</f>
        <v/>
      </c>
      <c r="L61" s="70">
        <f>IF('Final Calculation Sheet'!$K$9="","",'Final Calculation Sheet'!$K$9)</f>
        <v/>
      </c>
      <c r="M61" s="70">
        <f>IF('Final Calculation Sheet'!$L$9="","",'Final Calculation Sheet'!$L$9)</f>
        <v/>
      </c>
      <c r="N61" s="70">
        <f>IF('Final Calculation Sheet'!$M$9="","",'Final Calculation Sheet'!$M$9)</f>
        <v/>
      </c>
      <c r="O61" s="71">
        <f>IF('Final Calculation Sheet'!$N$9="","",'Final Calculation Sheet'!$N$9)</f>
        <v/>
      </c>
      <c r="P61" s="70">
        <f>IF('Final Calculation Sheet'!$O$9="","",'Final Calculation Sheet'!$O$9)</f>
        <v/>
      </c>
      <c r="Q61" s="70">
        <f>IF('Final Calculation Sheet'!$P$9="","",'Final Calculation Sheet'!$P$9)</f>
        <v/>
      </c>
      <c r="R61" s="72">
        <f>IF('Final Calculation Sheet'!$Q$9="","",'Final Calculation Sheet'!$Q$9)</f>
        <v/>
      </c>
      <c r="S61" s="70">
        <f>IF('Final Calculation Sheet'!$R$9="","",'Final Calculation Sheet'!$R$9)</f>
        <v/>
      </c>
      <c r="T61" s="70">
        <f>IF('Final Calculation Sheet'!$S$9="","",'Final Calculation Sheet'!$S$9)</f>
        <v/>
      </c>
      <c r="U61" s="70">
        <f>IF('Final Calculation Sheet'!$T$9="","",'Final Calculation Sheet'!$T$9)</f>
        <v/>
      </c>
      <c r="V61" s="73">
        <f>IF('Final Calculation Sheet'!$U$9="","",'Final Calculation Sheet'!$U$9)</f>
        <v/>
      </c>
      <c r="W61" s="70">
        <f>IF('Final Calculation Sheet'!$V$9="","",'Final Calculation Sheet'!$V$9)</f>
        <v/>
      </c>
      <c r="X61" s="70">
        <f>IF('Final Calculation Sheet'!$W$9="","",'Final Calculation Sheet'!$W$9)</f>
        <v/>
      </c>
      <c r="Y61" s="70">
        <f>IF('Final Calculation Sheet'!$X$9="","",'Final Calculation Sheet'!$X$9)</f>
        <v/>
      </c>
      <c r="Z61" s="70">
        <f>IF('Final Calculation Sheet'!$Y$9="","",'Final Calculation Sheet'!$Y$9)</f>
        <v/>
      </c>
      <c r="AA61" s="70">
        <f>IF('Final Calculation Sheet'!$Z$9="","",'Final Calculation Sheet'!$Z$9)</f>
        <v/>
      </c>
      <c r="AB61" s="70">
        <f>IF('Final Calculation Sheet'!$AA$9="","",'Final Calculation Sheet'!$AA$9)</f>
        <v/>
      </c>
      <c r="AC61" s="70">
        <f>IF('Final Calculation Sheet'!$AB$9="","",'Final Calculation Sheet'!$AB$9)</f>
        <v/>
      </c>
      <c r="AD61" s="70">
        <f>IF('Final Calculation Sheet'!$AC$9="","",'Final Calculation Sheet'!$AC$9)</f>
        <v/>
      </c>
      <c r="AE61" s="70">
        <f>IF('Final Calculation Sheet'!$AD$9="","",'Final Calculation Sheet'!$AD$9)</f>
        <v/>
      </c>
      <c r="AF61" s="70">
        <f>IF('Final Calculation Sheet'!$AE$9="","",'Final Calculation Sheet'!$AE$9)</f>
        <v/>
      </c>
      <c r="AG61" s="74">
        <f>IF('Final Calculation Sheet'!$AF$9="","",'Final Calculation Sheet'!$AF$9)</f>
        <v/>
      </c>
      <c r="AH61" s="70">
        <f>IF('Final Calculation Sheet'!$AG$9="","",'Final Calculation Sheet'!$AG$9)</f>
        <v/>
      </c>
      <c r="AI61" s="75">
        <f>IF('Final Calculation Sheet'!$AD$9="","",IF('Final Calculation Sheet'!$AD$9&lt;=5,"SETTLED","OUTSTANDING"))</f>
        <v/>
      </c>
    </row>
    <row r="62" outlineLevel="1" s="77">
      <c r="A62" s="67" t="n">
        <v>2</v>
      </c>
      <c r="B62" s="68">
        <f>IF('Final Calculation Sheet'!$F$14="","",'Final Calculation Sheet'!$F$14)</f>
        <v/>
      </c>
      <c r="C62" s="68">
        <f>IF('Final Calculation Sheet'!$G$14="","",'Final Calculation Sheet'!$G$14)</f>
        <v/>
      </c>
      <c r="D62" s="69">
        <f>IF('Final Calculation Sheet'!$B$14="","",'Final Calculation Sheet'!$B$14)</f>
        <v/>
      </c>
      <c r="E62" s="69">
        <f>IF('Final Calculation Sheet'!$D$14="","",'Final Calculation Sheet'!$D$14)</f>
        <v/>
      </c>
      <c r="F62" s="69">
        <f>IF('Final Calculation Sheet'!$A$14="","",'Final Calculation Sheet'!$A$14)</f>
        <v/>
      </c>
      <c r="G62" s="69">
        <f>IF('Final Calculation Sheet'!$E$14="","",'Final Calculation Sheet'!$E$14)</f>
        <v/>
      </c>
      <c r="H62" s="70">
        <f>IF('Final Calculation Sheet'!$C$14="","",'Final Calculation Sheet'!$C$14)</f>
        <v/>
      </c>
      <c r="I62" s="70">
        <f>IF('Final Calculation Sheet'!$H$14="","",'Final Calculation Sheet'!$H$14)</f>
        <v/>
      </c>
      <c r="J62" s="70">
        <f>IF('Final Calculation Sheet'!$I$14="","",'Final Calculation Sheet'!$I$14)</f>
        <v/>
      </c>
      <c r="K62" s="70">
        <f>IF('Final Calculation Sheet'!$J$14="","",'Final Calculation Sheet'!$J$14)</f>
        <v/>
      </c>
      <c r="L62" s="70">
        <f>IF('Final Calculation Sheet'!$K$14="","",'Final Calculation Sheet'!$K$14)</f>
        <v/>
      </c>
      <c r="M62" s="70">
        <f>IF('Final Calculation Sheet'!$L$14="","",'Final Calculation Sheet'!$L$14)</f>
        <v/>
      </c>
      <c r="N62" s="70">
        <f>IF('Final Calculation Sheet'!$M$14="","",'Final Calculation Sheet'!$M$14)</f>
        <v/>
      </c>
      <c r="O62" s="71">
        <f>IF('Final Calculation Sheet'!$N$14="","",'Final Calculation Sheet'!$N$14)</f>
        <v/>
      </c>
      <c r="P62" s="70">
        <f>IF('Final Calculation Sheet'!$O$14="","",'Final Calculation Sheet'!$O$14)</f>
        <v/>
      </c>
      <c r="Q62" s="70">
        <f>IF('Final Calculation Sheet'!$P$14="","",'Final Calculation Sheet'!$P$14)</f>
        <v/>
      </c>
      <c r="R62" s="72">
        <f>IF('Final Calculation Sheet'!$Q$14="","",'Final Calculation Sheet'!$Q$14)</f>
        <v/>
      </c>
      <c r="S62" s="70">
        <f>IF('Final Calculation Sheet'!$R$14="","",'Final Calculation Sheet'!$R$14)</f>
        <v/>
      </c>
      <c r="T62" s="70">
        <f>IF('Final Calculation Sheet'!$S$14="","",'Final Calculation Sheet'!$S$14)</f>
        <v/>
      </c>
      <c r="U62" s="70">
        <f>IF('Final Calculation Sheet'!$T$14="","",'Final Calculation Sheet'!$T$14)</f>
        <v/>
      </c>
      <c r="V62" s="73">
        <f>IF('Final Calculation Sheet'!$U$14="","",'Final Calculation Sheet'!$U$14)</f>
        <v/>
      </c>
      <c r="W62" s="70">
        <f>IF('Final Calculation Sheet'!$V$14="","",'Final Calculation Sheet'!$V$14)</f>
        <v/>
      </c>
      <c r="X62" s="70">
        <f>IF('Final Calculation Sheet'!$W$14="","",'Final Calculation Sheet'!$W$14)</f>
        <v/>
      </c>
      <c r="Y62" s="70">
        <f>IF('Final Calculation Sheet'!$X$14="","",'Final Calculation Sheet'!$X$14)</f>
        <v/>
      </c>
      <c r="Z62" s="70">
        <f>IF('Final Calculation Sheet'!$Y$14="","",'Final Calculation Sheet'!$Y$14)</f>
        <v/>
      </c>
      <c r="AA62" s="70">
        <f>IF('Final Calculation Sheet'!$Z$14="","",'Final Calculation Sheet'!$Z$14)</f>
        <v/>
      </c>
      <c r="AB62" s="70">
        <f>IF('Final Calculation Sheet'!$AA$14="","",'Final Calculation Sheet'!$AA$14)</f>
        <v/>
      </c>
      <c r="AC62" s="70">
        <f>IF('Final Calculation Sheet'!$AB$14="","",'Final Calculation Sheet'!$AB$14)</f>
        <v/>
      </c>
      <c r="AD62" s="70">
        <f>IF('Final Calculation Sheet'!$AC$14="","",'Final Calculation Sheet'!$AC$14)</f>
        <v/>
      </c>
      <c r="AE62" s="70">
        <f>IF('Final Calculation Sheet'!$AD$14="","",'Final Calculation Sheet'!$AD$14)</f>
        <v/>
      </c>
      <c r="AF62" s="70">
        <f>IF('Final Calculation Sheet'!$AE$14="","",'Final Calculation Sheet'!$AE$14)</f>
        <v/>
      </c>
      <c r="AG62" s="74">
        <f>IF('Final Calculation Sheet'!$AF$14="","",'Final Calculation Sheet'!$AF$14)</f>
        <v/>
      </c>
      <c r="AH62" s="70">
        <f>IF('Final Calculation Sheet'!$AG$14="","",'Final Calculation Sheet'!$AG$14)</f>
        <v/>
      </c>
      <c r="AI62" s="75">
        <f>IF('Final Calculation Sheet'!$AD$14="","",IF('Final Calculation Sheet'!$AD$14&lt;=5,"SETTLED","OUTSTANDING"))</f>
        <v/>
      </c>
    </row>
    <row r="63" s="77">
      <c r="A63" s="84" t="inlineStr">
        <is>
          <t>∑</t>
        </is>
      </c>
      <c r="B63" s="85" t="n"/>
      <c r="C63" s="85">
        <f>ROWS($C$61:$C$62)&amp;" lot(s)"</f>
        <v/>
      </c>
      <c r="D63" s="85" t="inlineStr">
        <is>
          <t>SUBTOTAL — SHAR JAHAN TRADERS</t>
        </is>
      </c>
      <c r="E63" s="85" t="inlineStr">
        <is>
          <t>–</t>
        </is>
      </c>
      <c r="F63" s="85">
        <f>SUM(F61:F62)</f>
        <v/>
      </c>
      <c r="G63" s="85" t="inlineStr">
        <is>
          <t>–</t>
        </is>
      </c>
      <c r="H63" s="86" t="inlineStr">
        <is>
          <t>–</t>
        </is>
      </c>
      <c r="I63" s="86">
        <f>SUM(I61:I62)</f>
        <v/>
      </c>
      <c r="J63" s="86">
        <f>SUM(J61:J62)</f>
        <v/>
      </c>
      <c r="K63" s="86">
        <f>SUM(K61:K62)</f>
        <v/>
      </c>
      <c r="L63" s="86">
        <f>SUM(L61:L62)</f>
        <v/>
      </c>
      <c r="M63" s="86">
        <f>SUM(M61:M62)</f>
        <v/>
      </c>
      <c r="N63" s="86">
        <f>SUM(N61:N62)</f>
        <v/>
      </c>
      <c r="O63" s="87">
        <f>SUM(O61:O62)</f>
        <v/>
      </c>
      <c r="P63" s="86">
        <f>SUM(P61:P62)</f>
        <v/>
      </c>
      <c r="Q63" s="86">
        <f>SUM(Q61:Q62)</f>
        <v/>
      </c>
      <c r="R63" s="88" t="inlineStr">
        <is>
          <t>–</t>
        </is>
      </c>
      <c r="S63" s="86">
        <f>SUM(S61:S62)</f>
        <v/>
      </c>
      <c r="T63" s="86">
        <f>SUM(T61:T62)</f>
        <v/>
      </c>
      <c r="U63" s="86">
        <f>SUM(U61:U62)</f>
        <v/>
      </c>
      <c r="V63" s="89">
        <f>SUM(V61:V62)</f>
        <v/>
      </c>
      <c r="W63" s="86" t="inlineStr">
        <is>
          <t>–</t>
        </is>
      </c>
      <c r="X63" s="86">
        <f>SUM(X61:X62)</f>
        <v/>
      </c>
      <c r="Y63" s="86">
        <f>SUM(Y61:Y62)</f>
        <v/>
      </c>
      <c r="Z63" s="86" t="inlineStr">
        <is>
          <t>–</t>
        </is>
      </c>
      <c r="AA63" s="86">
        <f>SUM(AA61:AA62)</f>
        <v/>
      </c>
      <c r="AB63" s="86">
        <f>SUM(AB61:AB62)</f>
        <v/>
      </c>
      <c r="AC63" s="86" t="inlineStr">
        <is>
          <t>–</t>
        </is>
      </c>
      <c r="AD63" s="86">
        <f>SUM(AD61:AD62)</f>
        <v/>
      </c>
      <c r="AE63" s="86">
        <f>SUM(AE61:AE62)</f>
        <v/>
      </c>
      <c r="AF63" s="86" t="inlineStr">
        <is>
          <t>–</t>
        </is>
      </c>
      <c r="AG63" s="90" t="inlineStr">
        <is>
          <t>–</t>
        </is>
      </c>
      <c r="AH63" s="86" t="inlineStr">
        <is>
          <t>–</t>
        </is>
      </c>
      <c r="AI63" s="91">
        <f>IF(AE63&lt;=5,"SETTLED","OUTSTANDING")</f>
        <v/>
      </c>
    </row>
    <row r="64" s="77">
      <c r="A64" s="108" t="inlineStr">
        <is>
          <t>↳</t>
        </is>
      </c>
      <c r="B64" s="109" t="n"/>
      <c r="C64" s="109">
        <f>COUNTIFS($AI$61:$AI$62,"SETTLED")&amp;" lot(s)"</f>
        <v/>
      </c>
      <c r="D64" s="109" t="inlineStr">
        <is>
          <t>↳ of which SETTLED</t>
        </is>
      </c>
      <c r="E64" s="109" t="inlineStr">
        <is>
          <t>–</t>
        </is>
      </c>
      <c r="F64" s="109">
        <f>SUMIFS(F$61:F$62,$AI$61:$AI$62,"SETTLED")</f>
        <v/>
      </c>
      <c r="G64" s="109" t="inlineStr">
        <is>
          <t>–</t>
        </is>
      </c>
      <c r="H64" s="110" t="inlineStr">
        <is>
          <t>–</t>
        </is>
      </c>
      <c r="I64" s="110">
        <f>SUMIFS(I$61:I$62,$AI$61:$AI$62,"SETTLED")</f>
        <v/>
      </c>
      <c r="J64" s="110">
        <f>SUMIFS(J$61:J$62,$AI$61:$AI$62,"SETTLED")</f>
        <v/>
      </c>
      <c r="K64" s="110">
        <f>SUMIFS(K$61:K$62,$AI$61:$AI$62,"SETTLED")</f>
        <v/>
      </c>
      <c r="L64" s="110">
        <f>SUMIFS(L$61:L$62,$AI$61:$AI$62,"SETTLED")</f>
        <v/>
      </c>
      <c r="M64" s="110">
        <f>SUMIFS(M$61:M$62,$AI$61:$AI$62,"SETTLED")</f>
        <v/>
      </c>
      <c r="N64" s="110">
        <f>SUMIFS(N$61:N$62,$AI$61:$AI$62,"SETTLED")</f>
        <v/>
      </c>
      <c r="O64" s="111">
        <f>SUMIFS(O$61:O$62,$AI$61:$AI$62,"SETTLED")</f>
        <v/>
      </c>
      <c r="P64" s="110">
        <f>SUMIFS(P$61:P$62,$AI$61:$AI$62,"SETTLED")</f>
        <v/>
      </c>
      <c r="Q64" s="110">
        <f>SUMIFS(Q$61:Q$62,$AI$61:$AI$62,"SETTLED")</f>
        <v/>
      </c>
      <c r="R64" s="112" t="inlineStr">
        <is>
          <t>–</t>
        </is>
      </c>
      <c r="S64" s="110">
        <f>SUMIFS(S$61:S$62,$AI$61:$AI$62,"SETTLED")</f>
        <v/>
      </c>
      <c r="T64" s="110">
        <f>SUMIFS(T$61:T$62,$AI$61:$AI$62,"SETTLED")</f>
        <v/>
      </c>
      <c r="U64" s="110">
        <f>SUMIFS(U$61:U$62,$AI$61:$AI$62,"SETTLED")</f>
        <v/>
      </c>
      <c r="V64" s="113">
        <f>SUMIFS(V$61:V$62,$AI$61:$AI$62,"SETTLED")</f>
        <v/>
      </c>
      <c r="W64" s="110" t="inlineStr">
        <is>
          <t>–</t>
        </is>
      </c>
      <c r="X64" s="110">
        <f>SUMIFS(X$61:X$62,$AI$61:$AI$62,"SETTLED")</f>
        <v/>
      </c>
      <c r="Y64" s="110">
        <f>SUMIFS(Y$61:Y$62,$AI$61:$AI$62,"SETTLED")</f>
        <v/>
      </c>
      <c r="Z64" s="110" t="inlineStr">
        <is>
          <t>–</t>
        </is>
      </c>
      <c r="AA64" s="110">
        <f>SUMIFS(AA$61:AA$62,$AI$61:$AI$62,"SETTLED")</f>
        <v/>
      </c>
      <c r="AB64" s="110">
        <f>SUMIFS(AB$61:AB$62,$AI$61:$AI$62,"SETTLED")</f>
        <v/>
      </c>
      <c r="AC64" s="110" t="inlineStr">
        <is>
          <t>–</t>
        </is>
      </c>
      <c r="AD64" s="110">
        <f>SUMIFS(AD$61:AD$62,$AI$61:$AI$62,"SETTLED")</f>
        <v/>
      </c>
      <c r="AE64" s="110">
        <f>SUMIFS(AE$61:AE$62,$AI$61:$AI$62,"SETTLED")</f>
        <v/>
      </c>
      <c r="AF64" s="110" t="inlineStr">
        <is>
          <t>–</t>
        </is>
      </c>
      <c r="AG64" s="114" t="inlineStr">
        <is>
          <t>–</t>
        </is>
      </c>
      <c r="AH64" s="110" t="inlineStr">
        <is>
          <t>–</t>
        </is>
      </c>
      <c r="AI64" s="115" t="inlineStr">
        <is>
          <t>SETTLED</t>
        </is>
      </c>
    </row>
    <row r="65" s="77">
      <c r="A65" s="108" t="inlineStr">
        <is>
          <t>↳</t>
        </is>
      </c>
      <c r="B65" s="109" t="n"/>
      <c r="C65" s="109">
        <f>COUNTIFS($AI$61:$AI$62,"OUTSTANDING")&amp;" lot(s)"</f>
        <v/>
      </c>
      <c r="D65" s="109" t="inlineStr">
        <is>
          <t>↳ of which UNSETTLED (outstanding)</t>
        </is>
      </c>
      <c r="E65" s="109" t="inlineStr">
        <is>
          <t>–</t>
        </is>
      </c>
      <c r="F65" s="109">
        <f>SUMIFS(F$61:F$62,$AI$61:$AI$62,"OUTSTANDING")</f>
        <v/>
      </c>
      <c r="G65" s="109" t="inlineStr">
        <is>
          <t>–</t>
        </is>
      </c>
      <c r="H65" s="110" t="inlineStr">
        <is>
          <t>–</t>
        </is>
      </c>
      <c r="I65" s="110">
        <f>SUMIFS(I$61:I$62,$AI$61:$AI$62,"OUTSTANDING")</f>
        <v/>
      </c>
      <c r="J65" s="110">
        <f>SUMIFS(J$61:J$62,$AI$61:$AI$62,"OUTSTANDING")</f>
        <v/>
      </c>
      <c r="K65" s="110">
        <f>SUMIFS(K$61:K$62,$AI$61:$AI$62,"OUTSTANDING")</f>
        <v/>
      </c>
      <c r="L65" s="110">
        <f>SUMIFS(L$61:L$62,$AI$61:$AI$62,"OUTSTANDING")</f>
        <v/>
      </c>
      <c r="M65" s="110">
        <f>SUMIFS(M$61:M$62,$AI$61:$AI$62,"OUTSTANDING")</f>
        <v/>
      </c>
      <c r="N65" s="110">
        <f>SUMIFS(N$61:N$62,$AI$61:$AI$62,"OUTSTANDING")</f>
        <v/>
      </c>
      <c r="O65" s="111">
        <f>SUMIFS(O$61:O$62,$AI$61:$AI$62,"OUTSTANDING")</f>
        <v/>
      </c>
      <c r="P65" s="110">
        <f>SUMIFS(P$61:P$62,$AI$61:$AI$62,"OUTSTANDING")</f>
        <v/>
      </c>
      <c r="Q65" s="110">
        <f>SUMIFS(Q$61:Q$62,$AI$61:$AI$62,"OUTSTANDING")</f>
        <v/>
      </c>
      <c r="R65" s="112" t="inlineStr">
        <is>
          <t>–</t>
        </is>
      </c>
      <c r="S65" s="110">
        <f>SUMIFS(S$61:S$62,$AI$61:$AI$62,"OUTSTANDING")</f>
        <v/>
      </c>
      <c r="T65" s="110">
        <f>SUMIFS(T$61:T$62,$AI$61:$AI$62,"OUTSTANDING")</f>
        <v/>
      </c>
      <c r="U65" s="110">
        <f>SUMIFS(U$61:U$62,$AI$61:$AI$62,"OUTSTANDING")</f>
        <v/>
      </c>
      <c r="V65" s="113">
        <f>SUMIFS(V$61:V$62,$AI$61:$AI$62,"OUTSTANDING")</f>
        <v/>
      </c>
      <c r="W65" s="110" t="inlineStr">
        <is>
          <t>–</t>
        </is>
      </c>
      <c r="X65" s="110">
        <f>SUMIFS(X$61:X$62,$AI$61:$AI$62,"OUTSTANDING")</f>
        <v/>
      </c>
      <c r="Y65" s="110">
        <f>SUMIFS(Y$61:Y$62,$AI$61:$AI$62,"OUTSTANDING")</f>
        <v/>
      </c>
      <c r="Z65" s="110" t="inlineStr">
        <is>
          <t>–</t>
        </is>
      </c>
      <c r="AA65" s="110">
        <f>SUMIFS(AA$61:AA$62,$AI$61:$AI$62,"OUTSTANDING")</f>
        <v/>
      </c>
      <c r="AB65" s="110">
        <f>SUMIFS(AB$61:AB$62,$AI$61:$AI$62,"OUTSTANDING")</f>
        <v/>
      </c>
      <c r="AC65" s="110" t="inlineStr">
        <is>
          <t>–</t>
        </is>
      </c>
      <c r="AD65" s="110">
        <f>SUMIFS(AD$61:AD$62,$AI$61:$AI$62,"OUTSTANDING")</f>
        <v/>
      </c>
      <c r="AE65" s="110">
        <f>SUMIFS(AE$61:AE$62,$AI$61:$AI$62,"OUTSTANDING")</f>
        <v/>
      </c>
      <c r="AF65" s="110" t="inlineStr">
        <is>
          <t>–</t>
        </is>
      </c>
      <c r="AG65" s="114" t="inlineStr">
        <is>
          <t>–</t>
        </is>
      </c>
      <c r="AH65" s="110" t="inlineStr">
        <is>
          <t>–</t>
        </is>
      </c>
      <c r="AI65" s="115" t="inlineStr">
        <is>
          <t>OUTSTANDING</t>
        </is>
      </c>
    </row>
    <row r="66" outlineLevel="1" s="77">
      <c r="A66" s="67" t="n">
        <v>1</v>
      </c>
      <c r="B66" s="68">
        <f>IF('Final Calculation Sheet'!$F$13="","",'Final Calculation Sheet'!$F$13)</f>
        <v/>
      </c>
      <c r="C66" s="68">
        <f>IF('Final Calculation Sheet'!$G$13="","",'Final Calculation Sheet'!$G$13)</f>
        <v/>
      </c>
      <c r="D66" s="69">
        <f>IF('Final Calculation Sheet'!$B$13="","",'Final Calculation Sheet'!$B$13)</f>
        <v/>
      </c>
      <c r="E66" s="69">
        <f>IF('Final Calculation Sheet'!$D$13="","",'Final Calculation Sheet'!$D$13)</f>
        <v/>
      </c>
      <c r="F66" s="69">
        <f>IF('Final Calculation Sheet'!$A$13="","",'Final Calculation Sheet'!$A$13)</f>
        <v/>
      </c>
      <c r="G66" s="69">
        <f>IF('Final Calculation Sheet'!$E$13="","",'Final Calculation Sheet'!$E$13)</f>
        <v/>
      </c>
      <c r="H66" s="70">
        <f>IF('Final Calculation Sheet'!$C$13="","",'Final Calculation Sheet'!$C$13)</f>
        <v/>
      </c>
      <c r="I66" s="70">
        <f>IF('Final Calculation Sheet'!$H$13="","",'Final Calculation Sheet'!$H$13)</f>
        <v/>
      </c>
      <c r="J66" s="70">
        <f>IF('Final Calculation Sheet'!$I$13="","",'Final Calculation Sheet'!$I$13)</f>
        <v/>
      </c>
      <c r="K66" s="70">
        <f>IF('Final Calculation Sheet'!$J$13="","",'Final Calculation Sheet'!$J$13)</f>
        <v/>
      </c>
      <c r="L66" s="70">
        <f>IF('Final Calculation Sheet'!$K$13="","",'Final Calculation Sheet'!$K$13)</f>
        <v/>
      </c>
      <c r="M66" s="70">
        <f>IF('Final Calculation Sheet'!$L$13="","",'Final Calculation Sheet'!$L$13)</f>
        <v/>
      </c>
      <c r="N66" s="70">
        <f>IF('Final Calculation Sheet'!$M$13="","",'Final Calculation Sheet'!$M$13)</f>
        <v/>
      </c>
      <c r="O66" s="71">
        <f>IF('Final Calculation Sheet'!$N$13="","",'Final Calculation Sheet'!$N$13)</f>
        <v/>
      </c>
      <c r="P66" s="70">
        <f>IF('Final Calculation Sheet'!$O$13="","",'Final Calculation Sheet'!$O$13)</f>
        <v/>
      </c>
      <c r="Q66" s="70">
        <f>IF('Final Calculation Sheet'!$P$13="","",'Final Calculation Sheet'!$P$13)</f>
        <v/>
      </c>
      <c r="R66" s="72">
        <f>IF('Final Calculation Sheet'!$Q$13="","",'Final Calculation Sheet'!$Q$13)</f>
        <v/>
      </c>
      <c r="S66" s="70">
        <f>IF('Final Calculation Sheet'!$R$13="","",'Final Calculation Sheet'!$R$13)</f>
        <v/>
      </c>
      <c r="T66" s="70">
        <f>IF('Final Calculation Sheet'!$S$13="","",'Final Calculation Sheet'!$S$13)</f>
        <v/>
      </c>
      <c r="U66" s="70">
        <f>IF('Final Calculation Sheet'!$T$13="","",'Final Calculation Sheet'!$T$13)</f>
        <v/>
      </c>
      <c r="V66" s="73">
        <f>IF('Final Calculation Sheet'!$U$13="","",'Final Calculation Sheet'!$U$13)</f>
        <v/>
      </c>
      <c r="W66" s="70">
        <f>IF('Final Calculation Sheet'!$V$13="","",'Final Calculation Sheet'!$V$13)</f>
        <v/>
      </c>
      <c r="X66" s="70">
        <f>IF('Final Calculation Sheet'!$W$13="","",'Final Calculation Sheet'!$W$13)</f>
        <v/>
      </c>
      <c r="Y66" s="70">
        <f>IF('Final Calculation Sheet'!$X$13="","",'Final Calculation Sheet'!$X$13)</f>
        <v/>
      </c>
      <c r="Z66" s="70">
        <f>IF('Final Calculation Sheet'!$Y$13="","",'Final Calculation Sheet'!$Y$13)</f>
        <v/>
      </c>
      <c r="AA66" s="70">
        <f>IF('Final Calculation Sheet'!$Z$13="","",'Final Calculation Sheet'!$Z$13)</f>
        <v/>
      </c>
      <c r="AB66" s="70">
        <f>IF('Final Calculation Sheet'!$AA$13="","",'Final Calculation Sheet'!$AA$13)</f>
        <v/>
      </c>
      <c r="AC66" s="70">
        <f>IF('Final Calculation Sheet'!$AB$13="","",'Final Calculation Sheet'!$AB$13)</f>
        <v/>
      </c>
      <c r="AD66" s="70">
        <f>IF('Final Calculation Sheet'!$AC$13="","",'Final Calculation Sheet'!$AC$13)</f>
        <v/>
      </c>
      <c r="AE66" s="70">
        <f>IF('Final Calculation Sheet'!$AD$13="","",'Final Calculation Sheet'!$AD$13)</f>
        <v/>
      </c>
      <c r="AF66" s="70">
        <f>IF('Final Calculation Sheet'!$AE$13="","",'Final Calculation Sheet'!$AE$13)</f>
        <v/>
      </c>
      <c r="AG66" s="74">
        <f>IF('Final Calculation Sheet'!$AF$13="","",'Final Calculation Sheet'!$AF$13)</f>
        <v/>
      </c>
      <c r="AH66" s="70">
        <f>IF('Final Calculation Sheet'!$AG$13="","",'Final Calculation Sheet'!$AG$13)</f>
        <v/>
      </c>
      <c r="AI66" s="75">
        <f>IF('Final Calculation Sheet'!$AD$13="","",IF('Final Calculation Sheet'!$AD$13&lt;=5,"SETTLED","OUTSTANDING"))</f>
        <v/>
      </c>
    </row>
    <row r="67" outlineLevel="1" s="77">
      <c r="A67" s="67" t="n">
        <v>2</v>
      </c>
      <c r="B67" s="68">
        <f>IF('Final Calculation Sheet'!$F$16="","",'Final Calculation Sheet'!$F$16)</f>
        <v/>
      </c>
      <c r="C67" s="68">
        <f>IF('Final Calculation Sheet'!$G$16="","",'Final Calculation Sheet'!$G$16)</f>
        <v/>
      </c>
      <c r="D67" s="69">
        <f>IF('Final Calculation Sheet'!$B$16="","",'Final Calculation Sheet'!$B$16)</f>
        <v/>
      </c>
      <c r="E67" s="69">
        <f>IF('Final Calculation Sheet'!$D$16="","",'Final Calculation Sheet'!$D$16)</f>
        <v/>
      </c>
      <c r="F67" s="69">
        <f>IF('Final Calculation Sheet'!$A$16="","",'Final Calculation Sheet'!$A$16)</f>
        <v/>
      </c>
      <c r="G67" s="69">
        <f>IF('Final Calculation Sheet'!$E$16="","",'Final Calculation Sheet'!$E$16)</f>
        <v/>
      </c>
      <c r="H67" s="70">
        <f>IF('Final Calculation Sheet'!$C$16="","",'Final Calculation Sheet'!$C$16)</f>
        <v/>
      </c>
      <c r="I67" s="70">
        <f>IF('Final Calculation Sheet'!$H$16="","",'Final Calculation Sheet'!$H$16)</f>
        <v/>
      </c>
      <c r="J67" s="70">
        <f>IF('Final Calculation Sheet'!$I$16="","",'Final Calculation Sheet'!$I$16)</f>
        <v/>
      </c>
      <c r="K67" s="70">
        <f>IF('Final Calculation Sheet'!$J$16="","",'Final Calculation Sheet'!$J$16)</f>
        <v/>
      </c>
      <c r="L67" s="70">
        <f>IF('Final Calculation Sheet'!$K$16="","",'Final Calculation Sheet'!$K$16)</f>
        <v/>
      </c>
      <c r="M67" s="70">
        <f>IF('Final Calculation Sheet'!$L$16="","",'Final Calculation Sheet'!$L$16)</f>
        <v/>
      </c>
      <c r="N67" s="70">
        <f>IF('Final Calculation Sheet'!$M$16="","",'Final Calculation Sheet'!$M$16)</f>
        <v/>
      </c>
      <c r="O67" s="71">
        <f>IF('Final Calculation Sheet'!$N$16="","",'Final Calculation Sheet'!$N$16)</f>
        <v/>
      </c>
      <c r="P67" s="70">
        <f>IF('Final Calculation Sheet'!$O$16="","",'Final Calculation Sheet'!$O$16)</f>
        <v/>
      </c>
      <c r="Q67" s="70">
        <f>IF('Final Calculation Sheet'!$P$16="","",'Final Calculation Sheet'!$P$16)</f>
        <v/>
      </c>
      <c r="R67" s="72">
        <f>IF('Final Calculation Sheet'!$Q$16="","",'Final Calculation Sheet'!$Q$16)</f>
        <v/>
      </c>
      <c r="S67" s="70">
        <f>IF('Final Calculation Sheet'!$R$16="","",'Final Calculation Sheet'!$R$16)</f>
        <v/>
      </c>
      <c r="T67" s="70">
        <f>IF('Final Calculation Sheet'!$S$16="","",'Final Calculation Sheet'!$S$16)</f>
        <v/>
      </c>
      <c r="U67" s="70">
        <f>IF('Final Calculation Sheet'!$T$16="","",'Final Calculation Sheet'!$T$16)</f>
        <v/>
      </c>
      <c r="V67" s="73">
        <f>IF('Final Calculation Sheet'!$U$16="","",'Final Calculation Sheet'!$U$16)</f>
        <v/>
      </c>
      <c r="W67" s="70">
        <f>IF('Final Calculation Sheet'!$V$16="","",'Final Calculation Sheet'!$V$16)</f>
        <v/>
      </c>
      <c r="X67" s="70">
        <f>IF('Final Calculation Sheet'!$W$16="","",'Final Calculation Sheet'!$W$16)</f>
        <v/>
      </c>
      <c r="Y67" s="70">
        <f>IF('Final Calculation Sheet'!$X$16="","",'Final Calculation Sheet'!$X$16)</f>
        <v/>
      </c>
      <c r="Z67" s="70">
        <f>IF('Final Calculation Sheet'!$Y$16="","",'Final Calculation Sheet'!$Y$16)</f>
        <v/>
      </c>
      <c r="AA67" s="70">
        <f>IF('Final Calculation Sheet'!$Z$16="","",'Final Calculation Sheet'!$Z$16)</f>
        <v/>
      </c>
      <c r="AB67" s="70">
        <f>IF('Final Calculation Sheet'!$AA$16="","",'Final Calculation Sheet'!$AA$16)</f>
        <v/>
      </c>
      <c r="AC67" s="70">
        <f>IF('Final Calculation Sheet'!$AB$16="","",'Final Calculation Sheet'!$AB$16)</f>
        <v/>
      </c>
      <c r="AD67" s="70">
        <f>IF('Final Calculation Sheet'!$AC$16="","",'Final Calculation Sheet'!$AC$16)</f>
        <v/>
      </c>
      <c r="AE67" s="70">
        <f>IF('Final Calculation Sheet'!$AD$16="","",'Final Calculation Sheet'!$AD$16)</f>
        <v/>
      </c>
      <c r="AF67" s="70">
        <f>IF('Final Calculation Sheet'!$AE$16="","",'Final Calculation Sheet'!$AE$16)</f>
        <v/>
      </c>
      <c r="AG67" s="74">
        <f>IF('Final Calculation Sheet'!$AF$16="","",'Final Calculation Sheet'!$AF$16)</f>
        <v/>
      </c>
      <c r="AH67" s="70">
        <f>IF('Final Calculation Sheet'!$AG$16="","",'Final Calculation Sheet'!$AG$16)</f>
        <v/>
      </c>
      <c r="AI67" s="75">
        <f>IF('Final Calculation Sheet'!$AD$16="","",IF('Final Calculation Sheet'!$AD$16&lt;=5,"SETTLED","OUTSTANDING"))</f>
        <v/>
      </c>
    </row>
    <row r="68" outlineLevel="1" s="77">
      <c r="A68" s="67" t="n">
        <v>3</v>
      </c>
      <c r="B68" s="68">
        <f>IF('Final Calculation Sheet'!$F$17="","",'Final Calculation Sheet'!$F$17)</f>
        <v/>
      </c>
      <c r="C68" s="68">
        <f>IF('Final Calculation Sheet'!$G$17="","",'Final Calculation Sheet'!$G$17)</f>
        <v/>
      </c>
      <c r="D68" s="69">
        <f>IF('Final Calculation Sheet'!$B$17="","",'Final Calculation Sheet'!$B$17)</f>
        <v/>
      </c>
      <c r="E68" s="69">
        <f>IF('Final Calculation Sheet'!$D$17="","",'Final Calculation Sheet'!$D$17)</f>
        <v/>
      </c>
      <c r="F68" s="69">
        <f>IF('Final Calculation Sheet'!$A$17="","",'Final Calculation Sheet'!$A$17)</f>
        <v/>
      </c>
      <c r="G68" s="69">
        <f>IF('Final Calculation Sheet'!$E$17="","",'Final Calculation Sheet'!$E$17)</f>
        <v/>
      </c>
      <c r="H68" s="70">
        <f>IF('Final Calculation Sheet'!$C$17="","",'Final Calculation Sheet'!$C$17)</f>
        <v/>
      </c>
      <c r="I68" s="70">
        <f>IF('Final Calculation Sheet'!$H$17="","",'Final Calculation Sheet'!$H$17)</f>
        <v/>
      </c>
      <c r="J68" s="70">
        <f>IF('Final Calculation Sheet'!$I$17="","",'Final Calculation Sheet'!$I$17)</f>
        <v/>
      </c>
      <c r="K68" s="70">
        <f>IF('Final Calculation Sheet'!$J$17="","",'Final Calculation Sheet'!$J$17)</f>
        <v/>
      </c>
      <c r="L68" s="70">
        <f>IF('Final Calculation Sheet'!$K$17="","",'Final Calculation Sheet'!$K$17)</f>
        <v/>
      </c>
      <c r="M68" s="70">
        <f>IF('Final Calculation Sheet'!$L$17="","",'Final Calculation Sheet'!$L$17)</f>
        <v/>
      </c>
      <c r="N68" s="70">
        <f>IF('Final Calculation Sheet'!$M$17="","",'Final Calculation Sheet'!$M$17)</f>
        <v/>
      </c>
      <c r="O68" s="71">
        <f>IF('Final Calculation Sheet'!$N$17="","",'Final Calculation Sheet'!$N$17)</f>
        <v/>
      </c>
      <c r="P68" s="70">
        <f>IF('Final Calculation Sheet'!$O$17="","",'Final Calculation Sheet'!$O$17)</f>
        <v/>
      </c>
      <c r="Q68" s="70">
        <f>IF('Final Calculation Sheet'!$P$17="","",'Final Calculation Sheet'!$P$17)</f>
        <v/>
      </c>
      <c r="R68" s="72">
        <f>IF('Final Calculation Sheet'!$Q$17="","",'Final Calculation Sheet'!$Q$17)</f>
        <v/>
      </c>
      <c r="S68" s="70">
        <f>IF('Final Calculation Sheet'!$R$17="","",'Final Calculation Sheet'!$R$17)</f>
        <v/>
      </c>
      <c r="T68" s="70">
        <f>IF('Final Calculation Sheet'!$S$17="","",'Final Calculation Sheet'!$S$17)</f>
        <v/>
      </c>
      <c r="U68" s="70">
        <f>IF('Final Calculation Sheet'!$T$17="","",'Final Calculation Sheet'!$T$17)</f>
        <v/>
      </c>
      <c r="V68" s="73">
        <f>IF('Final Calculation Sheet'!$U$17="","",'Final Calculation Sheet'!$U$17)</f>
        <v/>
      </c>
      <c r="W68" s="70">
        <f>IF('Final Calculation Sheet'!$V$17="","",'Final Calculation Sheet'!$V$17)</f>
        <v/>
      </c>
      <c r="X68" s="70">
        <f>IF('Final Calculation Sheet'!$W$17="","",'Final Calculation Sheet'!$W$17)</f>
        <v/>
      </c>
      <c r="Y68" s="70">
        <f>IF('Final Calculation Sheet'!$X$17="","",'Final Calculation Sheet'!$X$17)</f>
        <v/>
      </c>
      <c r="Z68" s="70">
        <f>IF('Final Calculation Sheet'!$Y$17="","",'Final Calculation Sheet'!$Y$17)</f>
        <v/>
      </c>
      <c r="AA68" s="70">
        <f>IF('Final Calculation Sheet'!$Z$17="","",'Final Calculation Sheet'!$Z$17)</f>
        <v/>
      </c>
      <c r="AB68" s="70">
        <f>IF('Final Calculation Sheet'!$AA$17="","",'Final Calculation Sheet'!$AA$17)</f>
        <v/>
      </c>
      <c r="AC68" s="70">
        <f>IF('Final Calculation Sheet'!$AB$17="","",'Final Calculation Sheet'!$AB$17)</f>
        <v/>
      </c>
      <c r="AD68" s="70">
        <f>IF('Final Calculation Sheet'!$AC$17="","",'Final Calculation Sheet'!$AC$17)</f>
        <v/>
      </c>
      <c r="AE68" s="70">
        <f>IF('Final Calculation Sheet'!$AD$17="","",'Final Calculation Sheet'!$AD$17)</f>
        <v/>
      </c>
      <c r="AF68" s="70">
        <f>IF('Final Calculation Sheet'!$AE$17="","",'Final Calculation Sheet'!$AE$17)</f>
        <v/>
      </c>
      <c r="AG68" s="74">
        <f>IF('Final Calculation Sheet'!$AF$17="","",'Final Calculation Sheet'!$AF$17)</f>
        <v/>
      </c>
      <c r="AH68" s="70">
        <f>IF('Final Calculation Sheet'!$AG$17="","",'Final Calculation Sheet'!$AG$17)</f>
        <v/>
      </c>
      <c r="AI68" s="75">
        <f>IF('Final Calculation Sheet'!$AD$17="","",IF('Final Calculation Sheet'!$AD$17&lt;=5,"SETTLED","OUTSTANDING"))</f>
        <v/>
      </c>
    </row>
    <row r="69" outlineLevel="1" s="77">
      <c r="A69" s="67" t="n">
        <v>4</v>
      </c>
      <c r="B69" s="68">
        <f>IF('Final Calculation Sheet'!$F$23="","",'Final Calculation Sheet'!$F$23)</f>
        <v/>
      </c>
      <c r="C69" s="68">
        <f>IF('Final Calculation Sheet'!$G$23="","",'Final Calculation Sheet'!$G$23)</f>
        <v/>
      </c>
      <c r="D69" s="69">
        <f>IF('Final Calculation Sheet'!$B$23="","",'Final Calculation Sheet'!$B$23)</f>
        <v/>
      </c>
      <c r="E69" s="69">
        <f>IF('Final Calculation Sheet'!$D$23="","",'Final Calculation Sheet'!$D$23)</f>
        <v/>
      </c>
      <c r="F69" s="69">
        <f>IF('Final Calculation Sheet'!$A$23="","",'Final Calculation Sheet'!$A$23)</f>
        <v/>
      </c>
      <c r="G69" s="69">
        <f>IF('Final Calculation Sheet'!$E$23="","",'Final Calculation Sheet'!$E$23)</f>
        <v/>
      </c>
      <c r="H69" s="70">
        <f>IF('Final Calculation Sheet'!$C$23="","",'Final Calculation Sheet'!$C$23)</f>
        <v/>
      </c>
      <c r="I69" s="70">
        <f>IF('Final Calculation Sheet'!$H$23="","",'Final Calculation Sheet'!$H$23)</f>
        <v/>
      </c>
      <c r="J69" s="70">
        <f>IF('Final Calculation Sheet'!$I$23="","",'Final Calculation Sheet'!$I$23)</f>
        <v/>
      </c>
      <c r="K69" s="70">
        <f>IF('Final Calculation Sheet'!$J$23="","",'Final Calculation Sheet'!$J$23)</f>
        <v/>
      </c>
      <c r="L69" s="70">
        <f>IF('Final Calculation Sheet'!$K$23="","",'Final Calculation Sheet'!$K$23)</f>
        <v/>
      </c>
      <c r="M69" s="70">
        <f>IF('Final Calculation Sheet'!$L$23="","",'Final Calculation Sheet'!$L$23)</f>
        <v/>
      </c>
      <c r="N69" s="70">
        <f>IF('Final Calculation Sheet'!$M$23="","",'Final Calculation Sheet'!$M$23)</f>
        <v/>
      </c>
      <c r="O69" s="71">
        <f>IF('Final Calculation Sheet'!$N$23="","",'Final Calculation Sheet'!$N$23)</f>
        <v/>
      </c>
      <c r="P69" s="70">
        <f>IF('Final Calculation Sheet'!$O$23="","",'Final Calculation Sheet'!$O$23)</f>
        <v/>
      </c>
      <c r="Q69" s="70">
        <f>IF('Final Calculation Sheet'!$P$23="","",'Final Calculation Sheet'!$P$23)</f>
        <v/>
      </c>
      <c r="R69" s="72">
        <f>IF('Final Calculation Sheet'!$Q$23="","",'Final Calculation Sheet'!$Q$23)</f>
        <v/>
      </c>
      <c r="S69" s="70">
        <f>IF('Final Calculation Sheet'!$R$23="","",'Final Calculation Sheet'!$R$23)</f>
        <v/>
      </c>
      <c r="T69" s="70">
        <f>IF('Final Calculation Sheet'!$S$23="","",'Final Calculation Sheet'!$S$23)</f>
        <v/>
      </c>
      <c r="U69" s="70">
        <f>IF('Final Calculation Sheet'!$T$23="","",'Final Calculation Sheet'!$T$23)</f>
        <v/>
      </c>
      <c r="V69" s="73">
        <f>IF('Final Calculation Sheet'!$U$23="","",'Final Calculation Sheet'!$U$23)</f>
        <v/>
      </c>
      <c r="W69" s="70">
        <f>IF('Final Calculation Sheet'!$V$23="","",'Final Calculation Sheet'!$V$23)</f>
        <v/>
      </c>
      <c r="X69" s="70">
        <f>IF('Final Calculation Sheet'!$W$23="","",'Final Calculation Sheet'!$W$23)</f>
        <v/>
      </c>
      <c r="Y69" s="70">
        <f>IF('Final Calculation Sheet'!$X$23="","",'Final Calculation Sheet'!$X$23)</f>
        <v/>
      </c>
      <c r="Z69" s="70">
        <f>IF('Final Calculation Sheet'!$Y$23="","",'Final Calculation Sheet'!$Y$23)</f>
        <v/>
      </c>
      <c r="AA69" s="70">
        <f>IF('Final Calculation Sheet'!$Z$23="","",'Final Calculation Sheet'!$Z$23)</f>
        <v/>
      </c>
      <c r="AB69" s="70">
        <f>IF('Final Calculation Sheet'!$AA$23="","",'Final Calculation Sheet'!$AA$23)</f>
        <v/>
      </c>
      <c r="AC69" s="70">
        <f>IF('Final Calculation Sheet'!$AB$23="","",'Final Calculation Sheet'!$AB$23)</f>
        <v/>
      </c>
      <c r="AD69" s="70">
        <f>IF('Final Calculation Sheet'!$AC$23="","",'Final Calculation Sheet'!$AC$23)</f>
        <v/>
      </c>
      <c r="AE69" s="70">
        <f>IF('Final Calculation Sheet'!$AD$23="","",'Final Calculation Sheet'!$AD$23)</f>
        <v/>
      </c>
      <c r="AF69" s="70">
        <f>IF('Final Calculation Sheet'!$AE$23="","",'Final Calculation Sheet'!$AE$23)</f>
        <v/>
      </c>
      <c r="AG69" s="74">
        <f>IF('Final Calculation Sheet'!$AF$23="","",'Final Calculation Sheet'!$AF$23)</f>
        <v/>
      </c>
      <c r="AH69" s="70">
        <f>IF('Final Calculation Sheet'!$AG$23="","",'Final Calculation Sheet'!$AG$23)</f>
        <v/>
      </c>
      <c r="AI69" s="75">
        <f>IF('Final Calculation Sheet'!$AD$23="","",IF('Final Calculation Sheet'!$AD$23&lt;=5,"SETTLED","OUTSTANDING"))</f>
        <v/>
      </c>
    </row>
    <row r="70" outlineLevel="1" s="77">
      <c r="A70" s="67" t="n">
        <v>5</v>
      </c>
      <c r="B70" s="68">
        <f>IF('Final Calculation Sheet'!$F$29="","",'Final Calculation Sheet'!$F$29)</f>
        <v/>
      </c>
      <c r="C70" s="68">
        <f>IF('Final Calculation Sheet'!$G$29="","",'Final Calculation Sheet'!$G$29)</f>
        <v/>
      </c>
      <c r="D70" s="69">
        <f>IF('Final Calculation Sheet'!$B$29="","",'Final Calculation Sheet'!$B$29)</f>
        <v/>
      </c>
      <c r="E70" s="69">
        <f>IF('Final Calculation Sheet'!$D$29="","",'Final Calculation Sheet'!$D$29)</f>
        <v/>
      </c>
      <c r="F70" s="69">
        <f>IF('Final Calculation Sheet'!$A$29="","",'Final Calculation Sheet'!$A$29)</f>
        <v/>
      </c>
      <c r="G70" s="69">
        <f>IF('Final Calculation Sheet'!$E$29="","",'Final Calculation Sheet'!$E$29)</f>
        <v/>
      </c>
      <c r="H70" s="70">
        <f>IF('Final Calculation Sheet'!$C$29="","",'Final Calculation Sheet'!$C$29)</f>
        <v/>
      </c>
      <c r="I70" s="70">
        <f>IF('Final Calculation Sheet'!$H$29="","",'Final Calculation Sheet'!$H$29)</f>
        <v/>
      </c>
      <c r="J70" s="70">
        <f>IF('Final Calculation Sheet'!$I$29="","",'Final Calculation Sheet'!$I$29)</f>
        <v/>
      </c>
      <c r="K70" s="70">
        <f>IF('Final Calculation Sheet'!$J$29="","",'Final Calculation Sheet'!$J$29)</f>
        <v/>
      </c>
      <c r="L70" s="70">
        <f>IF('Final Calculation Sheet'!$K$29="","",'Final Calculation Sheet'!$K$29)</f>
        <v/>
      </c>
      <c r="M70" s="70">
        <f>IF('Final Calculation Sheet'!$L$29="","",'Final Calculation Sheet'!$L$29)</f>
        <v/>
      </c>
      <c r="N70" s="70">
        <f>IF('Final Calculation Sheet'!$M$29="","",'Final Calculation Sheet'!$M$29)</f>
        <v/>
      </c>
      <c r="O70" s="71">
        <f>IF('Final Calculation Sheet'!$N$29="","",'Final Calculation Sheet'!$N$29)</f>
        <v/>
      </c>
      <c r="P70" s="70">
        <f>IF('Final Calculation Sheet'!$O$29="","",'Final Calculation Sheet'!$O$29)</f>
        <v/>
      </c>
      <c r="Q70" s="70">
        <f>IF('Final Calculation Sheet'!$P$29="","",'Final Calculation Sheet'!$P$29)</f>
        <v/>
      </c>
      <c r="R70" s="72">
        <f>IF('Final Calculation Sheet'!$Q$29="","",'Final Calculation Sheet'!$Q$29)</f>
        <v/>
      </c>
      <c r="S70" s="70">
        <f>IF('Final Calculation Sheet'!$R$29="","",'Final Calculation Sheet'!$R$29)</f>
        <v/>
      </c>
      <c r="T70" s="70">
        <f>IF('Final Calculation Sheet'!$S$29="","",'Final Calculation Sheet'!$S$29)</f>
        <v/>
      </c>
      <c r="U70" s="70">
        <f>IF('Final Calculation Sheet'!$T$29="","",'Final Calculation Sheet'!$T$29)</f>
        <v/>
      </c>
      <c r="V70" s="73">
        <f>IF('Final Calculation Sheet'!$U$29="","",'Final Calculation Sheet'!$U$29)</f>
        <v/>
      </c>
      <c r="W70" s="70">
        <f>IF('Final Calculation Sheet'!$V$29="","",'Final Calculation Sheet'!$V$29)</f>
        <v/>
      </c>
      <c r="X70" s="70">
        <f>IF('Final Calculation Sheet'!$W$29="","",'Final Calculation Sheet'!$W$29)</f>
        <v/>
      </c>
      <c r="Y70" s="70">
        <f>IF('Final Calculation Sheet'!$X$29="","",'Final Calculation Sheet'!$X$29)</f>
        <v/>
      </c>
      <c r="Z70" s="70">
        <f>IF('Final Calculation Sheet'!$Y$29="","",'Final Calculation Sheet'!$Y$29)</f>
        <v/>
      </c>
      <c r="AA70" s="70">
        <f>IF('Final Calculation Sheet'!$Z$29="","",'Final Calculation Sheet'!$Z$29)</f>
        <v/>
      </c>
      <c r="AB70" s="70">
        <f>IF('Final Calculation Sheet'!$AA$29="","",'Final Calculation Sheet'!$AA$29)</f>
        <v/>
      </c>
      <c r="AC70" s="70">
        <f>IF('Final Calculation Sheet'!$AB$29="","",'Final Calculation Sheet'!$AB$29)</f>
        <v/>
      </c>
      <c r="AD70" s="70">
        <f>IF('Final Calculation Sheet'!$AC$29="","",'Final Calculation Sheet'!$AC$29)</f>
        <v/>
      </c>
      <c r="AE70" s="70">
        <f>IF('Final Calculation Sheet'!$AD$29="","",'Final Calculation Sheet'!$AD$29)</f>
        <v/>
      </c>
      <c r="AF70" s="70">
        <f>IF('Final Calculation Sheet'!$AE$29="","",'Final Calculation Sheet'!$AE$29)</f>
        <v/>
      </c>
      <c r="AG70" s="74">
        <f>IF('Final Calculation Sheet'!$AF$29="","",'Final Calculation Sheet'!$AF$29)</f>
        <v/>
      </c>
      <c r="AH70" s="70">
        <f>IF('Final Calculation Sheet'!$AG$29="","",'Final Calculation Sheet'!$AG$29)</f>
        <v/>
      </c>
      <c r="AI70" s="75">
        <f>IF('Final Calculation Sheet'!$AD$29="","",IF('Final Calculation Sheet'!$AD$29&lt;=5,"SETTLED","OUTSTANDING"))</f>
        <v/>
      </c>
    </row>
    <row r="71" outlineLevel="1" s="77">
      <c r="A71" s="67" t="n">
        <v>6</v>
      </c>
      <c r="B71" s="68">
        <f>IF('Final Calculation Sheet'!$F$34="","",'Final Calculation Sheet'!$F$34)</f>
        <v/>
      </c>
      <c r="C71" s="68">
        <f>IF('Final Calculation Sheet'!$G$34="","",'Final Calculation Sheet'!$G$34)</f>
        <v/>
      </c>
      <c r="D71" s="69">
        <f>IF('Final Calculation Sheet'!$B$34="","",'Final Calculation Sheet'!$B$34)</f>
        <v/>
      </c>
      <c r="E71" s="69">
        <f>IF('Final Calculation Sheet'!$D$34="","",'Final Calculation Sheet'!$D$34)</f>
        <v/>
      </c>
      <c r="F71" s="69">
        <f>IF('Final Calculation Sheet'!$A$34="","",'Final Calculation Sheet'!$A$34)</f>
        <v/>
      </c>
      <c r="G71" s="69">
        <f>IF('Final Calculation Sheet'!$E$34="","",'Final Calculation Sheet'!$E$34)</f>
        <v/>
      </c>
      <c r="H71" s="70">
        <f>IF('Final Calculation Sheet'!$C$34="","",'Final Calculation Sheet'!$C$34)</f>
        <v/>
      </c>
      <c r="I71" s="70">
        <f>IF('Final Calculation Sheet'!$H$34="","",'Final Calculation Sheet'!$H$34)</f>
        <v/>
      </c>
      <c r="J71" s="70">
        <f>IF('Final Calculation Sheet'!$I$34="","",'Final Calculation Sheet'!$I$34)</f>
        <v/>
      </c>
      <c r="K71" s="70">
        <f>IF('Final Calculation Sheet'!$J$34="","",'Final Calculation Sheet'!$J$34)</f>
        <v/>
      </c>
      <c r="L71" s="70">
        <f>IF('Final Calculation Sheet'!$K$34="","",'Final Calculation Sheet'!$K$34)</f>
        <v/>
      </c>
      <c r="M71" s="70">
        <f>IF('Final Calculation Sheet'!$L$34="","",'Final Calculation Sheet'!$L$34)</f>
        <v/>
      </c>
      <c r="N71" s="70">
        <f>IF('Final Calculation Sheet'!$M$34="","",'Final Calculation Sheet'!$M$34)</f>
        <v/>
      </c>
      <c r="O71" s="71">
        <f>IF('Final Calculation Sheet'!$N$34="","",'Final Calculation Sheet'!$N$34)</f>
        <v/>
      </c>
      <c r="P71" s="70">
        <f>IF('Final Calculation Sheet'!$O$34="","",'Final Calculation Sheet'!$O$34)</f>
        <v/>
      </c>
      <c r="Q71" s="70">
        <f>IF('Final Calculation Sheet'!$P$34="","",'Final Calculation Sheet'!$P$34)</f>
        <v/>
      </c>
      <c r="R71" s="72">
        <f>IF('Final Calculation Sheet'!$Q$34="","",'Final Calculation Sheet'!$Q$34)</f>
        <v/>
      </c>
      <c r="S71" s="70">
        <f>IF('Final Calculation Sheet'!$R$34="","",'Final Calculation Sheet'!$R$34)</f>
        <v/>
      </c>
      <c r="T71" s="70">
        <f>IF('Final Calculation Sheet'!$S$34="","",'Final Calculation Sheet'!$S$34)</f>
        <v/>
      </c>
      <c r="U71" s="70">
        <f>IF('Final Calculation Sheet'!$T$34="","",'Final Calculation Sheet'!$T$34)</f>
        <v/>
      </c>
      <c r="V71" s="73">
        <f>IF('Final Calculation Sheet'!$U$34="","",'Final Calculation Sheet'!$U$34)</f>
        <v/>
      </c>
      <c r="W71" s="70">
        <f>IF('Final Calculation Sheet'!$V$34="","",'Final Calculation Sheet'!$V$34)</f>
        <v/>
      </c>
      <c r="X71" s="70">
        <f>IF('Final Calculation Sheet'!$W$34="","",'Final Calculation Sheet'!$W$34)</f>
        <v/>
      </c>
      <c r="Y71" s="70">
        <f>IF('Final Calculation Sheet'!$X$34="","",'Final Calculation Sheet'!$X$34)</f>
        <v/>
      </c>
      <c r="Z71" s="70">
        <f>IF('Final Calculation Sheet'!$Y$34="","",'Final Calculation Sheet'!$Y$34)</f>
        <v/>
      </c>
      <c r="AA71" s="70">
        <f>IF('Final Calculation Sheet'!$Z$34="","",'Final Calculation Sheet'!$Z$34)</f>
        <v/>
      </c>
      <c r="AB71" s="70">
        <f>IF('Final Calculation Sheet'!$AA$34="","",'Final Calculation Sheet'!$AA$34)</f>
        <v/>
      </c>
      <c r="AC71" s="70">
        <f>IF('Final Calculation Sheet'!$AB$34="","",'Final Calculation Sheet'!$AB$34)</f>
        <v/>
      </c>
      <c r="AD71" s="70">
        <f>IF('Final Calculation Sheet'!$AC$34="","",'Final Calculation Sheet'!$AC$34)</f>
        <v/>
      </c>
      <c r="AE71" s="70">
        <f>IF('Final Calculation Sheet'!$AD$34="","",'Final Calculation Sheet'!$AD$34)</f>
        <v/>
      </c>
      <c r="AF71" s="70">
        <f>IF('Final Calculation Sheet'!$AE$34="","",'Final Calculation Sheet'!$AE$34)</f>
        <v/>
      </c>
      <c r="AG71" s="74">
        <f>IF('Final Calculation Sheet'!$AF$34="","",'Final Calculation Sheet'!$AF$34)</f>
        <v/>
      </c>
      <c r="AH71" s="70">
        <f>IF('Final Calculation Sheet'!$AG$34="","",'Final Calculation Sheet'!$AG$34)</f>
        <v/>
      </c>
      <c r="AI71" s="75">
        <f>IF('Final Calculation Sheet'!$AD$34="","",IF('Final Calculation Sheet'!$AD$34&lt;=5,"SETTLED","OUTSTANDING"))</f>
        <v/>
      </c>
    </row>
    <row r="72" outlineLevel="1" s="77">
      <c r="A72" s="67" t="n">
        <v>7</v>
      </c>
      <c r="B72" s="68">
        <f>IF('Final Calculation Sheet'!$F$36="","",'Final Calculation Sheet'!$F$36)</f>
        <v/>
      </c>
      <c r="C72" s="68">
        <f>IF('Final Calculation Sheet'!$G$36="","",'Final Calculation Sheet'!$G$36)</f>
        <v/>
      </c>
      <c r="D72" s="69">
        <f>IF('Final Calculation Sheet'!$B$36="","",'Final Calculation Sheet'!$B$36)</f>
        <v/>
      </c>
      <c r="E72" s="69">
        <f>IF('Final Calculation Sheet'!$D$36="","",'Final Calculation Sheet'!$D$36)</f>
        <v/>
      </c>
      <c r="F72" s="69">
        <f>IF('Final Calculation Sheet'!$A$36="","",'Final Calculation Sheet'!$A$36)</f>
        <v/>
      </c>
      <c r="G72" s="69">
        <f>IF('Final Calculation Sheet'!$E$36="","",'Final Calculation Sheet'!$E$36)</f>
        <v/>
      </c>
      <c r="H72" s="70">
        <f>IF('Final Calculation Sheet'!$C$36="","",'Final Calculation Sheet'!$C$36)</f>
        <v/>
      </c>
      <c r="I72" s="70">
        <f>IF('Final Calculation Sheet'!$H$36="","",'Final Calculation Sheet'!$H$36)</f>
        <v/>
      </c>
      <c r="J72" s="70">
        <f>IF('Final Calculation Sheet'!$I$36="","",'Final Calculation Sheet'!$I$36)</f>
        <v/>
      </c>
      <c r="K72" s="70">
        <f>IF('Final Calculation Sheet'!$J$36="","",'Final Calculation Sheet'!$J$36)</f>
        <v/>
      </c>
      <c r="L72" s="70">
        <f>IF('Final Calculation Sheet'!$K$36="","",'Final Calculation Sheet'!$K$36)</f>
        <v/>
      </c>
      <c r="M72" s="70">
        <f>IF('Final Calculation Sheet'!$L$36="","",'Final Calculation Sheet'!$L$36)</f>
        <v/>
      </c>
      <c r="N72" s="70">
        <f>IF('Final Calculation Sheet'!$M$36="","",'Final Calculation Sheet'!$M$36)</f>
        <v/>
      </c>
      <c r="O72" s="71">
        <f>IF('Final Calculation Sheet'!$N$36="","",'Final Calculation Sheet'!$N$36)</f>
        <v/>
      </c>
      <c r="P72" s="70">
        <f>IF('Final Calculation Sheet'!$O$36="","",'Final Calculation Sheet'!$O$36)</f>
        <v/>
      </c>
      <c r="Q72" s="70">
        <f>IF('Final Calculation Sheet'!$P$36="","",'Final Calculation Sheet'!$P$36)</f>
        <v/>
      </c>
      <c r="R72" s="72">
        <f>IF('Final Calculation Sheet'!$Q$36="","",'Final Calculation Sheet'!$Q$36)</f>
        <v/>
      </c>
      <c r="S72" s="70">
        <f>IF('Final Calculation Sheet'!$R$36="","",'Final Calculation Sheet'!$R$36)</f>
        <v/>
      </c>
      <c r="T72" s="70">
        <f>IF('Final Calculation Sheet'!$S$36="","",'Final Calculation Sheet'!$S$36)</f>
        <v/>
      </c>
      <c r="U72" s="70">
        <f>IF('Final Calculation Sheet'!$T$36="","",'Final Calculation Sheet'!$T$36)</f>
        <v/>
      </c>
      <c r="V72" s="73">
        <f>IF('Final Calculation Sheet'!$U$36="","",'Final Calculation Sheet'!$U$36)</f>
        <v/>
      </c>
      <c r="W72" s="70">
        <f>IF('Final Calculation Sheet'!$V$36="","",'Final Calculation Sheet'!$V$36)</f>
        <v/>
      </c>
      <c r="X72" s="70">
        <f>IF('Final Calculation Sheet'!$W$36="","",'Final Calculation Sheet'!$W$36)</f>
        <v/>
      </c>
      <c r="Y72" s="70">
        <f>IF('Final Calculation Sheet'!$X$36="","",'Final Calculation Sheet'!$X$36)</f>
        <v/>
      </c>
      <c r="Z72" s="70">
        <f>IF('Final Calculation Sheet'!$Y$36="","",'Final Calculation Sheet'!$Y$36)</f>
        <v/>
      </c>
      <c r="AA72" s="70">
        <f>IF('Final Calculation Sheet'!$Z$36="","",'Final Calculation Sheet'!$Z$36)</f>
        <v/>
      </c>
      <c r="AB72" s="70">
        <f>IF('Final Calculation Sheet'!$AA$36="","",'Final Calculation Sheet'!$AA$36)</f>
        <v/>
      </c>
      <c r="AC72" s="70">
        <f>IF('Final Calculation Sheet'!$AB$36="","",'Final Calculation Sheet'!$AB$36)</f>
        <v/>
      </c>
      <c r="AD72" s="70">
        <f>IF('Final Calculation Sheet'!$AC$36="","",'Final Calculation Sheet'!$AC$36)</f>
        <v/>
      </c>
      <c r="AE72" s="70">
        <f>IF('Final Calculation Sheet'!$AD$36="","",'Final Calculation Sheet'!$AD$36)</f>
        <v/>
      </c>
      <c r="AF72" s="70">
        <f>IF('Final Calculation Sheet'!$AE$36="","",'Final Calculation Sheet'!$AE$36)</f>
        <v/>
      </c>
      <c r="AG72" s="74">
        <f>IF('Final Calculation Sheet'!$AF$36="","",'Final Calculation Sheet'!$AF$36)</f>
        <v/>
      </c>
      <c r="AH72" s="70">
        <f>IF('Final Calculation Sheet'!$AG$36="","",'Final Calculation Sheet'!$AG$36)</f>
        <v/>
      </c>
      <c r="AI72" s="75">
        <f>IF('Final Calculation Sheet'!$AD$36="","",IF('Final Calculation Sheet'!$AD$36&lt;=5,"SETTLED","OUTSTANDING"))</f>
        <v/>
      </c>
    </row>
    <row r="73" s="77">
      <c r="A73" s="84" t="inlineStr">
        <is>
          <t>∑</t>
        </is>
      </c>
      <c r="B73" s="85" t="n"/>
      <c r="C73" s="85">
        <f>ROWS($C$66:$C$72)&amp;" lot(s)"</f>
        <v/>
      </c>
      <c r="D73" s="85" t="inlineStr">
        <is>
          <t>SUBTOTAL — STERLING ENTERPRISES</t>
        </is>
      </c>
      <c r="E73" s="85" t="inlineStr">
        <is>
          <t>–</t>
        </is>
      </c>
      <c r="F73" s="85">
        <f>SUM(F66:F72)</f>
        <v/>
      </c>
      <c r="G73" s="85" t="inlineStr">
        <is>
          <t>–</t>
        </is>
      </c>
      <c r="H73" s="86" t="inlineStr">
        <is>
          <t>–</t>
        </is>
      </c>
      <c r="I73" s="86">
        <f>SUM(I66:I72)</f>
        <v/>
      </c>
      <c r="J73" s="86">
        <f>SUM(J66:J72)</f>
        <v/>
      </c>
      <c r="K73" s="86">
        <f>SUM(K66:K72)</f>
        <v/>
      </c>
      <c r="L73" s="86">
        <f>SUM(L66:L72)</f>
        <v/>
      </c>
      <c r="M73" s="86">
        <f>SUM(M66:M72)</f>
        <v/>
      </c>
      <c r="N73" s="86">
        <f>SUM(N66:N72)</f>
        <v/>
      </c>
      <c r="O73" s="87">
        <f>SUM(O66:O72)</f>
        <v/>
      </c>
      <c r="P73" s="86">
        <f>SUM(P66:P72)</f>
        <v/>
      </c>
      <c r="Q73" s="86">
        <f>SUM(Q66:Q72)</f>
        <v/>
      </c>
      <c r="R73" s="88" t="inlineStr">
        <is>
          <t>–</t>
        </is>
      </c>
      <c r="S73" s="86">
        <f>SUM(S66:S72)</f>
        <v/>
      </c>
      <c r="T73" s="86">
        <f>SUM(T66:T72)</f>
        <v/>
      </c>
      <c r="U73" s="86">
        <f>SUM(U66:U72)</f>
        <v/>
      </c>
      <c r="V73" s="89">
        <f>SUM(V66:V72)</f>
        <v/>
      </c>
      <c r="W73" s="86" t="inlineStr">
        <is>
          <t>–</t>
        </is>
      </c>
      <c r="X73" s="86">
        <f>SUM(X66:X72)</f>
        <v/>
      </c>
      <c r="Y73" s="86">
        <f>SUM(Y66:Y72)</f>
        <v/>
      </c>
      <c r="Z73" s="86" t="inlineStr">
        <is>
          <t>–</t>
        </is>
      </c>
      <c r="AA73" s="86">
        <f>SUM(AA66:AA72)</f>
        <v/>
      </c>
      <c r="AB73" s="86">
        <f>SUM(AB66:AB72)</f>
        <v/>
      </c>
      <c r="AC73" s="86" t="inlineStr">
        <is>
          <t>–</t>
        </is>
      </c>
      <c r="AD73" s="86">
        <f>SUM(AD66:AD72)</f>
        <v/>
      </c>
      <c r="AE73" s="86">
        <f>SUM(AE66:AE72)</f>
        <v/>
      </c>
      <c r="AF73" s="86" t="inlineStr">
        <is>
          <t>–</t>
        </is>
      </c>
      <c r="AG73" s="90" t="inlineStr">
        <is>
          <t>–</t>
        </is>
      </c>
      <c r="AH73" s="86" t="inlineStr">
        <is>
          <t>–</t>
        </is>
      </c>
      <c r="AI73" s="91">
        <f>IF(AE73&lt;=5,"SETTLED","OUTSTANDING")</f>
        <v/>
      </c>
    </row>
    <row r="74" s="77">
      <c r="A74" s="108" t="inlineStr">
        <is>
          <t>↳</t>
        </is>
      </c>
      <c r="B74" s="109" t="n"/>
      <c r="C74" s="109">
        <f>COUNTIFS($AI$66:$AI$72,"SETTLED")&amp;" lot(s)"</f>
        <v/>
      </c>
      <c r="D74" s="109" t="inlineStr">
        <is>
          <t>↳ of which SETTLED</t>
        </is>
      </c>
      <c r="E74" s="109" t="inlineStr">
        <is>
          <t>–</t>
        </is>
      </c>
      <c r="F74" s="109">
        <f>SUMIFS(F$66:F$72,$AI$66:$AI$72,"SETTLED")</f>
        <v/>
      </c>
      <c r="G74" s="109" t="inlineStr">
        <is>
          <t>–</t>
        </is>
      </c>
      <c r="H74" s="110" t="inlineStr">
        <is>
          <t>–</t>
        </is>
      </c>
      <c r="I74" s="110">
        <f>SUMIFS(I$66:I$72,$AI$66:$AI$72,"SETTLED")</f>
        <v/>
      </c>
      <c r="J74" s="110">
        <f>SUMIFS(J$66:J$72,$AI$66:$AI$72,"SETTLED")</f>
        <v/>
      </c>
      <c r="K74" s="110">
        <f>SUMIFS(K$66:K$72,$AI$66:$AI$72,"SETTLED")</f>
        <v/>
      </c>
      <c r="L74" s="110">
        <f>SUMIFS(L$66:L$72,$AI$66:$AI$72,"SETTLED")</f>
        <v/>
      </c>
      <c r="M74" s="110">
        <f>SUMIFS(M$66:M$72,$AI$66:$AI$72,"SETTLED")</f>
        <v/>
      </c>
      <c r="N74" s="110">
        <f>SUMIFS(N$66:N$72,$AI$66:$AI$72,"SETTLED")</f>
        <v/>
      </c>
      <c r="O74" s="111">
        <f>SUMIFS(O$66:O$72,$AI$66:$AI$72,"SETTLED")</f>
        <v/>
      </c>
      <c r="P74" s="110">
        <f>SUMIFS(P$66:P$72,$AI$66:$AI$72,"SETTLED")</f>
        <v/>
      </c>
      <c r="Q74" s="110">
        <f>SUMIFS(Q$66:Q$72,$AI$66:$AI$72,"SETTLED")</f>
        <v/>
      </c>
      <c r="R74" s="112" t="inlineStr">
        <is>
          <t>–</t>
        </is>
      </c>
      <c r="S74" s="110">
        <f>SUMIFS(S$66:S$72,$AI$66:$AI$72,"SETTLED")</f>
        <v/>
      </c>
      <c r="T74" s="110">
        <f>SUMIFS(T$66:T$72,$AI$66:$AI$72,"SETTLED")</f>
        <v/>
      </c>
      <c r="U74" s="110">
        <f>SUMIFS(U$66:U$72,$AI$66:$AI$72,"SETTLED")</f>
        <v/>
      </c>
      <c r="V74" s="113">
        <f>SUMIFS(V$66:V$72,$AI$66:$AI$72,"SETTLED")</f>
        <v/>
      </c>
      <c r="W74" s="110" t="inlineStr">
        <is>
          <t>–</t>
        </is>
      </c>
      <c r="X74" s="110">
        <f>SUMIFS(X$66:X$72,$AI$66:$AI$72,"SETTLED")</f>
        <v/>
      </c>
      <c r="Y74" s="110">
        <f>SUMIFS(Y$66:Y$72,$AI$66:$AI$72,"SETTLED")</f>
        <v/>
      </c>
      <c r="Z74" s="110" t="inlineStr">
        <is>
          <t>–</t>
        </is>
      </c>
      <c r="AA74" s="110">
        <f>SUMIFS(AA$66:AA$72,$AI$66:$AI$72,"SETTLED")</f>
        <v/>
      </c>
      <c r="AB74" s="110">
        <f>SUMIFS(AB$66:AB$72,$AI$66:$AI$72,"SETTLED")</f>
        <v/>
      </c>
      <c r="AC74" s="110" t="inlineStr">
        <is>
          <t>–</t>
        </is>
      </c>
      <c r="AD74" s="110">
        <f>SUMIFS(AD$66:AD$72,$AI$66:$AI$72,"SETTLED")</f>
        <v/>
      </c>
      <c r="AE74" s="110">
        <f>SUMIFS(AE$66:AE$72,$AI$66:$AI$72,"SETTLED")</f>
        <v/>
      </c>
      <c r="AF74" s="110" t="inlineStr">
        <is>
          <t>–</t>
        </is>
      </c>
      <c r="AG74" s="114" t="inlineStr">
        <is>
          <t>–</t>
        </is>
      </c>
      <c r="AH74" s="110" t="inlineStr">
        <is>
          <t>–</t>
        </is>
      </c>
      <c r="AI74" s="115" t="inlineStr">
        <is>
          <t>SETTLED</t>
        </is>
      </c>
    </row>
    <row r="75" s="77">
      <c r="A75" s="108" t="inlineStr">
        <is>
          <t>↳</t>
        </is>
      </c>
      <c r="B75" s="109" t="n"/>
      <c r="C75" s="109">
        <f>COUNTIFS($AI$66:$AI$72,"OUTSTANDING")&amp;" lot(s)"</f>
        <v/>
      </c>
      <c r="D75" s="109" t="inlineStr">
        <is>
          <t>↳ of which UNSETTLED (outstanding)</t>
        </is>
      </c>
      <c r="E75" s="109" t="inlineStr">
        <is>
          <t>–</t>
        </is>
      </c>
      <c r="F75" s="109">
        <f>SUMIFS(F$66:F$72,$AI$66:$AI$72,"OUTSTANDING")</f>
        <v/>
      </c>
      <c r="G75" s="109" t="inlineStr">
        <is>
          <t>–</t>
        </is>
      </c>
      <c r="H75" s="110" t="inlineStr">
        <is>
          <t>–</t>
        </is>
      </c>
      <c r="I75" s="110">
        <f>SUMIFS(I$66:I$72,$AI$66:$AI$72,"OUTSTANDING")</f>
        <v/>
      </c>
      <c r="J75" s="110">
        <f>SUMIFS(J$66:J$72,$AI$66:$AI$72,"OUTSTANDING")</f>
        <v/>
      </c>
      <c r="K75" s="110">
        <f>SUMIFS(K$66:K$72,$AI$66:$AI$72,"OUTSTANDING")</f>
        <v/>
      </c>
      <c r="L75" s="110">
        <f>SUMIFS(L$66:L$72,$AI$66:$AI$72,"OUTSTANDING")</f>
        <v/>
      </c>
      <c r="M75" s="110">
        <f>SUMIFS(M$66:M$72,$AI$66:$AI$72,"OUTSTANDING")</f>
        <v/>
      </c>
      <c r="N75" s="110">
        <f>SUMIFS(N$66:N$72,$AI$66:$AI$72,"OUTSTANDING")</f>
        <v/>
      </c>
      <c r="O75" s="111">
        <f>SUMIFS(O$66:O$72,$AI$66:$AI$72,"OUTSTANDING")</f>
        <v/>
      </c>
      <c r="P75" s="110">
        <f>SUMIFS(P$66:P$72,$AI$66:$AI$72,"OUTSTANDING")</f>
        <v/>
      </c>
      <c r="Q75" s="110">
        <f>SUMIFS(Q$66:Q$72,$AI$66:$AI$72,"OUTSTANDING")</f>
        <v/>
      </c>
      <c r="R75" s="112" t="inlineStr">
        <is>
          <t>–</t>
        </is>
      </c>
      <c r="S75" s="110">
        <f>SUMIFS(S$66:S$72,$AI$66:$AI$72,"OUTSTANDING")</f>
        <v/>
      </c>
      <c r="T75" s="110">
        <f>SUMIFS(T$66:T$72,$AI$66:$AI$72,"OUTSTANDING")</f>
        <v/>
      </c>
      <c r="U75" s="110">
        <f>SUMIFS(U$66:U$72,$AI$66:$AI$72,"OUTSTANDING")</f>
        <v/>
      </c>
      <c r="V75" s="113">
        <f>SUMIFS(V$66:V$72,$AI$66:$AI$72,"OUTSTANDING")</f>
        <v/>
      </c>
      <c r="W75" s="110" t="inlineStr">
        <is>
          <t>–</t>
        </is>
      </c>
      <c r="X75" s="110">
        <f>SUMIFS(X$66:X$72,$AI$66:$AI$72,"OUTSTANDING")</f>
        <v/>
      </c>
      <c r="Y75" s="110">
        <f>SUMIFS(Y$66:Y$72,$AI$66:$AI$72,"OUTSTANDING")</f>
        <v/>
      </c>
      <c r="Z75" s="110" t="inlineStr">
        <is>
          <t>–</t>
        </is>
      </c>
      <c r="AA75" s="110">
        <f>SUMIFS(AA$66:AA$72,$AI$66:$AI$72,"OUTSTANDING")</f>
        <v/>
      </c>
      <c r="AB75" s="110">
        <f>SUMIFS(AB$66:AB$72,$AI$66:$AI$72,"OUTSTANDING")</f>
        <v/>
      </c>
      <c r="AC75" s="110" t="inlineStr">
        <is>
          <t>–</t>
        </is>
      </c>
      <c r="AD75" s="110">
        <f>SUMIFS(AD$66:AD$72,$AI$66:$AI$72,"OUTSTANDING")</f>
        <v/>
      </c>
      <c r="AE75" s="110">
        <f>SUMIFS(AE$66:AE$72,$AI$66:$AI$72,"OUTSTANDING")</f>
        <v/>
      </c>
      <c r="AF75" s="110" t="inlineStr">
        <is>
          <t>–</t>
        </is>
      </c>
      <c r="AG75" s="114" t="inlineStr">
        <is>
          <t>–</t>
        </is>
      </c>
      <c r="AH75" s="110" t="inlineStr">
        <is>
          <t>–</t>
        </is>
      </c>
      <c r="AI75" s="115" t="inlineStr">
        <is>
          <t>OUTSTANDING</t>
        </is>
      </c>
    </row>
    <row r="76" outlineLevel="1" s="77">
      <c r="A76" s="67" t="n">
        <v>1</v>
      </c>
      <c r="B76" s="68">
        <f>IF('Final Calculation Sheet'!$F$25="","",'Final Calculation Sheet'!$F$25)</f>
        <v/>
      </c>
      <c r="C76" s="68">
        <f>IF('Final Calculation Sheet'!$G$25="","",'Final Calculation Sheet'!$G$25)</f>
        <v/>
      </c>
      <c r="D76" s="69">
        <f>IF('Final Calculation Sheet'!$B$25="","",'Final Calculation Sheet'!$B$25)</f>
        <v/>
      </c>
      <c r="E76" s="69">
        <f>IF('Final Calculation Sheet'!$D$25="","",'Final Calculation Sheet'!$D$25)</f>
        <v/>
      </c>
      <c r="F76" s="69">
        <f>IF('Final Calculation Sheet'!$A$25="","",'Final Calculation Sheet'!$A$25)</f>
        <v/>
      </c>
      <c r="G76" s="69">
        <f>IF('Final Calculation Sheet'!$E$25="","",'Final Calculation Sheet'!$E$25)</f>
        <v/>
      </c>
      <c r="H76" s="70">
        <f>IF('Final Calculation Sheet'!$C$25="","",'Final Calculation Sheet'!$C$25)</f>
        <v/>
      </c>
      <c r="I76" s="70">
        <f>IF('Final Calculation Sheet'!$H$25="","",'Final Calculation Sheet'!$H$25)</f>
        <v/>
      </c>
      <c r="J76" s="70">
        <f>IF('Final Calculation Sheet'!$I$25="","",'Final Calculation Sheet'!$I$25)</f>
        <v/>
      </c>
      <c r="K76" s="70">
        <f>IF('Final Calculation Sheet'!$J$25="","",'Final Calculation Sheet'!$J$25)</f>
        <v/>
      </c>
      <c r="L76" s="70">
        <f>IF('Final Calculation Sheet'!$K$25="","",'Final Calculation Sheet'!$K$25)</f>
        <v/>
      </c>
      <c r="M76" s="70">
        <f>IF('Final Calculation Sheet'!$L$25="","",'Final Calculation Sheet'!$L$25)</f>
        <v/>
      </c>
      <c r="N76" s="70">
        <f>IF('Final Calculation Sheet'!$M$25="","",'Final Calculation Sheet'!$M$25)</f>
        <v/>
      </c>
      <c r="O76" s="71">
        <f>IF('Final Calculation Sheet'!$N$25="","",'Final Calculation Sheet'!$N$25)</f>
        <v/>
      </c>
      <c r="P76" s="70">
        <f>IF('Final Calculation Sheet'!$O$25="","",'Final Calculation Sheet'!$O$25)</f>
        <v/>
      </c>
      <c r="Q76" s="70">
        <f>IF('Final Calculation Sheet'!$P$25="","",'Final Calculation Sheet'!$P$25)</f>
        <v/>
      </c>
      <c r="R76" s="72">
        <f>IF('Final Calculation Sheet'!$Q$25="","",'Final Calculation Sheet'!$Q$25)</f>
        <v/>
      </c>
      <c r="S76" s="70">
        <f>IF('Final Calculation Sheet'!$R$25="","",'Final Calculation Sheet'!$R$25)</f>
        <v/>
      </c>
      <c r="T76" s="70">
        <f>IF('Final Calculation Sheet'!$S$25="","",'Final Calculation Sheet'!$S$25)</f>
        <v/>
      </c>
      <c r="U76" s="70">
        <f>IF('Final Calculation Sheet'!$T$25="","",'Final Calculation Sheet'!$T$25)</f>
        <v/>
      </c>
      <c r="V76" s="73">
        <f>IF('Final Calculation Sheet'!$U$25="","",'Final Calculation Sheet'!$U$25)</f>
        <v/>
      </c>
      <c r="W76" s="70">
        <f>IF('Final Calculation Sheet'!$V$25="","",'Final Calculation Sheet'!$V$25)</f>
        <v/>
      </c>
      <c r="X76" s="70">
        <f>IF('Final Calculation Sheet'!$W$25="","",'Final Calculation Sheet'!$W$25)</f>
        <v/>
      </c>
      <c r="Y76" s="70">
        <f>IF('Final Calculation Sheet'!$X$25="","",'Final Calculation Sheet'!$X$25)</f>
        <v/>
      </c>
      <c r="Z76" s="70">
        <f>IF('Final Calculation Sheet'!$Y$25="","",'Final Calculation Sheet'!$Y$25)</f>
        <v/>
      </c>
      <c r="AA76" s="70">
        <f>IF('Final Calculation Sheet'!$Z$25="","",'Final Calculation Sheet'!$Z$25)</f>
        <v/>
      </c>
      <c r="AB76" s="70">
        <f>IF('Final Calculation Sheet'!$AA$25="","",'Final Calculation Sheet'!$AA$25)</f>
        <v/>
      </c>
      <c r="AC76" s="70">
        <f>IF('Final Calculation Sheet'!$AB$25="","",'Final Calculation Sheet'!$AB$25)</f>
        <v/>
      </c>
      <c r="AD76" s="70">
        <f>IF('Final Calculation Sheet'!$AC$25="","",'Final Calculation Sheet'!$AC$25)</f>
        <v/>
      </c>
      <c r="AE76" s="70">
        <f>IF('Final Calculation Sheet'!$AD$25="","",'Final Calculation Sheet'!$AD$25)</f>
        <v/>
      </c>
      <c r="AF76" s="70">
        <f>IF('Final Calculation Sheet'!$AE$25="","",'Final Calculation Sheet'!$AE$25)</f>
        <v/>
      </c>
      <c r="AG76" s="74">
        <f>IF('Final Calculation Sheet'!$AF$25="","",'Final Calculation Sheet'!$AF$25)</f>
        <v/>
      </c>
      <c r="AH76" s="70">
        <f>IF('Final Calculation Sheet'!$AG$25="","",'Final Calculation Sheet'!$AG$25)</f>
        <v/>
      </c>
      <c r="AI76" s="75">
        <f>IF('Final Calculation Sheet'!$AD$25="","",IF('Final Calculation Sheet'!$AD$25&lt;=5,"SETTLED","OUTSTANDING"))</f>
        <v/>
      </c>
    </row>
    <row r="77" outlineLevel="1" s="77">
      <c r="A77" s="67" t="n">
        <v>2</v>
      </c>
      <c r="B77" s="68">
        <f>IF('Final Calculation Sheet'!$F$28="","",'Final Calculation Sheet'!$F$28)</f>
        <v/>
      </c>
      <c r="C77" s="68">
        <f>IF('Final Calculation Sheet'!$G$28="","",'Final Calculation Sheet'!$G$28)</f>
        <v/>
      </c>
      <c r="D77" s="69">
        <f>IF('Final Calculation Sheet'!$B$28="","",'Final Calculation Sheet'!$B$28)</f>
        <v/>
      </c>
      <c r="E77" s="69">
        <f>IF('Final Calculation Sheet'!$D$28="","",'Final Calculation Sheet'!$D$28)</f>
        <v/>
      </c>
      <c r="F77" s="69">
        <f>IF('Final Calculation Sheet'!$A$28="","",'Final Calculation Sheet'!$A$28)</f>
        <v/>
      </c>
      <c r="G77" s="69">
        <f>IF('Final Calculation Sheet'!$E$28="","",'Final Calculation Sheet'!$E$28)</f>
        <v/>
      </c>
      <c r="H77" s="70">
        <f>IF('Final Calculation Sheet'!$C$28="","",'Final Calculation Sheet'!$C$28)</f>
        <v/>
      </c>
      <c r="I77" s="70">
        <f>IF('Final Calculation Sheet'!$H$28="","",'Final Calculation Sheet'!$H$28)</f>
        <v/>
      </c>
      <c r="J77" s="70">
        <f>IF('Final Calculation Sheet'!$I$28="","",'Final Calculation Sheet'!$I$28)</f>
        <v/>
      </c>
      <c r="K77" s="70">
        <f>IF('Final Calculation Sheet'!$J$28="","",'Final Calculation Sheet'!$J$28)</f>
        <v/>
      </c>
      <c r="L77" s="70">
        <f>IF('Final Calculation Sheet'!$K$28="","",'Final Calculation Sheet'!$K$28)</f>
        <v/>
      </c>
      <c r="M77" s="70">
        <f>IF('Final Calculation Sheet'!$L$28="","",'Final Calculation Sheet'!$L$28)</f>
        <v/>
      </c>
      <c r="N77" s="70">
        <f>IF('Final Calculation Sheet'!$M$28="","",'Final Calculation Sheet'!$M$28)</f>
        <v/>
      </c>
      <c r="O77" s="71">
        <f>IF('Final Calculation Sheet'!$N$28="","",'Final Calculation Sheet'!$N$28)</f>
        <v/>
      </c>
      <c r="P77" s="70">
        <f>IF('Final Calculation Sheet'!$O$28="","",'Final Calculation Sheet'!$O$28)</f>
        <v/>
      </c>
      <c r="Q77" s="70">
        <f>IF('Final Calculation Sheet'!$P$28="","",'Final Calculation Sheet'!$P$28)</f>
        <v/>
      </c>
      <c r="R77" s="72">
        <f>IF('Final Calculation Sheet'!$Q$28="","",'Final Calculation Sheet'!$Q$28)</f>
        <v/>
      </c>
      <c r="S77" s="70">
        <f>IF('Final Calculation Sheet'!$R$28="","",'Final Calculation Sheet'!$R$28)</f>
        <v/>
      </c>
      <c r="T77" s="70">
        <f>IF('Final Calculation Sheet'!$S$28="","",'Final Calculation Sheet'!$S$28)</f>
        <v/>
      </c>
      <c r="U77" s="70">
        <f>IF('Final Calculation Sheet'!$T$28="","",'Final Calculation Sheet'!$T$28)</f>
        <v/>
      </c>
      <c r="V77" s="73">
        <f>IF('Final Calculation Sheet'!$U$28="","",'Final Calculation Sheet'!$U$28)</f>
        <v/>
      </c>
      <c r="W77" s="70">
        <f>IF('Final Calculation Sheet'!$V$28="","",'Final Calculation Sheet'!$V$28)</f>
        <v/>
      </c>
      <c r="X77" s="70">
        <f>IF('Final Calculation Sheet'!$W$28="","",'Final Calculation Sheet'!$W$28)</f>
        <v/>
      </c>
      <c r="Y77" s="70">
        <f>IF('Final Calculation Sheet'!$X$28="","",'Final Calculation Sheet'!$X$28)</f>
        <v/>
      </c>
      <c r="Z77" s="70">
        <f>IF('Final Calculation Sheet'!$Y$28="","",'Final Calculation Sheet'!$Y$28)</f>
        <v/>
      </c>
      <c r="AA77" s="70">
        <f>IF('Final Calculation Sheet'!$Z$28="","",'Final Calculation Sheet'!$Z$28)</f>
        <v/>
      </c>
      <c r="AB77" s="70">
        <f>IF('Final Calculation Sheet'!$AA$28="","",'Final Calculation Sheet'!$AA$28)</f>
        <v/>
      </c>
      <c r="AC77" s="70">
        <f>IF('Final Calculation Sheet'!$AB$28="","",'Final Calculation Sheet'!$AB$28)</f>
        <v/>
      </c>
      <c r="AD77" s="70">
        <f>IF('Final Calculation Sheet'!$AC$28="","",'Final Calculation Sheet'!$AC$28)</f>
        <v/>
      </c>
      <c r="AE77" s="70">
        <f>IF('Final Calculation Sheet'!$AD$28="","",'Final Calculation Sheet'!$AD$28)</f>
        <v/>
      </c>
      <c r="AF77" s="70">
        <f>IF('Final Calculation Sheet'!$AE$28="","",'Final Calculation Sheet'!$AE$28)</f>
        <v/>
      </c>
      <c r="AG77" s="74">
        <f>IF('Final Calculation Sheet'!$AF$28="","",'Final Calculation Sheet'!$AF$28)</f>
        <v/>
      </c>
      <c r="AH77" s="70">
        <f>IF('Final Calculation Sheet'!$AG$28="","",'Final Calculation Sheet'!$AG$28)</f>
        <v/>
      </c>
      <c r="AI77" s="75">
        <f>IF('Final Calculation Sheet'!$AD$28="","",IF('Final Calculation Sheet'!$AD$28&lt;=5,"SETTLED","OUTSTANDING"))</f>
        <v/>
      </c>
    </row>
    <row r="78" outlineLevel="1" s="77">
      <c r="A78" s="67" t="n">
        <v>3</v>
      </c>
      <c r="B78" s="68">
        <f>IF('Final Calculation Sheet'!$F$35="","",'Final Calculation Sheet'!$F$35)</f>
        <v/>
      </c>
      <c r="C78" s="68">
        <f>IF('Final Calculation Sheet'!$G$35="","",'Final Calculation Sheet'!$G$35)</f>
        <v/>
      </c>
      <c r="D78" s="69">
        <f>IF('Final Calculation Sheet'!$B$35="","",'Final Calculation Sheet'!$B$35)</f>
        <v/>
      </c>
      <c r="E78" s="69">
        <f>IF('Final Calculation Sheet'!$D$35="","",'Final Calculation Sheet'!$D$35)</f>
        <v/>
      </c>
      <c r="F78" s="69">
        <f>IF('Final Calculation Sheet'!$A$35="","",'Final Calculation Sheet'!$A$35)</f>
        <v/>
      </c>
      <c r="G78" s="69">
        <f>IF('Final Calculation Sheet'!$E$35="","",'Final Calculation Sheet'!$E$35)</f>
        <v/>
      </c>
      <c r="H78" s="70">
        <f>IF('Final Calculation Sheet'!$C$35="","",'Final Calculation Sheet'!$C$35)</f>
        <v/>
      </c>
      <c r="I78" s="70">
        <f>IF('Final Calculation Sheet'!$H$35="","",'Final Calculation Sheet'!$H$35)</f>
        <v/>
      </c>
      <c r="J78" s="70">
        <f>IF('Final Calculation Sheet'!$I$35="","",'Final Calculation Sheet'!$I$35)</f>
        <v/>
      </c>
      <c r="K78" s="70">
        <f>IF('Final Calculation Sheet'!$J$35="","",'Final Calculation Sheet'!$J$35)</f>
        <v/>
      </c>
      <c r="L78" s="70">
        <f>IF('Final Calculation Sheet'!$K$35="","",'Final Calculation Sheet'!$K$35)</f>
        <v/>
      </c>
      <c r="M78" s="70">
        <f>IF('Final Calculation Sheet'!$L$35="","",'Final Calculation Sheet'!$L$35)</f>
        <v/>
      </c>
      <c r="N78" s="70">
        <f>IF('Final Calculation Sheet'!$M$35="","",'Final Calculation Sheet'!$M$35)</f>
        <v/>
      </c>
      <c r="O78" s="71">
        <f>IF('Final Calculation Sheet'!$N$35="","",'Final Calculation Sheet'!$N$35)</f>
        <v/>
      </c>
      <c r="P78" s="70">
        <f>IF('Final Calculation Sheet'!$O$35="","",'Final Calculation Sheet'!$O$35)</f>
        <v/>
      </c>
      <c r="Q78" s="70">
        <f>IF('Final Calculation Sheet'!$P$35="","",'Final Calculation Sheet'!$P$35)</f>
        <v/>
      </c>
      <c r="R78" s="72">
        <f>IF('Final Calculation Sheet'!$Q$35="","",'Final Calculation Sheet'!$Q$35)</f>
        <v/>
      </c>
      <c r="S78" s="70">
        <f>IF('Final Calculation Sheet'!$R$35="","",'Final Calculation Sheet'!$R$35)</f>
        <v/>
      </c>
      <c r="T78" s="70">
        <f>IF('Final Calculation Sheet'!$S$35="","",'Final Calculation Sheet'!$S$35)</f>
        <v/>
      </c>
      <c r="U78" s="70">
        <f>IF('Final Calculation Sheet'!$T$35="","",'Final Calculation Sheet'!$T$35)</f>
        <v/>
      </c>
      <c r="V78" s="73">
        <f>IF('Final Calculation Sheet'!$U$35="","",'Final Calculation Sheet'!$U$35)</f>
        <v/>
      </c>
      <c r="W78" s="70">
        <f>IF('Final Calculation Sheet'!$V$35="","",'Final Calculation Sheet'!$V$35)</f>
        <v/>
      </c>
      <c r="X78" s="70">
        <f>IF('Final Calculation Sheet'!$W$35="","",'Final Calculation Sheet'!$W$35)</f>
        <v/>
      </c>
      <c r="Y78" s="70">
        <f>IF('Final Calculation Sheet'!$X$35="","",'Final Calculation Sheet'!$X$35)</f>
        <v/>
      </c>
      <c r="Z78" s="70">
        <f>IF('Final Calculation Sheet'!$Y$35="","",'Final Calculation Sheet'!$Y$35)</f>
        <v/>
      </c>
      <c r="AA78" s="70">
        <f>IF('Final Calculation Sheet'!$Z$35="","",'Final Calculation Sheet'!$Z$35)</f>
        <v/>
      </c>
      <c r="AB78" s="70">
        <f>IF('Final Calculation Sheet'!$AA$35="","",'Final Calculation Sheet'!$AA$35)</f>
        <v/>
      </c>
      <c r="AC78" s="70">
        <f>IF('Final Calculation Sheet'!$AB$35="","",'Final Calculation Sheet'!$AB$35)</f>
        <v/>
      </c>
      <c r="AD78" s="70">
        <f>IF('Final Calculation Sheet'!$AC$35="","",'Final Calculation Sheet'!$AC$35)</f>
        <v/>
      </c>
      <c r="AE78" s="70">
        <f>IF('Final Calculation Sheet'!$AD$35="","",'Final Calculation Sheet'!$AD$35)</f>
        <v/>
      </c>
      <c r="AF78" s="70">
        <f>IF('Final Calculation Sheet'!$AE$35="","",'Final Calculation Sheet'!$AE$35)</f>
        <v/>
      </c>
      <c r="AG78" s="74">
        <f>IF('Final Calculation Sheet'!$AF$35="","",'Final Calculation Sheet'!$AF$35)</f>
        <v/>
      </c>
      <c r="AH78" s="70">
        <f>IF('Final Calculation Sheet'!$AG$35="","",'Final Calculation Sheet'!$AG$35)</f>
        <v/>
      </c>
      <c r="AI78" s="75">
        <f>IF('Final Calculation Sheet'!$AD$35="","",IF('Final Calculation Sheet'!$AD$35&lt;=5,"SETTLED","OUTSTANDING"))</f>
        <v/>
      </c>
    </row>
    <row r="79" s="77">
      <c r="A79" s="84" t="inlineStr">
        <is>
          <t>∑</t>
        </is>
      </c>
      <c r="B79" s="85" t="n"/>
      <c r="C79" s="85">
        <f>ROWS($C$76:$C$78)&amp;" lot(s)"</f>
        <v/>
      </c>
      <c r="D79" s="85" t="inlineStr">
        <is>
          <t>SUBTOTAL — WATAN SCRAP TRADERS</t>
        </is>
      </c>
      <c r="E79" s="85" t="inlineStr">
        <is>
          <t>–</t>
        </is>
      </c>
      <c r="F79" s="85">
        <f>SUM(F76:F78)</f>
        <v/>
      </c>
      <c r="G79" s="85" t="inlineStr">
        <is>
          <t>–</t>
        </is>
      </c>
      <c r="H79" s="86" t="inlineStr">
        <is>
          <t>–</t>
        </is>
      </c>
      <c r="I79" s="86">
        <f>SUM(I76:I78)</f>
        <v/>
      </c>
      <c r="J79" s="86">
        <f>SUM(J76:J78)</f>
        <v/>
      </c>
      <c r="K79" s="86">
        <f>SUM(K76:K78)</f>
        <v/>
      </c>
      <c r="L79" s="86">
        <f>SUM(L76:L78)</f>
        <v/>
      </c>
      <c r="M79" s="86">
        <f>SUM(M76:M78)</f>
        <v/>
      </c>
      <c r="N79" s="86">
        <f>SUM(N76:N78)</f>
        <v/>
      </c>
      <c r="O79" s="87">
        <f>SUM(O76:O78)</f>
        <v/>
      </c>
      <c r="P79" s="86">
        <f>SUM(P76:P78)</f>
        <v/>
      </c>
      <c r="Q79" s="86">
        <f>SUM(Q76:Q78)</f>
        <v/>
      </c>
      <c r="R79" s="88" t="inlineStr">
        <is>
          <t>–</t>
        </is>
      </c>
      <c r="S79" s="86">
        <f>SUM(S76:S78)</f>
        <v/>
      </c>
      <c r="T79" s="86">
        <f>SUM(T76:T78)</f>
        <v/>
      </c>
      <c r="U79" s="86">
        <f>SUM(U76:U78)</f>
        <v/>
      </c>
      <c r="V79" s="89">
        <f>SUM(V76:V78)</f>
        <v/>
      </c>
      <c r="W79" s="86" t="inlineStr">
        <is>
          <t>–</t>
        </is>
      </c>
      <c r="X79" s="86">
        <f>SUM(X76:X78)</f>
        <v/>
      </c>
      <c r="Y79" s="86">
        <f>SUM(Y76:Y78)</f>
        <v/>
      </c>
      <c r="Z79" s="86" t="inlineStr">
        <is>
          <t>–</t>
        </is>
      </c>
      <c r="AA79" s="86">
        <f>SUM(AA76:AA78)</f>
        <v/>
      </c>
      <c r="AB79" s="86">
        <f>SUM(AB76:AB78)</f>
        <v/>
      </c>
      <c r="AC79" s="86" t="inlineStr">
        <is>
          <t>–</t>
        </is>
      </c>
      <c r="AD79" s="86">
        <f>SUM(AD76:AD78)</f>
        <v/>
      </c>
      <c r="AE79" s="86">
        <f>SUM(AE76:AE78)</f>
        <v/>
      </c>
      <c r="AF79" s="86" t="inlineStr">
        <is>
          <t>–</t>
        </is>
      </c>
      <c r="AG79" s="90" t="inlineStr">
        <is>
          <t>–</t>
        </is>
      </c>
      <c r="AH79" s="86" t="inlineStr">
        <is>
          <t>–</t>
        </is>
      </c>
      <c r="AI79" s="91">
        <f>IF(AE79&lt;=5,"SETTLED","OUTSTANDING")</f>
        <v/>
      </c>
    </row>
    <row r="80" s="77">
      <c r="A80" s="108" t="inlineStr">
        <is>
          <t>↳</t>
        </is>
      </c>
      <c r="B80" s="109" t="n"/>
      <c r="C80" s="109">
        <f>COUNTIFS($AI$52:$AI$54,"SETTLED")&amp;" lot(s)"</f>
        <v/>
      </c>
      <c r="D80" s="109" t="inlineStr">
        <is>
          <t>↳ of which SETTLED</t>
        </is>
      </c>
      <c r="E80" s="109" t="inlineStr">
        <is>
          <t>–</t>
        </is>
      </c>
      <c r="F80" s="109">
        <f>SUMIFS(F$52:F$54,$AI$52:$AI$54,"SETTLED")</f>
        <v/>
      </c>
      <c r="G80" s="109" t="inlineStr">
        <is>
          <t>–</t>
        </is>
      </c>
      <c r="H80" s="110" t="inlineStr">
        <is>
          <t>–</t>
        </is>
      </c>
      <c r="I80" s="110">
        <f>SUMIFS(I$52:I$54,$AI$52:$AI$54,"SETTLED")</f>
        <v/>
      </c>
      <c r="J80" s="110">
        <f>SUMIFS(J$52:J$54,$AI$52:$AI$54,"SETTLED")</f>
        <v/>
      </c>
      <c r="K80" s="110">
        <f>SUMIFS(K$52:K$54,$AI$52:$AI$54,"SETTLED")</f>
        <v/>
      </c>
      <c r="L80" s="110">
        <f>SUMIFS(L$52:L$54,$AI$52:$AI$54,"SETTLED")</f>
        <v/>
      </c>
      <c r="M80" s="110">
        <f>SUMIFS(M$52:M$54,$AI$52:$AI$54,"SETTLED")</f>
        <v/>
      </c>
      <c r="N80" s="110">
        <f>SUMIFS(N$52:N$54,$AI$52:$AI$54,"SETTLED")</f>
        <v/>
      </c>
      <c r="O80" s="111">
        <f>SUMIFS(O$52:O$54,$AI$52:$AI$54,"SETTLED")</f>
        <v/>
      </c>
      <c r="P80" s="110">
        <f>SUMIFS(P$52:P$54,$AI$52:$AI$54,"SETTLED")</f>
        <v/>
      </c>
      <c r="Q80" s="110">
        <f>SUMIFS(Q$52:Q$54,$AI$52:$AI$54,"SETTLED")</f>
        <v/>
      </c>
      <c r="R80" s="112" t="inlineStr">
        <is>
          <t>–</t>
        </is>
      </c>
      <c r="S80" s="110">
        <f>SUMIFS(S$52:S$54,$AI$52:$AI$54,"SETTLED")</f>
        <v/>
      </c>
      <c r="T80" s="110">
        <f>SUMIFS(T$52:T$54,$AI$52:$AI$54,"SETTLED")</f>
        <v/>
      </c>
      <c r="U80" s="110">
        <f>SUMIFS(U$52:U$54,$AI$52:$AI$54,"SETTLED")</f>
        <v/>
      </c>
      <c r="V80" s="113">
        <f>SUMIFS(V$52:V$54,$AI$52:$AI$54,"SETTLED")</f>
        <v/>
      </c>
      <c r="W80" s="110" t="inlineStr">
        <is>
          <t>–</t>
        </is>
      </c>
      <c r="X80" s="110">
        <f>SUMIFS(X$52:X$54,$AI$52:$AI$54,"SETTLED")</f>
        <v/>
      </c>
      <c r="Y80" s="110">
        <f>SUMIFS(Y$52:Y$54,$AI$52:$AI$54,"SETTLED")</f>
        <v/>
      </c>
      <c r="Z80" s="110" t="inlineStr">
        <is>
          <t>–</t>
        </is>
      </c>
      <c r="AA80" s="110">
        <f>SUMIFS(AA$52:AA$54,$AI$52:$AI$54,"SETTLED")</f>
        <v/>
      </c>
      <c r="AB80" s="110">
        <f>SUMIFS(AB$52:AB$54,$AI$52:$AI$54,"SETTLED")</f>
        <v/>
      </c>
      <c r="AC80" s="110" t="inlineStr">
        <is>
          <t>–</t>
        </is>
      </c>
      <c r="AD80" s="110">
        <f>SUMIFS(AD$52:AD$54,$AI$52:$AI$54,"SETTLED")</f>
        <v/>
      </c>
      <c r="AE80" s="110">
        <f>SUMIFS(AE$52:AE$54,$AI$52:$AI$54,"SETTLED")</f>
        <v/>
      </c>
      <c r="AF80" s="110" t="inlineStr">
        <is>
          <t>–</t>
        </is>
      </c>
      <c r="AG80" s="114" t="inlineStr">
        <is>
          <t>–</t>
        </is>
      </c>
      <c r="AH80" s="110" t="inlineStr">
        <is>
          <t>–</t>
        </is>
      </c>
      <c r="AI80" s="115" t="inlineStr">
        <is>
          <t>SETTLED</t>
        </is>
      </c>
    </row>
    <row r="81" s="77">
      <c r="A81" s="108" t="inlineStr">
        <is>
          <t>↳</t>
        </is>
      </c>
      <c r="B81" s="109" t="n"/>
      <c r="C81" s="109">
        <f>COUNTIFS($AI$52:$AI$54,"OUTSTANDING")&amp;" lot(s)"</f>
        <v/>
      </c>
      <c r="D81" s="109" t="inlineStr">
        <is>
          <t>↳ of which UNSETTLED (outstanding)</t>
        </is>
      </c>
      <c r="E81" s="109" t="inlineStr">
        <is>
          <t>–</t>
        </is>
      </c>
      <c r="F81" s="109">
        <f>SUMIFS(F$52:F$54,$AI$52:$AI$54,"OUTSTANDING")</f>
        <v/>
      </c>
      <c r="G81" s="109" t="inlineStr">
        <is>
          <t>–</t>
        </is>
      </c>
      <c r="H81" s="110" t="inlineStr">
        <is>
          <t>–</t>
        </is>
      </c>
      <c r="I81" s="110">
        <f>SUMIFS(I$52:I$54,$AI$52:$AI$54,"OUTSTANDING")</f>
        <v/>
      </c>
      <c r="J81" s="110">
        <f>SUMIFS(J$52:J$54,$AI$52:$AI$54,"OUTSTANDING")</f>
        <v/>
      </c>
      <c r="K81" s="110">
        <f>SUMIFS(K$52:K$54,$AI$52:$AI$54,"OUTSTANDING")</f>
        <v/>
      </c>
      <c r="L81" s="110">
        <f>SUMIFS(L$52:L$54,$AI$52:$AI$54,"OUTSTANDING")</f>
        <v/>
      </c>
      <c r="M81" s="110">
        <f>SUMIFS(M$52:M$54,$AI$52:$AI$54,"OUTSTANDING")</f>
        <v/>
      </c>
      <c r="N81" s="110">
        <f>SUMIFS(N$52:N$54,$AI$52:$AI$54,"OUTSTANDING")</f>
        <v/>
      </c>
      <c r="O81" s="111">
        <f>SUMIFS(O$52:O$54,$AI$52:$AI$54,"OUTSTANDING")</f>
        <v/>
      </c>
      <c r="P81" s="110">
        <f>SUMIFS(P$52:P$54,$AI$52:$AI$54,"OUTSTANDING")</f>
        <v/>
      </c>
      <c r="Q81" s="110">
        <f>SUMIFS(Q$52:Q$54,$AI$52:$AI$54,"OUTSTANDING")</f>
        <v/>
      </c>
      <c r="R81" s="112" t="inlineStr">
        <is>
          <t>–</t>
        </is>
      </c>
      <c r="S81" s="110">
        <f>SUMIFS(S$52:S$54,$AI$52:$AI$54,"OUTSTANDING")</f>
        <v/>
      </c>
      <c r="T81" s="110">
        <f>SUMIFS(T$52:T$54,$AI$52:$AI$54,"OUTSTANDING")</f>
        <v/>
      </c>
      <c r="U81" s="110">
        <f>SUMIFS(U$52:U$54,$AI$52:$AI$54,"OUTSTANDING")</f>
        <v/>
      </c>
      <c r="V81" s="113">
        <f>SUMIFS(V$52:V$54,$AI$52:$AI$54,"OUTSTANDING")</f>
        <v/>
      </c>
      <c r="W81" s="110" t="inlineStr">
        <is>
          <t>–</t>
        </is>
      </c>
      <c r="X81" s="110">
        <f>SUMIFS(X$52:X$54,$AI$52:$AI$54,"OUTSTANDING")</f>
        <v/>
      </c>
      <c r="Y81" s="110">
        <f>SUMIFS(Y$52:Y$54,$AI$52:$AI$54,"OUTSTANDING")</f>
        <v/>
      </c>
      <c r="Z81" s="110" t="inlineStr">
        <is>
          <t>–</t>
        </is>
      </c>
      <c r="AA81" s="110">
        <f>SUMIFS(AA$52:AA$54,$AI$52:$AI$54,"OUTSTANDING")</f>
        <v/>
      </c>
      <c r="AB81" s="110">
        <f>SUMIFS(AB$52:AB$54,$AI$52:$AI$54,"OUTSTANDING")</f>
        <v/>
      </c>
      <c r="AC81" s="110" t="inlineStr">
        <is>
          <t>–</t>
        </is>
      </c>
      <c r="AD81" s="110">
        <f>SUMIFS(AD$52:AD$54,$AI$52:$AI$54,"OUTSTANDING")</f>
        <v/>
      </c>
      <c r="AE81" s="110">
        <f>SUMIFS(AE$52:AE$54,$AI$52:$AI$54,"OUTSTANDING")</f>
        <v/>
      </c>
      <c r="AF81" s="110" t="inlineStr">
        <is>
          <t>–</t>
        </is>
      </c>
      <c r="AG81" s="114" t="inlineStr">
        <is>
          <t>–</t>
        </is>
      </c>
      <c r="AH81" s="110" t="inlineStr">
        <is>
          <t>–</t>
        </is>
      </c>
      <c r="AI81" s="115" t="inlineStr">
        <is>
          <t>OUTSTANDING</t>
        </is>
      </c>
    </row>
    <row r="82" s="77">
      <c r="A82" s="92" t="inlineStr">
        <is>
          <t>∑</t>
        </is>
      </c>
      <c r="B82" s="93" t="n"/>
      <c r="C82" s="93">
        <f>COUNTA('Final Calculation Sheet'!$G$4:$G$40)&amp;" lot(s)"</f>
        <v/>
      </c>
      <c r="D82" s="93" t="inlineStr">
        <is>
          <t>TOTAL — every buyer together</t>
        </is>
      </c>
      <c r="E82" s="93" t="inlineStr">
        <is>
          <t>–</t>
        </is>
      </c>
      <c r="F82" s="93">
        <f>SUM(F7,F12,F16,F20,F24,F40,F44,F49,F54,F58,F63,F73,F79)</f>
        <v/>
      </c>
      <c r="G82" s="93" t="inlineStr">
        <is>
          <t>–</t>
        </is>
      </c>
      <c r="H82" s="94" t="inlineStr">
        <is>
          <t>–</t>
        </is>
      </c>
      <c r="I82" s="94">
        <f>SUM(I7,I12,I16,I20,I24,I40,I44,I49,I54,I58,I63,I73,I79)</f>
        <v/>
      </c>
      <c r="J82" s="94">
        <f>SUM(J7,J12,J16,J20,J24,J40,J44,J49,J54,J58,J63,J73,J79)</f>
        <v/>
      </c>
      <c r="K82" s="94">
        <f>SUM(K7,K12,K16,K20,K24,K40,K44,K49,K54,K58,K63,K73,K79)</f>
        <v/>
      </c>
      <c r="L82" s="94">
        <f>SUM(L7,L12,L16,L20,L24,L40,L44,L49,L54,L58,L63,L73,L79)</f>
        <v/>
      </c>
      <c r="M82" s="94">
        <f>SUM(M7,M12,M16,M20,M24,M40,M44,M49,M54,M58,M63,M73,M79)</f>
        <v/>
      </c>
      <c r="N82" s="94">
        <f>SUM(N7,N12,N16,N20,N24,N40,N44,N49,N54,N58,N63,N73,N79)</f>
        <v/>
      </c>
      <c r="O82" s="95">
        <f>SUM(O7,O12,O16,O20,O24,O40,O44,O49,O54,O58,O63,O73,O79)</f>
        <v/>
      </c>
      <c r="P82" s="94">
        <f>SUM(P7,P12,P16,P20,P24,P40,P44,P49,P54,P58,P63,P73,P79)</f>
        <v/>
      </c>
      <c r="Q82" s="94">
        <f>SUM(Q7,Q12,Q16,Q20,Q24,Q40,Q44,Q49,Q54,Q58,Q63,Q73,Q79)</f>
        <v/>
      </c>
      <c r="R82" s="96" t="inlineStr">
        <is>
          <t>–</t>
        </is>
      </c>
      <c r="S82" s="94">
        <f>SUM(S7,S12,S16,S20,S24,S40,S44,S49,S54,S58,S63,S73,S79)</f>
        <v/>
      </c>
      <c r="T82" s="94">
        <f>SUM(T7,T12,T16,T20,T24,T40,T44,T49,T54,T58,T63,T73,T79)</f>
        <v/>
      </c>
      <c r="U82" s="94">
        <f>SUM(U7,U12,U16,U20,U24,U40,U44,U49,U54,U58,U63,U73,U79)</f>
        <v/>
      </c>
      <c r="V82" s="97">
        <f>SUM(V7,V12,V16,V20,V24,V40,V44,V49,V54,V58,V63,V73,V79)</f>
        <v/>
      </c>
      <c r="W82" s="94" t="inlineStr">
        <is>
          <t>–</t>
        </is>
      </c>
      <c r="X82" s="94">
        <f>SUM(X7,X12,X16,X20,X24,X40,X44,X49,X54,X58,X63,X73,X79)</f>
        <v/>
      </c>
      <c r="Y82" s="94">
        <f>SUM(Y7,Y12,Y16,Y20,Y24,Y40,Y44,Y49,Y54,Y58,Y63,Y73,Y79)</f>
        <v/>
      </c>
      <c r="Z82" s="94" t="inlineStr">
        <is>
          <t>–</t>
        </is>
      </c>
      <c r="AA82" s="94">
        <f>SUM(AA7,AA12,AA16,AA20,AA24,AA40,AA44,AA49,AA54,AA58,AA63,AA73,AA79)</f>
        <v/>
      </c>
      <c r="AB82" s="94">
        <f>SUM(AB7,AB12,AB16,AB20,AB24,AB40,AB44,AB49,AB54,AB58,AB63,AB73,AB79)</f>
        <v/>
      </c>
      <c r="AC82" s="94" t="inlineStr">
        <is>
          <t>–</t>
        </is>
      </c>
      <c r="AD82" s="94">
        <f>SUM(AD7,AD12,AD16,AD20,AD24,AD40,AD44,AD49,AD54,AD58,AD63,AD73,AD79)</f>
        <v/>
      </c>
      <c r="AE82" s="94">
        <f>SUM(AE7,AE12,AE16,AE20,AE24,AE40,AE44,AE49,AE54,AE58,AE63,AE73,AE79)</f>
        <v/>
      </c>
      <c r="AF82" s="94" t="inlineStr">
        <is>
          <t>–</t>
        </is>
      </c>
      <c r="AG82" s="98" t="inlineStr">
        <is>
          <t>–</t>
        </is>
      </c>
      <c r="AH82" s="94" t="inlineStr">
        <is>
          <t>–</t>
        </is>
      </c>
      <c r="AI82" s="99">
        <f>IF(AE82&lt;=5,"SETTLED","OUTSTANDING")</f>
        <v/>
      </c>
    </row>
    <row r="83" ht="15" customHeight="1" s="77">
      <c r="A83" s="92" t="inlineStr">
        <is>
          <t>↳</t>
        </is>
      </c>
      <c r="B83" s="93" t="n"/>
      <c r="C83" s="93">
        <f>COUNTIFS($AI$76:$AI$78,"SETTLED")&amp;" lot(s)"</f>
        <v/>
      </c>
      <c r="D83" s="93" t="inlineStr">
        <is>
          <t>↳ of which SETTLED</t>
        </is>
      </c>
      <c r="E83" s="93" t="inlineStr">
        <is>
          <t>–</t>
        </is>
      </c>
      <c r="F83" s="93">
        <f>SUMIFS(F$76:F$78,$AI$76:$AI$78,"SETTLED")</f>
        <v/>
      </c>
      <c r="G83" s="93" t="inlineStr">
        <is>
          <t>–</t>
        </is>
      </c>
      <c r="H83" s="94" t="inlineStr">
        <is>
          <t>–</t>
        </is>
      </c>
      <c r="I83" s="94">
        <f>SUMIFS(I$76:I$78,$AI$76:$AI$78,"SETTLED")</f>
        <v/>
      </c>
      <c r="J83" s="94">
        <f>SUMIFS(J$76:J$78,$AI$76:$AI$78,"SETTLED")</f>
        <v/>
      </c>
      <c r="K83" s="94">
        <f>SUMIFS(K$76:K$78,$AI$76:$AI$78,"SETTLED")</f>
        <v/>
      </c>
      <c r="L83" s="94">
        <f>SUMIFS(L$76:L$78,$AI$76:$AI$78,"SETTLED")</f>
        <v/>
      </c>
      <c r="M83" s="94">
        <f>SUMIFS(M$76:M$78,$AI$76:$AI$78,"SETTLED")</f>
        <v/>
      </c>
      <c r="N83" s="94">
        <f>SUMIFS(N$76:N$78,$AI$76:$AI$78,"SETTLED")</f>
        <v/>
      </c>
      <c r="O83" s="95">
        <f>SUMIFS(O$76:O$78,$AI$76:$AI$78,"SETTLED")</f>
        <v/>
      </c>
      <c r="P83" s="94">
        <f>SUMIFS(P$76:P$78,$AI$76:$AI$78,"SETTLED")</f>
        <v/>
      </c>
      <c r="Q83" s="94">
        <f>SUMIFS(Q$76:Q$78,$AI$76:$AI$78,"SETTLED")</f>
        <v/>
      </c>
      <c r="R83" s="96" t="inlineStr">
        <is>
          <t>–</t>
        </is>
      </c>
      <c r="S83" s="94">
        <f>SUMIFS(S$76:S$78,$AI$76:$AI$78,"SETTLED")</f>
        <v/>
      </c>
      <c r="T83" s="94">
        <f>SUMIFS(T$76:T$78,$AI$76:$AI$78,"SETTLED")</f>
        <v/>
      </c>
      <c r="U83" s="94">
        <f>SUMIFS(U$76:U$78,$AI$76:$AI$78,"SETTLED")</f>
        <v/>
      </c>
      <c r="V83" s="97">
        <f>SUMIFS(V$76:V$78,$AI$76:$AI$78,"SETTLED")</f>
        <v/>
      </c>
      <c r="W83" s="94" t="inlineStr">
        <is>
          <t>–</t>
        </is>
      </c>
      <c r="X83" s="94">
        <f>SUMIFS(X$76:X$78,$AI$76:$AI$78,"SETTLED")</f>
        <v/>
      </c>
      <c r="Y83" s="94">
        <f>SUMIFS(Y$76:Y$78,$AI$76:$AI$78,"SETTLED")</f>
        <v/>
      </c>
      <c r="Z83" s="94" t="inlineStr">
        <is>
          <t>–</t>
        </is>
      </c>
      <c r="AA83" s="94">
        <f>SUMIFS(AA$76:AA$78,$AI$76:$AI$78,"SETTLED")</f>
        <v/>
      </c>
      <c r="AB83" s="94">
        <f>SUMIFS(AB$76:AB$78,$AI$76:$AI$78,"SETTLED")</f>
        <v/>
      </c>
      <c r="AC83" s="94" t="inlineStr">
        <is>
          <t>–</t>
        </is>
      </c>
      <c r="AD83" s="94">
        <f>SUMIFS(AD$76:AD$78,$AI$76:$AI$78,"SETTLED")</f>
        <v/>
      </c>
      <c r="AE83" s="94">
        <f>SUMIFS(AE$76:AE$78,$AI$76:$AI$78,"SETTLED")</f>
        <v/>
      </c>
      <c r="AF83" s="94" t="inlineStr">
        <is>
          <t>–</t>
        </is>
      </c>
      <c r="AG83" s="98" t="inlineStr">
        <is>
          <t>–</t>
        </is>
      </c>
      <c r="AH83" s="94" t="inlineStr">
        <is>
          <t>–</t>
        </is>
      </c>
      <c r="AI83" s="99" t="inlineStr">
        <is>
          <t>SETTLED</t>
        </is>
      </c>
    </row>
    <row r="84" ht="15" customHeight="1" s="77">
      <c r="A84" s="92" t="inlineStr">
        <is>
          <t>↳</t>
        </is>
      </c>
      <c r="B84" s="93" t="n"/>
      <c r="C84" s="93">
        <f>COUNTIFS($AI$76:$AI$78,"OUTSTANDING")&amp;" lot(s)"</f>
        <v/>
      </c>
      <c r="D84" s="93" t="inlineStr">
        <is>
          <t>↳ of which UNSETTLED (outstanding)</t>
        </is>
      </c>
      <c r="E84" s="93" t="inlineStr">
        <is>
          <t>–</t>
        </is>
      </c>
      <c r="F84" s="93">
        <f>SUMIFS(F$76:F$78,$AI$76:$AI$78,"OUTSTANDING")</f>
        <v/>
      </c>
      <c r="G84" s="93" t="inlineStr">
        <is>
          <t>–</t>
        </is>
      </c>
      <c r="H84" s="94" t="inlineStr">
        <is>
          <t>–</t>
        </is>
      </c>
      <c r="I84" s="94">
        <f>SUMIFS(I$76:I$78,$AI$76:$AI$78,"OUTSTANDING")</f>
        <v/>
      </c>
      <c r="J84" s="94">
        <f>SUMIFS(J$76:J$78,$AI$76:$AI$78,"OUTSTANDING")</f>
        <v/>
      </c>
      <c r="K84" s="94">
        <f>SUMIFS(K$76:K$78,$AI$76:$AI$78,"OUTSTANDING")</f>
        <v/>
      </c>
      <c r="L84" s="94">
        <f>SUMIFS(L$76:L$78,$AI$76:$AI$78,"OUTSTANDING")</f>
        <v/>
      </c>
      <c r="M84" s="94">
        <f>SUMIFS(M$76:M$78,$AI$76:$AI$78,"OUTSTANDING")</f>
        <v/>
      </c>
      <c r="N84" s="94">
        <f>SUMIFS(N$76:N$78,$AI$76:$AI$78,"OUTSTANDING")</f>
        <v/>
      </c>
      <c r="O84" s="95">
        <f>SUMIFS(O$76:O$78,$AI$76:$AI$78,"OUTSTANDING")</f>
        <v/>
      </c>
      <c r="P84" s="94">
        <f>SUMIFS(P$76:P$78,$AI$76:$AI$78,"OUTSTANDING")</f>
        <v/>
      </c>
      <c r="Q84" s="94">
        <f>SUMIFS(Q$76:Q$78,$AI$76:$AI$78,"OUTSTANDING")</f>
        <v/>
      </c>
      <c r="R84" s="96" t="inlineStr">
        <is>
          <t>–</t>
        </is>
      </c>
      <c r="S84" s="94">
        <f>SUMIFS(S$76:S$78,$AI$76:$AI$78,"OUTSTANDING")</f>
        <v/>
      </c>
      <c r="T84" s="94">
        <f>SUMIFS(T$76:T$78,$AI$76:$AI$78,"OUTSTANDING")</f>
        <v/>
      </c>
      <c r="U84" s="94">
        <f>SUMIFS(U$76:U$78,$AI$76:$AI$78,"OUTSTANDING")</f>
        <v/>
      </c>
      <c r="V84" s="97">
        <f>SUMIFS(V$76:V$78,$AI$76:$AI$78,"OUTSTANDING")</f>
        <v/>
      </c>
      <c r="W84" s="94" t="inlineStr">
        <is>
          <t>–</t>
        </is>
      </c>
      <c r="X84" s="94">
        <f>SUMIFS(X$76:X$78,$AI$76:$AI$78,"OUTSTANDING")</f>
        <v/>
      </c>
      <c r="Y84" s="94">
        <f>SUMIFS(Y$76:Y$78,$AI$76:$AI$78,"OUTSTANDING")</f>
        <v/>
      </c>
      <c r="Z84" s="94" t="inlineStr">
        <is>
          <t>–</t>
        </is>
      </c>
      <c r="AA84" s="94">
        <f>SUMIFS(AA$76:AA$78,$AI$76:$AI$78,"OUTSTANDING")</f>
        <v/>
      </c>
      <c r="AB84" s="94">
        <f>SUMIFS(AB$76:AB$78,$AI$76:$AI$78,"OUTSTANDING")</f>
        <v/>
      </c>
      <c r="AC84" s="94" t="inlineStr">
        <is>
          <t>–</t>
        </is>
      </c>
      <c r="AD84" s="94">
        <f>SUMIFS(AD$76:AD$78,$AI$76:$AI$78,"OUTSTANDING")</f>
        <v/>
      </c>
      <c r="AE84" s="94">
        <f>SUMIFS(AE$76:AE$78,$AI$76:$AI$78,"OUTSTANDING")</f>
        <v/>
      </c>
      <c r="AF84" s="94" t="inlineStr">
        <is>
          <t>–</t>
        </is>
      </c>
      <c r="AG84" s="98" t="inlineStr">
        <is>
          <t>–</t>
        </is>
      </c>
      <c r="AH84" s="94" t="inlineStr">
        <is>
          <t>–</t>
        </is>
      </c>
      <c r="AI84" s="99" t="inlineStr">
        <is>
          <t>OUTSTANDING</t>
        </is>
      </c>
    </row>
    <row r="85" s="77">
      <c r="A85" s="100" t="inlineStr">
        <is>
          <t>∑</t>
        </is>
      </c>
      <c r="B85" s="101" t="n"/>
      <c r="C85" s="101">
        <f>COUNTA('Final Calculation Sheet'!$G$4:$G$40)&amp;" lot(s)"</f>
        <v/>
      </c>
      <c r="D85" s="101" t="inlineStr">
        <is>
          <t>GRAND TOTAL — cross-checked to source</t>
        </is>
      </c>
      <c r="E85" s="101" t="inlineStr">
        <is>
          <t>–</t>
        </is>
      </c>
      <c r="F85" s="101">
        <f>SUM('Final Calculation Sheet'!$A$4:$A$40)</f>
        <v/>
      </c>
      <c r="G85" s="101" t="inlineStr">
        <is>
          <t>–</t>
        </is>
      </c>
      <c r="H85" s="102" t="inlineStr">
        <is>
          <t>–</t>
        </is>
      </c>
      <c r="I85" s="102">
        <f>SUM('Final Calculation Sheet'!$H$4:$H$40)</f>
        <v/>
      </c>
      <c r="J85" s="102">
        <f>SUM('Final Calculation Sheet'!$I$4:$I$40)</f>
        <v/>
      </c>
      <c r="K85" s="102">
        <f>SUM('Final Calculation Sheet'!$J$4:$J$40)</f>
        <v/>
      </c>
      <c r="L85" s="102">
        <f>SUM('Final Calculation Sheet'!$K$4:$K$40)</f>
        <v/>
      </c>
      <c r="M85" s="102">
        <f>SUM('Final Calculation Sheet'!$L$4:$L$40)</f>
        <v/>
      </c>
      <c r="N85" s="102">
        <f>SUM('Final Calculation Sheet'!$M$4:$M$40)</f>
        <v/>
      </c>
      <c r="O85" s="103">
        <f>SUM('Final Calculation Sheet'!$N$4:$N$40)</f>
        <v/>
      </c>
      <c r="P85" s="102">
        <f>SUM('Final Calculation Sheet'!$O$4:$O$40)</f>
        <v/>
      </c>
      <c r="Q85" s="102">
        <f>SUM('Final Calculation Sheet'!$P$4:$P$40)</f>
        <v/>
      </c>
      <c r="R85" s="104" t="inlineStr">
        <is>
          <t>–</t>
        </is>
      </c>
      <c r="S85" s="102">
        <f>SUM('Final Calculation Sheet'!$R$4:$R$40)</f>
        <v/>
      </c>
      <c r="T85" s="102">
        <f>SUM('Final Calculation Sheet'!$S$4:$S$40)</f>
        <v/>
      </c>
      <c r="U85" s="102">
        <f>SUM('Final Calculation Sheet'!$T$4:$T$40)</f>
        <v/>
      </c>
      <c r="V85" s="105">
        <f>SUM('Final Calculation Sheet'!$U$4:$U$40)</f>
        <v/>
      </c>
      <c r="W85" s="102" t="inlineStr">
        <is>
          <t>–</t>
        </is>
      </c>
      <c r="X85" s="102">
        <f>SUM('Final Calculation Sheet'!$W$4:$W$40)</f>
        <v/>
      </c>
      <c r="Y85" s="102">
        <f>SUM('Final Calculation Sheet'!$X$4:$X$40)</f>
        <v/>
      </c>
      <c r="Z85" s="102" t="inlineStr">
        <is>
          <t>–</t>
        </is>
      </c>
      <c r="AA85" s="102">
        <f>SUM('Final Calculation Sheet'!$Z$4:$Z$40)</f>
        <v/>
      </c>
      <c r="AB85" s="102">
        <f>SUM('Final Calculation Sheet'!$AA$4:$AA$40)</f>
        <v/>
      </c>
      <c r="AC85" s="102" t="inlineStr">
        <is>
          <t>–</t>
        </is>
      </c>
      <c r="AD85" s="102">
        <f>SUM('Final Calculation Sheet'!$AC$4:$AC$40)</f>
        <v/>
      </c>
      <c r="AE85" s="102">
        <f>SUM('Final Calculation Sheet'!$AD$4:$AD$40)</f>
        <v/>
      </c>
      <c r="AF85" s="102" t="inlineStr">
        <is>
          <t>–</t>
        </is>
      </c>
      <c r="AG85" s="106" t="inlineStr">
        <is>
          <t>–</t>
        </is>
      </c>
      <c r="AH85" s="102" t="inlineStr">
        <is>
          <t>–</t>
        </is>
      </c>
      <c r="AI85" s="107">
        <f>IF(AE85&lt;=5,"SETTLED","OUTSTANDING")</f>
        <v/>
      </c>
    </row>
  </sheetData>
  <mergeCells count="2">
    <mergeCell ref="A2:AI2"/>
    <mergeCell ref="A1:AI1"/>
  </mergeCells>
  <conditionalFormatting sqref="AE6:AE85">
    <cfRule type="cellIs" priority="4" operator="greaterThan" dxfId="2">
      <formula>5</formula>
    </cfRule>
  </conditionalFormatting>
  <conditionalFormatting sqref="AI6:AI85">
    <cfRule type="cellIs" priority="5" operator="equal" dxfId="11">
      <formula>"SETTLED"</formula>
    </cfRule>
    <cfRule type="cellIs" priority="6"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2026-09-10T08:49:33Z</dcterms:modified>
  <cp:lastModifiedBy>S.M.C</cp:lastModifiedBy>
  <cp:revision>0</cp:revision>
</cp:coreProperties>
</file>