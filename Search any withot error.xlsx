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1385" tabRatio="500" firstSheet="0" activeTab="1" autoFilterDateGrouping="1"/>
  </bookViews>
  <sheets>
    <sheet name="Final Calculation Sheet" sheetId="1" state="visible" r:id="rId1"/>
    <sheet name="Live Search" sheetId="2" state="visible" r:id="rId2"/>
  </sheets>
  <definedNames>
    <definedName name="_xlnm._FilterDatabase" localSheetId="0" hidden="1">'Final Calculation Sheet'!$A$3:$AG$40</definedName>
    <definedName name="_xlnm.Print_Titles" localSheetId="1">'Live Search'!$5:$5</definedName>
  </definedNames>
  <calcPr calcId="191028" fullCalcOnLoad="1" iterateDelta="0.0001" forceFullCalc="1"/>
</workbook>
</file>

<file path=xl/styles.xml><?xml version="1.0" encoding="utf-8"?>
<styleSheet xmlns="http://schemas.openxmlformats.org/spreadsheetml/2006/main">
  <numFmts count="2">
    <numFmt numFmtId="164" formatCode="#,##0;\(#,##0\)"/>
    <numFmt numFmtId="165" formatCode="_ * #,##0_ ;_ * \-#,##0_ ;_ * \-??_ ;_ @_ "/>
  </numFmts>
  <fonts count="21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name val="Calibri"/>
      <b val="1"/>
      <color rgb="FFFFFFFF"/>
      <sz val="15"/>
    </font>
    <font>
      <name val="Calibri"/>
      <i val="1"/>
      <color rgb="FF1F3864"/>
      <sz val="9"/>
    </font>
    <font>
      <name val="Calibri"/>
      <b val="1"/>
      <color rgb="FFFFFFFF"/>
      <sz val="11"/>
    </font>
    <font>
      <name val="Calibri"/>
      <b val="1"/>
      <color rgb="FF1F3864"/>
      <sz val="13"/>
    </font>
    <font>
      <name val="Calibri"/>
      <b val="1"/>
      <color rgb="FFFFFFFF"/>
      <sz val="10"/>
    </font>
    <font>
      <name val="Calibri"/>
      <b val="1"/>
      <color rgb="FF1F3864"/>
      <sz val="10"/>
    </font>
    <font>
      <name val="Calibri"/>
      <b val="1"/>
      <color rgb="FF1F3864"/>
      <sz val="12"/>
    </font>
    <font>
      <name val="Calibri"/>
      <b val="1"/>
      <color rgb="FFFFFFFF"/>
      <sz val="9"/>
    </font>
    <font>
      <name val="Calibri"/>
      <b val="1"/>
      <color rgb="FF666666"/>
      <sz val="9"/>
    </font>
    <font>
      <name val="Calibri"/>
      <b val="1"/>
      <color rgb="FF333333"/>
      <sz val="10"/>
    </font>
    <font>
      <name val="Calibri"/>
      <color rgb="FF333333"/>
      <sz val="10"/>
    </font>
    <font>
      <name val="Calibri"/>
      <b val="1"/>
      <sz val="10"/>
    </font>
    <font>
      <name val="Calibri"/>
      <i val="1"/>
      <color rgb="FF808080"/>
      <sz val="8"/>
    </font>
    <font>
      <name val="Calibri"/>
      <color rgb="FF404040"/>
      <sz val="9"/>
    </font>
  </fonts>
  <fills count="14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</fills>
  <borders count="2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9" fillId="4" borderId="0" applyAlignment="1" pivotButton="0" quotePrefix="0" xfId="0">
      <alignment horizontal="right" vertical="center"/>
    </xf>
    <xf numFmtId="0" fontId="11" fillId="7" borderId="0" applyAlignment="1" pivotButton="0" quotePrefix="0" xfId="0">
      <alignment horizontal="right" vertical="center"/>
    </xf>
    <xf numFmtId="0" fontId="12" fillId="8" borderId="17" applyAlignment="1" pivotButton="0" quotePrefix="0" xfId="0">
      <alignment horizontal="center" vertical="center" wrapText="1"/>
    </xf>
    <xf numFmtId="0" fontId="13" fillId="9" borderId="17" applyAlignment="1" pivotButton="0" quotePrefix="0" xfId="0">
      <alignment horizontal="center" vertical="center" wrapText="1"/>
    </xf>
    <xf numFmtId="0" fontId="19" fillId="0" borderId="0" pivotButton="0" quotePrefix="0" xfId="0"/>
    <xf numFmtId="0" fontId="14" fillId="10" borderId="18" applyAlignment="1" pivotButton="0" quotePrefix="0" xfId="0">
      <alignment horizontal="center" vertical="center" wrapText="1"/>
    </xf>
    <xf numFmtId="0" fontId="14" fillId="11" borderId="18" applyAlignment="1" pivotButton="0" quotePrefix="0" xfId="0">
      <alignment horizontal="center" vertical="center" wrapText="1"/>
    </xf>
    <xf numFmtId="0" fontId="14" fillId="12" borderId="18" applyAlignment="1" pivotButton="0" quotePrefix="0" xfId="0">
      <alignment horizontal="center" vertical="center" wrapText="1"/>
    </xf>
    <xf numFmtId="1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right" vertical="center"/>
    </xf>
    <xf numFmtId="3" fontId="17" fillId="0" borderId="0" applyAlignment="1" pivotButton="0" quotePrefix="0" xfId="0">
      <alignment horizontal="right" vertical="center"/>
    </xf>
    <xf numFmtId="9" fontId="17" fillId="0" borderId="0" applyAlignment="1" pivotButton="0" quotePrefix="0" xfId="0">
      <alignment horizontal="right" vertical="center"/>
    </xf>
    <xf numFmtId="165" fontId="17" fillId="0" borderId="0" applyAlignment="1" pivotButton="0" quotePrefix="0" xfId="0">
      <alignment horizontal="right" vertical="center"/>
    </xf>
    <xf numFmtId="1" fontId="17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0" fillId="6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2" fillId="9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20" fillId="13" borderId="0" pivotButton="0" quotePrefix="0" xfId="0"/>
  </cellXfs>
  <cellStyles count="1">
    <cellStyle name="Normal" xfId="0" builtinId="0"/>
  </cellStyles>
  <dxfs count="11"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</dxf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 val="1"/>
        <color rgb="FFFFFFFF"/>
      </font>
      <fill>
        <patternFill patternType="solid">
          <fgColor rgb="FF1F3864"/>
          <bgColor rgb="FF1F3864"/>
        </patternFill>
      </fill>
    </dxf>
    <dxf>
      <font>
        <b val="1"/>
        <color rgb="FFFFFFFF"/>
      </font>
      <fill>
        <patternFill patternType="solid">
          <fgColor rgb="FF2E75B6"/>
          <bgColor rgb="FF2E75B6"/>
        </patternFill>
      </fill>
    </dxf>
    <dxf>
      <font>
        <b val="1"/>
        <color rgb="FFFFFFFF"/>
      </font>
      <fill>
        <patternFill patternType="solid">
          <fgColor rgb="FF375623"/>
          <bgColor rgb="FF375623"/>
        </patternFill>
      </fill>
    </dxf>
    <dxf>
      <font>
        <b val="1"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zoomScale="85" zoomScaleNormal="85" workbookViewId="0">
      <pane xSplit="7" ySplit="3" topLeftCell="H4" activePane="bottomRight" state="frozen"/>
      <selection pane="topRight" activeCell="A1" sqref="A1"/>
      <selection pane="bottomLeft" activeCell="A1" sqref="A1"/>
      <selection pane="bottomRight" activeCell="B10" sqref="B10"/>
    </sheetView>
  </sheetViews>
  <sheetFormatPr baseColWidth="8" defaultColWidth="8.7109375" defaultRowHeight="15"/>
  <cols>
    <col width="13.7109375" bestFit="1" customWidth="1" style="77" min="1" max="1"/>
    <col width="29.42578125" customWidth="1" style="77" min="2" max="2"/>
    <col width="9.140625" customWidth="1" style="77" min="3" max="3"/>
    <col width="9.42578125" customWidth="1" style="77" min="4" max="4"/>
    <col width="10" bestFit="1" customWidth="1" style="77" min="5" max="5"/>
    <col width="12.42578125" bestFit="1" customWidth="1" style="77" min="6" max="6"/>
    <col width="25" customWidth="1" style="77" min="7" max="7"/>
    <col width="15.5703125" bestFit="1" customWidth="1" style="77" min="8" max="8"/>
    <col width="9.85546875" bestFit="1" customWidth="1" style="77" min="9" max="9"/>
    <col width="17.140625" bestFit="1" customWidth="1" style="77" min="10" max="10"/>
    <col width="9.5703125" bestFit="1" customWidth="1" style="77" min="11" max="11"/>
    <col width="6.85546875" customWidth="1" style="77" min="12" max="12"/>
    <col width="8.28515625" customWidth="1" style="77" min="13" max="13"/>
    <col width="6.7109375" customWidth="1" style="77" min="14" max="14"/>
    <col width="9.140625" customWidth="1" style="77" min="15" max="15"/>
    <col width="8.28515625" customWidth="1" style="1" min="16" max="16"/>
    <col width="8.140625" customWidth="1" style="1" min="17" max="17"/>
    <col width="8.140625" customWidth="1" style="77" min="18" max="18"/>
    <col width="11.5703125" customWidth="1" style="77" min="19" max="19"/>
    <col width="9.85546875" customWidth="1" style="77" min="20" max="20"/>
    <col width="10" customWidth="1" style="2" min="21" max="21"/>
    <col width="10.140625" customWidth="1" style="2" min="22" max="22"/>
    <col width="10.7109375" customWidth="1" style="77" min="23" max="23"/>
    <col width="10.5703125" customWidth="1" style="77" min="24" max="24"/>
    <col width="10.140625" customWidth="1" style="77" min="25" max="28"/>
    <col width="14.140625" bestFit="1" customWidth="1" style="77" min="29" max="29"/>
    <col width="11.5703125" customWidth="1" style="77" min="30" max="30"/>
    <col width="13.7109375" customWidth="1" style="77" min="31" max="31"/>
    <col width="14.140625" customWidth="1" style="77" min="32" max="32"/>
    <col width="10.140625" customWidth="1" style="77" min="33" max="33"/>
  </cols>
  <sheetData>
    <row r="1" ht="15.75" customHeight="1" s="77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 s="77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 s="77">
      <c r="A3" s="4" t="inlineStr">
        <is>
          <t>Quantity</t>
        </is>
      </c>
      <c r="B3" s="5" t="inlineStr">
        <is>
          <t>Lot No.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 s="77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 s="77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 s="77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 s="77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 s="77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 s="77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 s="77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 s="77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 s="77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 s="77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 s="77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 s="77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 s="77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 s="77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 s="77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 s="77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 s="77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 s="77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 s="77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 s="77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 s="77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 s="77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 s="77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 s="77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 s="77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 s="77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 s="77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 s="77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 s="77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 s="77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 s="77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 s="77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 s="77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 s="77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 s="77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 s="77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 s="77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 s="77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 s="77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 s="77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 s="77">
      <c r="U44" s="58" t="n"/>
    </row>
    <row r="46" ht="14.25" customHeight="1" s="77">
      <c r="K46" s="55" t="n"/>
    </row>
  </sheetData>
  <autoFilter ref="$A$3:$AG$40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5"/>
  <cols>
    <col width="14.85546875" bestFit="1" customWidth="1" style="77" min="1" max="1"/>
    <col width="10" customWidth="1" style="77" min="2" max="2"/>
    <col width="30" customWidth="1" style="77" min="3" max="3"/>
    <col outlineLevel="1" width="42" customWidth="1" style="77" min="4" max="4"/>
    <col outlineLevel="1" width="11.7109375" bestFit="1" customWidth="1" style="77" min="5" max="5"/>
    <col outlineLevel="1" width="12" bestFit="1" customWidth="1" style="77" min="6" max="6"/>
    <col outlineLevel="1" width="11" bestFit="1" customWidth="1" style="77" min="7" max="7"/>
    <col outlineLevel="1" width="8.85546875" bestFit="1" customWidth="1" style="77" min="8" max="8"/>
    <col width="10.28515625" bestFit="1" customWidth="1" style="77" min="9" max="9"/>
    <col outlineLevel="1" width="8.85546875" bestFit="1" customWidth="1" style="77" min="10" max="10"/>
    <col outlineLevel="1" width="13.42578125" customWidth="1" style="77" min="11" max="16"/>
    <col width="13.42578125" customWidth="1" style="77" min="17" max="17"/>
    <col outlineLevel="1" width="13.42578125" customWidth="1" style="77" min="18" max="18"/>
    <col width="13.42578125" customWidth="1" style="77" min="19" max="20"/>
    <col outlineLevel="1" width="13.42578125" customWidth="1" style="77" min="21" max="21"/>
    <col width="13.42578125" customWidth="1" style="77" min="22" max="34"/>
    <col width="13" customWidth="1" style="77" min="35" max="35"/>
    <col width="32" customWidth="1" style="77" min="36" max="36"/>
    <col hidden="1" width="12" customWidth="1" style="77" min="37" max="99"/>
    <col width="16" customWidth="1" style="77" min="38" max="38"/>
    <col width="14" customWidth="1" style="77" min="40" max="40"/>
    <col width="14" customWidth="1" style="77" min="42" max="42"/>
  </cols>
  <sheetData>
    <row r="1" ht="30" customHeight="1" s="77">
      <c r="A1" s="81" t="inlineStr">
        <is>
          <t>MSTC LIMITED  •  LIVE SEARCH   (results grouped by the value you typed, each group totalled, TOTAL MATCHED beneath them, the misses greyed in a REMAINING block, a GRAND TOTAL of both at the foot)</t>
        </is>
      </c>
      <c r="AJ1" s="82" t="inlineStr">
        <is>
          <t>SORT BY  ▸</t>
        </is>
      </c>
      <c r="AL1" s="82" t="inlineStr">
        <is>
          <t>ORDER  ▸</t>
        </is>
      </c>
    </row>
    <row r="2" ht="60" customHeight="1" s="77">
      <c r="A2" s="76" t="inlineStr">
        <is>
      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   •   SORT - pick a column in the SORT BY box (cell AJ2, just right of the table) and a direction in ORDER (cell AL2); the sorted header shows ▲/▼ and rows reorder inside each group while every total row stays in place. Choose (none) to restore the original order. (For one-click sorting by clicking a header, install the optional macro - see SORT_TOGGLE_SETUP.md.)</t>
        </is>
      </c>
      <c r="AJ2" s="61" t="inlineStr">
        <is>
          <t>(none)</t>
        </is>
      </c>
      <c r="AL2" s="61" t="inlineStr">
        <is>
          <t>▲ Ascending</t>
        </is>
      </c>
      <c r="AN2">
        <f>IFERROR(IF(OR($AJ$2="",$AJ$2="(none)"),"",TRIM(LEFT($AJ$2,FIND("-",$AJ$2)-1))),"")</f>
        <v/>
      </c>
    </row>
    <row r="3" ht="30" customHeight="1" s="77">
      <c r="A3" s="59" t="inlineStr">
        <is>
          <t>🔍  SEARCH  ▸</t>
        </is>
      </c>
      <c r="B3" s="78" t="n"/>
      <c r="C3" s="83" t="n"/>
      <c r="D3" s="84" t="n"/>
      <c r="E3" s="60" t="inlineStr">
        <is>
          <t>SEARCH IN  ▸</t>
        </is>
      </c>
      <c r="F3" s="61" t="inlineStr">
        <is>
          <t>Lot No. + Buyer + Name</t>
        </is>
      </c>
      <c r="G3" s="60" t="inlineStr">
        <is>
          <t>MATCHES  ▸</t>
        </is>
      </c>
      <c r="H3" s="62">
        <f>SUM($AM$5:$AM$41)&amp;" of 37"</f>
        <v/>
      </c>
      <c r="I3" s="80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hits")&amp;IF($AN$2="","","   •   sorted by "&amp;$AJ$2&amp;" "&amp;IF($AL$2="▼ Descending","▼","▲"))</f>
        <v/>
      </c>
      <c r="AJ3" s="63" t="inlineStr">
        <is>
          <t>sort-by list ↓ (AJ5:AJ40)</t>
        </is>
      </c>
      <c r="AK3" s="63" t="inlineStr">
        <is>
          <t>the text this lot is searched in</t>
        </is>
      </c>
      <c r="AM3" s="63" t="inlineStr">
        <is>
          <t>1 = this lot matches the search box</t>
        </is>
      </c>
      <c r="AN3" s="63" t="inlineStr">
        <is>
          <t>sort key ↓</t>
        </is>
      </c>
      <c r="AO3" s="63" t="inlineStr">
        <is>
          <t>the 'search in' list</t>
        </is>
      </c>
      <c r="AP3" s="63" t="inlineStr">
        <is>
          <t>sort raw value ↓</t>
        </is>
      </c>
      <c r="AQ3" s="63" t="inlineStr">
        <is>
          <t>the box with &amp; -&gt; + and / -&gt; ,</t>
        </is>
      </c>
      <c r="AR3" t="inlineStr">
        <is>
          <t>term 1 - rows 4..9: text left, delimiter pos, the term, delimiter, running facet, facet no.</t>
        </is>
      </c>
    </row>
    <row r="4" ht="30" customHeight="1" s="77">
      <c r="A4" s="61" t="n"/>
      <c r="B4" s="61" t="n"/>
      <c r="C4" s="61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1" t="n"/>
      <c r="U4" s="61" t="n"/>
      <c r="V4" s="61" t="n"/>
      <c r="W4" s="61" t="n"/>
      <c r="X4" s="61" t="n"/>
      <c r="Y4" s="61" t="n"/>
      <c r="Z4" s="61" t="n"/>
      <c r="AA4" s="61" t="n"/>
      <c r="AB4" s="61" t="n"/>
      <c r="AC4" s="61" t="n"/>
      <c r="AD4" s="61" t="n"/>
      <c r="AE4" s="61" t="n"/>
      <c r="AF4" s="61" t="n"/>
      <c r="AG4" s="61" t="n"/>
      <c r="AH4" s="61" t="n"/>
      <c r="AI4" s="61" t="n"/>
      <c r="AO4" t="inlineStr">
        <is>
          <t>Lot No. + Buyer + Name</t>
        </is>
      </c>
      <c r="AQ4">
        <f>SUBSTITUTE(SUBSTITUTE($B$3,"&amp;","+"),"/",",")</f>
        <v/>
      </c>
      <c r="AR4">
        <f>$AQ$4</f>
        <v/>
      </c>
      <c r="AS4">
        <f>IF(OR($AR$4="",$AR$5=99999),"",MID($AR$4,$AR$5+1,99999))</f>
        <v/>
      </c>
      <c r="AT4">
        <f>IF(OR($AS$4="",$AS$5=99999),"",MID($AS$4,$AS$5+1,99999))</f>
        <v/>
      </c>
      <c r="AU4">
        <f>IF(OR($AT$4="",$AT$5=99999),"",MID($AT$4,$AT$5+1,99999))</f>
        <v/>
      </c>
      <c r="AV4">
        <f>IF(OR($AU$4="",$AU$5=99999),"",MID($AU$4,$AU$5+1,99999))</f>
        <v/>
      </c>
      <c r="AW4">
        <f>IF(OR($AV$4="",$AV$5=99999),"",MID($AV$4,$AV$5+1,99999))</f>
        <v/>
      </c>
      <c r="AX4">
        <f>IF(OR($AW$4="",$AW$5=99999),"",MID($AW$4,$AW$5+1,99999))</f>
        <v/>
      </c>
      <c r="AY4">
        <f>IF(OR($AX$4="",$AX$5=99999),"",MID($AX$4,$AX$5+1,99999))</f>
        <v/>
      </c>
      <c r="BD4">
        <f>COUNTIF($AZ$5:$AZ$41,1)</f>
        <v/>
      </c>
      <c r="BE4" t="n">
        <v>5</v>
      </c>
      <c r="BF4">
        <f>IF($BD4=0,0,$BE4+$BD4)</f>
        <v/>
      </c>
      <c r="BG4">
        <f>IF($BD12=0,$BE12,$BF12+1)</f>
        <v/>
      </c>
    </row>
    <row r="5" ht="44.1" customHeight="1" s="77">
      <c r="A5" s="64">
        <f>"#"&amp;IF($AN$2="A",IF($AL$2="▼ Descending"," ▼"," ▲"),"")</f>
        <v/>
      </c>
      <c r="B5" s="65">
        <f>"Lot No."&amp;IF($AN$2="B",IF($AL$2="▼ Descending"," ▼"," ▲"),"")</f>
        <v/>
      </c>
      <c r="C5" s="65">
        <f>"Buyer"&amp;IF($AN$2="C",IF($AL$2="▼ Descending"," ▼"," ▲"),"")</f>
        <v/>
      </c>
      <c r="D5" s="65">
        <f>"Lot Name"&amp;IF($AN$2="D",IF($AL$2="▼ Descending"," ▼"," ▲"),"")</f>
        <v/>
      </c>
      <c r="E5" s="65">
        <f>"Bid Sheet"&amp;IF($AN$2="E",IF($AL$2="▼ Descending"," ▼"," ▲"),"")</f>
        <v/>
      </c>
      <c r="F5" s="65">
        <f>"Quantity"&amp;IF($AN$2="F",IF($AL$2="▼ Descending"," ▼"," ▲"),"")</f>
        <v/>
      </c>
      <c r="G5" s="65">
        <f>"Unit"&amp;IF($AN$2="G",IF($AL$2="▼ Descending"," ▼"," ▲"),"")</f>
        <v/>
      </c>
      <c r="H5" s="65">
        <f>"Rate"&amp;IF($AN$2="H",IF($AL$2="▼ Descending"," ▼"," ▲"),"")</f>
        <v/>
      </c>
      <c r="I5" s="65">
        <f>"Mat. Value"&amp;IF($AN$2="I",IF($AL$2="▼ Descending"," ▼"," ▲"),"")</f>
        <v/>
      </c>
      <c r="J5" s="65">
        <f>"GST"&amp;IF($AN$2="J",IF($AL$2="▼ Descending"," ▼"," ▲"),"")</f>
        <v/>
      </c>
      <c r="K5" s="65">
        <f>"Mat. Value + GST"&amp;IF($AN$2="K",IF($AL$2="▼ Descending"," ▼"," ▲"),"")</f>
        <v/>
      </c>
      <c r="L5" s="65">
        <f>"TCS"&amp;IF($AN$2="L",IF($AL$2="▼ Descending"," ▼"," ▲"),"")</f>
        <v/>
      </c>
      <c r="M5" s="65">
        <f>"TDS u/s 194(O)"&amp;IF($AN$2="M",IF($AL$2="▼ Descending"," ▼"," ▲"),"")</f>
        <v/>
      </c>
      <c r="N5" s="65">
        <f>"Service Charge to MSTC"&amp;IF($AN$2="N",IF($AL$2="▼ Descending"," ▼"," ▲"),"")</f>
        <v/>
      </c>
      <c r="O5" s="65">
        <f>"TDS u/s 194(H)"&amp;IF($AN$2="O",IF($AL$2="▼ Descending"," ▼"," ▲"),"")</f>
        <v/>
      </c>
      <c r="P5" s="65">
        <f>"Net Service Charge (post TDS 194H)"&amp;IF($AN$2="P",IF($AL$2="▼ Descending"," ▼"," ▲"),"")</f>
        <v/>
      </c>
      <c r="Q5" s="65">
        <f>"Service charge to MSTC"&amp;IF($AN$2="Q",IF($AL$2="▼ Descending"," ▼"," ▲"),"")</f>
        <v/>
      </c>
      <c r="R5" s="65">
        <f>"GST TDS Rate"&amp;IF($AN$2="R",IF($AL$2="▼ Descending"," ▼"," ▲"),"")</f>
        <v/>
      </c>
      <c r="S5" s="65">
        <f>"GST TDS"&amp;IF($AN$2="S",IF($AL$2="▼ Descending"," ▼"," ▲"),"")</f>
        <v/>
      </c>
      <c r="T5" s="65">
        <f>"Total Receivables in Cash"&amp;IF($AN$2="T",IF($AL$2="▼ Descending"," ▼"," ▲"),"")</f>
        <v/>
      </c>
      <c r="U5" s="65">
        <f>"Security Deposit (Expected)"&amp;IF($AN$2="U",IF($AL$2="▼ Descending"," ▼"," ▲"),"")</f>
        <v/>
      </c>
      <c r="V5" s="65">
        <f>"Security Deposit (Received)"&amp;IF($AN$2="V",IF($AL$2="▼ Descending"," ▼"," ▲"),"")</f>
        <v/>
      </c>
      <c r="W5" s="65">
        <f>"Date of Receipt (col V)"&amp;IF($AN$2="W",IF($AL$2="▼ Descending"," ▼"," ▲"),"")</f>
        <v/>
      </c>
      <c r="X5" s="65">
        <f>"Final Payment (Expected)"&amp;IF($AN$2="X",IF($AL$2="▼ Descending"," ▼"," ▲"),"")</f>
        <v/>
      </c>
      <c r="Y5" s="65">
        <f>"Final Payment (Received)"&amp;IF($AN$2="Y",IF($AL$2="▼ Descending"," ▼"," ▲"),"")</f>
        <v/>
      </c>
      <c r="Z5" s="65">
        <f>"Date of Receipt (col Y)"&amp;IF($AN$2="Z",IF($AL$2="▼ Descending"," ▼"," ▲"),"")</f>
        <v/>
      </c>
      <c r="AA5" s="65">
        <f>"LPP Expected"&amp;IF($AN$2="AA",IF($AL$2="▼ Descending"," ▼"," ▲"),"")</f>
        <v/>
      </c>
      <c r="AB5" s="65">
        <f>"LPP Received"&amp;IF($AN$2="AB",IF($AL$2="▼ Descending"," ▼"," ▲"),"")</f>
        <v/>
      </c>
      <c r="AC5" s="65">
        <f>"Date of Recepit of LPP"&amp;IF($AN$2="AC",IF($AL$2="▼ Descending"," ▼"," ▲"),"")</f>
        <v/>
      </c>
      <c r="AD5" s="65">
        <f>"Total Received"&amp;IF($AN$2="AD",IF($AL$2="▼ Descending"," ▼"," ▲"),"")</f>
        <v/>
      </c>
      <c r="AE5" s="65">
        <f>"Outstanding"&amp;IF($AN$2="AE",IF($AL$2="▼ Descending"," ▼"," ▲"),"")</f>
        <v/>
      </c>
      <c r="AF5" s="65">
        <f>"Invoice No."&amp;IF($AN$2="AF",IF($AL$2="▼ Descending"," ▼"," ▲"),"")</f>
        <v/>
      </c>
      <c r="AG5" s="65">
        <f>"SAP Document"&amp;IF($AN$2="AG",IF($AL$2="▼ Descending"," ▼"," ▲"),"")</f>
        <v/>
      </c>
      <c r="AH5" s="65">
        <f>"Doc./Invoice Date"&amp;IF($AN$2="AH",IF($AL$2="▼ Descending"," ▼"," ▲"),"")</f>
        <v/>
      </c>
      <c r="AI5" s="66">
        <f>"Payment Status"&amp;IF($AN$2="AI",IF($AL$2="▼ Descending"," ▼"," ▲"),"")</f>
        <v/>
      </c>
      <c r="AJ5" s="85" t="inlineStr">
        <is>
          <t>(none)</t>
        </is>
      </c>
      <c r="AK5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/>
      </c>
      <c r="AM5">
        <f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/>
      </c>
      <c r="AN5">
        <f>IF($AP5="","",IF(OR($AN$2="W",$AN$2="Z",$AN$2="AC",$AN$2="AH"),IF(ISNUMBER($AP5),$AP5,IFERROR(DATE(VALUE(RIGHT($AP5,4)),VALUE(MID($AP5,4,2)),VALUE(LEFT($AP5,2))),$AP5)),$AP5))</f>
        <v/>
      </c>
      <c r="AO5" t="inlineStr">
        <is>
          <t>Lot No.</t>
        </is>
      </c>
      <c r="AP5">
        <f>IFERROR(IF($AN$2="","",IF($AN$2="A",$BC5,CHOOSE(MATCH($AN$2,{"B","C","D","E","F","G","H","I","J","K","L","M","N","O","P","Q","R","S","T","U","V","W","X","Y","Z","AA","AB","AC","AD","AE","AF","AG","AH","AI"},0),'Final Calculation Sheet'!$F$4,'Final Calculation Sheet'!$G$4,'Final Calculation Sheet'!$B$4,'Final Calculation Sheet'!$D$4,'Final Calculation Sheet'!$A$4,'Final Calculation Sheet'!$E$4,'Final Calculation Sheet'!$C$4,'Final Calculation Sheet'!$H$4,'Final Calculation Sheet'!$I$4,'Final Calculation Sheet'!$J$4,'Final Calculation Sheet'!$K$4,'Final Calculation Sheet'!$L$4,'Final Calculation Sheet'!$M$4,'Final Calculation Sheet'!$N$4,'Final Calculation Sheet'!$O$4,'Final Calculation Sheet'!$P$4,'Final Calculation Sheet'!$Q$4,'Final Calculation Sheet'!$R$4,'Final Calculation Sheet'!$S$4,'Final Calculation Sheet'!$T$4,'Final Calculation Sheet'!$U$4,'Final Calculation Sheet'!$V$4,'Final Calculation Sheet'!$W$4,'Final Calculation Sheet'!$X$4,'Final Calculation Sheet'!$Y$4,'Final Calculation Sheet'!$Z$4,'Final Calculation Sheet'!$AA$4,'Final Calculation Sheet'!$AB$4,'Final Calculation Sheet'!$AC$4,'Final Calculation Sheet'!$AD$4,'Final Calculation Sheet'!$AE$4,'Final Calculation Sheet'!$AF$4,'Final Calculation Sheet'!$AG$4,IF('Final Calculation Sheet'!$AD$4="","",IF('Final Calculation Sheet'!$AD$4&lt;=0,"SETTLED","OUTSTANDING"))))),"")</f>
        <v/>
      </c>
      <c r="AR5">
        <f>IF($AR$4="",99999,MIN(IFERROR(FIND(",",$AR$4),99999),IFERROR(FIND("+",$AR$4),99999)))</f>
        <v/>
      </c>
      <c r="AS5">
        <f>IF($AS$4="",99999,MIN(IFERROR(FIND(",",$AS$4),99999),IFERROR(FIND("+",$AS$4),99999)))</f>
        <v/>
      </c>
      <c r="AT5">
        <f>IF($AT$4="",99999,MIN(IFERROR(FIND(",",$AT$4),99999),IFERROR(FIND("+",$AT$4),99999)))</f>
        <v/>
      </c>
      <c r="AU5">
        <f>IF($AU$4="",99999,MIN(IFERROR(FIND(",",$AU$4),99999),IFERROR(FIND("+",$AU$4),99999)))</f>
        <v/>
      </c>
      <c r="AV5">
        <f>IF($AV$4="",99999,MIN(IFERROR(FIND(",",$AV$4),99999),IFERROR(FIND("+",$AV$4),99999)))</f>
        <v/>
      </c>
      <c r="AW5">
        <f>IF($AW$4="",99999,MIN(IFERROR(FIND(",",$AW$4),99999),IFERROR(FIND("+",$AW$4),99999)))</f>
        <v/>
      </c>
      <c r="AX5">
        <f>IF($AX$4="",99999,MIN(IFERROR(FIND(",",$AX$4),99999),IFERROR(FIND("+",$AX$4),99999)))</f>
        <v/>
      </c>
      <c r="AY5">
        <f>IF($AY$4="",99999,MIN(IFERROR(FIND(",",$AY$4),99999),IFERROR(FIND("+",$AY$4),99999)))</f>
        <v/>
      </c>
      <c r="AZ5">
        <f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/>
      </c>
      <c r="BA5">
        <f>IF($AN$2="",SUMPRODUCT(($AZ$5:$AZ$41=$AZ5)*($BC$5:$BC$41&lt;$BC5))+1,IF($AN5="",SUMPRODUCT(($AZ$5:$AZ$41=$AZ5)*($AN$5:$AN$41&lt;&gt;""))+SUMPRODUCT(($AZ$5:$AZ$41=$AZ5)*($AN$5:$AN$41="")*($BC$5:$BC$41&lt;$BC5))+1,IF($AL$2="▼ Descending",SUMPRODUCT(($AZ$5:$AZ$41=$AZ5)*($AN$5:$AN$41&gt;$AN5)*($AN$5:$AN$41&lt;&gt;""))+SUMPRODUCT(($AZ$5:$AZ$41=$AZ5)*($AN$5:$AN$41=$AN5)*($BC$5:$BC$41&lt;$BC5))+1,SUMPRODUCT(($AZ$5:$AZ$41=$AZ5)*($AN$5:$AN$41&lt;$AN5)*($AN$5:$AN$41&lt;&gt;""))+SUMPRODUCT(($AZ$5:$AZ$41=$AZ5)*($AN$5:$AN$41=$AN5)*($BC$5:$BC$41&lt;$BC5))+1)))</f>
        <v/>
      </c>
      <c r="BB5">
        <f>IF(INDEX($BF$4:$BF$13,$AZ5)=0,0,INDEX($BE$4:$BE$13,$AZ5)+$BA5-1)</f>
        <v/>
      </c>
      <c r="BC5" t="n">
        <v>4</v>
      </c>
      <c r="BD5">
        <f>COUNTIF($AZ$5:$AZ$41,2)</f>
        <v/>
      </c>
      <c r="BE5">
        <f>IF($BD4=0,$BE4,$BF4+1)</f>
        <v/>
      </c>
      <c r="BF5">
        <f>IF($BD5=0,0,$BE5+$BD5)</f>
        <v/>
      </c>
      <c r="BG5">
        <f>IF($BD13=0,$BE13,$BF13+1)</f>
        <v/>
      </c>
      <c r="BH5">
        <f>IFERROR(MATCH(5,$BF$4:$BF$13,0),0)</f>
        <v/>
      </c>
      <c r="BI5">
        <f>IF(5=$BG$5,1,0)</f>
        <v/>
      </c>
      <c r="BJ5">
        <f>IF(OR($BH5&gt;0,$BI5=1,$BL5=1),0,IFERROR(INDEX($BC$5:$BC$41,MATCH(5,$BB$5:$BB$41,0)),0))</f>
        <v/>
      </c>
      <c r="BK5">
        <f>IF($BJ5&gt;0,IF(INDEX($AZ$5:$AZ$41,MATCH(5,$BB$5:$BB$41,0))=10,1,0),IF($BH5=10,1,0))</f>
        <v/>
      </c>
      <c r="BL5">
        <f>IF(5=$BG$4,1,0)</f>
        <v/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/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/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/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/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/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/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/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/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/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/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/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/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/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/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/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/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/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/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/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/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/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/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/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/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/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/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/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/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/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/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/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/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/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/>
      </c>
    </row>
    <row r="6" ht="15" customHeight="1" s="77">
      <c r="A6" s="67">
        <f>IF($BJ5&gt;0,INDEX($BA$5:$BA$41,MATCH(5,$BB$5:$BB$41,0)),IF(OR($BI5=1,$BL5=1,$BH5&gt;0),"∑",""))</f>
        <v/>
      </c>
      <c r="B6" s="68">
        <f>IF($BJ5&gt;0,IF(INDEX('Final Calculation Sheet'!$F$4:$F$40,$BJ5-3)="","",INDEX('Final Calculation Sheet'!$F$4:$F$40,$BJ5-3)),"")</f>
        <v/>
      </c>
      <c r="C6" s="68">
        <f>IF($BJ5&gt;0,IF(INDEX('Final Calculation Sheet'!$G$4:$G$40,$BJ5-3)="","",INDEX('Final Calculation Sheet'!$G$4:$G$40,$BJ5-3)),IF(OR($BI5=1,$BL5=1,$BH5&gt;0),IF($BI5=1,37,IF($BL5=1,37-INDEX($BD$4:$BD$13,10),INDEX($BD$4:$BD$13,$BH5)))&amp;" lot(s)",""))</f>
        <v/>
      </c>
      <c r="D6" s="69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/>
      </c>
      <c r="E6" s="69">
        <f>IF($BJ5&gt;0,IF(INDEX('Final Calculation Sheet'!$D$4:$D$40,$BJ5-3)="","",INDEX('Final Calculation Sheet'!$D$4:$D$40,$BJ5-3)),IF(OR($BI5=1,$BL5=1,$BH5&gt;0),"–",""))</f>
        <v/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/>
      </c>
      <c r="G6" s="69">
        <f>IF($BJ5&gt;0,IF(INDEX('Final Calculation Sheet'!$E$4:$E$40,$BJ5-3)="","",INDEX('Final Calculation Sheet'!$E$4:$E$40,$BJ5-3)),IF(OR($BI5=1,$BL5=1,$BH5&gt;0),"–",""))</f>
        <v/>
      </c>
      <c r="H6" s="70">
        <f>IF($BJ5&gt;0,IF(INDEX('Final Calculation Sheet'!$C$4:$C$40,$BJ5-3)="","",INDEX('Final Calculation Sheet'!$C$4:$C$40,$BJ5-3)),IF(OR($BI5=1,$BL5=1,$BH5&gt;0),"–",""))</f>
        <v/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/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/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/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/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/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/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/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/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/>
      </c>
      <c r="R6" s="72">
        <f>IF($BJ5&gt;0,IF(INDEX('Final Calculation Sheet'!$Q$4:$Q$40,$BJ5-3)="","",INDEX('Final Calculation Sheet'!$Q$4:$Q$40,$BJ5-3)),IF(OR($BI5=1,$BL5=1,$BH5&gt;0),"–",""))</f>
        <v/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/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/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/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/>
      </c>
      <c r="W6" s="70">
        <f>IF($BJ5&gt;0,IF(INDEX('Final Calculation Sheet'!$V$4:$V$40,$BJ5-3)="","",INDEX('Final Calculation Sheet'!$V$4:$V$40,$BJ5-3)),IF(OR($BI5=1,$BL5=1,$BH5&gt;0),"–",""))</f>
        <v/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/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/>
      </c>
      <c r="Z6" s="70">
        <f>IF($BJ5&gt;0,IF(INDEX('Final Calculation Sheet'!$Y$4:$Y$40,$BJ5-3)="","",INDEX('Final Calculation Sheet'!$Y$4:$Y$40,$BJ5-3)),IF(OR($BI5=1,$BL5=1,$BH5&gt;0),"–",""))</f>
        <v/>
      </c>
      <c r="AA6" s="70">
        <f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/>
      </c>
      <c r="AB6" s="70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/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/>
      </c>
      <c r="AF6" s="70">
        <f>IF($BJ5&gt;0,IF(INDEX('Final Calculation Sheet'!$AE$4:$AE$40,$BJ5-3)="","",INDEX('Final Calculation Sheet'!$AE$4:$AE$40,$BJ5-3)),IF(OR($BI5=1,$BL5=1,$BH5&gt;0),"–",""))</f>
        <v/>
      </c>
      <c r="AG6" s="74">
        <f>IF($BJ5&gt;0,IF(INDEX('Final Calculation Sheet'!$AF$4:$AF$40,$BJ5-3)="","",INDEX('Final Calculation Sheet'!$AF$4:$AF$40,$BJ5-3)),IF(OR($BI5=1,$BL5=1,$BH5&gt;0),"–",""))</f>
        <v/>
      </c>
      <c r="AH6" s="70">
        <f>IF($BJ5&gt;0,IF(INDEX('Final Calculation Sheet'!$AG$4:$AG$40,$BJ5-3)="","",INDEX('Final Calculation Sheet'!$AG$4:$AG$40,$BJ5-3)),IF(OR($BI5=1,$BL5=1,$BH5&gt;0),"–",""))</f>
        <v/>
      </c>
      <c r="AI6" s="75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/>
      </c>
      <c r="AJ6" s="85" t="inlineStr">
        <is>
          <t>A - #</t>
        </is>
      </c>
      <c r="AK6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/>
      </c>
      <c r="AM6">
        <f>IF(COUNTIF($BM6:$CU6,0)&gt;0,0,IF($B$3="",1,IF(AND(IF(COUNTIF($AR$9:$AY$9,1)=0,TRUE,SUMPRODUCT(($AR$9:$AY$9=1)*($AR$6:$AY$6&lt;&gt;"")*ISNUMBER(SEARCH($AR$6:$AY$6,$AK6)))&gt;0),IF(COUNTIF($AR$9:$AY$9,2)=0,TRUE,SUMPRODUCT(($AR$9:$AY$9=2)*($AR$6:$AY$6&lt;&gt;"")*ISNUMBER(SEARCH($AR$6:$AY$6,$AK6)))&gt;0),IF(COUNTIF($AR$9:$AY$9,3)=0,TRUE,SUMPRODUCT(($AR$9:$AY$9=3)*($AR$6:$AY$6&lt;&gt;"")*ISNUMBER(SEARCH($AR$6:$AY$6,$AK6)))&gt;0),IF(COUNTIF($AR$9:$AY$9,4)=0,TRUE,SUMPRODUCT(($AR$9:$AY$9=4)*($AR$6:$AY$6&lt;&gt;"")*ISNUMBER(SEARCH($AR$6:$AY$6,$AK6)))&gt;0),IF(COUNTIF($AR$9:$AY$9,5)=0,TRUE,SUMPRODUCT(($AR$9:$AY$9=5)*($AR$6:$AY$6&lt;&gt;"")*ISNUMBER(SEARCH($AR$6:$AY$6,$AK6)))&gt;0),IF(COUNTIF($AR$9:$AY$9,6)=0,TRUE,SUMPRODUCT(($AR$9:$AY$9=6)*($AR$6:$AY$6&lt;&gt;"")*ISNUMBER(SEARCH($AR$6:$AY$6,$AK6)))&gt;0),IF(COUNTIF($AR$9:$AY$9,7)=0,TRUE,SUMPRODUCT(($AR$9:$AY$9=7)*($AR$6:$AY$6&lt;&gt;"")*ISNUMBER(SEARCH($AR$6:$AY$6,$AK6)))&gt;0),IF(COUNTIF($AR$9:$AY$9,8)=0,TRUE,SUMPRODUCT(($AR$9:$AY$9=8)*($AR$6:$AY$6&lt;&gt;"")*ISNUMBER(SEARCH($AR$6:$AY$6,$AK6)))&gt;0)),1,0)))</f>
        <v/>
      </c>
      <c r="AN6">
        <f>IF($AP6="","",IF(OR($AN$2="W",$AN$2="Z",$AN$2="AC",$AN$2="AH"),IF(ISNUMBER($AP6),$AP6,IFERROR(DATE(VALUE(RIGHT($AP6,4)),VALUE(MID($AP6,4,2)),VALUE(LEFT($AP6,2))),$AP6)),$AP6))</f>
        <v/>
      </c>
      <c r="AO6" t="inlineStr">
        <is>
          <t>Buyer</t>
        </is>
      </c>
      <c r="AP6">
        <f>IFERROR(IF($AN$2="","",IF($AN$2="A",$BC6,CHOOSE(MATCH($AN$2,{"B","C","D","E","F","G","H","I","J","K","L","M","N","O","P","Q","R","S","T","U","V","W","X","Y","Z","AA","AB","AC","AD","AE","AF","AG","AH","AI"},0),'Final Calculation Sheet'!$F$5,'Final Calculation Sheet'!$G$5,'Final Calculation Sheet'!$B$5,'Final Calculation Sheet'!$D$5,'Final Calculation Sheet'!$A$5,'Final Calculation Sheet'!$E$5,'Final Calculation Sheet'!$C$5,'Final Calculation Sheet'!$H$5,'Final Calculation Sheet'!$I$5,'Final Calculation Sheet'!$J$5,'Final Calculation Sheet'!$K$5,'Final Calculation Sheet'!$L$5,'Final Calculation Sheet'!$M$5,'Final Calculation Sheet'!$N$5,'Final Calculation Sheet'!$O$5,'Final Calculation Sheet'!$P$5,'Final Calculation Sheet'!$Q$5,'Final Calculation Sheet'!$R$5,'Final Calculation Sheet'!$S$5,'Final Calculation Sheet'!$T$5,'Final Calculation Sheet'!$U$5,'Final Calculation Sheet'!$V$5,'Final Calculation Sheet'!$W$5,'Final Calculation Sheet'!$X$5,'Final Calculation Sheet'!$Y$5,'Final Calculation Sheet'!$Z$5,'Final Calculation Sheet'!$AA$5,'Final Calculation Sheet'!$AB$5,'Final Calculation Sheet'!$AC$5,'Final Calculation Sheet'!$AD$5,'Final Calculation Sheet'!$AE$5,'Final Calculation Sheet'!$AF$5,'Final Calculation Sheet'!$AG$5,IF('Final Calculation Sheet'!$AD$5="","",IF('Final Calculation Sheet'!$AD$5&lt;=0,"SETTLED","OUTSTANDING"))))),"")</f>
        <v/>
      </c>
      <c r="AR6">
        <f>IF($AR$4="","",IF($AR$5=99999,TRIM($AR$4),TRIM(LEFT($AR$4,$AR$5-1))))</f>
        <v/>
      </c>
      <c r="AS6">
        <f>IF($AS$4="","",IF($AS$5=99999,TRIM($AS$4),TRIM(LEFT($AS$4,$AS$5-1))))</f>
        <v/>
      </c>
      <c r="AT6">
        <f>IF($AT$4="","",IF($AT$5=99999,TRIM($AT$4),TRIM(LEFT($AT$4,$AT$5-1))))</f>
        <v/>
      </c>
      <c r="AU6">
        <f>IF($AU$4="","",IF($AU$5=99999,TRIM($AU$4),TRIM(LEFT($AU$4,$AU$5-1))))</f>
        <v/>
      </c>
      <c r="AV6">
        <f>IF($AV$4="","",IF($AV$5=99999,TRIM($AV$4),TRIM(LEFT($AV$4,$AV$5-1))))</f>
        <v/>
      </c>
      <c r="AW6">
        <f>IF($AW$4="","",IF($AW$5=99999,TRIM($AW$4),TRIM(LEFT($AW$4,$AW$5-1))))</f>
        <v/>
      </c>
      <c r="AX6">
        <f>IF($AX$4="","",IF($AX$5=99999,TRIM($AX$4),TRIM(LEFT($AX$4,$AX$5-1))))</f>
        <v/>
      </c>
      <c r="AY6">
        <f>IF($AY$4="","",IF($AY$5=99999,TRIM($AY$4),TRIM(LEFT($AY$4,$AY$5-1))))</f>
        <v/>
      </c>
      <c r="AZ6">
        <f>IF($B$3="",IF(COUNTIF($A$4:$AI$4,"&lt;&gt;")=0,9,IF($AM6=1,9,10)),IF($AM6=0,10,IF(AND($AR$6&lt;&gt;"",ISNUMBER(SEARCH($AR$6,$AK6))),1,IF(AND($AS$6&lt;&gt;"",ISNUMBER(SEARCH($AS$6,$AK6))),2,IF(AND($AT$6&lt;&gt;"",ISNUMBER(SEARCH($AT$6,$AK6))),3,IF(AND($AU$6&lt;&gt;"",ISNUMBER(SEARCH($AU$6,$AK6))),4,IF(AND($AV$6&lt;&gt;"",ISNUMBER(SEARCH($AV$6,$AK6))),5,IF(AND($AW$6&lt;&gt;"",ISNUMBER(SEARCH($AW$6,$AK6))),6,IF(AND($AX$6&lt;&gt;"",ISNUMBER(SEARCH($AX$6,$AK6))),7,IF(AND($AY$6&lt;&gt;"",ISNUMBER(SEARCH($AY$6,$AK6))),8,0))))))))))</f>
        <v/>
      </c>
      <c r="BA6">
        <f>IF($AN$2="",SUMPRODUCT(($AZ$5:$AZ$41=$AZ6)*($BC$5:$BC$41&lt;$BC6))+1,IF($AN6="",SUMPRODUCT(($AZ$5:$AZ$41=$AZ6)*($AN$5:$AN$41&lt;&gt;""))+SUMPRODUCT(($AZ$5:$AZ$41=$AZ6)*($AN$5:$AN$41="")*($BC$5:$BC$41&lt;$BC6))+1,IF($AL$2="▼ Descending",SUMPRODUCT(($AZ$5:$AZ$41=$AZ6)*($AN$5:$AN$41&gt;$AN6)*($AN$5:$AN$41&lt;&gt;""))+SUMPRODUCT(($AZ$5:$AZ$41=$AZ6)*($AN$5:$AN$41=$AN6)*($BC$5:$BC$41&lt;$BC6))+1,SUMPRODUCT(($AZ$5:$AZ$41=$AZ6)*($AN$5:$AN$41&lt;$AN6)*($AN$5:$AN$41&lt;&gt;""))+SUMPRODUCT(($AZ$5:$AZ$41=$AZ6)*($AN$5:$AN$41=$AN6)*($BC$5:$BC$41&lt;$BC6))+1)))</f>
        <v/>
      </c>
      <c r="BB6">
        <f>IF(INDEX($BF$4:$BF$13,$AZ6)=0,0,INDEX($BE$4:$BE$13,$AZ6)+$BA6-1)</f>
        <v/>
      </c>
      <c r="BC6" t="n">
        <v>5</v>
      </c>
      <c r="BD6">
        <f>COUNTIF($AZ$5:$AZ$41,3)</f>
        <v/>
      </c>
      <c r="BE6">
        <f>IF($BD5=0,$BE5,$BF5+1)</f>
        <v/>
      </c>
      <c r="BF6">
        <f>IF($BD6=0,0,$BE6+$BD6)</f>
        <v/>
      </c>
      <c r="BH6">
        <f>IFERROR(MATCH(6,$BF$4:$BF$13,0),0)</f>
        <v/>
      </c>
      <c r="BI6">
        <f>IF(6=$BG$5,1,0)</f>
        <v/>
      </c>
      <c r="BJ6">
        <f>IF(OR($BH6&gt;0,$BI6=1,$BL6=1),0,IFERROR(INDEX($BC$5:$BC$41,MATCH(6,$BB$5:$BB$41,0)),0))</f>
        <v/>
      </c>
      <c r="BK6">
        <f>IF($BJ6&gt;0,IF(INDEX($AZ$5:$AZ$41,MATCH(6,$BB$5:$BB$41,0))=10,1,0),IF($BH6=10,1,0))</f>
        <v/>
      </c>
      <c r="BL6">
        <f>IF(6=$BG$4,1,0)</f>
        <v/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/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/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/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/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/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/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/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/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/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/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/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/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/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/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/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/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/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/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/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/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/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/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/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/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/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/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/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/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/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/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/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/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/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/>
      </c>
    </row>
    <row r="7" ht="15" customHeight="1" s="77">
      <c r="A7" s="67">
        <f>IF($BJ6&gt;0,INDEX($BA$5:$BA$41,MATCH(6,$BB$5:$BB$41,0)),IF(OR($BI6=1,$BL6=1,$BH6&gt;0),"∑",""))</f>
        <v/>
      </c>
      <c r="B7" s="68">
        <f>IF($BJ6&gt;0,IF(INDEX('Final Calculation Sheet'!$F$4:$F$40,$BJ6-3)="","",INDEX('Final Calculation Sheet'!$F$4:$F$40,$BJ6-3)),"")</f>
        <v/>
      </c>
      <c r="C7" s="68">
        <f>IF($BJ6&gt;0,IF(INDEX('Final Calculation Sheet'!$G$4:$G$40,$BJ6-3)="","",INDEX('Final Calculation Sheet'!$G$4:$G$40,$BJ6-3)),IF(OR($BI6=1,$BL6=1,$BH6&gt;0),IF($BI6=1,37,IF($BL6=1,37-INDEX($BD$4:$BD$13,10),INDEX($BD$4:$BD$13,$BH6)))&amp;" lot(s)",""))</f>
        <v/>
      </c>
      <c r="D7" s="69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/>
      </c>
      <c r="E7" s="69">
        <f>IF($BJ6&gt;0,IF(INDEX('Final Calculation Sheet'!$D$4:$D$40,$BJ6-3)="","",INDEX('Final Calculation Sheet'!$D$4:$D$40,$BJ6-3)),IF(OR($BI6=1,$BL6=1,$BH6&gt;0),"–",""))</f>
        <v/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/>
      </c>
      <c r="G7" s="69">
        <f>IF($BJ6&gt;0,IF(INDEX('Final Calculation Sheet'!$E$4:$E$40,$BJ6-3)="","",INDEX('Final Calculation Sheet'!$E$4:$E$40,$BJ6-3)),IF(OR($BI6=1,$BL6=1,$BH6&gt;0),"–",""))</f>
        <v/>
      </c>
      <c r="H7" s="70">
        <f>IF($BJ6&gt;0,IF(INDEX('Final Calculation Sheet'!$C$4:$C$40,$BJ6-3)="","",INDEX('Final Calculation Sheet'!$C$4:$C$40,$BJ6-3)),IF(OR($BI6=1,$BL6=1,$BH6&gt;0),"–",""))</f>
        <v/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/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/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/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/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/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/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/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/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/>
      </c>
      <c r="R7" s="72">
        <f>IF($BJ6&gt;0,IF(INDEX('Final Calculation Sheet'!$Q$4:$Q$40,$BJ6-3)="","",INDEX('Final Calculation Sheet'!$Q$4:$Q$40,$BJ6-3)),IF(OR($BI6=1,$BL6=1,$BH6&gt;0),"–",""))</f>
        <v/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/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/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/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/>
      </c>
      <c r="W7" s="70">
        <f>IF($BJ6&gt;0,IF(INDEX('Final Calculation Sheet'!$V$4:$V$40,$BJ6-3)="","",INDEX('Final Calculation Sheet'!$V$4:$V$40,$BJ6-3)),IF(OR($BI6=1,$BL6=1,$BH6&gt;0),"–",""))</f>
        <v/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/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/>
      </c>
      <c r="Z7" s="70">
        <f>IF($BJ6&gt;0,IF(INDEX('Final Calculation Sheet'!$Y$4:$Y$40,$BJ6-3)="","",INDEX('Final Calculation Sheet'!$Y$4:$Y$40,$BJ6-3)),IF(OR($BI6=1,$BL6=1,$BH6&gt;0),"–",""))</f>
        <v/>
      </c>
      <c r="AA7" s="70">
        <f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/>
      </c>
      <c r="AB7" s="70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/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/>
      </c>
      <c r="AF7" s="70">
        <f>IF($BJ6&gt;0,IF(INDEX('Final Calculation Sheet'!$AE$4:$AE$40,$BJ6-3)="","",INDEX('Final Calculation Sheet'!$AE$4:$AE$40,$BJ6-3)),IF(OR($BI6=1,$BL6=1,$BH6&gt;0),"–",""))</f>
        <v/>
      </c>
      <c r="AG7" s="74">
        <f>IF($BJ6&gt;0,IF(INDEX('Final Calculation Sheet'!$AF$4:$AF$40,$BJ6-3)="","",INDEX('Final Calculation Sheet'!$AF$4:$AF$40,$BJ6-3)),IF(OR($BI6=1,$BL6=1,$BH6&gt;0),"–",""))</f>
        <v/>
      </c>
      <c r="AH7" s="70">
        <f>IF($BJ6&gt;0,IF(INDEX('Final Calculation Sheet'!$AG$4:$AG$40,$BJ6-3)="","",INDEX('Final Calculation Sheet'!$AG$4:$AG$40,$BJ6-3)),IF(OR($BI6=1,$BL6=1,$BH6&gt;0),"–",""))</f>
        <v/>
      </c>
      <c r="AI7" s="75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/>
      </c>
      <c r="AJ7" s="85" t="inlineStr">
        <is>
          <t>B - Lot No.</t>
        </is>
      </c>
      <c r="AK7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/>
      </c>
      <c r="AM7">
        <f>IF(COUNTIF($BM7:$CU7,0)&gt;0,0,IF($B$3="",1,IF(AND(IF(COUNTIF($AR$9:$AY$9,1)=0,TRUE,SUMPRODUCT(($AR$9:$AY$9=1)*($AR$6:$AY$6&lt;&gt;"")*ISNUMBER(SEARCH($AR$6:$AY$6,$AK7)))&gt;0),IF(COUNTIF($AR$9:$AY$9,2)=0,TRUE,SUMPRODUCT(($AR$9:$AY$9=2)*($AR$6:$AY$6&lt;&gt;"")*ISNUMBER(SEARCH($AR$6:$AY$6,$AK7)))&gt;0),IF(COUNTIF($AR$9:$AY$9,3)=0,TRUE,SUMPRODUCT(($AR$9:$AY$9=3)*($AR$6:$AY$6&lt;&gt;"")*ISNUMBER(SEARCH($AR$6:$AY$6,$AK7)))&gt;0),IF(COUNTIF($AR$9:$AY$9,4)=0,TRUE,SUMPRODUCT(($AR$9:$AY$9=4)*($AR$6:$AY$6&lt;&gt;"")*ISNUMBER(SEARCH($AR$6:$AY$6,$AK7)))&gt;0),IF(COUNTIF($AR$9:$AY$9,5)=0,TRUE,SUMPRODUCT(($AR$9:$AY$9=5)*($AR$6:$AY$6&lt;&gt;"")*ISNUMBER(SEARCH($AR$6:$AY$6,$AK7)))&gt;0),IF(COUNTIF($AR$9:$AY$9,6)=0,TRUE,SUMPRODUCT(($AR$9:$AY$9=6)*($AR$6:$AY$6&lt;&gt;"")*ISNUMBER(SEARCH($AR$6:$AY$6,$AK7)))&gt;0),IF(COUNTIF($AR$9:$AY$9,7)=0,TRUE,SUMPRODUCT(($AR$9:$AY$9=7)*($AR$6:$AY$6&lt;&gt;"")*ISNUMBER(SEARCH($AR$6:$AY$6,$AK7)))&gt;0),IF(COUNTIF($AR$9:$AY$9,8)=0,TRUE,SUMPRODUCT(($AR$9:$AY$9=8)*($AR$6:$AY$6&lt;&gt;"")*ISNUMBER(SEARCH($AR$6:$AY$6,$AK7)))&gt;0)),1,0)))</f>
        <v/>
      </c>
      <c r="AN7">
        <f>IF($AP7="","",IF(OR($AN$2="W",$AN$2="Z",$AN$2="AC",$AN$2="AH"),IF(ISNUMBER($AP7),$AP7,IFERROR(DATE(VALUE(RIGHT($AP7,4)),VALUE(MID($AP7,4,2)),VALUE(LEFT($AP7,2))),$AP7)),$AP7))</f>
        <v/>
      </c>
      <c r="AO7" t="inlineStr">
        <is>
          <t>Lot Name</t>
        </is>
      </c>
      <c r="AP7">
        <f>IFERROR(IF($AN$2="","",IF($AN$2="A",$BC7,CHOOSE(MATCH($AN$2,{"B","C","D","E","F","G","H","I","J","K","L","M","N","O","P","Q","R","S","T","U","V","W","X","Y","Z","AA","AB","AC","AD","AE","AF","AG","AH","AI"},0),'Final Calculation Sheet'!$F$6,'Final Calculation Sheet'!$G$6,'Final Calculation Sheet'!$B$6,'Final Calculation Sheet'!$D$6,'Final Calculation Sheet'!$A$6,'Final Calculation Sheet'!$E$6,'Final Calculation Sheet'!$C$6,'Final Calculation Sheet'!$H$6,'Final Calculation Sheet'!$I$6,'Final Calculation Sheet'!$J$6,'Final Calculation Sheet'!$K$6,'Final Calculation Sheet'!$L$6,'Final Calculation Sheet'!$M$6,'Final Calculation Sheet'!$N$6,'Final Calculation Sheet'!$O$6,'Final Calculation Sheet'!$P$6,'Final Calculation Sheet'!$Q$6,'Final Calculation Sheet'!$R$6,'Final Calculation Sheet'!$S$6,'Final Calculation Sheet'!$T$6,'Final Calculation Sheet'!$U$6,'Final Calculation Sheet'!$V$6,'Final Calculation Sheet'!$W$6,'Final Calculation Sheet'!$X$6,'Final Calculation Sheet'!$Y$6,'Final Calculation Sheet'!$Z$6,'Final Calculation Sheet'!$AA$6,'Final Calculation Sheet'!$AB$6,'Final Calculation Sheet'!$AC$6,'Final Calculation Sheet'!$AD$6,'Final Calculation Sheet'!$AE$6,'Final Calculation Sheet'!$AF$6,'Final Calculation Sheet'!$AG$6,IF('Final Calculation Sheet'!$AD$6="","",IF('Final Calculation Sheet'!$AD$6&lt;=0,"SETTLED","OUTSTANDING"))))),"")</f>
        <v/>
      </c>
      <c r="AR7">
        <f>IF($AR$4="","",IF($AR$5=99999,"",MID($AR$4,$AR$5,1)))</f>
        <v/>
      </c>
      <c r="AS7">
        <f>IF($AS$4="","",IF($AS$5=99999,"",MID($AS$4,$AS$5,1)))</f>
        <v/>
      </c>
      <c r="AT7">
        <f>IF($AT$4="","",IF($AT$5=99999,"",MID($AT$4,$AT$5,1)))</f>
        <v/>
      </c>
      <c r="AU7">
        <f>IF($AU$4="","",IF($AU$5=99999,"",MID($AU$4,$AU$5,1)))</f>
        <v/>
      </c>
      <c r="AV7">
        <f>IF($AV$4="","",IF($AV$5=99999,"",MID($AV$4,$AV$5,1)))</f>
        <v/>
      </c>
      <c r="AW7">
        <f>IF($AW$4="","",IF($AW$5=99999,"",MID($AW$4,$AW$5,1)))</f>
        <v/>
      </c>
      <c r="AX7">
        <f>IF($AX$4="","",IF($AX$5=99999,"",MID($AX$4,$AX$5,1)))</f>
        <v/>
      </c>
      <c r="AY7">
        <f>IF($AY$4="","",IF($AY$5=99999,"",MID($AY$4,$AY$5,1)))</f>
        <v/>
      </c>
      <c r="AZ7">
        <f>IF($B$3="",IF(COUNTIF($A$4:$AI$4,"&lt;&gt;")=0,9,IF($AM7=1,9,10)),IF($AM7=0,10,IF(AND($AR$6&lt;&gt;"",ISNUMBER(SEARCH($AR$6,$AK7))),1,IF(AND($AS$6&lt;&gt;"",ISNUMBER(SEARCH($AS$6,$AK7))),2,IF(AND($AT$6&lt;&gt;"",ISNUMBER(SEARCH($AT$6,$AK7))),3,IF(AND($AU$6&lt;&gt;"",ISNUMBER(SEARCH($AU$6,$AK7))),4,IF(AND($AV$6&lt;&gt;"",ISNUMBER(SEARCH($AV$6,$AK7))),5,IF(AND($AW$6&lt;&gt;"",ISNUMBER(SEARCH($AW$6,$AK7))),6,IF(AND($AX$6&lt;&gt;"",ISNUMBER(SEARCH($AX$6,$AK7))),7,IF(AND($AY$6&lt;&gt;"",ISNUMBER(SEARCH($AY$6,$AK7))),8,0))))))))))</f>
        <v/>
      </c>
      <c r="BA7">
        <f>IF($AN$2="",SUMPRODUCT(($AZ$5:$AZ$41=$AZ7)*($BC$5:$BC$41&lt;$BC7))+1,IF($AN7="",SUMPRODUCT(($AZ$5:$AZ$41=$AZ7)*($AN$5:$AN$41&lt;&gt;""))+SUMPRODUCT(($AZ$5:$AZ$41=$AZ7)*($AN$5:$AN$41="")*($BC$5:$BC$41&lt;$BC7))+1,IF($AL$2="▼ Descending",SUMPRODUCT(($AZ$5:$AZ$41=$AZ7)*($AN$5:$AN$41&gt;$AN7)*($AN$5:$AN$41&lt;&gt;""))+SUMPRODUCT(($AZ$5:$AZ$41=$AZ7)*($AN$5:$AN$41=$AN7)*($BC$5:$BC$41&lt;$BC7))+1,SUMPRODUCT(($AZ$5:$AZ$41=$AZ7)*($AN$5:$AN$41&lt;$AN7)*($AN$5:$AN$41&lt;&gt;""))+SUMPRODUCT(($AZ$5:$AZ$41=$AZ7)*($AN$5:$AN$41=$AN7)*($BC$5:$BC$41&lt;$BC7))+1)))</f>
        <v/>
      </c>
      <c r="BB7">
        <f>IF(INDEX($BF$4:$BF$13,$AZ7)=0,0,INDEX($BE$4:$BE$13,$AZ7)+$BA7-1)</f>
        <v/>
      </c>
      <c r="BC7" t="n">
        <v>6</v>
      </c>
      <c r="BD7">
        <f>COUNTIF($AZ$5:$AZ$41,4)</f>
        <v/>
      </c>
      <c r="BE7">
        <f>IF($BD6=0,$BE6,$BF6+1)</f>
        <v/>
      </c>
      <c r="BF7">
        <f>IF($BD7=0,0,$BE7+$BD7)</f>
        <v/>
      </c>
      <c r="BH7">
        <f>IFERROR(MATCH(7,$BF$4:$BF$13,0),0)</f>
        <v/>
      </c>
      <c r="BI7">
        <f>IF(7=$BG$5,1,0)</f>
        <v/>
      </c>
      <c r="BJ7">
        <f>IF(OR($BH7&gt;0,$BI7=1,$BL7=1),0,IFERROR(INDEX($BC$5:$BC$41,MATCH(7,$BB$5:$BB$41,0)),0))</f>
        <v/>
      </c>
      <c r="BK7">
        <f>IF($BJ7&gt;0,IF(INDEX($AZ$5:$AZ$41,MATCH(7,$BB$5:$BB$41,0))=10,1,0),IF($BH7=10,1,0))</f>
        <v/>
      </c>
      <c r="BL7">
        <f>IF(7=$BG$4,1,0)</f>
        <v/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/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/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/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/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/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/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/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/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/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/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/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/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/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/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/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/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/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/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/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/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/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/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/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/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/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/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/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/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/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/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/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/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/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/>
      </c>
    </row>
    <row r="8" ht="15" customHeight="1" s="77">
      <c r="A8" s="67">
        <f>IF($BJ7&gt;0,INDEX($BA$5:$BA$41,MATCH(7,$BB$5:$BB$41,0)),IF(OR($BI7=1,$BL7=1,$BH7&gt;0),"∑",""))</f>
        <v/>
      </c>
      <c r="B8" s="68">
        <f>IF($BJ7&gt;0,IF(INDEX('Final Calculation Sheet'!$F$4:$F$40,$BJ7-3)="","",INDEX('Final Calculation Sheet'!$F$4:$F$40,$BJ7-3)),"")</f>
        <v/>
      </c>
      <c r="C8" s="68">
        <f>IF($BJ7&gt;0,IF(INDEX('Final Calculation Sheet'!$G$4:$G$40,$BJ7-3)="","",INDEX('Final Calculation Sheet'!$G$4:$G$40,$BJ7-3)),IF(OR($BI7=1,$BL7=1,$BH7&gt;0),IF($BI7=1,37,IF($BL7=1,37-INDEX($BD$4:$BD$13,10),INDEX($BD$4:$BD$13,$BH7)))&amp;" lot(s)",""))</f>
        <v/>
      </c>
      <c r="D8" s="69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/>
      </c>
      <c r="E8" s="69">
        <f>IF($BJ7&gt;0,IF(INDEX('Final Calculation Sheet'!$D$4:$D$40,$BJ7-3)="","",INDEX('Final Calculation Sheet'!$D$4:$D$40,$BJ7-3)),IF(OR($BI7=1,$BL7=1,$BH7&gt;0),"–",""))</f>
        <v/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/>
      </c>
      <c r="G8" s="69">
        <f>IF($BJ7&gt;0,IF(INDEX('Final Calculation Sheet'!$E$4:$E$40,$BJ7-3)="","",INDEX('Final Calculation Sheet'!$E$4:$E$40,$BJ7-3)),IF(OR($BI7=1,$BL7=1,$BH7&gt;0),"–",""))</f>
        <v/>
      </c>
      <c r="H8" s="70">
        <f>IF($BJ7&gt;0,IF(INDEX('Final Calculation Sheet'!$C$4:$C$40,$BJ7-3)="","",INDEX('Final Calculation Sheet'!$C$4:$C$40,$BJ7-3)),IF(OR($BI7=1,$BL7=1,$BH7&gt;0),"–",""))</f>
        <v/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/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/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/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/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/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/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/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/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/>
      </c>
      <c r="R8" s="72">
        <f>IF($BJ7&gt;0,IF(INDEX('Final Calculation Sheet'!$Q$4:$Q$40,$BJ7-3)="","",INDEX('Final Calculation Sheet'!$Q$4:$Q$40,$BJ7-3)),IF(OR($BI7=1,$BL7=1,$BH7&gt;0),"–",""))</f>
        <v/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/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/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/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/>
      </c>
      <c r="W8" s="70">
        <f>IF($BJ7&gt;0,IF(INDEX('Final Calculation Sheet'!$V$4:$V$40,$BJ7-3)="","",INDEX('Final Calculation Sheet'!$V$4:$V$40,$BJ7-3)),IF(OR($BI7=1,$BL7=1,$BH7&gt;0),"–",""))</f>
        <v/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/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/>
      </c>
      <c r="Z8" s="70">
        <f>IF($BJ7&gt;0,IF(INDEX('Final Calculation Sheet'!$Y$4:$Y$40,$BJ7-3)="","",INDEX('Final Calculation Sheet'!$Y$4:$Y$40,$BJ7-3)),IF(OR($BI7=1,$BL7=1,$BH7&gt;0),"–",""))</f>
        <v/>
      </c>
      <c r="AA8" s="70">
        <f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/>
      </c>
      <c r="AB8" s="70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/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/>
      </c>
      <c r="AF8" s="70">
        <f>IF($BJ7&gt;0,IF(INDEX('Final Calculation Sheet'!$AE$4:$AE$40,$BJ7-3)="","",INDEX('Final Calculation Sheet'!$AE$4:$AE$40,$BJ7-3)),IF(OR($BI7=1,$BL7=1,$BH7&gt;0),"–",""))</f>
        <v/>
      </c>
      <c r="AG8" s="74">
        <f>IF($BJ7&gt;0,IF(INDEX('Final Calculation Sheet'!$AF$4:$AF$40,$BJ7-3)="","",INDEX('Final Calculation Sheet'!$AF$4:$AF$40,$BJ7-3)),IF(OR($BI7=1,$BL7=1,$BH7&gt;0),"–",""))</f>
        <v/>
      </c>
      <c r="AH8" s="70">
        <f>IF($BJ7&gt;0,IF(INDEX('Final Calculation Sheet'!$AG$4:$AG$40,$BJ7-3)="","",INDEX('Final Calculation Sheet'!$AG$4:$AG$40,$BJ7-3)),IF(OR($BI7=1,$BL7=1,$BH7&gt;0),"–",""))</f>
        <v/>
      </c>
      <c r="AI8" s="75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/>
      </c>
      <c r="AJ8" s="85" t="inlineStr">
        <is>
          <t>C - Buyer</t>
        </is>
      </c>
      <c r="AK8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/>
      </c>
      <c r="AM8">
        <f>IF(COUNTIF($BM8:$CU8,0)&gt;0,0,IF($B$3="",1,IF(AND(IF(COUNTIF($AR$9:$AY$9,1)=0,TRUE,SUMPRODUCT(($AR$9:$AY$9=1)*($AR$6:$AY$6&lt;&gt;"")*ISNUMBER(SEARCH($AR$6:$AY$6,$AK8)))&gt;0),IF(COUNTIF($AR$9:$AY$9,2)=0,TRUE,SUMPRODUCT(($AR$9:$AY$9=2)*($AR$6:$AY$6&lt;&gt;"")*ISNUMBER(SEARCH($AR$6:$AY$6,$AK8)))&gt;0),IF(COUNTIF($AR$9:$AY$9,3)=0,TRUE,SUMPRODUCT(($AR$9:$AY$9=3)*($AR$6:$AY$6&lt;&gt;"")*ISNUMBER(SEARCH($AR$6:$AY$6,$AK8)))&gt;0),IF(COUNTIF($AR$9:$AY$9,4)=0,TRUE,SUMPRODUCT(($AR$9:$AY$9=4)*($AR$6:$AY$6&lt;&gt;"")*ISNUMBER(SEARCH($AR$6:$AY$6,$AK8)))&gt;0),IF(COUNTIF($AR$9:$AY$9,5)=0,TRUE,SUMPRODUCT(($AR$9:$AY$9=5)*($AR$6:$AY$6&lt;&gt;"")*ISNUMBER(SEARCH($AR$6:$AY$6,$AK8)))&gt;0),IF(COUNTIF($AR$9:$AY$9,6)=0,TRUE,SUMPRODUCT(($AR$9:$AY$9=6)*($AR$6:$AY$6&lt;&gt;"")*ISNUMBER(SEARCH($AR$6:$AY$6,$AK8)))&gt;0),IF(COUNTIF($AR$9:$AY$9,7)=0,TRUE,SUMPRODUCT(($AR$9:$AY$9=7)*($AR$6:$AY$6&lt;&gt;"")*ISNUMBER(SEARCH($AR$6:$AY$6,$AK8)))&gt;0),IF(COUNTIF($AR$9:$AY$9,8)=0,TRUE,SUMPRODUCT(($AR$9:$AY$9=8)*($AR$6:$AY$6&lt;&gt;"")*ISNUMBER(SEARCH($AR$6:$AY$6,$AK8)))&gt;0)),1,0)))</f>
        <v/>
      </c>
      <c r="AN8">
        <f>IF($AP8="","",IF(OR($AN$2="W",$AN$2="Z",$AN$2="AC",$AN$2="AH"),IF(ISNUMBER($AP8),$AP8,IFERROR(DATE(VALUE(RIGHT($AP8,4)),VALUE(MID($AP8,4,2)),VALUE(LEFT($AP8,2))),$AP8)),$AP8))</f>
        <v/>
      </c>
      <c r="AO8" t="inlineStr">
        <is>
          <t>Bid Sheet</t>
        </is>
      </c>
      <c r="AP8">
        <f>IFERROR(IF($AN$2="","",IF($AN$2="A",$BC8,CHOOSE(MATCH($AN$2,{"B","C","D","E","F","G","H","I","J","K","L","M","N","O","P","Q","R","S","T","U","V","W","X","Y","Z","AA","AB","AC","AD","AE","AF","AG","AH","AI"},0),'Final Calculation Sheet'!$F$7,'Final Calculation Sheet'!$G$7,'Final Calculation Sheet'!$B$7,'Final Calculation Sheet'!$D$7,'Final Calculation Sheet'!$A$7,'Final Calculation Sheet'!$E$7,'Final Calculation Sheet'!$C$7,'Final Calculation Sheet'!$H$7,'Final Calculation Sheet'!$I$7,'Final Calculation Sheet'!$J$7,'Final Calculation Sheet'!$K$7,'Final Calculation Sheet'!$L$7,'Final Calculation Sheet'!$M$7,'Final Calculation Sheet'!$N$7,'Final Calculation Sheet'!$O$7,'Final Calculation Sheet'!$P$7,'Final Calculation Sheet'!$Q$7,'Final Calculation Sheet'!$R$7,'Final Calculation Sheet'!$S$7,'Final Calculation Sheet'!$T$7,'Final Calculation Sheet'!$U$7,'Final Calculation Sheet'!$V$7,'Final Calculation Sheet'!$W$7,'Final Calculation Sheet'!$X$7,'Final Calculation Sheet'!$Y$7,'Final Calculation Sheet'!$Z$7,'Final Calculation Sheet'!$AA$7,'Final Calculation Sheet'!$AB$7,'Final Calculation Sheet'!$AC$7,'Final Calculation Sheet'!$AD$7,'Final Calculation Sheet'!$AE$7,'Final Calculation Sheet'!$AF$7,'Final Calculation Sheet'!$AG$7,IF('Final Calculation Sheet'!$AD$7="","",IF('Final Calculation Sheet'!$AD$7&lt;=0,"SETTLED","OUTSTANDING"))))),"")</f>
        <v/>
      </c>
      <c r="AR8" t="n">
        <v>1</v>
      </c>
      <c r="AS8">
        <f>IF($AR$7="+",$AR$8+1,$AR$8)</f>
        <v/>
      </c>
      <c r="AT8">
        <f>IF($AS$7="+",$AS$8+1,$AS$8)</f>
        <v/>
      </c>
      <c r="AU8">
        <f>IF($AT$7="+",$AT$8+1,$AT$8)</f>
        <v/>
      </c>
      <c r="AV8">
        <f>IF($AU$7="+",$AU$8+1,$AU$8)</f>
        <v/>
      </c>
      <c r="AW8">
        <f>IF($AV$7="+",$AV$8+1,$AV$8)</f>
        <v/>
      </c>
      <c r="AX8">
        <f>IF($AW$7="+",$AW$8+1,$AW$8)</f>
        <v/>
      </c>
      <c r="AY8">
        <f>IF($AX$7="+",$AX$8+1,$AX$8)</f>
        <v/>
      </c>
      <c r="AZ8">
        <f>IF($B$3="",IF(COUNTIF($A$4:$AI$4,"&lt;&gt;")=0,9,IF($AM8=1,9,10)),IF($AM8=0,10,IF(AND($AR$6&lt;&gt;"",ISNUMBER(SEARCH($AR$6,$AK8))),1,IF(AND($AS$6&lt;&gt;"",ISNUMBER(SEARCH($AS$6,$AK8))),2,IF(AND($AT$6&lt;&gt;"",ISNUMBER(SEARCH($AT$6,$AK8))),3,IF(AND($AU$6&lt;&gt;"",ISNUMBER(SEARCH($AU$6,$AK8))),4,IF(AND($AV$6&lt;&gt;"",ISNUMBER(SEARCH($AV$6,$AK8))),5,IF(AND($AW$6&lt;&gt;"",ISNUMBER(SEARCH($AW$6,$AK8))),6,IF(AND($AX$6&lt;&gt;"",ISNUMBER(SEARCH($AX$6,$AK8))),7,IF(AND($AY$6&lt;&gt;"",ISNUMBER(SEARCH($AY$6,$AK8))),8,0))))))))))</f>
        <v/>
      </c>
      <c r="BA8">
        <f>IF($AN$2="",SUMPRODUCT(($AZ$5:$AZ$41=$AZ8)*($BC$5:$BC$41&lt;$BC8))+1,IF($AN8="",SUMPRODUCT(($AZ$5:$AZ$41=$AZ8)*($AN$5:$AN$41&lt;&gt;""))+SUMPRODUCT(($AZ$5:$AZ$41=$AZ8)*($AN$5:$AN$41="")*($BC$5:$BC$41&lt;$BC8))+1,IF($AL$2="▼ Descending",SUMPRODUCT(($AZ$5:$AZ$41=$AZ8)*($AN$5:$AN$41&gt;$AN8)*($AN$5:$AN$41&lt;&gt;""))+SUMPRODUCT(($AZ$5:$AZ$41=$AZ8)*($AN$5:$AN$41=$AN8)*($BC$5:$BC$41&lt;$BC8))+1,SUMPRODUCT(($AZ$5:$AZ$41=$AZ8)*($AN$5:$AN$41&lt;$AN8)*($AN$5:$AN$41&lt;&gt;""))+SUMPRODUCT(($AZ$5:$AZ$41=$AZ8)*($AN$5:$AN$41=$AN8)*($BC$5:$BC$41&lt;$BC8))+1)))</f>
        <v/>
      </c>
      <c r="BB8">
        <f>IF(INDEX($BF$4:$BF$13,$AZ8)=0,0,INDEX($BE$4:$BE$13,$AZ8)+$BA8-1)</f>
        <v/>
      </c>
      <c r="BC8" t="n">
        <v>7</v>
      </c>
      <c r="BD8">
        <f>COUNTIF($AZ$5:$AZ$41,5)</f>
        <v/>
      </c>
      <c r="BE8">
        <f>IF($BD7=0,$BE7,$BF7+1)</f>
        <v/>
      </c>
      <c r="BF8">
        <f>IF($BD8=0,0,$BE8+$BD8)</f>
        <v/>
      </c>
      <c r="BH8">
        <f>IFERROR(MATCH(8,$BF$4:$BF$13,0),0)</f>
        <v/>
      </c>
      <c r="BI8">
        <f>IF(8=$BG$5,1,0)</f>
        <v/>
      </c>
      <c r="BJ8">
        <f>IF(OR($BH8&gt;0,$BI8=1,$BL8=1),0,IFERROR(INDEX($BC$5:$BC$41,MATCH(8,$BB$5:$BB$41,0)),0))</f>
        <v/>
      </c>
      <c r="BK8">
        <f>IF($BJ8&gt;0,IF(INDEX($AZ$5:$AZ$41,MATCH(8,$BB$5:$BB$41,0))=10,1,0),IF($BH8=10,1,0))</f>
        <v/>
      </c>
      <c r="BL8">
        <f>IF(8=$BG$4,1,0)</f>
        <v/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/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/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/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/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/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/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/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/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/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/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/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/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/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/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/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/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/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/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/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/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/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/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/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/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/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/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/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/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/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/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/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/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/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/>
      </c>
    </row>
    <row r="9" ht="15" customHeight="1" s="77">
      <c r="A9" s="67">
        <f>IF($BJ8&gt;0,INDEX($BA$5:$BA$41,MATCH(8,$BB$5:$BB$41,0)),IF(OR($BI8=1,$BL8=1,$BH8&gt;0),"∑",""))</f>
        <v/>
      </c>
      <c r="B9" s="68">
        <f>IF($BJ8&gt;0,IF(INDEX('Final Calculation Sheet'!$F$4:$F$40,$BJ8-3)="","",INDEX('Final Calculation Sheet'!$F$4:$F$40,$BJ8-3)),"")</f>
        <v/>
      </c>
      <c r="C9" s="68">
        <f>IF($BJ8&gt;0,IF(INDEX('Final Calculation Sheet'!$G$4:$G$40,$BJ8-3)="","",INDEX('Final Calculation Sheet'!$G$4:$G$40,$BJ8-3)),IF(OR($BI8=1,$BL8=1,$BH8&gt;0),IF($BI8=1,37,IF($BL8=1,37-INDEX($BD$4:$BD$13,10),INDEX($BD$4:$BD$13,$BH8)))&amp;" lot(s)",""))</f>
        <v/>
      </c>
      <c r="D9" s="69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/>
      </c>
      <c r="E9" s="69">
        <f>IF($BJ8&gt;0,IF(INDEX('Final Calculation Sheet'!$D$4:$D$40,$BJ8-3)="","",INDEX('Final Calculation Sheet'!$D$4:$D$40,$BJ8-3)),IF(OR($BI8=1,$BL8=1,$BH8&gt;0),"–",""))</f>
        <v/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/>
      </c>
      <c r="G9" s="69">
        <f>IF($BJ8&gt;0,IF(INDEX('Final Calculation Sheet'!$E$4:$E$40,$BJ8-3)="","",INDEX('Final Calculation Sheet'!$E$4:$E$40,$BJ8-3)),IF(OR($BI8=1,$BL8=1,$BH8&gt;0),"–",""))</f>
        <v/>
      </c>
      <c r="H9" s="70">
        <f>IF($BJ8&gt;0,IF(INDEX('Final Calculation Sheet'!$C$4:$C$40,$BJ8-3)="","",INDEX('Final Calculation Sheet'!$C$4:$C$40,$BJ8-3)),IF(OR($BI8=1,$BL8=1,$BH8&gt;0),"–",""))</f>
        <v/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/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/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/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/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/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/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/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/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/>
      </c>
      <c r="R9" s="72">
        <f>IF($BJ8&gt;0,IF(INDEX('Final Calculation Sheet'!$Q$4:$Q$40,$BJ8-3)="","",INDEX('Final Calculation Sheet'!$Q$4:$Q$40,$BJ8-3)),IF(OR($BI8=1,$BL8=1,$BH8&gt;0),"–",""))</f>
        <v/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/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/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/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/>
      </c>
      <c r="W9" s="70">
        <f>IF($BJ8&gt;0,IF(INDEX('Final Calculation Sheet'!$V$4:$V$40,$BJ8-3)="","",INDEX('Final Calculation Sheet'!$V$4:$V$40,$BJ8-3)),IF(OR($BI8=1,$BL8=1,$BH8&gt;0),"–",""))</f>
        <v/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/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/>
      </c>
      <c r="Z9" s="70">
        <f>IF($BJ8&gt;0,IF(INDEX('Final Calculation Sheet'!$Y$4:$Y$40,$BJ8-3)="","",INDEX('Final Calculation Sheet'!$Y$4:$Y$40,$BJ8-3)),IF(OR($BI8=1,$BL8=1,$BH8&gt;0),"–",""))</f>
        <v/>
      </c>
      <c r="AA9" s="70">
        <f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/>
      </c>
      <c r="AB9" s="70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/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/>
      </c>
      <c r="AF9" s="70">
        <f>IF($BJ8&gt;0,IF(INDEX('Final Calculation Sheet'!$AE$4:$AE$40,$BJ8-3)="","",INDEX('Final Calculation Sheet'!$AE$4:$AE$40,$BJ8-3)),IF(OR($BI8=1,$BL8=1,$BH8&gt;0),"–",""))</f>
        <v/>
      </c>
      <c r="AG9" s="74">
        <f>IF($BJ8&gt;0,IF(INDEX('Final Calculation Sheet'!$AF$4:$AF$40,$BJ8-3)="","",INDEX('Final Calculation Sheet'!$AF$4:$AF$40,$BJ8-3)),IF(OR($BI8=1,$BL8=1,$BH8&gt;0),"–",""))</f>
        <v/>
      </c>
      <c r="AH9" s="70">
        <f>IF($BJ8&gt;0,IF(INDEX('Final Calculation Sheet'!$AG$4:$AG$40,$BJ8-3)="","",INDEX('Final Calculation Sheet'!$AG$4:$AG$40,$BJ8-3)),IF(OR($BI8=1,$BL8=1,$BH8&gt;0),"–",""))</f>
        <v/>
      </c>
      <c r="AI9" s="75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/>
      </c>
      <c r="AJ9" s="85" t="inlineStr">
        <is>
          <t>D - Lot Name</t>
        </is>
      </c>
      <c r="AK9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/>
      </c>
      <c r="AM9">
        <f>IF(COUNTIF($BM9:$CU9,0)&gt;0,0,IF($B$3="",1,IF(AND(IF(COUNTIF($AR$9:$AY$9,1)=0,TRUE,SUMPRODUCT(($AR$9:$AY$9=1)*($AR$6:$AY$6&lt;&gt;"")*ISNUMBER(SEARCH($AR$6:$AY$6,$AK9)))&gt;0),IF(COUNTIF($AR$9:$AY$9,2)=0,TRUE,SUMPRODUCT(($AR$9:$AY$9=2)*($AR$6:$AY$6&lt;&gt;"")*ISNUMBER(SEARCH($AR$6:$AY$6,$AK9)))&gt;0),IF(COUNTIF($AR$9:$AY$9,3)=0,TRUE,SUMPRODUCT(($AR$9:$AY$9=3)*($AR$6:$AY$6&lt;&gt;"")*ISNUMBER(SEARCH($AR$6:$AY$6,$AK9)))&gt;0),IF(COUNTIF($AR$9:$AY$9,4)=0,TRUE,SUMPRODUCT(($AR$9:$AY$9=4)*($AR$6:$AY$6&lt;&gt;"")*ISNUMBER(SEARCH($AR$6:$AY$6,$AK9)))&gt;0),IF(COUNTIF($AR$9:$AY$9,5)=0,TRUE,SUMPRODUCT(($AR$9:$AY$9=5)*($AR$6:$AY$6&lt;&gt;"")*ISNUMBER(SEARCH($AR$6:$AY$6,$AK9)))&gt;0),IF(COUNTIF($AR$9:$AY$9,6)=0,TRUE,SUMPRODUCT(($AR$9:$AY$9=6)*($AR$6:$AY$6&lt;&gt;"")*ISNUMBER(SEARCH($AR$6:$AY$6,$AK9)))&gt;0),IF(COUNTIF($AR$9:$AY$9,7)=0,TRUE,SUMPRODUCT(($AR$9:$AY$9=7)*($AR$6:$AY$6&lt;&gt;"")*ISNUMBER(SEARCH($AR$6:$AY$6,$AK9)))&gt;0),IF(COUNTIF($AR$9:$AY$9,8)=0,TRUE,SUMPRODUCT(($AR$9:$AY$9=8)*($AR$6:$AY$6&lt;&gt;"")*ISNUMBER(SEARCH($AR$6:$AY$6,$AK9)))&gt;0)),1,0)))</f>
        <v/>
      </c>
      <c r="AN9">
        <f>IF($AP9="","",IF(OR($AN$2="W",$AN$2="Z",$AN$2="AC",$AN$2="AH"),IF(ISNUMBER($AP9),$AP9,IFERROR(DATE(VALUE(RIGHT($AP9,4)),VALUE(MID($AP9,4,2)),VALUE(LEFT($AP9,2))),$AP9)),$AP9))</f>
        <v/>
      </c>
      <c r="AO9" t="inlineStr">
        <is>
          <t>Unit</t>
        </is>
      </c>
      <c r="AP9">
        <f>IFERROR(IF($AN$2="","",IF($AN$2="A",$BC9,CHOOSE(MATCH($AN$2,{"B","C","D","E","F","G","H","I","J","K","L","M","N","O","P","Q","R","S","T","U","V","W","X","Y","Z","AA","AB","AC","AD","AE","AF","AG","AH","AI"},0),'Final Calculation Sheet'!$F$8,'Final Calculation Sheet'!$G$8,'Final Calculation Sheet'!$B$8,'Final Calculation Sheet'!$D$8,'Final Calculation Sheet'!$A$8,'Final Calculation Sheet'!$E$8,'Final Calculation Sheet'!$C$8,'Final Calculation Sheet'!$H$8,'Final Calculation Sheet'!$I$8,'Final Calculation Sheet'!$J$8,'Final Calculation Sheet'!$K$8,'Final Calculation Sheet'!$L$8,'Final Calculation Sheet'!$M$8,'Final Calculation Sheet'!$N$8,'Final Calculation Sheet'!$O$8,'Final Calculation Sheet'!$P$8,'Final Calculation Sheet'!$Q$8,'Final Calculation Sheet'!$R$8,'Final Calculation Sheet'!$S$8,'Final Calculation Sheet'!$T$8,'Final Calculation Sheet'!$U$8,'Final Calculation Sheet'!$V$8,'Final Calculation Sheet'!$W$8,'Final Calculation Sheet'!$X$8,'Final Calculation Sheet'!$Y$8,'Final Calculation Sheet'!$Z$8,'Final Calculation Sheet'!$AA$8,'Final Calculation Sheet'!$AB$8,'Final Calculation Sheet'!$AC$8,'Final Calculation Sheet'!$AD$8,'Final Calculation Sheet'!$AE$8,'Final Calculation Sheet'!$AF$8,'Final Calculation Sheet'!$AG$8,IF('Final Calculation Sheet'!$AD$8="","",IF('Final Calculation Sheet'!$AD$8&lt;=0,"SETTLED","OUTSTANDING"))))),"")</f>
        <v/>
      </c>
      <c r="AR9">
        <f>IF($AR$6="",0,$AR$8)</f>
        <v/>
      </c>
      <c r="AS9">
        <f>IF($AS$6="",0,$AS$8)</f>
        <v/>
      </c>
      <c r="AT9">
        <f>IF($AT$6="",0,$AT$8)</f>
        <v/>
      </c>
      <c r="AU9">
        <f>IF($AU$6="",0,$AU$8)</f>
        <v/>
      </c>
      <c r="AV9">
        <f>IF($AV$6="",0,$AV$8)</f>
        <v/>
      </c>
      <c r="AW9">
        <f>IF($AW$6="",0,$AW$8)</f>
        <v/>
      </c>
      <c r="AX9">
        <f>IF($AX$6="",0,$AX$8)</f>
        <v/>
      </c>
      <c r="AY9">
        <f>IF($AY$6="",0,$AY$8)</f>
        <v/>
      </c>
      <c r="AZ9">
        <f>IF($B$3="",IF(COUNTIF($A$4:$AI$4,"&lt;&gt;")=0,9,IF($AM9=1,9,10)),IF($AM9=0,10,IF(AND($AR$6&lt;&gt;"",ISNUMBER(SEARCH($AR$6,$AK9))),1,IF(AND($AS$6&lt;&gt;"",ISNUMBER(SEARCH($AS$6,$AK9))),2,IF(AND($AT$6&lt;&gt;"",ISNUMBER(SEARCH($AT$6,$AK9))),3,IF(AND($AU$6&lt;&gt;"",ISNUMBER(SEARCH($AU$6,$AK9))),4,IF(AND($AV$6&lt;&gt;"",ISNUMBER(SEARCH($AV$6,$AK9))),5,IF(AND($AW$6&lt;&gt;"",ISNUMBER(SEARCH($AW$6,$AK9))),6,IF(AND($AX$6&lt;&gt;"",ISNUMBER(SEARCH($AX$6,$AK9))),7,IF(AND($AY$6&lt;&gt;"",ISNUMBER(SEARCH($AY$6,$AK9))),8,0))))))))))</f>
        <v/>
      </c>
      <c r="BA9">
        <f>IF($AN$2="",SUMPRODUCT(($AZ$5:$AZ$41=$AZ9)*($BC$5:$BC$41&lt;$BC9))+1,IF($AN9="",SUMPRODUCT(($AZ$5:$AZ$41=$AZ9)*($AN$5:$AN$41&lt;&gt;""))+SUMPRODUCT(($AZ$5:$AZ$41=$AZ9)*($AN$5:$AN$41="")*($BC$5:$BC$41&lt;$BC9))+1,IF($AL$2="▼ Descending",SUMPRODUCT(($AZ$5:$AZ$41=$AZ9)*($AN$5:$AN$41&gt;$AN9)*($AN$5:$AN$41&lt;&gt;""))+SUMPRODUCT(($AZ$5:$AZ$41=$AZ9)*($AN$5:$AN$41=$AN9)*($BC$5:$BC$41&lt;$BC9))+1,SUMPRODUCT(($AZ$5:$AZ$41=$AZ9)*($AN$5:$AN$41&lt;$AN9)*($AN$5:$AN$41&lt;&gt;""))+SUMPRODUCT(($AZ$5:$AZ$41=$AZ9)*($AN$5:$AN$41=$AN9)*($BC$5:$BC$41&lt;$BC9))+1)))</f>
        <v/>
      </c>
      <c r="BB9">
        <f>IF(INDEX($BF$4:$BF$13,$AZ9)=0,0,INDEX($BE$4:$BE$13,$AZ9)+$BA9-1)</f>
        <v/>
      </c>
      <c r="BC9" t="n">
        <v>8</v>
      </c>
      <c r="BD9">
        <f>COUNTIF($AZ$5:$AZ$41,6)</f>
        <v/>
      </c>
      <c r="BE9">
        <f>IF($BD8=0,$BE8,$BF8+1)</f>
        <v/>
      </c>
      <c r="BF9">
        <f>IF($BD9=0,0,$BE9+$BD9)</f>
        <v/>
      </c>
      <c r="BH9">
        <f>IFERROR(MATCH(9,$BF$4:$BF$13,0),0)</f>
        <v/>
      </c>
      <c r="BI9">
        <f>IF(9=$BG$5,1,0)</f>
        <v/>
      </c>
      <c r="BJ9">
        <f>IF(OR($BH9&gt;0,$BI9=1,$BL9=1),0,IFERROR(INDEX($BC$5:$BC$41,MATCH(9,$BB$5:$BB$41,0)),0))</f>
        <v/>
      </c>
      <c r="BK9">
        <f>IF($BJ9&gt;0,IF(INDEX($AZ$5:$AZ$41,MATCH(9,$BB$5:$BB$41,0))=10,1,0),IF($BH9=10,1,0))</f>
        <v/>
      </c>
      <c r="BL9">
        <f>IF(9=$BG$4,1,0)</f>
        <v/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/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/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/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/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/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/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/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/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/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/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/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/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/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/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/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/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/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/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/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/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/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/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/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/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/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/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/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/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/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/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/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/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/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/>
      </c>
    </row>
    <row r="10" ht="15" customHeight="1" s="77">
      <c r="A10" s="67">
        <f>IF($BJ9&gt;0,INDEX($BA$5:$BA$41,MATCH(9,$BB$5:$BB$41,0)),IF(OR($BI9=1,$BL9=1,$BH9&gt;0),"∑",""))</f>
        <v/>
      </c>
      <c r="B10" s="68">
        <f>IF($BJ9&gt;0,IF(INDEX('Final Calculation Sheet'!$F$4:$F$40,$BJ9-3)="","",INDEX('Final Calculation Sheet'!$F$4:$F$40,$BJ9-3)),"")</f>
        <v/>
      </c>
      <c r="C10" s="68">
        <f>IF($BJ9&gt;0,IF(INDEX('Final Calculation Sheet'!$G$4:$G$40,$BJ9-3)="","",INDEX('Final Calculation Sheet'!$G$4:$G$40,$BJ9-3)),IF(OR($BI9=1,$BL9=1,$BH9&gt;0),IF($BI9=1,37,IF($BL9=1,37-INDEX($BD$4:$BD$13,10),INDEX($BD$4:$BD$13,$BH9)))&amp;" lot(s)",""))</f>
        <v/>
      </c>
      <c r="D10" s="69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/>
      </c>
      <c r="E10" s="69">
        <f>IF($BJ9&gt;0,IF(INDEX('Final Calculation Sheet'!$D$4:$D$40,$BJ9-3)="","",INDEX('Final Calculation Sheet'!$D$4:$D$40,$BJ9-3)),IF(OR($BI9=1,$BL9=1,$BH9&gt;0),"–",""))</f>
        <v/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/>
      </c>
      <c r="G10" s="69">
        <f>IF($BJ9&gt;0,IF(INDEX('Final Calculation Sheet'!$E$4:$E$40,$BJ9-3)="","",INDEX('Final Calculation Sheet'!$E$4:$E$40,$BJ9-3)),IF(OR($BI9=1,$BL9=1,$BH9&gt;0),"–",""))</f>
        <v/>
      </c>
      <c r="H10" s="70">
        <f>IF($BJ9&gt;0,IF(INDEX('Final Calculation Sheet'!$C$4:$C$40,$BJ9-3)="","",INDEX('Final Calculation Sheet'!$C$4:$C$40,$BJ9-3)),IF(OR($BI9=1,$BL9=1,$BH9&gt;0),"–",""))</f>
        <v/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/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/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/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/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/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/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/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/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/>
      </c>
      <c r="R10" s="72">
        <f>IF($BJ9&gt;0,IF(INDEX('Final Calculation Sheet'!$Q$4:$Q$40,$BJ9-3)="","",INDEX('Final Calculation Sheet'!$Q$4:$Q$40,$BJ9-3)),IF(OR($BI9=1,$BL9=1,$BH9&gt;0),"–",""))</f>
        <v/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/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/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/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/>
      </c>
      <c r="W10" s="70">
        <f>IF($BJ9&gt;0,IF(INDEX('Final Calculation Sheet'!$V$4:$V$40,$BJ9-3)="","",INDEX('Final Calculation Sheet'!$V$4:$V$40,$BJ9-3)),IF(OR($BI9=1,$BL9=1,$BH9&gt;0),"–",""))</f>
        <v/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/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/>
      </c>
      <c r="Z10" s="70">
        <f>IF($BJ9&gt;0,IF(INDEX('Final Calculation Sheet'!$Y$4:$Y$40,$BJ9-3)="","",INDEX('Final Calculation Sheet'!$Y$4:$Y$40,$BJ9-3)),IF(OR($BI9=1,$BL9=1,$BH9&gt;0),"–",""))</f>
        <v/>
      </c>
      <c r="AA10" s="70">
        <f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/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/>
      </c>
      <c r="AC10" s="70">
        <f>IF($BJ9&gt;0,IF(INDEX('Final Calculation Sheet'!$AB$4:$AB$40,$BJ9-3)="","",INDEX('Final Calculation Sheet'!$AB$4:$AB$40,$BJ9-3)),IF(OR($BI9=1,$BL9=1,$BH9&gt;0),"–",""))</f>
        <v/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/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/>
      </c>
      <c r="AF10" s="70">
        <f>IF($BJ9&gt;0,IF(INDEX('Final Calculation Sheet'!$AE$4:$AE$40,$BJ9-3)="","",INDEX('Final Calculation Sheet'!$AE$4:$AE$40,$BJ9-3)),IF(OR($BI9=1,$BL9=1,$BH9&gt;0),"–",""))</f>
        <v/>
      </c>
      <c r="AG10" s="74">
        <f>IF($BJ9&gt;0,IF(INDEX('Final Calculation Sheet'!$AF$4:$AF$40,$BJ9-3)="","",INDEX('Final Calculation Sheet'!$AF$4:$AF$40,$BJ9-3)),IF(OR($BI9=1,$BL9=1,$BH9&gt;0),"–",""))</f>
        <v/>
      </c>
      <c r="AH10" s="70">
        <f>IF($BJ9&gt;0,IF(INDEX('Final Calculation Sheet'!$AG$4:$AG$40,$BJ9-3)="","",INDEX('Final Calculation Sheet'!$AG$4:$AG$40,$BJ9-3)),IF(OR($BI9=1,$BL9=1,$BH9&gt;0),"–",""))</f>
        <v/>
      </c>
      <c r="AI10" s="75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/>
      </c>
      <c r="AJ10" s="85" t="inlineStr">
        <is>
          <t>E - Bid Sheet</t>
        </is>
      </c>
      <c r="AK10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/>
      </c>
      <c r="AM10">
        <f>IF(COUNTIF($BM10:$CU10,0)&gt;0,0,IF($B$3="",1,IF(AND(IF(COUNTIF($AR$9:$AY$9,1)=0,TRUE,SUMPRODUCT(($AR$9:$AY$9=1)*($AR$6:$AY$6&lt;&gt;"")*ISNUMBER(SEARCH($AR$6:$AY$6,$AK10)))&gt;0),IF(COUNTIF($AR$9:$AY$9,2)=0,TRUE,SUMPRODUCT(($AR$9:$AY$9=2)*($AR$6:$AY$6&lt;&gt;"")*ISNUMBER(SEARCH($AR$6:$AY$6,$AK10)))&gt;0),IF(COUNTIF($AR$9:$AY$9,3)=0,TRUE,SUMPRODUCT(($AR$9:$AY$9=3)*($AR$6:$AY$6&lt;&gt;"")*ISNUMBER(SEARCH($AR$6:$AY$6,$AK10)))&gt;0),IF(COUNTIF($AR$9:$AY$9,4)=0,TRUE,SUMPRODUCT(($AR$9:$AY$9=4)*($AR$6:$AY$6&lt;&gt;"")*ISNUMBER(SEARCH($AR$6:$AY$6,$AK10)))&gt;0),IF(COUNTIF($AR$9:$AY$9,5)=0,TRUE,SUMPRODUCT(($AR$9:$AY$9=5)*($AR$6:$AY$6&lt;&gt;"")*ISNUMBER(SEARCH($AR$6:$AY$6,$AK10)))&gt;0),IF(COUNTIF($AR$9:$AY$9,6)=0,TRUE,SUMPRODUCT(($AR$9:$AY$9=6)*($AR$6:$AY$6&lt;&gt;"")*ISNUMBER(SEARCH($AR$6:$AY$6,$AK10)))&gt;0),IF(COUNTIF($AR$9:$AY$9,7)=0,TRUE,SUMPRODUCT(($AR$9:$AY$9=7)*($AR$6:$AY$6&lt;&gt;"")*ISNUMBER(SEARCH($AR$6:$AY$6,$AK10)))&gt;0),IF(COUNTIF($AR$9:$AY$9,8)=0,TRUE,SUMPRODUCT(($AR$9:$AY$9=8)*($AR$6:$AY$6&lt;&gt;"")*ISNUMBER(SEARCH($AR$6:$AY$6,$AK10)))&gt;0)),1,0)))</f>
        <v/>
      </c>
      <c r="AN10">
        <f>IF($AP10="","",IF(OR($AN$2="W",$AN$2="Z",$AN$2="AC",$AN$2="AH"),IF(ISNUMBER($AP10),$AP10,IFERROR(DATE(VALUE(RIGHT($AP10,4)),VALUE(MID($AP10,4,2)),VALUE(LEFT($AP10,2))),$AP10)),$AP10))</f>
        <v/>
      </c>
      <c r="AP10">
        <f>IFERROR(IF($AN$2="","",IF($AN$2="A",$BC10,CHOOSE(MATCH($AN$2,{"B","C","D","E","F","G","H","I","J","K","L","M","N","O","P","Q","R","S","T","U","V","W","X","Y","Z","AA","AB","AC","AD","AE","AF","AG","AH","AI"},0),'Final Calculation Sheet'!$F$9,'Final Calculation Sheet'!$G$9,'Final Calculation Sheet'!$B$9,'Final Calculation Sheet'!$D$9,'Final Calculation Sheet'!$A$9,'Final Calculation Sheet'!$E$9,'Final Calculation Sheet'!$C$9,'Final Calculation Sheet'!$H$9,'Final Calculation Sheet'!$I$9,'Final Calculation Sheet'!$J$9,'Final Calculation Sheet'!$K$9,'Final Calculation Sheet'!$L$9,'Final Calculation Sheet'!$M$9,'Final Calculation Sheet'!$N$9,'Final Calculation Sheet'!$O$9,'Final Calculation Sheet'!$P$9,'Final Calculation Sheet'!$Q$9,'Final Calculation Sheet'!$R$9,'Final Calculation Sheet'!$S$9,'Final Calculation Sheet'!$T$9,'Final Calculation Sheet'!$U$9,'Final Calculation Sheet'!$V$9,'Final Calculation Sheet'!$W$9,'Final Calculation Sheet'!$X$9,'Final Calculation Sheet'!$Y$9,'Final Calculation Sheet'!$Z$9,'Final Calculation Sheet'!$AA$9,'Final Calculation Sheet'!$AB$9,'Final Calculation Sheet'!$AC$9,'Final Calculation Sheet'!$AD$9,'Final Calculation Sheet'!$AE$9,'Final Calculation Sheet'!$AF$9,'Final Calculation Sheet'!$AG$9,IF('Final Calculation Sheet'!$AD$9="","",IF('Final Calculation Sheet'!$AD$9&lt;=0,"SETTLED","OUTSTANDING"))))),"")</f>
        <v/>
      </c>
      <c r="AZ10">
        <f>IF($B$3="",IF(COUNTIF($A$4:$AI$4,"&lt;&gt;")=0,9,IF($AM10=1,9,10)),IF($AM10=0,10,IF(AND($AR$6&lt;&gt;"",ISNUMBER(SEARCH($AR$6,$AK10))),1,IF(AND($AS$6&lt;&gt;"",ISNUMBER(SEARCH($AS$6,$AK10))),2,IF(AND($AT$6&lt;&gt;"",ISNUMBER(SEARCH($AT$6,$AK10))),3,IF(AND($AU$6&lt;&gt;"",ISNUMBER(SEARCH($AU$6,$AK10))),4,IF(AND($AV$6&lt;&gt;"",ISNUMBER(SEARCH($AV$6,$AK10))),5,IF(AND($AW$6&lt;&gt;"",ISNUMBER(SEARCH($AW$6,$AK10))),6,IF(AND($AX$6&lt;&gt;"",ISNUMBER(SEARCH($AX$6,$AK10))),7,IF(AND($AY$6&lt;&gt;"",ISNUMBER(SEARCH($AY$6,$AK10))),8,0))))))))))</f>
        <v/>
      </c>
      <c r="BA10">
        <f>IF($AN$2="",SUMPRODUCT(($AZ$5:$AZ$41=$AZ10)*($BC$5:$BC$41&lt;$BC10))+1,IF($AN10="",SUMPRODUCT(($AZ$5:$AZ$41=$AZ10)*($AN$5:$AN$41&lt;&gt;""))+SUMPRODUCT(($AZ$5:$AZ$41=$AZ10)*($AN$5:$AN$41="")*($BC$5:$BC$41&lt;$BC10))+1,IF($AL$2="▼ Descending",SUMPRODUCT(($AZ$5:$AZ$41=$AZ10)*($AN$5:$AN$41&gt;$AN10)*($AN$5:$AN$41&lt;&gt;""))+SUMPRODUCT(($AZ$5:$AZ$41=$AZ10)*($AN$5:$AN$41=$AN10)*($BC$5:$BC$41&lt;$BC10))+1,SUMPRODUCT(($AZ$5:$AZ$41=$AZ10)*($AN$5:$AN$41&lt;$AN10)*($AN$5:$AN$41&lt;&gt;""))+SUMPRODUCT(($AZ$5:$AZ$41=$AZ10)*($AN$5:$AN$41=$AN10)*($BC$5:$BC$41&lt;$BC10))+1)))</f>
        <v/>
      </c>
      <c r="BB10">
        <f>IF(INDEX($BF$4:$BF$13,$AZ10)=0,0,INDEX($BE$4:$BE$13,$AZ10)+$BA10-1)</f>
        <v/>
      </c>
      <c r="BC10" t="n">
        <v>9</v>
      </c>
      <c r="BD10">
        <f>COUNTIF($AZ$5:$AZ$41,7)</f>
        <v/>
      </c>
      <c r="BE10">
        <f>IF($BD9=0,$BE9,$BF9+1)</f>
        <v/>
      </c>
      <c r="BF10">
        <f>IF($BD10=0,0,$BE10+$BD10)</f>
        <v/>
      </c>
      <c r="BH10">
        <f>IFERROR(MATCH(10,$BF$4:$BF$13,0),0)</f>
        <v/>
      </c>
      <c r="BI10">
        <f>IF(10=$BG$5,1,0)</f>
        <v/>
      </c>
      <c r="BJ10">
        <f>IF(OR($BH10&gt;0,$BI10=1,$BL10=1),0,IFERROR(INDEX($BC$5:$BC$41,MATCH(10,$BB$5:$BB$41,0)),0))</f>
        <v/>
      </c>
      <c r="BK10">
        <f>IF($BJ10&gt;0,IF(INDEX($AZ$5:$AZ$41,MATCH(10,$BB$5:$BB$41,0))=10,1,0),IF($BH10=10,1,0))</f>
        <v/>
      </c>
      <c r="BL10">
        <f>IF(10=$BG$4,1,0)</f>
        <v/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/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/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/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/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/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/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/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/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/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/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/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/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/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/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/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/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/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/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/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/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/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/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/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/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/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/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/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/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/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/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/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/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/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/>
      </c>
    </row>
    <row r="11" ht="15" customHeight="1" s="77">
      <c r="A11" s="67">
        <f>IF($BJ10&gt;0,INDEX($BA$5:$BA$41,MATCH(10,$BB$5:$BB$41,0)),IF(OR($BI10=1,$BL10=1,$BH10&gt;0),"∑",""))</f>
        <v/>
      </c>
      <c r="B11" s="68">
        <f>IF($BJ10&gt;0,IF(INDEX('Final Calculation Sheet'!$F$4:$F$40,$BJ10-3)="","",INDEX('Final Calculation Sheet'!$F$4:$F$40,$BJ10-3)),"")</f>
        <v/>
      </c>
      <c r="C11" s="68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/>
      </c>
      <c r="D11" s="69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/>
      </c>
      <c r="E11" s="69">
        <f>IF($BJ10&gt;0,IF(INDEX('Final Calculation Sheet'!$D$4:$D$40,$BJ10-3)="","",INDEX('Final Calculation Sheet'!$D$4:$D$40,$BJ10-3)),IF(OR($BI10=1,$BL10=1,$BH10&gt;0),"–",""))</f>
        <v/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/>
      </c>
      <c r="G11" s="69">
        <f>IF($BJ10&gt;0,IF(INDEX('Final Calculation Sheet'!$E$4:$E$40,$BJ10-3)="","",INDEX('Final Calculation Sheet'!$E$4:$E$40,$BJ10-3)),IF(OR($BI10=1,$BL10=1,$BH10&gt;0),"–",""))</f>
        <v/>
      </c>
      <c r="H11" s="70">
        <f>IF($BJ10&gt;0,IF(INDEX('Final Calculation Sheet'!$C$4:$C$40,$BJ10-3)="","",INDEX('Final Calculation Sheet'!$C$4:$C$40,$BJ10-3)),IF(OR($BI10=1,$BL10=1,$BH10&gt;0),"–",""))</f>
        <v/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/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/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/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/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/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/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/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/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/>
      </c>
      <c r="R11" s="72">
        <f>IF($BJ10&gt;0,IF(INDEX('Final Calculation Sheet'!$Q$4:$Q$40,$BJ10-3)="","",INDEX('Final Calculation Sheet'!$Q$4:$Q$40,$BJ10-3)),IF(OR($BI10=1,$BL10=1,$BH10&gt;0),"–",""))</f>
        <v/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/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/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/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/>
      </c>
      <c r="W11" s="70">
        <f>IF($BJ10&gt;0,IF(INDEX('Final Calculation Sheet'!$V$4:$V$40,$BJ10-3)="","",INDEX('Final Calculation Sheet'!$V$4:$V$40,$BJ10-3)),IF(OR($BI10=1,$BL10=1,$BH10&gt;0),"–",""))</f>
        <v/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/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/>
      </c>
      <c r="Z11" s="70">
        <f>IF($BJ10&gt;0,IF(INDEX('Final Calculation Sheet'!$Y$4:$Y$40,$BJ10-3)="","",INDEX('Final Calculation Sheet'!$Y$4:$Y$40,$BJ10-3)),IF(OR($BI10=1,$BL10=1,$BH10&gt;0),"–",""))</f>
        <v/>
      </c>
      <c r="AA11" s="70">
        <f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/>
      </c>
      <c r="AB11" s="70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/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/>
      </c>
      <c r="AF11" s="70">
        <f>IF($BJ10&gt;0,IF(INDEX('Final Calculation Sheet'!$AE$4:$AE$40,$BJ10-3)="","",INDEX('Final Calculation Sheet'!$AE$4:$AE$40,$BJ10-3)),IF(OR($BI10=1,$BL10=1,$BH10&gt;0),"–",""))</f>
        <v/>
      </c>
      <c r="AG11" s="74">
        <f>IF($BJ10&gt;0,IF(INDEX('Final Calculation Sheet'!$AF$4:$AF$40,$BJ10-3)="","",INDEX('Final Calculation Sheet'!$AF$4:$AF$40,$BJ10-3)),IF(OR($BI10=1,$BL10=1,$BH10&gt;0),"–",""))</f>
        <v/>
      </c>
      <c r="AH11" s="70">
        <f>IF($BJ10&gt;0,IF(INDEX('Final Calculation Sheet'!$AG$4:$AG$40,$BJ10-3)="","",INDEX('Final Calculation Sheet'!$AG$4:$AG$40,$BJ10-3)),IF(OR($BI10=1,$BL10=1,$BH10&gt;0),"–",""))</f>
        <v/>
      </c>
      <c r="AI11" s="75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/>
      </c>
      <c r="AJ11" s="85" t="inlineStr">
        <is>
          <t>F - Quantity</t>
        </is>
      </c>
      <c r="AK11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/>
      </c>
      <c r="AM11">
        <f>IF(COUNTIF($BM11:$CU11,0)&gt;0,0,IF($B$3="",1,IF(AND(IF(COUNTIF($AR$9:$AY$9,1)=0,TRUE,SUMPRODUCT(($AR$9:$AY$9=1)*($AR$6:$AY$6&lt;&gt;"")*ISNUMBER(SEARCH($AR$6:$AY$6,$AK11)))&gt;0),IF(COUNTIF($AR$9:$AY$9,2)=0,TRUE,SUMPRODUCT(($AR$9:$AY$9=2)*($AR$6:$AY$6&lt;&gt;"")*ISNUMBER(SEARCH($AR$6:$AY$6,$AK11)))&gt;0),IF(COUNTIF($AR$9:$AY$9,3)=0,TRUE,SUMPRODUCT(($AR$9:$AY$9=3)*($AR$6:$AY$6&lt;&gt;"")*ISNUMBER(SEARCH($AR$6:$AY$6,$AK11)))&gt;0),IF(COUNTIF($AR$9:$AY$9,4)=0,TRUE,SUMPRODUCT(($AR$9:$AY$9=4)*($AR$6:$AY$6&lt;&gt;"")*ISNUMBER(SEARCH($AR$6:$AY$6,$AK11)))&gt;0),IF(COUNTIF($AR$9:$AY$9,5)=0,TRUE,SUMPRODUCT(($AR$9:$AY$9=5)*($AR$6:$AY$6&lt;&gt;"")*ISNUMBER(SEARCH($AR$6:$AY$6,$AK11)))&gt;0),IF(COUNTIF($AR$9:$AY$9,6)=0,TRUE,SUMPRODUCT(($AR$9:$AY$9=6)*($AR$6:$AY$6&lt;&gt;"")*ISNUMBER(SEARCH($AR$6:$AY$6,$AK11)))&gt;0),IF(COUNTIF($AR$9:$AY$9,7)=0,TRUE,SUMPRODUCT(($AR$9:$AY$9=7)*($AR$6:$AY$6&lt;&gt;"")*ISNUMBER(SEARCH($AR$6:$AY$6,$AK11)))&gt;0),IF(COUNTIF($AR$9:$AY$9,8)=0,TRUE,SUMPRODUCT(($AR$9:$AY$9=8)*($AR$6:$AY$6&lt;&gt;"")*ISNUMBER(SEARCH($AR$6:$AY$6,$AK11)))&gt;0)),1,0)))</f>
        <v/>
      </c>
      <c r="AN11">
        <f>IF($AP11="","",IF(OR($AN$2="W",$AN$2="Z",$AN$2="AC",$AN$2="AH"),IF(ISNUMBER($AP11),$AP11,IFERROR(DATE(VALUE(RIGHT($AP11,4)),VALUE(MID($AP11,4,2)),VALUE(LEFT($AP11,2))),$AP11)),$AP11))</f>
        <v/>
      </c>
      <c r="AP11">
        <f>IFERROR(IF($AN$2="","",IF($AN$2="A",$BC11,CHOOSE(MATCH($AN$2,{"B","C","D","E","F","G","H","I","J","K","L","M","N","O","P","Q","R","S","T","U","V","W","X","Y","Z","AA","AB","AC","AD","AE","AF","AG","AH","AI"},0),'Final Calculation Sheet'!$F$10,'Final Calculation Sheet'!$G$10,'Final Calculation Sheet'!$B$10,'Final Calculation Sheet'!$D$10,'Final Calculation Sheet'!$A$10,'Final Calculation Sheet'!$E$10,'Final Calculation Sheet'!$C$10,'Final Calculation Sheet'!$H$10,'Final Calculation Sheet'!$I$10,'Final Calculation Sheet'!$J$10,'Final Calculation Sheet'!$K$10,'Final Calculation Sheet'!$L$10,'Final Calculation Sheet'!$M$10,'Final Calculation Sheet'!$N$10,'Final Calculation Sheet'!$O$10,'Final Calculation Sheet'!$P$10,'Final Calculation Sheet'!$Q$10,'Final Calculation Sheet'!$R$10,'Final Calculation Sheet'!$S$10,'Final Calculation Sheet'!$T$10,'Final Calculation Sheet'!$U$10,'Final Calculation Sheet'!$V$10,'Final Calculation Sheet'!$W$10,'Final Calculation Sheet'!$X$10,'Final Calculation Sheet'!$Y$10,'Final Calculation Sheet'!$Z$10,'Final Calculation Sheet'!$AA$10,'Final Calculation Sheet'!$AB$10,'Final Calculation Sheet'!$AC$10,'Final Calculation Sheet'!$AD$10,'Final Calculation Sheet'!$AE$10,'Final Calculation Sheet'!$AF$10,'Final Calculation Sheet'!$AG$10,IF('Final Calculation Sheet'!$AD$10="","",IF('Final Calculation Sheet'!$AD$10&lt;=0,"SETTLED","OUTSTANDING"))))),"")</f>
        <v/>
      </c>
      <c r="AZ11">
        <f>IF($B$3="",IF(COUNTIF($A$4:$AI$4,"&lt;&gt;")=0,9,IF($AM11=1,9,10)),IF($AM11=0,10,IF(AND($AR$6&lt;&gt;"",ISNUMBER(SEARCH($AR$6,$AK11))),1,IF(AND($AS$6&lt;&gt;"",ISNUMBER(SEARCH($AS$6,$AK11))),2,IF(AND($AT$6&lt;&gt;"",ISNUMBER(SEARCH($AT$6,$AK11))),3,IF(AND($AU$6&lt;&gt;"",ISNUMBER(SEARCH($AU$6,$AK11))),4,IF(AND($AV$6&lt;&gt;"",ISNUMBER(SEARCH($AV$6,$AK11))),5,IF(AND($AW$6&lt;&gt;"",ISNUMBER(SEARCH($AW$6,$AK11))),6,IF(AND($AX$6&lt;&gt;"",ISNUMBER(SEARCH($AX$6,$AK11))),7,IF(AND($AY$6&lt;&gt;"",ISNUMBER(SEARCH($AY$6,$AK11))),8,0))))))))))</f>
        <v/>
      </c>
      <c r="BA11">
        <f>IF($AN$2="",SUMPRODUCT(($AZ$5:$AZ$41=$AZ11)*($BC$5:$BC$41&lt;$BC11))+1,IF($AN11="",SUMPRODUCT(($AZ$5:$AZ$41=$AZ11)*($AN$5:$AN$41&lt;&gt;""))+SUMPRODUCT(($AZ$5:$AZ$41=$AZ11)*($AN$5:$AN$41="")*($BC$5:$BC$41&lt;$BC11))+1,IF($AL$2="▼ Descending",SUMPRODUCT(($AZ$5:$AZ$41=$AZ11)*($AN$5:$AN$41&gt;$AN11)*($AN$5:$AN$41&lt;&gt;""))+SUMPRODUCT(($AZ$5:$AZ$41=$AZ11)*($AN$5:$AN$41=$AN11)*($BC$5:$BC$41&lt;$BC11))+1,SUMPRODUCT(($AZ$5:$AZ$41=$AZ11)*($AN$5:$AN$41&lt;$AN11)*($AN$5:$AN$41&lt;&gt;""))+SUMPRODUCT(($AZ$5:$AZ$41=$AZ11)*($AN$5:$AN$41=$AN11)*($BC$5:$BC$41&lt;$BC11))+1)))</f>
        <v/>
      </c>
      <c r="BB11">
        <f>IF(INDEX($BF$4:$BF$13,$AZ11)=0,0,INDEX($BE$4:$BE$13,$AZ11)+$BA11-1)</f>
        <v/>
      </c>
      <c r="BC11" t="n">
        <v>10</v>
      </c>
      <c r="BD11">
        <f>COUNTIF($AZ$5:$AZ$41,8)</f>
        <v/>
      </c>
      <c r="BE11">
        <f>IF($BD10=0,$BE10,$BF10+1)</f>
        <v/>
      </c>
      <c r="BF11">
        <f>IF($BD11=0,0,$BE11+$BD11)</f>
        <v/>
      </c>
      <c r="BH11">
        <f>IFERROR(MATCH(11,$BF$4:$BF$13,0),0)</f>
        <v/>
      </c>
      <c r="BI11">
        <f>IF(11=$BG$5,1,0)</f>
        <v/>
      </c>
      <c r="BJ11">
        <f>IF(OR($BH11&gt;0,$BI11=1,$BL11=1),0,IFERROR(INDEX($BC$5:$BC$41,MATCH(11,$BB$5:$BB$41,0)),0))</f>
        <v/>
      </c>
      <c r="BK11">
        <f>IF($BJ11&gt;0,IF(INDEX($AZ$5:$AZ$41,MATCH(11,$BB$5:$BB$41,0))=10,1,0),IF($BH11=10,1,0))</f>
        <v/>
      </c>
      <c r="BL11">
        <f>IF(11=$BG$4,1,0)</f>
        <v/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/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/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/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/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/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/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/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/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/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/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/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/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/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/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/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/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/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/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/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/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/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/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/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/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/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/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/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/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/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/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/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/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/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/>
      </c>
    </row>
    <row r="12" ht="15" customHeight="1" s="77">
      <c r="A12" s="67">
        <f>IF($BJ11&gt;0,INDEX($BA$5:$BA$41,MATCH(11,$BB$5:$BB$41,0)),IF(OR($BI11=1,$BL11=1,$BH11&gt;0),"∑",""))</f>
        <v/>
      </c>
      <c r="B12" s="68">
        <f>IF($BJ11&gt;0,IF(INDEX('Final Calculation Sheet'!$F$4:$F$40,$BJ11-3)="","",INDEX('Final Calculation Sheet'!$F$4:$F$40,$BJ11-3)),"")</f>
        <v/>
      </c>
      <c r="C12" s="68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/>
      </c>
      <c r="D12" s="69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/>
      </c>
      <c r="E12" s="69">
        <f>IF($BJ11&gt;0,IF(INDEX('Final Calculation Sheet'!$D$4:$D$40,$BJ11-3)="","",INDEX('Final Calculation Sheet'!$D$4:$D$40,$BJ11-3)),IF(OR($BI11=1,$BL11=1,$BH11&gt;0),"–",""))</f>
        <v/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/>
      </c>
      <c r="G12" s="69">
        <f>IF($BJ11&gt;0,IF(INDEX('Final Calculation Sheet'!$E$4:$E$40,$BJ11-3)="","",INDEX('Final Calculation Sheet'!$E$4:$E$40,$BJ11-3)),IF(OR($BI11=1,$BL11=1,$BH11&gt;0),"–",""))</f>
        <v/>
      </c>
      <c r="H12" s="70">
        <f>IF($BJ11&gt;0,IF(INDEX('Final Calculation Sheet'!$C$4:$C$40,$BJ11-3)="","",INDEX('Final Calculation Sheet'!$C$4:$C$40,$BJ11-3)),IF(OR($BI11=1,$BL11=1,$BH11&gt;0),"–",""))</f>
        <v/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/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/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/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/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/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/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/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/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/>
      </c>
      <c r="R12" s="72">
        <f>IF($BJ11&gt;0,IF(INDEX('Final Calculation Sheet'!$Q$4:$Q$40,$BJ11-3)="","",INDEX('Final Calculation Sheet'!$Q$4:$Q$40,$BJ11-3)),IF(OR($BI11=1,$BL11=1,$BH11&gt;0),"–",""))</f>
        <v/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/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/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/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/>
      </c>
      <c r="W12" s="70">
        <f>IF($BJ11&gt;0,IF(INDEX('Final Calculation Sheet'!$V$4:$V$40,$BJ11-3)="","",INDEX('Final Calculation Sheet'!$V$4:$V$40,$BJ11-3)),IF(OR($BI11=1,$BL11=1,$BH11&gt;0),"–",""))</f>
        <v/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/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/>
      </c>
      <c r="Z12" s="70">
        <f>IF($BJ11&gt;0,IF(INDEX('Final Calculation Sheet'!$Y$4:$Y$40,$BJ11-3)="","",INDEX('Final Calculation Sheet'!$Y$4:$Y$40,$BJ11-3)),IF(OR($BI11=1,$BL11=1,$BH11&gt;0),"–",""))</f>
        <v/>
      </c>
      <c r="AA12" s="70">
        <f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/>
      </c>
      <c r="AB12" s="70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/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/>
      </c>
      <c r="AF12" s="70">
        <f>IF($BJ11&gt;0,IF(INDEX('Final Calculation Sheet'!$AE$4:$AE$40,$BJ11-3)="","",INDEX('Final Calculation Sheet'!$AE$4:$AE$40,$BJ11-3)),IF(OR($BI11=1,$BL11=1,$BH11&gt;0),"–",""))</f>
        <v/>
      </c>
      <c r="AG12" s="74">
        <f>IF($BJ11&gt;0,IF(INDEX('Final Calculation Sheet'!$AF$4:$AF$40,$BJ11-3)="","",INDEX('Final Calculation Sheet'!$AF$4:$AF$40,$BJ11-3)),IF(OR($BI11=1,$BL11=1,$BH11&gt;0),"–",""))</f>
        <v/>
      </c>
      <c r="AH12" s="70">
        <f>IF($BJ11&gt;0,IF(INDEX('Final Calculation Sheet'!$AG$4:$AG$40,$BJ11-3)="","",INDEX('Final Calculation Sheet'!$AG$4:$AG$40,$BJ11-3)),IF(OR($BI11=1,$BL11=1,$BH11&gt;0),"–",""))</f>
        <v/>
      </c>
      <c r="AI12" s="75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/>
      </c>
      <c r="AJ12" s="85" t="inlineStr">
        <is>
          <t>G - Unit</t>
        </is>
      </c>
      <c r="AK12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/>
      </c>
      <c r="AM12">
        <f>IF(COUNTIF($BM12:$CU12,0)&gt;0,0,IF($B$3="",1,IF(AND(IF(COUNTIF($AR$9:$AY$9,1)=0,TRUE,SUMPRODUCT(($AR$9:$AY$9=1)*($AR$6:$AY$6&lt;&gt;"")*ISNUMBER(SEARCH($AR$6:$AY$6,$AK12)))&gt;0),IF(COUNTIF($AR$9:$AY$9,2)=0,TRUE,SUMPRODUCT(($AR$9:$AY$9=2)*($AR$6:$AY$6&lt;&gt;"")*ISNUMBER(SEARCH($AR$6:$AY$6,$AK12)))&gt;0),IF(COUNTIF($AR$9:$AY$9,3)=0,TRUE,SUMPRODUCT(($AR$9:$AY$9=3)*($AR$6:$AY$6&lt;&gt;"")*ISNUMBER(SEARCH($AR$6:$AY$6,$AK12)))&gt;0),IF(COUNTIF($AR$9:$AY$9,4)=0,TRUE,SUMPRODUCT(($AR$9:$AY$9=4)*($AR$6:$AY$6&lt;&gt;"")*ISNUMBER(SEARCH($AR$6:$AY$6,$AK12)))&gt;0),IF(COUNTIF($AR$9:$AY$9,5)=0,TRUE,SUMPRODUCT(($AR$9:$AY$9=5)*($AR$6:$AY$6&lt;&gt;"")*ISNUMBER(SEARCH($AR$6:$AY$6,$AK12)))&gt;0),IF(COUNTIF($AR$9:$AY$9,6)=0,TRUE,SUMPRODUCT(($AR$9:$AY$9=6)*($AR$6:$AY$6&lt;&gt;"")*ISNUMBER(SEARCH($AR$6:$AY$6,$AK12)))&gt;0),IF(COUNTIF($AR$9:$AY$9,7)=0,TRUE,SUMPRODUCT(($AR$9:$AY$9=7)*($AR$6:$AY$6&lt;&gt;"")*ISNUMBER(SEARCH($AR$6:$AY$6,$AK12)))&gt;0),IF(COUNTIF($AR$9:$AY$9,8)=0,TRUE,SUMPRODUCT(($AR$9:$AY$9=8)*($AR$6:$AY$6&lt;&gt;"")*ISNUMBER(SEARCH($AR$6:$AY$6,$AK12)))&gt;0)),1,0)))</f>
        <v/>
      </c>
      <c r="AN12">
        <f>IF($AP12="","",IF(OR($AN$2="W",$AN$2="Z",$AN$2="AC",$AN$2="AH"),IF(ISNUMBER($AP12),$AP12,IFERROR(DATE(VALUE(RIGHT($AP12,4)),VALUE(MID($AP12,4,2)),VALUE(LEFT($AP12,2))),$AP12)),$AP12))</f>
        <v/>
      </c>
      <c r="AP12">
        <f>IFERROR(IF($AN$2="","",IF($AN$2="A",$BC12,CHOOSE(MATCH($AN$2,{"B","C","D","E","F","G","H","I","J","K","L","M","N","O","P","Q","R","S","T","U","V","W","X","Y","Z","AA","AB","AC","AD","AE","AF","AG","AH","AI"},0),'Final Calculation Sheet'!$F$11,'Final Calculation Sheet'!$G$11,'Final Calculation Sheet'!$B$11,'Final Calculation Sheet'!$D$11,'Final Calculation Sheet'!$A$11,'Final Calculation Sheet'!$E$11,'Final Calculation Sheet'!$C$11,'Final Calculation Sheet'!$H$11,'Final Calculation Sheet'!$I$11,'Final Calculation Sheet'!$J$11,'Final Calculation Sheet'!$K$11,'Final Calculation Sheet'!$L$11,'Final Calculation Sheet'!$M$11,'Final Calculation Sheet'!$N$11,'Final Calculation Sheet'!$O$11,'Final Calculation Sheet'!$P$11,'Final Calculation Sheet'!$Q$11,'Final Calculation Sheet'!$R$11,'Final Calculation Sheet'!$S$11,'Final Calculation Sheet'!$T$11,'Final Calculation Sheet'!$U$11,'Final Calculation Sheet'!$V$11,'Final Calculation Sheet'!$W$11,'Final Calculation Sheet'!$X$11,'Final Calculation Sheet'!$Y$11,'Final Calculation Sheet'!$Z$11,'Final Calculation Sheet'!$AA$11,'Final Calculation Sheet'!$AB$11,'Final Calculation Sheet'!$AC$11,'Final Calculation Sheet'!$AD$11,'Final Calculation Sheet'!$AE$11,'Final Calculation Sheet'!$AF$11,'Final Calculation Sheet'!$AG$11,IF('Final Calculation Sheet'!$AD$11="","",IF('Final Calculation Sheet'!$AD$11&lt;=0,"SETTLED","OUTSTANDING"))))),"")</f>
        <v/>
      </c>
      <c r="AZ12">
        <f>IF($B$3="",IF(COUNTIF($A$4:$AI$4,"&lt;&gt;")=0,9,IF($AM12=1,9,10)),IF($AM12=0,10,IF(AND($AR$6&lt;&gt;"",ISNUMBER(SEARCH($AR$6,$AK12))),1,IF(AND($AS$6&lt;&gt;"",ISNUMBER(SEARCH($AS$6,$AK12))),2,IF(AND($AT$6&lt;&gt;"",ISNUMBER(SEARCH($AT$6,$AK12))),3,IF(AND($AU$6&lt;&gt;"",ISNUMBER(SEARCH($AU$6,$AK12))),4,IF(AND($AV$6&lt;&gt;"",ISNUMBER(SEARCH($AV$6,$AK12))),5,IF(AND($AW$6&lt;&gt;"",ISNUMBER(SEARCH($AW$6,$AK12))),6,IF(AND($AX$6&lt;&gt;"",ISNUMBER(SEARCH($AX$6,$AK12))),7,IF(AND($AY$6&lt;&gt;"",ISNUMBER(SEARCH($AY$6,$AK12))),8,0))))))))))</f>
        <v/>
      </c>
      <c r="BA12">
        <f>IF($AN$2="",SUMPRODUCT(($AZ$5:$AZ$41=$AZ12)*($BC$5:$BC$41&lt;$BC12))+1,IF($AN12="",SUMPRODUCT(($AZ$5:$AZ$41=$AZ12)*($AN$5:$AN$41&lt;&gt;""))+SUMPRODUCT(($AZ$5:$AZ$41=$AZ12)*($AN$5:$AN$41="")*($BC$5:$BC$41&lt;$BC12))+1,IF($AL$2="▼ Descending",SUMPRODUCT(($AZ$5:$AZ$41=$AZ12)*($AN$5:$AN$41&gt;$AN12)*($AN$5:$AN$41&lt;&gt;""))+SUMPRODUCT(($AZ$5:$AZ$41=$AZ12)*($AN$5:$AN$41=$AN12)*($BC$5:$BC$41&lt;$BC12))+1,SUMPRODUCT(($AZ$5:$AZ$41=$AZ12)*($AN$5:$AN$41&lt;$AN12)*($AN$5:$AN$41&lt;&gt;""))+SUMPRODUCT(($AZ$5:$AZ$41=$AZ12)*($AN$5:$AN$41=$AN12)*($BC$5:$BC$41&lt;$BC12))+1)))</f>
        <v/>
      </c>
      <c r="BB12">
        <f>IF(INDEX($BF$4:$BF$13,$AZ12)=0,0,INDEX($BE$4:$BE$13,$AZ12)+$BA12-1)</f>
        <v/>
      </c>
      <c r="BC12" t="n">
        <v>11</v>
      </c>
      <c r="BD12">
        <f>COUNTIF($AZ$5:$AZ$41,9)</f>
        <v/>
      </c>
      <c r="BE12">
        <f>IF($BD11=0,$BE11,$BF11+1)</f>
        <v/>
      </c>
      <c r="BF12">
        <f>IF($BD12=0,0,$BE12+$BD12)</f>
        <v/>
      </c>
      <c r="BH12">
        <f>IFERROR(MATCH(12,$BF$4:$BF$13,0),0)</f>
        <v/>
      </c>
      <c r="BI12">
        <f>IF(12=$BG$5,1,0)</f>
        <v/>
      </c>
      <c r="BJ12">
        <f>IF(OR($BH12&gt;0,$BI12=1,$BL12=1),0,IFERROR(INDEX($BC$5:$BC$41,MATCH(12,$BB$5:$BB$41,0)),0))</f>
        <v/>
      </c>
      <c r="BK12">
        <f>IF($BJ12&gt;0,IF(INDEX($AZ$5:$AZ$41,MATCH(12,$BB$5:$BB$41,0))=10,1,0),IF($BH12=10,1,0))</f>
        <v/>
      </c>
      <c r="BL12">
        <f>IF(12=$BG$4,1,0)</f>
        <v/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/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/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/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/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/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/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/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/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/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/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/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/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/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/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/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/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/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/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/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/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/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/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/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/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/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/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/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/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/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/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/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/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/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/>
      </c>
    </row>
    <row r="13" ht="15" customHeight="1" s="77">
      <c r="A13" s="67">
        <f>IF($BJ12&gt;0,INDEX($BA$5:$BA$41,MATCH(12,$BB$5:$BB$41,0)),IF(OR($BI12=1,$BL12=1,$BH12&gt;0),"∑",""))</f>
        <v/>
      </c>
      <c r="B13" s="68">
        <f>IF($BJ12&gt;0,IF(INDEX('Final Calculation Sheet'!$F$4:$F$40,$BJ12-3)="","",INDEX('Final Calculation Sheet'!$F$4:$F$40,$BJ12-3)),"")</f>
        <v/>
      </c>
      <c r="C13" s="68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/>
      </c>
      <c r="D13" s="69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/>
      </c>
      <c r="E13" s="69">
        <f>IF($BJ12&gt;0,IF(INDEX('Final Calculation Sheet'!$D$4:$D$40,$BJ12-3)="","",INDEX('Final Calculation Sheet'!$D$4:$D$40,$BJ12-3)),IF(OR($BI12=1,$BL12=1,$BH12&gt;0),"–",""))</f>
        <v/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/>
      </c>
      <c r="G13" s="69">
        <f>IF($BJ12&gt;0,IF(INDEX('Final Calculation Sheet'!$E$4:$E$40,$BJ12-3)="","",INDEX('Final Calculation Sheet'!$E$4:$E$40,$BJ12-3)),IF(OR($BI12=1,$BL12=1,$BH12&gt;0),"–",""))</f>
        <v/>
      </c>
      <c r="H13" s="70">
        <f>IF($BJ12&gt;0,IF(INDEX('Final Calculation Sheet'!$C$4:$C$40,$BJ12-3)="","",INDEX('Final Calculation Sheet'!$C$4:$C$40,$BJ12-3)),IF(OR($BI12=1,$BL12=1,$BH12&gt;0),"–",""))</f>
        <v/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/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/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/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/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/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/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/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/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/>
      </c>
      <c r="R13" s="72">
        <f>IF($BJ12&gt;0,IF(INDEX('Final Calculation Sheet'!$Q$4:$Q$40,$BJ12-3)="","",INDEX('Final Calculation Sheet'!$Q$4:$Q$40,$BJ12-3)),IF(OR($BI12=1,$BL12=1,$BH12&gt;0),"–",""))</f>
        <v/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/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/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/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/>
      </c>
      <c r="W13" s="70">
        <f>IF($BJ12&gt;0,IF(INDEX('Final Calculation Sheet'!$V$4:$V$40,$BJ12-3)="","",INDEX('Final Calculation Sheet'!$V$4:$V$40,$BJ12-3)),IF(OR($BI12=1,$BL12=1,$BH12&gt;0),"–",""))</f>
        <v/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/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/>
      </c>
      <c r="Z13" s="70">
        <f>IF($BJ12&gt;0,IF(INDEX('Final Calculation Sheet'!$Y$4:$Y$40,$BJ12-3)="","",INDEX('Final Calculation Sheet'!$Y$4:$Y$40,$BJ12-3)),IF(OR($BI12=1,$BL12=1,$BH12&gt;0),"–",""))</f>
        <v/>
      </c>
      <c r="AA13" s="70">
        <f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/>
      </c>
      <c r="AB13" s="70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/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/>
      </c>
      <c r="AF13" s="70">
        <f>IF($BJ12&gt;0,IF(INDEX('Final Calculation Sheet'!$AE$4:$AE$40,$BJ12-3)="","",INDEX('Final Calculation Sheet'!$AE$4:$AE$40,$BJ12-3)),IF(OR($BI12=1,$BL12=1,$BH12&gt;0),"–",""))</f>
        <v/>
      </c>
      <c r="AG13" s="74">
        <f>IF($BJ12&gt;0,IF(INDEX('Final Calculation Sheet'!$AF$4:$AF$40,$BJ12-3)="","",INDEX('Final Calculation Sheet'!$AF$4:$AF$40,$BJ12-3)),IF(OR($BI12=1,$BL12=1,$BH12&gt;0),"–",""))</f>
        <v/>
      </c>
      <c r="AH13" s="70">
        <f>IF($BJ12&gt;0,IF(INDEX('Final Calculation Sheet'!$AG$4:$AG$40,$BJ12-3)="","",INDEX('Final Calculation Sheet'!$AG$4:$AG$40,$BJ12-3)),IF(OR($BI12=1,$BL12=1,$BH12&gt;0),"–",""))</f>
        <v/>
      </c>
      <c r="AI13" s="75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/>
      </c>
      <c r="AJ13" s="85" t="inlineStr">
        <is>
          <t>H - Rate</t>
        </is>
      </c>
      <c r="AK13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/>
      </c>
      <c r="AM13">
        <f>IF(COUNTIF($BM13:$CU13,0)&gt;0,0,IF($B$3="",1,IF(AND(IF(COUNTIF($AR$9:$AY$9,1)=0,TRUE,SUMPRODUCT(($AR$9:$AY$9=1)*($AR$6:$AY$6&lt;&gt;"")*ISNUMBER(SEARCH($AR$6:$AY$6,$AK13)))&gt;0),IF(COUNTIF($AR$9:$AY$9,2)=0,TRUE,SUMPRODUCT(($AR$9:$AY$9=2)*($AR$6:$AY$6&lt;&gt;"")*ISNUMBER(SEARCH($AR$6:$AY$6,$AK13)))&gt;0),IF(COUNTIF($AR$9:$AY$9,3)=0,TRUE,SUMPRODUCT(($AR$9:$AY$9=3)*($AR$6:$AY$6&lt;&gt;"")*ISNUMBER(SEARCH($AR$6:$AY$6,$AK13)))&gt;0),IF(COUNTIF($AR$9:$AY$9,4)=0,TRUE,SUMPRODUCT(($AR$9:$AY$9=4)*($AR$6:$AY$6&lt;&gt;"")*ISNUMBER(SEARCH($AR$6:$AY$6,$AK13)))&gt;0),IF(COUNTIF($AR$9:$AY$9,5)=0,TRUE,SUMPRODUCT(($AR$9:$AY$9=5)*($AR$6:$AY$6&lt;&gt;"")*ISNUMBER(SEARCH($AR$6:$AY$6,$AK13)))&gt;0),IF(COUNTIF($AR$9:$AY$9,6)=0,TRUE,SUMPRODUCT(($AR$9:$AY$9=6)*($AR$6:$AY$6&lt;&gt;"")*ISNUMBER(SEARCH($AR$6:$AY$6,$AK13)))&gt;0),IF(COUNTIF($AR$9:$AY$9,7)=0,TRUE,SUMPRODUCT(($AR$9:$AY$9=7)*($AR$6:$AY$6&lt;&gt;"")*ISNUMBER(SEARCH($AR$6:$AY$6,$AK13)))&gt;0),IF(COUNTIF($AR$9:$AY$9,8)=0,TRUE,SUMPRODUCT(($AR$9:$AY$9=8)*($AR$6:$AY$6&lt;&gt;"")*ISNUMBER(SEARCH($AR$6:$AY$6,$AK13)))&gt;0)),1,0)))</f>
        <v/>
      </c>
      <c r="AN13">
        <f>IF($AP13="","",IF(OR($AN$2="W",$AN$2="Z",$AN$2="AC",$AN$2="AH"),IF(ISNUMBER($AP13),$AP13,IFERROR(DATE(VALUE(RIGHT($AP13,4)),VALUE(MID($AP13,4,2)),VALUE(LEFT($AP13,2))),$AP13)),$AP13))</f>
        <v/>
      </c>
      <c r="AP13">
        <f>IFERROR(IF($AN$2="","",IF($AN$2="A",$BC13,CHOOSE(MATCH($AN$2,{"B","C","D","E","F","G","H","I","J","K","L","M","N","O","P","Q","R","S","T","U","V","W","X","Y","Z","AA","AB","AC","AD","AE","AF","AG","AH","AI"},0),'Final Calculation Sheet'!$F$12,'Final Calculation Sheet'!$G$12,'Final Calculation Sheet'!$B$12,'Final Calculation Sheet'!$D$12,'Final Calculation Sheet'!$A$12,'Final Calculation Sheet'!$E$12,'Final Calculation Sheet'!$C$12,'Final Calculation Sheet'!$H$12,'Final Calculation Sheet'!$I$12,'Final Calculation Sheet'!$J$12,'Final Calculation Sheet'!$K$12,'Final Calculation Sheet'!$L$12,'Final Calculation Sheet'!$M$12,'Final Calculation Sheet'!$N$12,'Final Calculation Sheet'!$O$12,'Final Calculation Sheet'!$P$12,'Final Calculation Sheet'!$Q$12,'Final Calculation Sheet'!$R$12,'Final Calculation Sheet'!$S$12,'Final Calculation Sheet'!$T$12,'Final Calculation Sheet'!$U$12,'Final Calculation Sheet'!$V$12,'Final Calculation Sheet'!$W$12,'Final Calculation Sheet'!$X$12,'Final Calculation Sheet'!$Y$12,'Final Calculation Sheet'!$Z$12,'Final Calculation Sheet'!$AA$12,'Final Calculation Sheet'!$AB$12,'Final Calculation Sheet'!$AC$12,'Final Calculation Sheet'!$AD$12,'Final Calculation Sheet'!$AE$12,'Final Calculation Sheet'!$AF$12,'Final Calculation Sheet'!$AG$12,IF('Final Calculation Sheet'!$AD$12="","",IF('Final Calculation Sheet'!$AD$12&lt;=0,"SETTLED","OUTSTANDING"))))),"")</f>
        <v/>
      </c>
      <c r="AZ13">
        <f>IF($B$3="",IF(COUNTIF($A$4:$AI$4,"&lt;&gt;")=0,9,IF($AM13=1,9,10)),IF($AM13=0,10,IF(AND($AR$6&lt;&gt;"",ISNUMBER(SEARCH($AR$6,$AK13))),1,IF(AND($AS$6&lt;&gt;"",ISNUMBER(SEARCH($AS$6,$AK13))),2,IF(AND($AT$6&lt;&gt;"",ISNUMBER(SEARCH($AT$6,$AK13))),3,IF(AND($AU$6&lt;&gt;"",ISNUMBER(SEARCH($AU$6,$AK13))),4,IF(AND($AV$6&lt;&gt;"",ISNUMBER(SEARCH($AV$6,$AK13))),5,IF(AND($AW$6&lt;&gt;"",ISNUMBER(SEARCH($AW$6,$AK13))),6,IF(AND($AX$6&lt;&gt;"",ISNUMBER(SEARCH($AX$6,$AK13))),7,IF(AND($AY$6&lt;&gt;"",ISNUMBER(SEARCH($AY$6,$AK13))),8,0))))))))))</f>
        <v/>
      </c>
      <c r="BA13">
        <f>IF($AN$2="",SUMPRODUCT(($AZ$5:$AZ$41=$AZ13)*($BC$5:$BC$41&lt;$BC13))+1,IF($AN13="",SUMPRODUCT(($AZ$5:$AZ$41=$AZ13)*($AN$5:$AN$41&lt;&gt;""))+SUMPRODUCT(($AZ$5:$AZ$41=$AZ13)*($AN$5:$AN$41="")*($BC$5:$BC$41&lt;$BC13))+1,IF($AL$2="▼ Descending",SUMPRODUCT(($AZ$5:$AZ$41=$AZ13)*($AN$5:$AN$41&gt;$AN13)*($AN$5:$AN$41&lt;&gt;""))+SUMPRODUCT(($AZ$5:$AZ$41=$AZ13)*($AN$5:$AN$41=$AN13)*($BC$5:$BC$41&lt;$BC13))+1,SUMPRODUCT(($AZ$5:$AZ$41=$AZ13)*($AN$5:$AN$41&lt;$AN13)*($AN$5:$AN$41&lt;&gt;""))+SUMPRODUCT(($AZ$5:$AZ$41=$AZ13)*($AN$5:$AN$41=$AN13)*($BC$5:$BC$41&lt;$BC13))+1)))</f>
        <v/>
      </c>
      <c r="BB13">
        <f>IF(INDEX($BF$4:$BF$13,$AZ13)=0,0,INDEX($BE$4:$BE$13,$AZ13)+$BA13-1)</f>
        <v/>
      </c>
      <c r="BC13" t="n">
        <v>12</v>
      </c>
      <c r="BD13">
        <f>COUNTIF($AZ$5:$AZ$41,10)</f>
        <v/>
      </c>
      <c r="BE13">
        <f>$BG$4+1</f>
        <v/>
      </c>
      <c r="BF13">
        <f>IF($BD13=0,0,$BE13+$BD13)</f>
        <v/>
      </c>
      <c r="BH13">
        <f>IFERROR(MATCH(13,$BF$4:$BF$13,0),0)</f>
        <v/>
      </c>
      <c r="BI13">
        <f>IF(13=$BG$5,1,0)</f>
        <v/>
      </c>
      <c r="BJ13">
        <f>IF(OR($BH13&gt;0,$BI13=1,$BL13=1),0,IFERROR(INDEX($BC$5:$BC$41,MATCH(13,$BB$5:$BB$41,0)),0))</f>
        <v/>
      </c>
      <c r="BK13">
        <f>IF($BJ13&gt;0,IF(INDEX($AZ$5:$AZ$41,MATCH(13,$BB$5:$BB$41,0))=10,1,0),IF($BH13=10,1,0))</f>
        <v/>
      </c>
      <c r="BL13">
        <f>IF(13=$BG$4,1,0)</f>
        <v/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/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/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/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/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/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/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/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/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/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/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/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/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/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/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/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/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/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/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/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/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/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/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/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/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/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/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/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/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/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/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/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/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/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/>
      </c>
    </row>
    <row r="14" ht="15" customHeight="1" s="77">
      <c r="A14" s="67">
        <f>IF($BJ13&gt;0,INDEX($BA$5:$BA$41,MATCH(13,$BB$5:$BB$41,0)),IF(OR($BI13=1,$BL13=1,$BH13&gt;0),"∑",""))</f>
        <v/>
      </c>
      <c r="B14" s="68">
        <f>IF($BJ13&gt;0,IF(INDEX('Final Calculation Sheet'!$F$4:$F$40,$BJ13-3)="","",INDEX('Final Calculation Sheet'!$F$4:$F$40,$BJ13-3)),"")</f>
        <v/>
      </c>
      <c r="C14" s="68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/>
      </c>
      <c r="D14" s="69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/>
      </c>
      <c r="E14" s="69">
        <f>IF($BJ13&gt;0,IF(INDEX('Final Calculation Sheet'!$D$4:$D$40,$BJ13-3)="","",INDEX('Final Calculation Sheet'!$D$4:$D$40,$BJ13-3)),IF(OR($BI13=1,$BL13=1,$BH13&gt;0),"–",""))</f>
        <v/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/>
      </c>
      <c r="G14" s="69">
        <f>IF($BJ13&gt;0,IF(INDEX('Final Calculation Sheet'!$E$4:$E$40,$BJ13-3)="","",INDEX('Final Calculation Sheet'!$E$4:$E$40,$BJ13-3)),IF(OR($BI13=1,$BL13=1,$BH13&gt;0),"–",""))</f>
        <v/>
      </c>
      <c r="H14" s="70">
        <f>IF($BJ13&gt;0,IF(INDEX('Final Calculation Sheet'!$C$4:$C$40,$BJ13-3)="","",INDEX('Final Calculation Sheet'!$C$4:$C$40,$BJ13-3)),IF(OR($BI13=1,$BL13=1,$BH13&gt;0),"–",""))</f>
        <v/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/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/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/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/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/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/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/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/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/>
      </c>
      <c r="R14" s="72">
        <f>IF($BJ13&gt;0,IF(INDEX('Final Calculation Sheet'!$Q$4:$Q$40,$BJ13-3)="","",INDEX('Final Calculation Sheet'!$Q$4:$Q$40,$BJ13-3)),IF(OR($BI13=1,$BL13=1,$BH13&gt;0),"–",""))</f>
        <v/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/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/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/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/>
      </c>
      <c r="W14" s="70">
        <f>IF($BJ13&gt;0,IF(INDEX('Final Calculation Sheet'!$V$4:$V$40,$BJ13-3)="","",INDEX('Final Calculation Sheet'!$V$4:$V$40,$BJ13-3)),IF(OR($BI13=1,$BL13=1,$BH13&gt;0),"–",""))</f>
        <v/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/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/>
      </c>
      <c r="Z14" s="70">
        <f>IF($BJ13&gt;0,IF(INDEX('Final Calculation Sheet'!$Y$4:$Y$40,$BJ13-3)="","",INDEX('Final Calculation Sheet'!$Y$4:$Y$40,$BJ13-3)),IF(OR($BI13=1,$BL13=1,$BH13&gt;0),"–",""))</f>
        <v/>
      </c>
      <c r="AA14" s="70">
        <f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/>
      </c>
      <c r="AB14" s="70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/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/>
      </c>
      <c r="AF14" s="70">
        <f>IF($BJ13&gt;0,IF(INDEX('Final Calculation Sheet'!$AE$4:$AE$40,$BJ13-3)="","",INDEX('Final Calculation Sheet'!$AE$4:$AE$40,$BJ13-3)),IF(OR($BI13=1,$BL13=1,$BH13&gt;0),"–",""))</f>
        <v/>
      </c>
      <c r="AG14" s="74">
        <f>IF($BJ13&gt;0,IF(INDEX('Final Calculation Sheet'!$AF$4:$AF$40,$BJ13-3)="","",INDEX('Final Calculation Sheet'!$AF$4:$AF$40,$BJ13-3)),IF(OR($BI13=1,$BL13=1,$BH13&gt;0),"–",""))</f>
        <v/>
      </c>
      <c r="AH14" s="70">
        <f>IF($BJ13&gt;0,IF(INDEX('Final Calculation Sheet'!$AG$4:$AG$40,$BJ13-3)="","",INDEX('Final Calculation Sheet'!$AG$4:$AG$40,$BJ13-3)),IF(OR($BI13=1,$BL13=1,$BH13&gt;0),"–",""))</f>
        <v/>
      </c>
      <c r="AI14" s="75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/>
      </c>
      <c r="AJ14" s="85" t="inlineStr">
        <is>
          <t>I - Mat. Value</t>
        </is>
      </c>
      <c r="AK14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/>
      </c>
      <c r="AM14">
        <f>IF(COUNTIF($BM14:$CU14,0)&gt;0,0,IF($B$3="",1,IF(AND(IF(COUNTIF($AR$9:$AY$9,1)=0,TRUE,SUMPRODUCT(($AR$9:$AY$9=1)*($AR$6:$AY$6&lt;&gt;"")*ISNUMBER(SEARCH($AR$6:$AY$6,$AK14)))&gt;0),IF(COUNTIF($AR$9:$AY$9,2)=0,TRUE,SUMPRODUCT(($AR$9:$AY$9=2)*($AR$6:$AY$6&lt;&gt;"")*ISNUMBER(SEARCH($AR$6:$AY$6,$AK14)))&gt;0),IF(COUNTIF($AR$9:$AY$9,3)=0,TRUE,SUMPRODUCT(($AR$9:$AY$9=3)*($AR$6:$AY$6&lt;&gt;"")*ISNUMBER(SEARCH($AR$6:$AY$6,$AK14)))&gt;0),IF(COUNTIF($AR$9:$AY$9,4)=0,TRUE,SUMPRODUCT(($AR$9:$AY$9=4)*($AR$6:$AY$6&lt;&gt;"")*ISNUMBER(SEARCH($AR$6:$AY$6,$AK14)))&gt;0),IF(COUNTIF($AR$9:$AY$9,5)=0,TRUE,SUMPRODUCT(($AR$9:$AY$9=5)*($AR$6:$AY$6&lt;&gt;"")*ISNUMBER(SEARCH($AR$6:$AY$6,$AK14)))&gt;0),IF(COUNTIF($AR$9:$AY$9,6)=0,TRUE,SUMPRODUCT(($AR$9:$AY$9=6)*($AR$6:$AY$6&lt;&gt;"")*ISNUMBER(SEARCH($AR$6:$AY$6,$AK14)))&gt;0),IF(COUNTIF($AR$9:$AY$9,7)=0,TRUE,SUMPRODUCT(($AR$9:$AY$9=7)*($AR$6:$AY$6&lt;&gt;"")*ISNUMBER(SEARCH($AR$6:$AY$6,$AK14)))&gt;0),IF(COUNTIF($AR$9:$AY$9,8)=0,TRUE,SUMPRODUCT(($AR$9:$AY$9=8)*($AR$6:$AY$6&lt;&gt;"")*ISNUMBER(SEARCH($AR$6:$AY$6,$AK14)))&gt;0)),1,0)))</f>
        <v/>
      </c>
      <c r="AN14">
        <f>IF($AP14="","",IF(OR($AN$2="W",$AN$2="Z",$AN$2="AC",$AN$2="AH"),IF(ISNUMBER($AP14),$AP14,IFERROR(DATE(VALUE(RIGHT($AP14,4)),VALUE(MID($AP14,4,2)),VALUE(LEFT($AP14,2))),$AP14)),$AP14))</f>
        <v/>
      </c>
      <c r="AP14">
        <f>IFERROR(IF($AN$2="","",IF($AN$2="A",$BC14,CHOOSE(MATCH($AN$2,{"B","C","D","E","F","G","H","I","J","K","L","M","N","O","P","Q","R","S","T","U","V","W","X","Y","Z","AA","AB","AC","AD","AE","AF","AG","AH","AI"},0),'Final Calculation Sheet'!$F$13,'Final Calculation Sheet'!$G$13,'Final Calculation Sheet'!$B$13,'Final Calculation Sheet'!$D$13,'Final Calculation Sheet'!$A$13,'Final Calculation Sheet'!$E$13,'Final Calculation Sheet'!$C$13,'Final Calculation Sheet'!$H$13,'Final Calculation Sheet'!$I$13,'Final Calculation Sheet'!$J$13,'Final Calculation Sheet'!$K$13,'Final Calculation Sheet'!$L$13,'Final Calculation Sheet'!$M$13,'Final Calculation Sheet'!$N$13,'Final Calculation Sheet'!$O$13,'Final Calculation Sheet'!$P$13,'Final Calculation Sheet'!$Q$13,'Final Calculation Sheet'!$R$13,'Final Calculation Sheet'!$S$13,'Final Calculation Sheet'!$T$13,'Final Calculation Sheet'!$U$13,'Final Calculation Sheet'!$V$13,'Final Calculation Sheet'!$W$13,'Final Calculation Sheet'!$X$13,'Final Calculation Sheet'!$Y$13,'Final Calculation Sheet'!$Z$13,'Final Calculation Sheet'!$AA$13,'Final Calculation Sheet'!$AB$13,'Final Calculation Sheet'!$AC$13,'Final Calculation Sheet'!$AD$13,'Final Calculation Sheet'!$AE$13,'Final Calculation Sheet'!$AF$13,'Final Calculation Sheet'!$AG$13,IF('Final Calculation Sheet'!$AD$13="","",IF('Final Calculation Sheet'!$AD$13&lt;=0,"SETTLED","OUTSTANDING"))))),"")</f>
        <v/>
      </c>
      <c r="AZ14">
        <f>IF($B$3="",IF(COUNTIF($A$4:$AI$4,"&lt;&gt;")=0,9,IF($AM14=1,9,10)),IF($AM14=0,10,IF(AND($AR$6&lt;&gt;"",ISNUMBER(SEARCH($AR$6,$AK14))),1,IF(AND($AS$6&lt;&gt;"",ISNUMBER(SEARCH($AS$6,$AK14))),2,IF(AND($AT$6&lt;&gt;"",ISNUMBER(SEARCH($AT$6,$AK14))),3,IF(AND($AU$6&lt;&gt;"",ISNUMBER(SEARCH($AU$6,$AK14))),4,IF(AND($AV$6&lt;&gt;"",ISNUMBER(SEARCH($AV$6,$AK14))),5,IF(AND($AW$6&lt;&gt;"",ISNUMBER(SEARCH($AW$6,$AK14))),6,IF(AND($AX$6&lt;&gt;"",ISNUMBER(SEARCH($AX$6,$AK14))),7,IF(AND($AY$6&lt;&gt;"",ISNUMBER(SEARCH($AY$6,$AK14))),8,0))))))))))</f>
        <v/>
      </c>
      <c r="BA14">
        <f>IF($AN$2="",SUMPRODUCT(($AZ$5:$AZ$41=$AZ14)*($BC$5:$BC$41&lt;$BC14))+1,IF($AN14="",SUMPRODUCT(($AZ$5:$AZ$41=$AZ14)*($AN$5:$AN$41&lt;&gt;""))+SUMPRODUCT(($AZ$5:$AZ$41=$AZ14)*($AN$5:$AN$41="")*($BC$5:$BC$41&lt;$BC14))+1,IF($AL$2="▼ Descending",SUMPRODUCT(($AZ$5:$AZ$41=$AZ14)*($AN$5:$AN$41&gt;$AN14)*($AN$5:$AN$41&lt;&gt;""))+SUMPRODUCT(($AZ$5:$AZ$41=$AZ14)*($AN$5:$AN$41=$AN14)*($BC$5:$BC$41&lt;$BC14))+1,SUMPRODUCT(($AZ$5:$AZ$41=$AZ14)*($AN$5:$AN$41&lt;$AN14)*($AN$5:$AN$41&lt;&gt;""))+SUMPRODUCT(($AZ$5:$AZ$41=$AZ14)*($AN$5:$AN$41=$AN14)*($BC$5:$BC$41&lt;$BC14))+1)))</f>
        <v/>
      </c>
      <c r="BB14">
        <f>IF(INDEX($BF$4:$BF$13,$AZ14)=0,0,INDEX($BE$4:$BE$13,$AZ14)+$BA14-1)</f>
        <v/>
      </c>
      <c r="BC14" t="n">
        <v>13</v>
      </c>
      <c r="BH14">
        <f>IFERROR(MATCH(14,$BF$4:$BF$13,0),0)</f>
        <v/>
      </c>
      <c r="BI14">
        <f>IF(14=$BG$5,1,0)</f>
        <v/>
      </c>
      <c r="BJ14">
        <f>IF(OR($BH14&gt;0,$BI14=1,$BL14=1),0,IFERROR(INDEX($BC$5:$BC$41,MATCH(14,$BB$5:$BB$41,0)),0))</f>
        <v/>
      </c>
      <c r="BK14">
        <f>IF($BJ14&gt;0,IF(INDEX($AZ$5:$AZ$41,MATCH(14,$BB$5:$BB$41,0))=10,1,0),IF($BH14=10,1,0))</f>
        <v/>
      </c>
      <c r="BL14">
        <f>IF(14=$BG$4,1,0)</f>
        <v/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/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/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/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/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/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/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/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/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/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/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/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/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/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/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/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/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/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/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/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/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/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/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/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/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/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/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/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/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/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/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/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/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/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/>
      </c>
    </row>
    <row r="15" ht="15" customHeight="1" s="77">
      <c r="A15" s="67">
        <f>IF($BJ14&gt;0,INDEX($BA$5:$BA$41,MATCH(14,$BB$5:$BB$41,0)),IF(OR($BI14=1,$BL14=1,$BH14&gt;0),"∑",""))</f>
        <v/>
      </c>
      <c r="B15" s="68">
        <f>IF($BJ14&gt;0,IF(INDEX('Final Calculation Sheet'!$F$4:$F$40,$BJ14-3)="","",INDEX('Final Calculation Sheet'!$F$4:$F$40,$BJ14-3)),"")</f>
        <v/>
      </c>
      <c r="C15" s="68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/>
      </c>
      <c r="D15" s="69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/>
      </c>
      <c r="E15" s="69">
        <f>IF($BJ14&gt;0,IF(INDEX('Final Calculation Sheet'!$D$4:$D$40,$BJ14-3)="","",INDEX('Final Calculation Sheet'!$D$4:$D$40,$BJ14-3)),IF(OR($BI14=1,$BL14=1,$BH14&gt;0),"–",""))</f>
        <v/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/>
      </c>
      <c r="G15" s="69">
        <f>IF($BJ14&gt;0,IF(INDEX('Final Calculation Sheet'!$E$4:$E$40,$BJ14-3)="","",INDEX('Final Calculation Sheet'!$E$4:$E$40,$BJ14-3)),IF(OR($BI14=1,$BL14=1,$BH14&gt;0),"–",""))</f>
        <v/>
      </c>
      <c r="H15" s="70">
        <f>IF($BJ14&gt;0,IF(INDEX('Final Calculation Sheet'!$C$4:$C$40,$BJ14-3)="","",INDEX('Final Calculation Sheet'!$C$4:$C$40,$BJ14-3)),IF(OR($BI14=1,$BL14=1,$BH14&gt;0),"–",""))</f>
        <v/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/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/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/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/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/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/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/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/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/>
      </c>
      <c r="R15" s="72">
        <f>IF($BJ14&gt;0,IF(INDEX('Final Calculation Sheet'!$Q$4:$Q$40,$BJ14-3)="","",INDEX('Final Calculation Sheet'!$Q$4:$Q$40,$BJ14-3)),IF(OR($BI14=1,$BL14=1,$BH14&gt;0),"–",""))</f>
        <v/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/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/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/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/>
      </c>
      <c r="W15" s="70">
        <f>IF($BJ14&gt;0,IF(INDEX('Final Calculation Sheet'!$V$4:$V$40,$BJ14-3)="","",INDEX('Final Calculation Sheet'!$V$4:$V$40,$BJ14-3)),IF(OR($BI14=1,$BL14=1,$BH14&gt;0),"–",""))</f>
        <v/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/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/>
      </c>
      <c r="Z15" s="70">
        <f>IF($BJ14&gt;0,IF(INDEX('Final Calculation Sheet'!$Y$4:$Y$40,$BJ14-3)="","",INDEX('Final Calculation Sheet'!$Y$4:$Y$40,$BJ14-3)),IF(OR($BI14=1,$BL14=1,$BH14&gt;0),"–",""))</f>
        <v/>
      </c>
      <c r="AA15" s="70">
        <f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/>
      </c>
      <c r="AB15" s="70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/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/>
      </c>
      <c r="AF15" s="70">
        <f>IF($BJ14&gt;0,IF(INDEX('Final Calculation Sheet'!$AE$4:$AE$40,$BJ14-3)="","",INDEX('Final Calculation Sheet'!$AE$4:$AE$40,$BJ14-3)),IF(OR($BI14=1,$BL14=1,$BH14&gt;0),"–",""))</f>
        <v/>
      </c>
      <c r="AG15" s="74">
        <f>IF($BJ14&gt;0,IF(INDEX('Final Calculation Sheet'!$AF$4:$AF$40,$BJ14-3)="","",INDEX('Final Calculation Sheet'!$AF$4:$AF$40,$BJ14-3)),IF(OR($BI14=1,$BL14=1,$BH14&gt;0),"–",""))</f>
        <v/>
      </c>
      <c r="AH15" s="70">
        <f>IF($BJ14&gt;0,IF(INDEX('Final Calculation Sheet'!$AG$4:$AG$40,$BJ14-3)="","",INDEX('Final Calculation Sheet'!$AG$4:$AG$40,$BJ14-3)),IF(OR($BI14=1,$BL14=1,$BH14&gt;0),"–",""))</f>
        <v/>
      </c>
      <c r="AI15" s="75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/>
      </c>
      <c r="AJ15" s="85" t="inlineStr">
        <is>
          <t>J - GST</t>
        </is>
      </c>
      <c r="AK15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/>
      </c>
      <c r="AM15">
        <f>IF(COUNTIF($BM15:$CU15,0)&gt;0,0,IF($B$3="",1,IF(AND(IF(COUNTIF($AR$9:$AY$9,1)=0,TRUE,SUMPRODUCT(($AR$9:$AY$9=1)*($AR$6:$AY$6&lt;&gt;"")*ISNUMBER(SEARCH($AR$6:$AY$6,$AK15)))&gt;0),IF(COUNTIF($AR$9:$AY$9,2)=0,TRUE,SUMPRODUCT(($AR$9:$AY$9=2)*($AR$6:$AY$6&lt;&gt;"")*ISNUMBER(SEARCH($AR$6:$AY$6,$AK15)))&gt;0),IF(COUNTIF($AR$9:$AY$9,3)=0,TRUE,SUMPRODUCT(($AR$9:$AY$9=3)*($AR$6:$AY$6&lt;&gt;"")*ISNUMBER(SEARCH($AR$6:$AY$6,$AK15)))&gt;0),IF(COUNTIF($AR$9:$AY$9,4)=0,TRUE,SUMPRODUCT(($AR$9:$AY$9=4)*($AR$6:$AY$6&lt;&gt;"")*ISNUMBER(SEARCH($AR$6:$AY$6,$AK15)))&gt;0),IF(COUNTIF($AR$9:$AY$9,5)=0,TRUE,SUMPRODUCT(($AR$9:$AY$9=5)*($AR$6:$AY$6&lt;&gt;"")*ISNUMBER(SEARCH($AR$6:$AY$6,$AK15)))&gt;0),IF(COUNTIF($AR$9:$AY$9,6)=0,TRUE,SUMPRODUCT(($AR$9:$AY$9=6)*($AR$6:$AY$6&lt;&gt;"")*ISNUMBER(SEARCH($AR$6:$AY$6,$AK15)))&gt;0),IF(COUNTIF($AR$9:$AY$9,7)=0,TRUE,SUMPRODUCT(($AR$9:$AY$9=7)*($AR$6:$AY$6&lt;&gt;"")*ISNUMBER(SEARCH($AR$6:$AY$6,$AK15)))&gt;0),IF(COUNTIF($AR$9:$AY$9,8)=0,TRUE,SUMPRODUCT(($AR$9:$AY$9=8)*($AR$6:$AY$6&lt;&gt;"")*ISNUMBER(SEARCH($AR$6:$AY$6,$AK15)))&gt;0)),1,0)))</f>
        <v/>
      </c>
      <c r="AN15">
        <f>IF($AP15="","",IF(OR($AN$2="W",$AN$2="Z",$AN$2="AC",$AN$2="AH"),IF(ISNUMBER($AP15),$AP15,IFERROR(DATE(VALUE(RIGHT($AP15,4)),VALUE(MID($AP15,4,2)),VALUE(LEFT($AP15,2))),$AP15)),$AP15))</f>
        <v/>
      </c>
      <c r="AP15">
        <f>IFERROR(IF($AN$2="","",IF($AN$2="A",$BC15,CHOOSE(MATCH($AN$2,{"B","C","D","E","F","G","H","I","J","K","L","M","N","O","P","Q","R","S","T","U","V","W","X","Y","Z","AA","AB","AC","AD","AE","AF","AG","AH","AI"},0),'Final Calculation Sheet'!$F$14,'Final Calculation Sheet'!$G$14,'Final Calculation Sheet'!$B$14,'Final Calculation Sheet'!$D$14,'Final Calculation Sheet'!$A$14,'Final Calculation Sheet'!$E$14,'Final Calculation Sheet'!$C$14,'Final Calculation Sheet'!$H$14,'Final Calculation Sheet'!$I$14,'Final Calculation Sheet'!$J$14,'Final Calculation Sheet'!$K$14,'Final Calculation Sheet'!$L$14,'Final Calculation Sheet'!$M$14,'Final Calculation Sheet'!$N$14,'Final Calculation Sheet'!$O$14,'Final Calculation Sheet'!$P$14,'Final Calculation Sheet'!$Q$14,'Final Calculation Sheet'!$R$14,'Final Calculation Sheet'!$S$14,'Final Calculation Sheet'!$T$14,'Final Calculation Sheet'!$U$14,'Final Calculation Sheet'!$V$14,'Final Calculation Sheet'!$W$14,'Final Calculation Sheet'!$X$14,'Final Calculation Sheet'!$Y$14,'Final Calculation Sheet'!$Z$14,'Final Calculation Sheet'!$AA$14,'Final Calculation Sheet'!$AB$14,'Final Calculation Sheet'!$AC$14,'Final Calculation Sheet'!$AD$14,'Final Calculation Sheet'!$AE$14,'Final Calculation Sheet'!$AF$14,'Final Calculation Sheet'!$AG$14,IF('Final Calculation Sheet'!$AD$14="","",IF('Final Calculation Sheet'!$AD$14&lt;=0,"SETTLED","OUTSTANDING"))))),"")</f>
        <v/>
      </c>
      <c r="AZ15">
        <f>IF($B$3="",IF(COUNTIF($A$4:$AI$4,"&lt;&gt;")=0,9,IF($AM15=1,9,10)),IF($AM15=0,10,IF(AND($AR$6&lt;&gt;"",ISNUMBER(SEARCH($AR$6,$AK15))),1,IF(AND($AS$6&lt;&gt;"",ISNUMBER(SEARCH($AS$6,$AK15))),2,IF(AND($AT$6&lt;&gt;"",ISNUMBER(SEARCH($AT$6,$AK15))),3,IF(AND($AU$6&lt;&gt;"",ISNUMBER(SEARCH($AU$6,$AK15))),4,IF(AND($AV$6&lt;&gt;"",ISNUMBER(SEARCH($AV$6,$AK15))),5,IF(AND($AW$6&lt;&gt;"",ISNUMBER(SEARCH($AW$6,$AK15))),6,IF(AND($AX$6&lt;&gt;"",ISNUMBER(SEARCH($AX$6,$AK15))),7,IF(AND($AY$6&lt;&gt;"",ISNUMBER(SEARCH($AY$6,$AK15))),8,0))))))))))</f>
        <v/>
      </c>
      <c r="BA15">
        <f>IF($AN$2="",SUMPRODUCT(($AZ$5:$AZ$41=$AZ15)*($BC$5:$BC$41&lt;$BC15))+1,IF($AN15="",SUMPRODUCT(($AZ$5:$AZ$41=$AZ15)*($AN$5:$AN$41&lt;&gt;""))+SUMPRODUCT(($AZ$5:$AZ$41=$AZ15)*($AN$5:$AN$41="")*($BC$5:$BC$41&lt;$BC15))+1,IF($AL$2="▼ Descending",SUMPRODUCT(($AZ$5:$AZ$41=$AZ15)*($AN$5:$AN$41&gt;$AN15)*($AN$5:$AN$41&lt;&gt;""))+SUMPRODUCT(($AZ$5:$AZ$41=$AZ15)*($AN$5:$AN$41=$AN15)*($BC$5:$BC$41&lt;$BC15))+1,SUMPRODUCT(($AZ$5:$AZ$41=$AZ15)*($AN$5:$AN$41&lt;$AN15)*($AN$5:$AN$41&lt;&gt;""))+SUMPRODUCT(($AZ$5:$AZ$41=$AZ15)*($AN$5:$AN$41=$AN15)*($BC$5:$BC$41&lt;$BC15))+1)))</f>
        <v/>
      </c>
      <c r="BB15">
        <f>IF(INDEX($BF$4:$BF$13,$AZ15)=0,0,INDEX($BE$4:$BE$13,$AZ15)+$BA15-1)</f>
        <v/>
      </c>
      <c r="BC15" t="n">
        <v>14</v>
      </c>
      <c r="BH15">
        <f>IFERROR(MATCH(15,$BF$4:$BF$13,0),0)</f>
        <v/>
      </c>
      <c r="BI15">
        <f>IF(15=$BG$5,1,0)</f>
        <v/>
      </c>
      <c r="BJ15">
        <f>IF(OR($BH15&gt;0,$BI15=1,$BL15=1),0,IFERROR(INDEX($BC$5:$BC$41,MATCH(15,$BB$5:$BB$41,0)),0))</f>
        <v/>
      </c>
      <c r="BK15">
        <f>IF($BJ15&gt;0,IF(INDEX($AZ$5:$AZ$41,MATCH(15,$BB$5:$BB$41,0))=10,1,0),IF($BH15=10,1,0))</f>
        <v/>
      </c>
      <c r="BL15">
        <f>IF(15=$BG$4,1,0)</f>
        <v/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/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/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/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/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/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/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/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/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/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/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/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/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/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/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/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/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/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/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/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/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/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/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/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/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/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/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/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/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/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/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/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/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/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/>
      </c>
    </row>
    <row r="16" ht="15" customHeight="1" s="77">
      <c r="A16" s="67">
        <f>IF($BJ15&gt;0,INDEX($BA$5:$BA$41,MATCH(15,$BB$5:$BB$41,0)),IF(OR($BI15=1,$BL15=1,$BH15&gt;0),"∑",""))</f>
        <v/>
      </c>
      <c r="B16" s="68">
        <f>IF($BJ15&gt;0,IF(INDEX('Final Calculation Sheet'!$F$4:$F$40,$BJ15-3)="","",INDEX('Final Calculation Sheet'!$F$4:$F$40,$BJ15-3)),"")</f>
        <v/>
      </c>
      <c r="C16" s="68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/>
      </c>
      <c r="D16" s="69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/>
      </c>
      <c r="E16" s="69">
        <f>IF($BJ15&gt;0,IF(INDEX('Final Calculation Sheet'!$D$4:$D$40,$BJ15-3)="","",INDEX('Final Calculation Sheet'!$D$4:$D$40,$BJ15-3)),IF(OR($BI15=1,$BL15=1,$BH15&gt;0),"–",""))</f>
        <v/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/>
      </c>
      <c r="G16" s="69">
        <f>IF($BJ15&gt;0,IF(INDEX('Final Calculation Sheet'!$E$4:$E$40,$BJ15-3)="","",INDEX('Final Calculation Sheet'!$E$4:$E$40,$BJ15-3)),IF(OR($BI15=1,$BL15=1,$BH15&gt;0),"–",""))</f>
        <v/>
      </c>
      <c r="H16" s="70">
        <f>IF($BJ15&gt;0,IF(INDEX('Final Calculation Sheet'!$C$4:$C$40,$BJ15-3)="","",INDEX('Final Calculation Sheet'!$C$4:$C$40,$BJ15-3)),IF(OR($BI15=1,$BL15=1,$BH15&gt;0),"–",""))</f>
        <v/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/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/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/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/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/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/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/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/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/>
      </c>
      <c r="R16" s="72">
        <f>IF($BJ15&gt;0,IF(INDEX('Final Calculation Sheet'!$Q$4:$Q$40,$BJ15-3)="","",INDEX('Final Calculation Sheet'!$Q$4:$Q$40,$BJ15-3)),IF(OR($BI15=1,$BL15=1,$BH15&gt;0),"–",""))</f>
        <v/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/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/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/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/>
      </c>
      <c r="W16" s="70">
        <f>IF($BJ15&gt;0,IF(INDEX('Final Calculation Sheet'!$V$4:$V$40,$BJ15-3)="","",INDEX('Final Calculation Sheet'!$V$4:$V$40,$BJ15-3)),IF(OR($BI15=1,$BL15=1,$BH15&gt;0),"–",""))</f>
        <v/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/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/>
      </c>
      <c r="Z16" s="70">
        <f>IF($BJ15&gt;0,IF(INDEX('Final Calculation Sheet'!$Y$4:$Y$40,$BJ15-3)="","",INDEX('Final Calculation Sheet'!$Y$4:$Y$40,$BJ15-3)),IF(OR($BI15=1,$BL15=1,$BH15&gt;0),"–",""))</f>
        <v/>
      </c>
      <c r="AA16" s="70">
        <f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/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/>
      </c>
      <c r="AC16" s="70">
        <f>IF($BJ15&gt;0,IF(INDEX('Final Calculation Sheet'!$AB$4:$AB$40,$BJ15-3)="","",INDEX('Final Calculation Sheet'!$AB$4:$AB$40,$BJ15-3)),IF(OR($BI15=1,$BL15=1,$BH15&gt;0),"–",""))</f>
        <v/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/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/>
      </c>
      <c r="AF16" s="70">
        <f>IF($BJ15&gt;0,IF(INDEX('Final Calculation Sheet'!$AE$4:$AE$40,$BJ15-3)="","",INDEX('Final Calculation Sheet'!$AE$4:$AE$40,$BJ15-3)),IF(OR($BI15=1,$BL15=1,$BH15&gt;0),"–",""))</f>
        <v/>
      </c>
      <c r="AG16" s="74">
        <f>IF($BJ15&gt;0,IF(INDEX('Final Calculation Sheet'!$AF$4:$AF$40,$BJ15-3)="","",INDEX('Final Calculation Sheet'!$AF$4:$AF$40,$BJ15-3)),IF(OR($BI15=1,$BL15=1,$BH15&gt;0),"–",""))</f>
        <v/>
      </c>
      <c r="AH16" s="70">
        <f>IF($BJ15&gt;0,IF(INDEX('Final Calculation Sheet'!$AG$4:$AG$40,$BJ15-3)="","",INDEX('Final Calculation Sheet'!$AG$4:$AG$40,$BJ15-3)),IF(OR($BI15=1,$BL15=1,$BH15&gt;0),"–",""))</f>
        <v/>
      </c>
      <c r="AI16" s="75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/>
      </c>
      <c r="AJ16" s="85" t="inlineStr">
        <is>
          <t>K - Mat. Value + GST</t>
        </is>
      </c>
      <c r="AK16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/>
      </c>
      <c r="AM16">
        <f>IF(COUNTIF($BM16:$CU16,0)&gt;0,0,IF($B$3="",1,IF(AND(IF(COUNTIF($AR$9:$AY$9,1)=0,TRUE,SUMPRODUCT(($AR$9:$AY$9=1)*($AR$6:$AY$6&lt;&gt;"")*ISNUMBER(SEARCH($AR$6:$AY$6,$AK16)))&gt;0),IF(COUNTIF($AR$9:$AY$9,2)=0,TRUE,SUMPRODUCT(($AR$9:$AY$9=2)*($AR$6:$AY$6&lt;&gt;"")*ISNUMBER(SEARCH($AR$6:$AY$6,$AK16)))&gt;0),IF(COUNTIF($AR$9:$AY$9,3)=0,TRUE,SUMPRODUCT(($AR$9:$AY$9=3)*($AR$6:$AY$6&lt;&gt;"")*ISNUMBER(SEARCH($AR$6:$AY$6,$AK16)))&gt;0),IF(COUNTIF($AR$9:$AY$9,4)=0,TRUE,SUMPRODUCT(($AR$9:$AY$9=4)*($AR$6:$AY$6&lt;&gt;"")*ISNUMBER(SEARCH($AR$6:$AY$6,$AK16)))&gt;0),IF(COUNTIF($AR$9:$AY$9,5)=0,TRUE,SUMPRODUCT(($AR$9:$AY$9=5)*($AR$6:$AY$6&lt;&gt;"")*ISNUMBER(SEARCH($AR$6:$AY$6,$AK16)))&gt;0),IF(COUNTIF($AR$9:$AY$9,6)=0,TRUE,SUMPRODUCT(($AR$9:$AY$9=6)*($AR$6:$AY$6&lt;&gt;"")*ISNUMBER(SEARCH($AR$6:$AY$6,$AK16)))&gt;0),IF(COUNTIF($AR$9:$AY$9,7)=0,TRUE,SUMPRODUCT(($AR$9:$AY$9=7)*($AR$6:$AY$6&lt;&gt;"")*ISNUMBER(SEARCH($AR$6:$AY$6,$AK16)))&gt;0),IF(COUNTIF($AR$9:$AY$9,8)=0,TRUE,SUMPRODUCT(($AR$9:$AY$9=8)*($AR$6:$AY$6&lt;&gt;"")*ISNUMBER(SEARCH($AR$6:$AY$6,$AK16)))&gt;0)),1,0)))</f>
        <v/>
      </c>
      <c r="AN16">
        <f>IF($AP16="","",IF(OR($AN$2="W",$AN$2="Z",$AN$2="AC",$AN$2="AH"),IF(ISNUMBER($AP16),$AP16,IFERROR(DATE(VALUE(RIGHT($AP16,4)),VALUE(MID($AP16,4,2)),VALUE(LEFT($AP16,2))),$AP16)),$AP16))</f>
        <v/>
      </c>
      <c r="AP16">
        <f>IFERROR(IF($AN$2="","",IF($AN$2="A",$BC16,CHOOSE(MATCH($AN$2,{"B","C","D","E","F","G","H","I","J","K","L","M","N","O","P","Q","R","S","T","U","V","W","X","Y","Z","AA","AB","AC","AD","AE","AF","AG","AH","AI"},0),'Final Calculation Sheet'!$F$15,'Final Calculation Sheet'!$G$15,'Final Calculation Sheet'!$B$15,'Final Calculation Sheet'!$D$15,'Final Calculation Sheet'!$A$15,'Final Calculation Sheet'!$E$15,'Final Calculation Sheet'!$C$15,'Final Calculation Sheet'!$H$15,'Final Calculation Sheet'!$I$15,'Final Calculation Sheet'!$J$15,'Final Calculation Sheet'!$K$15,'Final Calculation Sheet'!$L$15,'Final Calculation Sheet'!$M$15,'Final Calculation Sheet'!$N$15,'Final Calculation Sheet'!$O$15,'Final Calculation Sheet'!$P$15,'Final Calculation Sheet'!$Q$15,'Final Calculation Sheet'!$R$15,'Final Calculation Sheet'!$S$15,'Final Calculation Sheet'!$T$15,'Final Calculation Sheet'!$U$15,'Final Calculation Sheet'!$V$15,'Final Calculation Sheet'!$W$15,'Final Calculation Sheet'!$X$15,'Final Calculation Sheet'!$Y$15,'Final Calculation Sheet'!$Z$15,'Final Calculation Sheet'!$AA$15,'Final Calculation Sheet'!$AB$15,'Final Calculation Sheet'!$AC$15,'Final Calculation Sheet'!$AD$15,'Final Calculation Sheet'!$AE$15,'Final Calculation Sheet'!$AF$15,'Final Calculation Sheet'!$AG$15,IF('Final Calculation Sheet'!$AD$15="","",IF('Final Calculation Sheet'!$AD$15&lt;=0,"SETTLED","OUTSTANDING"))))),"")</f>
        <v/>
      </c>
      <c r="AZ16">
        <f>IF($B$3="",IF(COUNTIF($A$4:$AI$4,"&lt;&gt;")=0,9,IF($AM16=1,9,10)),IF($AM16=0,10,IF(AND($AR$6&lt;&gt;"",ISNUMBER(SEARCH($AR$6,$AK16))),1,IF(AND($AS$6&lt;&gt;"",ISNUMBER(SEARCH($AS$6,$AK16))),2,IF(AND($AT$6&lt;&gt;"",ISNUMBER(SEARCH($AT$6,$AK16))),3,IF(AND($AU$6&lt;&gt;"",ISNUMBER(SEARCH($AU$6,$AK16))),4,IF(AND($AV$6&lt;&gt;"",ISNUMBER(SEARCH($AV$6,$AK16))),5,IF(AND($AW$6&lt;&gt;"",ISNUMBER(SEARCH($AW$6,$AK16))),6,IF(AND($AX$6&lt;&gt;"",ISNUMBER(SEARCH($AX$6,$AK16))),7,IF(AND($AY$6&lt;&gt;"",ISNUMBER(SEARCH($AY$6,$AK16))),8,0))))))))))</f>
        <v/>
      </c>
      <c r="BA16">
        <f>IF($AN$2="",SUMPRODUCT(($AZ$5:$AZ$41=$AZ16)*($BC$5:$BC$41&lt;$BC16))+1,IF($AN16="",SUMPRODUCT(($AZ$5:$AZ$41=$AZ16)*($AN$5:$AN$41&lt;&gt;""))+SUMPRODUCT(($AZ$5:$AZ$41=$AZ16)*($AN$5:$AN$41="")*($BC$5:$BC$41&lt;$BC16))+1,IF($AL$2="▼ Descending",SUMPRODUCT(($AZ$5:$AZ$41=$AZ16)*($AN$5:$AN$41&gt;$AN16)*($AN$5:$AN$41&lt;&gt;""))+SUMPRODUCT(($AZ$5:$AZ$41=$AZ16)*($AN$5:$AN$41=$AN16)*($BC$5:$BC$41&lt;$BC16))+1,SUMPRODUCT(($AZ$5:$AZ$41=$AZ16)*($AN$5:$AN$41&lt;$AN16)*($AN$5:$AN$41&lt;&gt;""))+SUMPRODUCT(($AZ$5:$AZ$41=$AZ16)*($AN$5:$AN$41=$AN16)*($BC$5:$BC$41&lt;$BC16))+1)))</f>
        <v/>
      </c>
      <c r="BB16">
        <f>IF(INDEX($BF$4:$BF$13,$AZ16)=0,0,INDEX($BE$4:$BE$13,$AZ16)+$BA16-1)</f>
        <v/>
      </c>
      <c r="BC16" t="n">
        <v>15</v>
      </c>
      <c r="BH16">
        <f>IFERROR(MATCH(16,$BF$4:$BF$13,0),0)</f>
        <v/>
      </c>
      <c r="BI16">
        <f>IF(16=$BG$5,1,0)</f>
        <v/>
      </c>
      <c r="BJ16">
        <f>IF(OR($BH16&gt;0,$BI16=1,$BL16=1),0,IFERROR(INDEX($BC$5:$BC$41,MATCH(16,$BB$5:$BB$41,0)),0))</f>
        <v/>
      </c>
      <c r="BK16">
        <f>IF($BJ16&gt;0,IF(INDEX($AZ$5:$AZ$41,MATCH(16,$BB$5:$BB$41,0))=10,1,0),IF($BH16=10,1,0))</f>
        <v/>
      </c>
      <c r="BL16">
        <f>IF(16=$BG$4,1,0)</f>
        <v/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/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/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/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/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/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/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/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/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/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/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/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/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/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/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/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/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/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/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/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/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/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/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/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/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/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/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/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/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/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/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/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/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/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/>
      </c>
    </row>
    <row r="17" ht="15" customHeight="1" s="77">
      <c r="A17" s="67">
        <f>IF($BJ16&gt;0,INDEX($BA$5:$BA$41,MATCH(16,$BB$5:$BB$41,0)),IF(OR($BI16=1,$BL16=1,$BH16&gt;0),"∑",""))</f>
        <v/>
      </c>
      <c r="B17" s="68">
        <f>IF($BJ16&gt;0,IF(INDEX('Final Calculation Sheet'!$F$4:$F$40,$BJ16-3)="","",INDEX('Final Calculation Sheet'!$F$4:$F$40,$BJ16-3)),"")</f>
        <v/>
      </c>
      <c r="C17" s="68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/>
      </c>
      <c r="D17" s="69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/>
      </c>
      <c r="E17" s="69">
        <f>IF($BJ16&gt;0,IF(INDEX('Final Calculation Sheet'!$D$4:$D$40,$BJ16-3)="","",INDEX('Final Calculation Sheet'!$D$4:$D$40,$BJ16-3)),IF(OR($BI16=1,$BL16=1,$BH16&gt;0),"–",""))</f>
        <v/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/>
      </c>
      <c r="G17" s="69">
        <f>IF($BJ16&gt;0,IF(INDEX('Final Calculation Sheet'!$E$4:$E$40,$BJ16-3)="","",INDEX('Final Calculation Sheet'!$E$4:$E$40,$BJ16-3)),IF(OR($BI16=1,$BL16=1,$BH16&gt;0),"–",""))</f>
        <v/>
      </c>
      <c r="H17" s="70">
        <f>IF($BJ16&gt;0,IF(INDEX('Final Calculation Sheet'!$C$4:$C$40,$BJ16-3)="","",INDEX('Final Calculation Sheet'!$C$4:$C$40,$BJ16-3)),IF(OR($BI16=1,$BL16=1,$BH16&gt;0),"–",""))</f>
        <v/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/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/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/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/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/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/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/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/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/>
      </c>
      <c r="R17" s="72">
        <f>IF($BJ16&gt;0,IF(INDEX('Final Calculation Sheet'!$Q$4:$Q$40,$BJ16-3)="","",INDEX('Final Calculation Sheet'!$Q$4:$Q$40,$BJ16-3)),IF(OR($BI16=1,$BL16=1,$BH16&gt;0),"–",""))</f>
        <v/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/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/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/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/>
      </c>
      <c r="W17" s="70">
        <f>IF($BJ16&gt;0,IF(INDEX('Final Calculation Sheet'!$V$4:$V$40,$BJ16-3)="","",INDEX('Final Calculation Sheet'!$V$4:$V$40,$BJ16-3)),IF(OR($BI16=1,$BL16=1,$BH16&gt;0),"–",""))</f>
        <v/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/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/>
      </c>
      <c r="Z17" s="70">
        <f>IF($BJ16&gt;0,IF(INDEX('Final Calculation Sheet'!$Y$4:$Y$40,$BJ16-3)="","",INDEX('Final Calculation Sheet'!$Y$4:$Y$40,$BJ16-3)),IF(OR($BI16=1,$BL16=1,$BH16&gt;0),"–",""))</f>
        <v/>
      </c>
      <c r="AA17" s="70">
        <f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/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/>
      </c>
      <c r="AC17" s="70">
        <f>IF($BJ16&gt;0,IF(INDEX('Final Calculation Sheet'!$AB$4:$AB$40,$BJ16-3)="","",INDEX('Final Calculation Sheet'!$AB$4:$AB$40,$BJ16-3)),IF(OR($BI16=1,$BL16=1,$BH16&gt;0),"–",""))</f>
        <v/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/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/>
      </c>
      <c r="AF17" s="70">
        <f>IF($BJ16&gt;0,IF(INDEX('Final Calculation Sheet'!$AE$4:$AE$40,$BJ16-3)="","",INDEX('Final Calculation Sheet'!$AE$4:$AE$40,$BJ16-3)),IF(OR($BI16=1,$BL16=1,$BH16&gt;0),"–",""))</f>
        <v/>
      </c>
      <c r="AG17" s="74">
        <f>IF($BJ16&gt;0,IF(INDEX('Final Calculation Sheet'!$AF$4:$AF$40,$BJ16-3)="","",INDEX('Final Calculation Sheet'!$AF$4:$AF$40,$BJ16-3)),IF(OR($BI16=1,$BL16=1,$BH16&gt;0),"–",""))</f>
        <v/>
      </c>
      <c r="AH17" s="70">
        <f>IF($BJ16&gt;0,IF(INDEX('Final Calculation Sheet'!$AG$4:$AG$40,$BJ16-3)="","",INDEX('Final Calculation Sheet'!$AG$4:$AG$40,$BJ16-3)),IF(OR($BI16=1,$BL16=1,$BH16&gt;0),"–",""))</f>
        <v/>
      </c>
      <c r="AI17" s="75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/>
      </c>
      <c r="AJ17" s="85" t="inlineStr">
        <is>
          <t>L - TCS</t>
        </is>
      </c>
      <c r="AK17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/>
      </c>
      <c r="AM17">
        <f>IF(COUNTIF($BM17:$CU17,0)&gt;0,0,IF($B$3="",1,IF(AND(IF(COUNTIF($AR$9:$AY$9,1)=0,TRUE,SUMPRODUCT(($AR$9:$AY$9=1)*($AR$6:$AY$6&lt;&gt;"")*ISNUMBER(SEARCH($AR$6:$AY$6,$AK17)))&gt;0),IF(COUNTIF($AR$9:$AY$9,2)=0,TRUE,SUMPRODUCT(($AR$9:$AY$9=2)*($AR$6:$AY$6&lt;&gt;"")*ISNUMBER(SEARCH($AR$6:$AY$6,$AK17)))&gt;0),IF(COUNTIF($AR$9:$AY$9,3)=0,TRUE,SUMPRODUCT(($AR$9:$AY$9=3)*($AR$6:$AY$6&lt;&gt;"")*ISNUMBER(SEARCH($AR$6:$AY$6,$AK17)))&gt;0),IF(COUNTIF($AR$9:$AY$9,4)=0,TRUE,SUMPRODUCT(($AR$9:$AY$9=4)*($AR$6:$AY$6&lt;&gt;"")*ISNUMBER(SEARCH($AR$6:$AY$6,$AK17)))&gt;0),IF(COUNTIF($AR$9:$AY$9,5)=0,TRUE,SUMPRODUCT(($AR$9:$AY$9=5)*($AR$6:$AY$6&lt;&gt;"")*ISNUMBER(SEARCH($AR$6:$AY$6,$AK17)))&gt;0),IF(COUNTIF($AR$9:$AY$9,6)=0,TRUE,SUMPRODUCT(($AR$9:$AY$9=6)*($AR$6:$AY$6&lt;&gt;"")*ISNUMBER(SEARCH($AR$6:$AY$6,$AK17)))&gt;0),IF(COUNTIF($AR$9:$AY$9,7)=0,TRUE,SUMPRODUCT(($AR$9:$AY$9=7)*($AR$6:$AY$6&lt;&gt;"")*ISNUMBER(SEARCH($AR$6:$AY$6,$AK17)))&gt;0),IF(COUNTIF($AR$9:$AY$9,8)=0,TRUE,SUMPRODUCT(($AR$9:$AY$9=8)*($AR$6:$AY$6&lt;&gt;"")*ISNUMBER(SEARCH($AR$6:$AY$6,$AK17)))&gt;0)),1,0)))</f>
        <v/>
      </c>
      <c r="AN17">
        <f>IF($AP17="","",IF(OR($AN$2="W",$AN$2="Z",$AN$2="AC",$AN$2="AH"),IF(ISNUMBER($AP17),$AP17,IFERROR(DATE(VALUE(RIGHT($AP17,4)),VALUE(MID($AP17,4,2)),VALUE(LEFT($AP17,2))),$AP17)),$AP17))</f>
        <v/>
      </c>
      <c r="AP17">
        <f>IFERROR(IF($AN$2="","",IF($AN$2="A",$BC17,CHOOSE(MATCH($AN$2,{"B","C","D","E","F","G","H","I","J","K","L","M","N","O","P","Q","R","S","T","U","V","W","X","Y","Z","AA","AB","AC","AD","AE","AF","AG","AH","AI"},0),'Final Calculation Sheet'!$F$16,'Final Calculation Sheet'!$G$16,'Final Calculation Sheet'!$B$16,'Final Calculation Sheet'!$D$16,'Final Calculation Sheet'!$A$16,'Final Calculation Sheet'!$E$16,'Final Calculation Sheet'!$C$16,'Final Calculation Sheet'!$H$16,'Final Calculation Sheet'!$I$16,'Final Calculation Sheet'!$J$16,'Final Calculation Sheet'!$K$16,'Final Calculation Sheet'!$L$16,'Final Calculation Sheet'!$M$16,'Final Calculation Sheet'!$N$16,'Final Calculation Sheet'!$O$16,'Final Calculation Sheet'!$P$16,'Final Calculation Sheet'!$Q$16,'Final Calculation Sheet'!$R$16,'Final Calculation Sheet'!$S$16,'Final Calculation Sheet'!$T$16,'Final Calculation Sheet'!$U$16,'Final Calculation Sheet'!$V$16,'Final Calculation Sheet'!$W$16,'Final Calculation Sheet'!$X$16,'Final Calculation Sheet'!$Y$16,'Final Calculation Sheet'!$Z$16,'Final Calculation Sheet'!$AA$16,'Final Calculation Sheet'!$AB$16,'Final Calculation Sheet'!$AC$16,'Final Calculation Sheet'!$AD$16,'Final Calculation Sheet'!$AE$16,'Final Calculation Sheet'!$AF$16,'Final Calculation Sheet'!$AG$16,IF('Final Calculation Sheet'!$AD$16="","",IF('Final Calculation Sheet'!$AD$16&lt;=0,"SETTLED","OUTSTANDING"))))),"")</f>
        <v/>
      </c>
      <c r="AZ17">
        <f>IF($B$3="",IF(COUNTIF($A$4:$AI$4,"&lt;&gt;")=0,9,IF($AM17=1,9,10)),IF($AM17=0,10,IF(AND($AR$6&lt;&gt;"",ISNUMBER(SEARCH($AR$6,$AK17))),1,IF(AND($AS$6&lt;&gt;"",ISNUMBER(SEARCH($AS$6,$AK17))),2,IF(AND($AT$6&lt;&gt;"",ISNUMBER(SEARCH($AT$6,$AK17))),3,IF(AND($AU$6&lt;&gt;"",ISNUMBER(SEARCH($AU$6,$AK17))),4,IF(AND($AV$6&lt;&gt;"",ISNUMBER(SEARCH($AV$6,$AK17))),5,IF(AND($AW$6&lt;&gt;"",ISNUMBER(SEARCH($AW$6,$AK17))),6,IF(AND($AX$6&lt;&gt;"",ISNUMBER(SEARCH($AX$6,$AK17))),7,IF(AND($AY$6&lt;&gt;"",ISNUMBER(SEARCH($AY$6,$AK17))),8,0))))))))))</f>
        <v/>
      </c>
      <c r="BA17">
        <f>IF($AN$2="",SUMPRODUCT(($AZ$5:$AZ$41=$AZ17)*($BC$5:$BC$41&lt;$BC17))+1,IF($AN17="",SUMPRODUCT(($AZ$5:$AZ$41=$AZ17)*($AN$5:$AN$41&lt;&gt;""))+SUMPRODUCT(($AZ$5:$AZ$41=$AZ17)*($AN$5:$AN$41="")*($BC$5:$BC$41&lt;$BC17))+1,IF($AL$2="▼ Descending",SUMPRODUCT(($AZ$5:$AZ$41=$AZ17)*($AN$5:$AN$41&gt;$AN17)*($AN$5:$AN$41&lt;&gt;""))+SUMPRODUCT(($AZ$5:$AZ$41=$AZ17)*($AN$5:$AN$41=$AN17)*($BC$5:$BC$41&lt;$BC17))+1,SUMPRODUCT(($AZ$5:$AZ$41=$AZ17)*($AN$5:$AN$41&lt;$AN17)*($AN$5:$AN$41&lt;&gt;""))+SUMPRODUCT(($AZ$5:$AZ$41=$AZ17)*($AN$5:$AN$41=$AN17)*($BC$5:$BC$41&lt;$BC17))+1)))</f>
        <v/>
      </c>
      <c r="BB17">
        <f>IF(INDEX($BF$4:$BF$13,$AZ17)=0,0,INDEX($BE$4:$BE$13,$AZ17)+$BA17-1)</f>
        <v/>
      </c>
      <c r="BC17" t="n">
        <v>16</v>
      </c>
      <c r="BH17">
        <f>IFERROR(MATCH(17,$BF$4:$BF$13,0),0)</f>
        <v/>
      </c>
      <c r="BI17">
        <f>IF(17=$BG$5,1,0)</f>
        <v/>
      </c>
      <c r="BJ17">
        <f>IF(OR($BH17&gt;0,$BI17=1,$BL17=1),0,IFERROR(INDEX($BC$5:$BC$41,MATCH(17,$BB$5:$BB$41,0)),0))</f>
        <v/>
      </c>
      <c r="BK17">
        <f>IF($BJ17&gt;0,IF(INDEX($AZ$5:$AZ$41,MATCH(17,$BB$5:$BB$41,0))=10,1,0),IF($BH17=10,1,0))</f>
        <v/>
      </c>
      <c r="BL17">
        <f>IF(17=$BG$4,1,0)</f>
        <v/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/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/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/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/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/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/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/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/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/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/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/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/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/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/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/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/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/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/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/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/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/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/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/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/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/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/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/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/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/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/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/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/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/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/>
      </c>
    </row>
    <row r="18" ht="15" customHeight="1" s="77">
      <c r="A18" s="67">
        <f>IF($BJ17&gt;0,INDEX($BA$5:$BA$41,MATCH(17,$BB$5:$BB$41,0)),IF(OR($BI17=1,$BL17=1,$BH17&gt;0),"∑",""))</f>
        <v/>
      </c>
      <c r="B18" s="68">
        <f>IF($BJ17&gt;0,IF(INDEX('Final Calculation Sheet'!$F$4:$F$40,$BJ17-3)="","",INDEX('Final Calculation Sheet'!$F$4:$F$40,$BJ17-3)),"")</f>
        <v/>
      </c>
      <c r="C18" s="68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/>
      </c>
      <c r="D18" s="69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/>
      </c>
      <c r="E18" s="69">
        <f>IF($BJ17&gt;0,IF(INDEX('Final Calculation Sheet'!$D$4:$D$40,$BJ17-3)="","",INDEX('Final Calculation Sheet'!$D$4:$D$40,$BJ17-3)),IF(OR($BI17=1,$BL17=1,$BH17&gt;0),"–",""))</f>
        <v/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/>
      </c>
      <c r="G18" s="69">
        <f>IF($BJ17&gt;0,IF(INDEX('Final Calculation Sheet'!$E$4:$E$40,$BJ17-3)="","",INDEX('Final Calculation Sheet'!$E$4:$E$40,$BJ17-3)),IF(OR($BI17=1,$BL17=1,$BH17&gt;0),"–",""))</f>
        <v/>
      </c>
      <c r="H18" s="70">
        <f>IF($BJ17&gt;0,IF(INDEX('Final Calculation Sheet'!$C$4:$C$40,$BJ17-3)="","",INDEX('Final Calculation Sheet'!$C$4:$C$40,$BJ17-3)),IF(OR($BI17=1,$BL17=1,$BH17&gt;0),"–",""))</f>
        <v/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/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/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/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/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/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/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/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/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/>
      </c>
      <c r="R18" s="72">
        <f>IF($BJ17&gt;0,IF(INDEX('Final Calculation Sheet'!$Q$4:$Q$40,$BJ17-3)="","",INDEX('Final Calculation Sheet'!$Q$4:$Q$40,$BJ17-3)),IF(OR($BI17=1,$BL17=1,$BH17&gt;0),"–",""))</f>
        <v/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/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/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/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/>
      </c>
      <c r="W18" s="70">
        <f>IF($BJ17&gt;0,IF(INDEX('Final Calculation Sheet'!$V$4:$V$40,$BJ17-3)="","",INDEX('Final Calculation Sheet'!$V$4:$V$40,$BJ17-3)),IF(OR($BI17=1,$BL17=1,$BH17&gt;0),"–",""))</f>
        <v/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/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/>
      </c>
      <c r="Z18" s="70">
        <f>IF($BJ17&gt;0,IF(INDEX('Final Calculation Sheet'!$Y$4:$Y$40,$BJ17-3)="","",INDEX('Final Calculation Sheet'!$Y$4:$Y$40,$BJ17-3)),IF(OR($BI17=1,$BL17=1,$BH17&gt;0),"–",""))</f>
        <v/>
      </c>
      <c r="AA18" s="70">
        <f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/>
      </c>
      <c r="AB18" s="70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/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/>
      </c>
      <c r="AF18" s="70">
        <f>IF($BJ17&gt;0,IF(INDEX('Final Calculation Sheet'!$AE$4:$AE$40,$BJ17-3)="","",INDEX('Final Calculation Sheet'!$AE$4:$AE$40,$BJ17-3)),IF(OR($BI17=1,$BL17=1,$BH17&gt;0),"–",""))</f>
        <v/>
      </c>
      <c r="AG18" s="74">
        <f>IF($BJ17&gt;0,IF(INDEX('Final Calculation Sheet'!$AF$4:$AF$40,$BJ17-3)="","",INDEX('Final Calculation Sheet'!$AF$4:$AF$40,$BJ17-3)),IF(OR($BI17=1,$BL17=1,$BH17&gt;0),"–",""))</f>
        <v/>
      </c>
      <c r="AH18" s="70">
        <f>IF($BJ17&gt;0,IF(INDEX('Final Calculation Sheet'!$AG$4:$AG$40,$BJ17-3)="","",INDEX('Final Calculation Sheet'!$AG$4:$AG$40,$BJ17-3)),IF(OR($BI17=1,$BL17=1,$BH17&gt;0),"–",""))</f>
        <v/>
      </c>
      <c r="AI18" s="75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/>
      </c>
      <c r="AJ18" s="85" t="inlineStr">
        <is>
          <t>M - TDS u/s 194(O)</t>
        </is>
      </c>
      <c r="AK18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/>
      </c>
      <c r="AM18">
        <f>IF(COUNTIF($BM18:$CU18,0)&gt;0,0,IF($B$3="",1,IF(AND(IF(COUNTIF($AR$9:$AY$9,1)=0,TRUE,SUMPRODUCT(($AR$9:$AY$9=1)*($AR$6:$AY$6&lt;&gt;"")*ISNUMBER(SEARCH($AR$6:$AY$6,$AK18)))&gt;0),IF(COUNTIF($AR$9:$AY$9,2)=0,TRUE,SUMPRODUCT(($AR$9:$AY$9=2)*($AR$6:$AY$6&lt;&gt;"")*ISNUMBER(SEARCH($AR$6:$AY$6,$AK18)))&gt;0),IF(COUNTIF($AR$9:$AY$9,3)=0,TRUE,SUMPRODUCT(($AR$9:$AY$9=3)*($AR$6:$AY$6&lt;&gt;"")*ISNUMBER(SEARCH($AR$6:$AY$6,$AK18)))&gt;0),IF(COUNTIF($AR$9:$AY$9,4)=0,TRUE,SUMPRODUCT(($AR$9:$AY$9=4)*($AR$6:$AY$6&lt;&gt;"")*ISNUMBER(SEARCH($AR$6:$AY$6,$AK18)))&gt;0),IF(COUNTIF($AR$9:$AY$9,5)=0,TRUE,SUMPRODUCT(($AR$9:$AY$9=5)*($AR$6:$AY$6&lt;&gt;"")*ISNUMBER(SEARCH($AR$6:$AY$6,$AK18)))&gt;0),IF(COUNTIF($AR$9:$AY$9,6)=0,TRUE,SUMPRODUCT(($AR$9:$AY$9=6)*($AR$6:$AY$6&lt;&gt;"")*ISNUMBER(SEARCH($AR$6:$AY$6,$AK18)))&gt;0),IF(COUNTIF($AR$9:$AY$9,7)=0,TRUE,SUMPRODUCT(($AR$9:$AY$9=7)*($AR$6:$AY$6&lt;&gt;"")*ISNUMBER(SEARCH($AR$6:$AY$6,$AK18)))&gt;0),IF(COUNTIF($AR$9:$AY$9,8)=0,TRUE,SUMPRODUCT(($AR$9:$AY$9=8)*($AR$6:$AY$6&lt;&gt;"")*ISNUMBER(SEARCH($AR$6:$AY$6,$AK18)))&gt;0)),1,0)))</f>
        <v/>
      </c>
      <c r="AN18">
        <f>IF($AP18="","",IF(OR($AN$2="W",$AN$2="Z",$AN$2="AC",$AN$2="AH"),IF(ISNUMBER($AP18),$AP18,IFERROR(DATE(VALUE(RIGHT($AP18,4)),VALUE(MID($AP18,4,2)),VALUE(LEFT($AP18,2))),$AP18)),$AP18))</f>
        <v/>
      </c>
      <c r="AP18">
        <f>IFERROR(IF($AN$2="","",IF($AN$2="A",$BC18,CHOOSE(MATCH($AN$2,{"B","C","D","E","F","G","H","I","J","K","L","M","N","O","P","Q","R","S","T","U","V","W","X","Y","Z","AA","AB","AC","AD","AE","AF","AG","AH","AI"},0),'Final Calculation Sheet'!$F$17,'Final Calculation Sheet'!$G$17,'Final Calculation Sheet'!$B$17,'Final Calculation Sheet'!$D$17,'Final Calculation Sheet'!$A$17,'Final Calculation Sheet'!$E$17,'Final Calculation Sheet'!$C$17,'Final Calculation Sheet'!$H$17,'Final Calculation Sheet'!$I$17,'Final Calculation Sheet'!$J$17,'Final Calculation Sheet'!$K$17,'Final Calculation Sheet'!$L$17,'Final Calculation Sheet'!$M$17,'Final Calculation Sheet'!$N$17,'Final Calculation Sheet'!$O$17,'Final Calculation Sheet'!$P$17,'Final Calculation Sheet'!$Q$17,'Final Calculation Sheet'!$R$17,'Final Calculation Sheet'!$S$17,'Final Calculation Sheet'!$T$17,'Final Calculation Sheet'!$U$17,'Final Calculation Sheet'!$V$17,'Final Calculation Sheet'!$W$17,'Final Calculation Sheet'!$X$17,'Final Calculation Sheet'!$Y$17,'Final Calculation Sheet'!$Z$17,'Final Calculation Sheet'!$AA$17,'Final Calculation Sheet'!$AB$17,'Final Calculation Sheet'!$AC$17,'Final Calculation Sheet'!$AD$17,'Final Calculation Sheet'!$AE$17,'Final Calculation Sheet'!$AF$17,'Final Calculation Sheet'!$AG$17,IF('Final Calculation Sheet'!$AD$17="","",IF('Final Calculation Sheet'!$AD$17&lt;=0,"SETTLED","OUTSTANDING"))))),"")</f>
        <v/>
      </c>
      <c r="AZ18">
        <f>IF($B$3="",IF(COUNTIF($A$4:$AI$4,"&lt;&gt;")=0,9,IF($AM18=1,9,10)),IF($AM18=0,10,IF(AND($AR$6&lt;&gt;"",ISNUMBER(SEARCH($AR$6,$AK18))),1,IF(AND($AS$6&lt;&gt;"",ISNUMBER(SEARCH($AS$6,$AK18))),2,IF(AND($AT$6&lt;&gt;"",ISNUMBER(SEARCH($AT$6,$AK18))),3,IF(AND($AU$6&lt;&gt;"",ISNUMBER(SEARCH($AU$6,$AK18))),4,IF(AND($AV$6&lt;&gt;"",ISNUMBER(SEARCH($AV$6,$AK18))),5,IF(AND($AW$6&lt;&gt;"",ISNUMBER(SEARCH($AW$6,$AK18))),6,IF(AND($AX$6&lt;&gt;"",ISNUMBER(SEARCH($AX$6,$AK18))),7,IF(AND($AY$6&lt;&gt;"",ISNUMBER(SEARCH($AY$6,$AK18))),8,0))))))))))</f>
        <v/>
      </c>
      <c r="BA18">
        <f>IF($AN$2="",SUMPRODUCT(($AZ$5:$AZ$41=$AZ18)*($BC$5:$BC$41&lt;$BC18))+1,IF($AN18="",SUMPRODUCT(($AZ$5:$AZ$41=$AZ18)*($AN$5:$AN$41&lt;&gt;""))+SUMPRODUCT(($AZ$5:$AZ$41=$AZ18)*($AN$5:$AN$41="")*($BC$5:$BC$41&lt;$BC18))+1,IF($AL$2="▼ Descending",SUMPRODUCT(($AZ$5:$AZ$41=$AZ18)*($AN$5:$AN$41&gt;$AN18)*($AN$5:$AN$41&lt;&gt;""))+SUMPRODUCT(($AZ$5:$AZ$41=$AZ18)*($AN$5:$AN$41=$AN18)*($BC$5:$BC$41&lt;$BC18))+1,SUMPRODUCT(($AZ$5:$AZ$41=$AZ18)*($AN$5:$AN$41&lt;$AN18)*($AN$5:$AN$41&lt;&gt;""))+SUMPRODUCT(($AZ$5:$AZ$41=$AZ18)*($AN$5:$AN$41=$AN18)*($BC$5:$BC$41&lt;$BC18))+1)))</f>
        <v/>
      </c>
      <c r="BB18">
        <f>IF(INDEX($BF$4:$BF$13,$AZ18)=0,0,INDEX($BE$4:$BE$13,$AZ18)+$BA18-1)</f>
        <v/>
      </c>
      <c r="BC18" t="n">
        <v>17</v>
      </c>
      <c r="BH18">
        <f>IFERROR(MATCH(18,$BF$4:$BF$13,0),0)</f>
        <v/>
      </c>
      <c r="BI18">
        <f>IF(18=$BG$5,1,0)</f>
        <v/>
      </c>
      <c r="BJ18">
        <f>IF(OR($BH18&gt;0,$BI18=1,$BL18=1),0,IFERROR(INDEX($BC$5:$BC$41,MATCH(18,$BB$5:$BB$41,0)),0))</f>
        <v/>
      </c>
      <c r="BK18">
        <f>IF($BJ18&gt;0,IF(INDEX($AZ$5:$AZ$41,MATCH(18,$BB$5:$BB$41,0))=10,1,0),IF($BH18=10,1,0))</f>
        <v/>
      </c>
      <c r="BL18">
        <f>IF(18=$BG$4,1,0)</f>
        <v/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/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/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/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/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/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/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/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/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/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/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/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/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/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/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/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/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/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/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/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/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/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/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/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/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/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/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/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/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/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/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/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/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/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/>
      </c>
    </row>
    <row r="19" ht="15" customHeight="1" s="77">
      <c r="A19" s="67">
        <f>IF($BJ18&gt;0,INDEX($BA$5:$BA$41,MATCH(18,$BB$5:$BB$41,0)),IF(OR($BI18=1,$BL18=1,$BH18&gt;0),"∑",""))</f>
        <v/>
      </c>
      <c r="B19" s="68">
        <f>IF($BJ18&gt;0,IF(INDEX('Final Calculation Sheet'!$F$4:$F$40,$BJ18-3)="","",INDEX('Final Calculation Sheet'!$F$4:$F$40,$BJ18-3)),"")</f>
        <v/>
      </c>
      <c r="C19" s="68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/>
      </c>
      <c r="D19" s="69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/>
      </c>
      <c r="E19" s="69">
        <f>IF($BJ18&gt;0,IF(INDEX('Final Calculation Sheet'!$D$4:$D$40,$BJ18-3)="","",INDEX('Final Calculation Sheet'!$D$4:$D$40,$BJ18-3)),IF(OR($BI18=1,$BL18=1,$BH18&gt;0),"–",""))</f>
        <v/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/>
      </c>
      <c r="G19" s="69">
        <f>IF($BJ18&gt;0,IF(INDEX('Final Calculation Sheet'!$E$4:$E$40,$BJ18-3)="","",INDEX('Final Calculation Sheet'!$E$4:$E$40,$BJ18-3)),IF(OR($BI18=1,$BL18=1,$BH18&gt;0),"–",""))</f>
        <v/>
      </c>
      <c r="H19" s="70">
        <f>IF($BJ18&gt;0,IF(INDEX('Final Calculation Sheet'!$C$4:$C$40,$BJ18-3)="","",INDEX('Final Calculation Sheet'!$C$4:$C$40,$BJ18-3)),IF(OR($BI18=1,$BL18=1,$BH18&gt;0),"–",""))</f>
        <v/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/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/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/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/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/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/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/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/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/>
      </c>
      <c r="R19" s="72">
        <f>IF($BJ18&gt;0,IF(INDEX('Final Calculation Sheet'!$Q$4:$Q$40,$BJ18-3)="","",INDEX('Final Calculation Sheet'!$Q$4:$Q$40,$BJ18-3)),IF(OR($BI18=1,$BL18=1,$BH18&gt;0),"–",""))</f>
        <v/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/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/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/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/>
      </c>
      <c r="W19" s="70">
        <f>IF($BJ18&gt;0,IF(INDEX('Final Calculation Sheet'!$V$4:$V$40,$BJ18-3)="","",INDEX('Final Calculation Sheet'!$V$4:$V$40,$BJ18-3)),IF(OR($BI18=1,$BL18=1,$BH18&gt;0),"–",""))</f>
        <v/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/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/>
      </c>
      <c r="Z19" s="70">
        <f>IF($BJ18&gt;0,IF(INDEX('Final Calculation Sheet'!$Y$4:$Y$40,$BJ18-3)="","",INDEX('Final Calculation Sheet'!$Y$4:$Y$40,$BJ18-3)),IF(OR($BI18=1,$BL18=1,$BH18&gt;0),"–",""))</f>
        <v/>
      </c>
      <c r="AA19" s="70">
        <f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/>
      </c>
      <c r="AB19" s="70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/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/>
      </c>
      <c r="AF19" s="70">
        <f>IF($BJ18&gt;0,IF(INDEX('Final Calculation Sheet'!$AE$4:$AE$40,$BJ18-3)="","",INDEX('Final Calculation Sheet'!$AE$4:$AE$40,$BJ18-3)),IF(OR($BI18=1,$BL18=1,$BH18&gt;0),"–",""))</f>
        <v/>
      </c>
      <c r="AG19" s="74">
        <f>IF($BJ18&gt;0,IF(INDEX('Final Calculation Sheet'!$AF$4:$AF$40,$BJ18-3)="","",INDEX('Final Calculation Sheet'!$AF$4:$AF$40,$BJ18-3)),IF(OR($BI18=1,$BL18=1,$BH18&gt;0),"–",""))</f>
        <v/>
      </c>
      <c r="AH19" s="70">
        <f>IF($BJ18&gt;0,IF(INDEX('Final Calculation Sheet'!$AG$4:$AG$40,$BJ18-3)="","",INDEX('Final Calculation Sheet'!$AG$4:$AG$40,$BJ18-3)),IF(OR($BI18=1,$BL18=1,$BH18&gt;0),"–",""))</f>
        <v/>
      </c>
      <c r="AI19" s="75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/>
      </c>
      <c r="AJ19" s="85" t="inlineStr">
        <is>
          <t>N - Service Charge to MSTC</t>
        </is>
      </c>
      <c r="AK19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/>
      </c>
      <c r="AM19">
        <f>IF(COUNTIF($BM19:$CU19,0)&gt;0,0,IF($B$3="",1,IF(AND(IF(COUNTIF($AR$9:$AY$9,1)=0,TRUE,SUMPRODUCT(($AR$9:$AY$9=1)*($AR$6:$AY$6&lt;&gt;"")*ISNUMBER(SEARCH($AR$6:$AY$6,$AK19)))&gt;0),IF(COUNTIF($AR$9:$AY$9,2)=0,TRUE,SUMPRODUCT(($AR$9:$AY$9=2)*($AR$6:$AY$6&lt;&gt;"")*ISNUMBER(SEARCH($AR$6:$AY$6,$AK19)))&gt;0),IF(COUNTIF($AR$9:$AY$9,3)=0,TRUE,SUMPRODUCT(($AR$9:$AY$9=3)*($AR$6:$AY$6&lt;&gt;"")*ISNUMBER(SEARCH($AR$6:$AY$6,$AK19)))&gt;0),IF(COUNTIF($AR$9:$AY$9,4)=0,TRUE,SUMPRODUCT(($AR$9:$AY$9=4)*($AR$6:$AY$6&lt;&gt;"")*ISNUMBER(SEARCH($AR$6:$AY$6,$AK19)))&gt;0),IF(COUNTIF($AR$9:$AY$9,5)=0,TRUE,SUMPRODUCT(($AR$9:$AY$9=5)*($AR$6:$AY$6&lt;&gt;"")*ISNUMBER(SEARCH($AR$6:$AY$6,$AK19)))&gt;0),IF(COUNTIF($AR$9:$AY$9,6)=0,TRUE,SUMPRODUCT(($AR$9:$AY$9=6)*($AR$6:$AY$6&lt;&gt;"")*ISNUMBER(SEARCH($AR$6:$AY$6,$AK19)))&gt;0),IF(COUNTIF($AR$9:$AY$9,7)=0,TRUE,SUMPRODUCT(($AR$9:$AY$9=7)*($AR$6:$AY$6&lt;&gt;"")*ISNUMBER(SEARCH($AR$6:$AY$6,$AK19)))&gt;0),IF(COUNTIF($AR$9:$AY$9,8)=0,TRUE,SUMPRODUCT(($AR$9:$AY$9=8)*($AR$6:$AY$6&lt;&gt;"")*ISNUMBER(SEARCH($AR$6:$AY$6,$AK19)))&gt;0)),1,0)))</f>
        <v/>
      </c>
      <c r="AN19">
        <f>IF($AP19="","",IF(OR($AN$2="W",$AN$2="Z",$AN$2="AC",$AN$2="AH"),IF(ISNUMBER($AP19),$AP19,IFERROR(DATE(VALUE(RIGHT($AP19,4)),VALUE(MID($AP19,4,2)),VALUE(LEFT($AP19,2))),$AP19)),$AP19))</f>
        <v/>
      </c>
      <c r="AP19">
        <f>IFERROR(IF($AN$2="","",IF($AN$2="A",$BC19,CHOOSE(MATCH($AN$2,{"B","C","D","E","F","G","H","I","J","K","L","M","N","O","P","Q","R","S","T","U","V","W","X","Y","Z","AA","AB","AC","AD","AE","AF","AG","AH","AI"},0),'Final Calculation Sheet'!$F$18,'Final Calculation Sheet'!$G$18,'Final Calculation Sheet'!$B$18,'Final Calculation Sheet'!$D$18,'Final Calculation Sheet'!$A$18,'Final Calculation Sheet'!$E$18,'Final Calculation Sheet'!$C$18,'Final Calculation Sheet'!$H$18,'Final Calculation Sheet'!$I$18,'Final Calculation Sheet'!$J$18,'Final Calculation Sheet'!$K$18,'Final Calculation Sheet'!$L$18,'Final Calculation Sheet'!$M$18,'Final Calculation Sheet'!$N$18,'Final Calculation Sheet'!$O$18,'Final Calculation Sheet'!$P$18,'Final Calculation Sheet'!$Q$18,'Final Calculation Sheet'!$R$18,'Final Calculation Sheet'!$S$18,'Final Calculation Sheet'!$T$18,'Final Calculation Sheet'!$U$18,'Final Calculation Sheet'!$V$18,'Final Calculation Sheet'!$W$18,'Final Calculation Sheet'!$X$18,'Final Calculation Sheet'!$Y$18,'Final Calculation Sheet'!$Z$18,'Final Calculation Sheet'!$AA$18,'Final Calculation Sheet'!$AB$18,'Final Calculation Sheet'!$AC$18,'Final Calculation Sheet'!$AD$18,'Final Calculation Sheet'!$AE$18,'Final Calculation Sheet'!$AF$18,'Final Calculation Sheet'!$AG$18,IF('Final Calculation Sheet'!$AD$18="","",IF('Final Calculation Sheet'!$AD$18&lt;=0,"SETTLED","OUTSTANDING"))))),"")</f>
        <v/>
      </c>
      <c r="AZ19">
        <f>IF($B$3="",IF(COUNTIF($A$4:$AI$4,"&lt;&gt;")=0,9,IF($AM19=1,9,10)),IF($AM19=0,10,IF(AND($AR$6&lt;&gt;"",ISNUMBER(SEARCH($AR$6,$AK19))),1,IF(AND($AS$6&lt;&gt;"",ISNUMBER(SEARCH($AS$6,$AK19))),2,IF(AND($AT$6&lt;&gt;"",ISNUMBER(SEARCH($AT$6,$AK19))),3,IF(AND($AU$6&lt;&gt;"",ISNUMBER(SEARCH($AU$6,$AK19))),4,IF(AND($AV$6&lt;&gt;"",ISNUMBER(SEARCH($AV$6,$AK19))),5,IF(AND($AW$6&lt;&gt;"",ISNUMBER(SEARCH($AW$6,$AK19))),6,IF(AND($AX$6&lt;&gt;"",ISNUMBER(SEARCH($AX$6,$AK19))),7,IF(AND($AY$6&lt;&gt;"",ISNUMBER(SEARCH($AY$6,$AK19))),8,0))))))))))</f>
        <v/>
      </c>
      <c r="BA19">
        <f>IF($AN$2="",SUMPRODUCT(($AZ$5:$AZ$41=$AZ19)*($BC$5:$BC$41&lt;$BC19))+1,IF($AN19="",SUMPRODUCT(($AZ$5:$AZ$41=$AZ19)*($AN$5:$AN$41&lt;&gt;""))+SUMPRODUCT(($AZ$5:$AZ$41=$AZ19)*($AN$5:$AN$41="")*($BC$5:$BC$41&lt;$BC19))+1,IF($AL$2="▼ Descending",SUMPRODUCT(($AZ$5:$AZ$41=$AZ19)*($AN$5:$AN$41&gt;$AN19)*($AN$5:$AN$41&lt;&gt;""))+SUMPRODUCT(($AZ$5:$AZ$41=$AZ19)*($AN$5:$AN$41=$AN19)*($BC$5:$BC$41&lt;$BC19))+1,SUMPRODUCT(($AZ$5:$AZ$41=$AZ19)*($AN$5:$AN$41&lt;$AN19)*($AN$5:$AN$41&lt;&gt;""))+SUMPRODUCT(($AZ$5:$AZ$41=$AZ19)*($AN$5:$AN$41=$AN19)*($BC$5:$BC$41&lt;$BC19))+1)))</f>
        <v/>
      </c>
      <c r="BB19">
        <f>IF(INDEX($BF$4:$BF$13,$AZ19)=0,0,INDEX($BE$4:$BE$13,$AZ19)+$BA19-1)</f>
        <v/>
      </c>
      <c r="BC19" t="n">
        <v>18</v>
      </c>
      <c r="BH19">
        <f>IFERROR(MATCH(19,$BF$4:$BF$13,0),0)</f>
        <v/>
      </c>
      <c r="BI19">
        <f>IF(19=$BG$5,1,0)</f>
        <v/>
      </c>
      <c r="BJ19">
        <f>IF(OR($BH19&gt;0,$BI19=1,$BL19=1),0,IFERROR(INDEX($BC$5:$BC$41,MATCH(19,$BB$5:$BB$41,0)),0))</f>
        <v/>
      </c>
      <c r="BK19">
        <f>IF($BJ19&gt;0,IF(INDEX($AZ$5:$AZ$41,MATCH(19,$BB$5:$BB$41,0))=10,1,0),IF($BH19=10,1,0))</f>
        <v/>
      </c>
      <c r="BL19">
        <f>IF(19=$BG$4,1,0)</f>
        <v/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/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/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/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/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/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/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/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/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/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/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/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/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/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/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/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/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/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/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/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/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/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/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/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/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/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/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/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/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/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/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/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/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/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/>
      </c>
    </row>
    <row r="20" ht="15" customHeight="1" s="77">
      <c r="A20" s="67">
        <f>IF($BJ19&gt;0,INDEX($BA$5:$BA$41,MATCH(19,$BB$5:$BB$41,0)),IF(OR($BI19=1,$BL19=1,$BH19&gt;0),"∑",""))</f>
        <v/>
      </c>
      <c r="B20" s="68">
        <f>IF($BJ19&gt;0,IF(INDEX('Final Calculation Sheet'!$F$4:$F$40,$BJ19-3)="","",INDEX('Final Calculation Sheet'!$F$4:$F$40,$BJ19-3)),"")</f>
        <v/>
      </c>
      <c r="C20" s="68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/>
      </c>
      <c r="D20" s="69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/>
      </c>
      <c r="E20" s="69">
        <f>IF($BJ19&gt;0,IF(INDEX('Final Calculation Sheet'!$D$4:$D$40,$BJ19-3)="","",INDEX('Final Calculation Sheet'!$D$4:$D$40,$BJ19-3)),IF(OR($BI19=1,$BL19=1,$BH19&gt;0),"–",""))</f>
        <v/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/>
      </c>
      <c r="G20" s="69">
        <f>IF($BJ19&gt;0,IF(INDEX('Final Calculation Sheet'!$E$4:$E$40,$BJ19-3)="","",INDEX('Final Calculation Sheet'!$E$4:$E$40,$BJ19-3)),IF(OR($BI19=1,$BL19=1,$BH19&gt;0),"–",""))</f>
        <v/>
      </c>
      <c r="H20" s="70">
        <f>IF($BJ19&gt;0,IF(INDEX('Final Calculation Sheet'!$C$4:$C$40,$BJ19-3)="","",INDEX('Final Calculation Sheet'!$C$4:$C$40,$BJ19-3)),IF(OR($BI19=1,$BL19=1,$BH19&gt;0),"–",""))</f>
        <v/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/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/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/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/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/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/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/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/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/>
      </c>
      <c r="R20" s="72">
        <f>IF($BJ19&gt;0,IF(INDEX('Final Calculation Sheet'!$Q$4:$Q$40,$BJ19-3)="","",INDEX('Final Calculation Sheet'!$Q$4:$Q$40,$BJ19-3)),IF(OR($BI19=1,$BL19=1,$BH19&gt;0),"–",""))</f>
        <v/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/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/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/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/>
      </c>
      <c r="W20" s="70">
        <f>IF($BJ19&gt;0,IF(INDEX('Final Calculation Sheet'!$V$4:$V$40,$BJ19-3)="","",INDEX('Final Calculation Sheet'!$V$4:$V$40,$BJ19-3)),IF(OR($BI19=1,$BL19=1,$BH19&gt;0),"–",""))</f>
        <v/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/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/>
      </c>
      <c r="Z20" s="70">
        <f>IF($BJ19&gt;0,IF(INDEX('Final Calculation Sheet'!$Y$4:$Y$40,$BJ19-3)="","",INDEX('Final Calculation Sheet'!$Y$4:$Y$40,$BJ19-3)),IF(OR($BI19=1,$BL19=1,$BH19&gt;0),"–",""))</f>
        <v/>
      </c>
      <c r="AA20" s="70">
        <f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/>
      </c>
      <c r="AB20" s="70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/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/>
      </c>
      <c r="AF20" s="70">
        <f>IF($BJ19&gt;0,IF(INDEX('Final Calculation Sheet'!$AE$4:$AE$40,$BJ19-3)="","",INDEX('Final Calculation Sheet'!$AE$4:$AE$40,$BJ19-3)),IF(OR($BI19=1,$BL19=1,$BH19&gt;0),"–",""))</f>
        <v/>
      </c>
      <c r="AG20" s="74">
        <f>IF($BJ19&gt;0,IF(INDEX('Final Calculation Sheet'!$AF$4:$AF$40,$BJ19-3)="","",INDEX('Final Calculation Sheet'!$AF$4:$AF$40,$BJ19-3)),IF(OR($BI19=1,$BL19=1,$BH19&gt;0),"–",""))</f>
        <v/>
      </c>
      <c r="AH20" s="70">
        <f>IF($BJ19&gt;0,IF(INDEX('Final Calculation Sheet'!$AG$4:$AG$40,$BJ19-3)="","",INDEX('Final Calculation Sheet'!$AG$4:$AG$40,$BJ19-3)),IF(OR($BI19=1,$BL19=1,$BH19&gt;0),"–",""))</f>
        <v/>
      </c>
      <c r="AI20" s="75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/>
      </c>
      <c r="AJ20" s="85" t="inlineStr">
        <is>
          <t>O - TDS u/s 194(H)</t>
        </is>
      </c>
      <c r="AK20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/>
      </c>
      <c r="AM20">
        <f>IF(COUNTIF($BM20:$CU20,0)&gt;0,0,IF($B$3="",1,IF(AND(IF(COUNTIF($AR$9:$AY$9,1)=0,TRUE,SUMPRODUCT(($AR$9:$AY$9=1)*($AR$6:$AY$6&lt;&gt;"")*ISNUMBER(SEARCH($AR$6:$AY$6,$AK20)))&gt;0),IF(COUNTIF($AR$9:$AY$9,2)=0,TRUE,SUMPRODUCT(($AR$9:$AY$9=2)*($AR$6:$AY$6&lt;&gt;"")*ISNUMBER(SEARCH($AR$6:$AY$6,$AK20)))&gt;0),IF(COUNTIF($AR$9:$AY$9,3)=0,TRUE,SUMPRODUCT(($AR$9:$AY$9=3)*($AR$6:$AY$6&lt;&gt;"")*ISNUMBER(SEARCH($AR$6:$AY$6,$AK20)))&gt;0),IF(COUNTIF($AR$9:$AY$9,4)=0,TRUE,SUMPRODUCT(($AR$9:$AY$9=4)*($AR$6:$AY$6&lt;&gt;"")*ISNUMBER(SEARCH($AR$6:$AY$6,$AK20)))&gt;0),IF(COUNTIF($AR$9:$AY$9,5)=0,TRUE,SUMPRODUCT(($AR$9:$AY$9=5)*($AR$6:$AY$6&lt;&gt;"")*ISNUMBER(SEARCH($AR$6:$AY$6,$AK20)))&gt;0),IF(COUNTIF($AR$9:$AY$9,6)=0,TRUE,SUMPRODUCT(($AR$9:$AY$9=6)*($AR$6:$AY$6&lt;&gt;"")*ISNUMBER(SEARCH($AR$6:$AY$6,$AK20)))&gt;0),IF(COUNTIF($AR$9:$AY$9,7)=0,TRUE,SUMPRODUCT(($AR$9:$AY$9=7)*($AR$6:$AY$6&lt;&gt;"")*ISNUMBER(SEARCH($AR$6:$AY$6,$AK20)))&gt;0),IF(COUNTIF($AR$9:$AY$9,8)=0,TRUE,SUMPRODUCT(($AR$9:$AY$9=8)*($AR$6:$AY$6&lt;&gt;"")*ISNUMBER(SEARCH($AR$6:$AY$6,$AK20)))&gt;0)),1,0)))</f>
        <v/>
      </c>
      <c r="AN20">
        <f>IF($AP20="","",IF(OR($AN$2="W",$AN$2="Z",$AN$2="AC",$AN$2="AH"),IF(ISNUMBER($AP20),$AP20,IFERROR(DATE(VALUE(RIGHT($AP20,4)),VALUE(MID($AP20,4,2)),VALUE(LEFT($AP20,2))),$AP20)),$AP20))</f>
        <v/>
      </c>
      <c r="AP20">
        <f>IFERROR(IF($AN$2="","",IF($AN$2="A",$BC20,CHOOSE(MATCH($AN$2,{"B","C","D","E","F","G","H","I","J","K","L","M","N","O","P","Q","R","S","T","U","V","W","X","Y","Z","AA","AB","AC","AD","AE","AF","AG","AH","AI"},0),'Final Calculation Sheet'!$F$19,'Final Calculation Sheet'!$G$19,'Final Calculation Sheet'!$B$19,'Final Calculation Sheet'!$D$19,'Final Calculation Sheet'!$A$19,'Final Calculation Sheet'!$E$19,'Final Calculation Sheet'!$C$19,'Final Calculation Sheet'!$H$19,'Final Calculation Sheet'!$I$19,'Final Calculation Sheet'!$J$19,'Final Calculation Sheet'!$K$19,'Final Calculation Sheet'!$L$19,'Final Calculation Sheet'!$M$19,'Final Calculation Sheet'!$N$19,'Final Calculation Sheet'!$O$19,'Final Calculation Sheet'!$P$19,'Final Calculation Sheet'!$Q$19,'Final Calculation Sheet'!$R$19,'Final Calculation Sheet'!$S$19,'Final Calculation Sheet'!$T$19,'Final Calculation Sheet'!$U$19,'Final Calculation Sheet'!$V$19,'Final Calculation Sheet'!$W$19,'Final Calculation Sheet'!$X$19,'Final Calculation Sheet'!$Y$19,'Final Calculation Sheet'!$Z$19,'Final Calculation Sheet'!$AA$19,'Final Calculation Sheet'!$AB$19,'Final Calculation Sheet'!$AC$19,'Final Calculation Sheet'!$AD$19,'Final Calculation Sheet'!$AE$19,'Final Calculation Sheet'!$AF$19,'Final Calculation Sheet'!$AG$19,IF('Final Calculation Sheet'!$AD$19="","",IF('Final Calculation Sheet'!$AD$19&lt;=0,"SETTLED","OUTSTANDING"))))),"")</f>
        <v/>
      </c>
      <c r="AZ20">
        <f>IF($B$3="",IF(COUNTIF($A$4:$AI$4,"&lt;&gt;")=0,9,IF($AM20=1,9,10)),IF($AM20=0,10,IF(AND($AR$6&lt;&gt;"",ISNUMBER(SEARCH($AR$6,$AK20))),1,IF(AND($AS$6&lt;&gt;"",ISNUMBER(SEARCH($AS$6,$AK20))),2,IF(AND($AT$6&lt;&gt;"",ISNUMBER(SEARCH($AT$6,$AK20))),3,IF(AND($AU$6&lt;&gt;"",ISNUMBER(SEARCH($AU$6,$AK20))),4,IF(AND($AV$6&lt;&gt;"",ISNUMBER(SEARCH($AV$6,$AK20))),5,IF(AND($AW$6&lt;&gt;"",ISNUMBER(SEARCH($AW$6,$AK20))),6,IF(AND($AX$6&lt;&gt;"",ISNUMBER(SEARCH($AX$6,$AK20))),7,IF(AND($AY$6&lt;&gt;"",ISNUMBER(SEARCH($AY$6,$AK20))),8,0))))))))))</f>
        <v/>
      </c>
      <c r="BA20">
        <f>IF($AN$2="",SUMPRODUCT(($AZ$5:$AZ$41=$AZ20)*($BC$5:$BC$41&lt;$BC20))+1,IF($AN20="",SUMPRODUCT(($AZ$5:$AZ$41=$AZ20)*($AN$5:$AN$41&lt;&gt;""))+SUMPRODUCT(($AZ$5:$AZ$41=$AZ20)*($AN$5:$AN$41="")*($BC$5:$BC$41&lt;$BC20))+1,IF($AL$2="▼ Descending",SUMPRODUCT(($AZ$5:$AZ$41=$AZ20)*($AN$5:$AN$41&gt;$AN20)*($AN$5:$AN$41&lt;&gt;""))+SUMPRODUCT(($AZ$5:$AZ$41=$AZ20)*($AN$5:$AN$41=$AN20)*($BC$5:$BC$41&lt;$BC20))+1,SUMPRODUCT(($AZ$5:$AZ$41=$AZ20)*($AN$5:$AN$41&lt;$AN20)*($AN$5:$AN$41&lt;&gt;""))+SUMPRODUCT(($AZ$5:$AZ$41=$AZ20)*($AN$5:$AN$41=$AN20)*($BC$5:$BC$41&lt;$BC20))+1)))</f>
        <v/>
      </c>
      <c r="BB20">
        <f>IF(INDEX($BF$4:$BF$13,$AZ20)=0,0,INDEX($BE$4:$BE$13,$AZ20)+$BA20-1)</f>
        <v/>
      </c>
      <c r="BC20" t="n">
        <v>19</v>
      </c>
      <c r="BH20">
        <f>IFERROR(MATCH(20,$BF$4:$BF$13,0),0)</f>
        <v/>
      </c>
      <c r="BI20">
        <f>IF(20=$BG$5,1,0)</f>
        <v/>
      </c>
      <c r="BJ20">
        <f>IF(OR($BH20&gt;0,$BI20=1,$BL20=1),0,IFERROR(INDEX($BC$5:$BC$41,MATCH(20,$BB$5:$BB$41,0)),0))</f>
        <v/>
      </c>
      <c r="BK20">
        <f>IF($BJ20&gt;0,IF(INDEX($AZ$5:$AZ$41,MATCH(20,$BB$5:$BB$41,0))=10,1,0),IF($BH20=10,1,0))</f>
        <v/>
      </c>
      <c r="BL20">
        <f>IF(20=$BG$4,1,0)</f>
        <v/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/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/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/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/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/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/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/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/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/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/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/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/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/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/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/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/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/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/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/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/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/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/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/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/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/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/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/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/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/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/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/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/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/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/>
      </c>
    </row>
    <row r="21" ht="15" customHeight="1" s="77">
      <c r="A21" s="67">
        <f>IF($BJ20&gt;0,INDEX($BA$5:$BA$41,MATCH(20,$BB$5:$BB$41,0)),IF(OR($BI20=1,$BL20=1,$BH20&gt;0),"∑",""))</f>
        <v/>
      </c>
      <c r="B21" s="68">
        <f>IF($BJ20&gt;0,IF(INDEX('Final Calculation Sheet'!$F$4:$F$40,$BJ20-3)="","",INDEX('Final Calculation Sheet'!$F$4:$F$40,$BJ20-3)),"")</f>
        <v/>
      </c>
      <c r="C21" s="68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/>
      </c>
      <c r="D21" s="69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/>
      </c>
      <c r="E21" s="69">
        <f>IF($BJ20&gt;0,IF(INDEX('Final Calculation Sheet'!$D$4:$D$40,$BJ20-3)="","",INDEX('Final Calculation Sheet'!$D$4:$D$40,$BJ20-3)),IF(OR($BI20=1,$BL20=1,$BH20&gt;0),"–",""))</f>
        <v/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/>
      </c>
      <c r="G21" s="69">
        <f>IF($BJ20&gt;0,IF(INDEX('Final Calculation Sheet'!$E$4:$E$40,$BJ20-3)="","",INDEX('Final Calculation Sheet'!$E$4:$E$40,$BJ20-3)),IF(OR($BI20=1,$BL20=1,$BH20&gt;0),"–",""))</f>
        <v/>
      </c>
      <c r="H21" s="70">
        <f>IF($BJ20&gt;0,IF(INDEX('Final Calculation Sheet'!$C$4:$C$40,$BJ20-3)="","",INDEX('Final Calculation Sheet'!$C$4:$C$40,$BJ20-3)),IF(OR($BI20=1,$BL20=1,$BH20&gt;0),"–",""))</f>
        <v/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/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/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/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/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/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/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/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/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/>
      </c>
      <c r="R21" s="72">
        <f>IF($BJ20&gt;0,IF(INDEX('Final Calculation Sheet'!$Q$4:$Q$40,$BJ20-3)="","",INDEX('Final Calculation Sheet'!$Q$4:$Q$40,$BJ20-3)),IF(OR($BI20=1,$BL20=1,$BH20&gt;0),"–",""))</f>
        <v/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/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/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/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/>
      </c>
      <c r="W21" s="70">
        <f>IF($BJ20&gt;0,IF(INDEX('Final Calculation Sheet'!$V$4:$V$40,$BJ20-3)="","",INDEX('Final Calculation Sheet'!$V$4:$V$40,$BJ20-3)),IF(OR($BI20=1,$BL20=1,$BH20&gt;0),"–",""))</f>
        <v/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/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/>
      </c>
      <c r="Z21" s="70">
        <f>IF($BJ20&gt;0,IF(INDEX('Final Calculation Sheet'!$Y$4:$Y$40,$BJ20-3)="","",INDEX('Final Calculation Sheet'!$Y$4:$Y$40,$BJ20-3)),IF(OR($BI20=1,$BL20=1,$BH20&gt;0),"–",""))</f>
        <v/>
      </c>
      <c r="AA21" s="70">
        <f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/>
      </c>
      <c r="AB21" s="70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/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/>
      </c>
      <c r="AF21" s="70">
        <f>IF($BJ20&gt;0,IF(INDEX('Final Calculation Sheet'!$AE$4:$AE$40,$BJ20-3)="","",INDEX('Final Calculation Sheet'!$AE$4:$AE$40,$BJ20-3)),IF(OR($BI20=1,$BL20=1,$BH20&gt;0),"–",""))</f>
        <v/>
      </c>
      <c r="AG21" s="74">
        <f>IF($BJ20&gt;0,IF(INDEX('Final Calculation Sheet'!$AF$4:$AF$40,$BJ20-3)="","",INDEX('Final Calculation Sheet'!$AF$4:$AF$40,$BJ20-3)),IF(OR($BI20=1,$BL20=1,$BH20&gt;0),"–",""))</f>
        <v/>
      </c>
      <c r="AH21" s="70">
        <f>IF($BJ20&gt;0,IF(INDEX('Final Calculation Sheet'!$AG$4:$AG$40,$BJ20-3)="","",INDEX('Final Calculation Sheet'!$AG$4:$AG$40,$BJ20-3)),IF(OR($BI20=1,$BL20=1,$BH20&gt;0),"–",""))</f>
        <v/>
      </c>
      <c r="AI21" s="75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/>
      </c>
      <c r="AJ21" s="85" t="inlineStr">
        <is>
          <t>P - Net Service Charge (post TDS 194H)</t>
        </is>
      </c>
      <c r="AK21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/>
      </c>
      <c r="AM21">
        <f>IF(COUNTIF($BM21:$CU21,0)&gt;0,0,IF($B$3="",1,IF(AND(IF(COUNTIF($AR$9:$AY$9,1)=0,TRUE,SUMPRODUCT(($AR$9:$AY$9=1)*($AR$6:$AY$6&lt;&gt;"")*ISNUMBER(SEARCH($AR$6:$AY$6,$AK21)))&gt;0),IF(COUNTIF($AR$9:$AY$9,2)=0,TRUE,SUMPRODUCT(($AR$9:$AY$9=2)*($AR$6:$AY$6&lt;&gt;"")*ISNUMBER(SEARCH($AR$6:$AY$6,$AK21)))&gt;0),IF(COUNTIF($AR$9:$AY$9,3)=0,TRUE,SUMPRODUCT(($AR$9:$AY$9=3)*($AR$6:$AY$6&lt;&gt;"")*ISNUMBER(SEARCH($AR$6:$AY$6,$AK21)))&gt;0),IF(COUNTIF($AR$9:$AY$9,4)=0,TRUE,SUMPRODUCT(($AR$9:$AY$9=4)*($AR$6:$AY$6&lt;&gt;"")*ISNUMBER(SEARCH($AR$6:$AY$6,$AK21)))&gt;0),IF(COUNTIF($AR$9:$AY$9,5)=0,TRUE,SUMPRODUCT(($AR$9:$AY$9=5)*($AR$6:$AY$6&lt;&gt;"")*ISNUMBER(SEARCH($AR$6:$AY$6,$AK21)))&gt;0),IF(COUNTIF($AR$9:$AY$9,6)=0,TRUE,SUMPRODUCT(($AR$9:$AY$9=6)*($AR$6:$AY$6&lt;&gt;"")*ISNUMBER(SEARCH($AR$6:$AY$6,$AK21)))&gt;0),IF(COUNTIF($AR$9:$AY$9,7)=0,TRUE,SUMPRODUCT(($AR$9:$AY$9=7)*($AR$6:$AY$6&lt;&gt;"")*ISNUMBER(SEARCH($AR$6:$AY$6,$AK21)))&gt;0),IF(COUNTIF($AR$9:$AY$9,8)=0,TRUE,SUMPRODUCT(($AR$9:$AY$9=8)*($AR$6:$AY$6&lt;&gt;"")*ISNUMBER(SEARCH($AR$6:$AY$6,$AK21)))&gt;0)),1,0)))</f>
        <v/>
      </c>
      <c r="AN21">
        <f>IF($AP21="","",IF(OR($AN$2="W",$AN$2="Z",$AN$2="AC",$AN$2="AH"),IF(ISNUMBER($AP21),$AP21,IFERROR(DATE(VALUE(RIGHT($AP21,4)),VALUE(MID($AP21,4,2)),VALUE(LEFT($AP21,2))),$AP21)),$AP21))</f>
        <v/>
      </c>
      <c r="AP21">
        <f>IFERROR(IF($AN$2="","",IF($AN$2="A",$BC21,CHOOSE(MATCH($AN$2,{"B","C","D","E","F","G","H","I","J","K","L","M","N","O","P","Q","R","S","T","U","V","W","X","Y","Z","AA","AB","AC","AD","AE","AF","AG","AH","AI"},0),'Final Calculation Sheet'!$F$20,'Final Calculation Sheet'!$G$20,'Final Calculation Sheet'!$B$20,'Final Calculation Sheet'!$D$20,'Final Calculation Sheet'!$A$20,'Final Calculation Sheet'!$E$20,'Final Calculation Sheet'!$C$20,'Final Calculation Sheet'!$H$20,'Final Calculation Sheet'!$I$20,'Final Calculation Sheet'!$J$20,'Final Calculation Sheet'!$K$20,'Final Calculation Sheet'!$L$20,'Final Calculation Sheet'!$M$20,'Final Calculation Sheet'!$N$20,'Final Calculation Sheet'!$O$20,'Final Calculation Sheet'!$P$20,'Final Calculation Sheet'!$Q$20,'Final Calculation Sheet'!$R$20,'Final Calculation Sheet'!$S$20,'Final Calculation Sheet'!$T$20,'Final Calculation Sheet'!$U$20,'Final Calculation Sheet'!$V$20,'Final Calculation Sheet'!$W$20,'Final Calculation Sheet'!$X$20,'Final Calculation Sheet'!$Y$20,'Final Calculation Sheet'!$Z$20,'Final Calculation Sheet'!$AA$20,'Final Calculation Sheet'!$AB$20,'Final Calculation Sheet'!$AC$20,'Final Calculation Sheet'!$AD$20,'Final Calculation Sheet'!$AE$20,'Final Calculation Sheet'!$AF$20,'Final Calculation Sheet'!$AG$20,IF('Final Calculation Sheet'!$AD$20="","",IF('Final Calculation Sheet'!$AD$20&lt;=0,"SETTLED","OUTSTANDING"))))),"")</f>
        <v/>
      </c>
      <c r="AZ21">
        <f>IF($B$3="",IF(COUNTIF($A$4:$AI$4,"&lt;&gt;")=0,9,IF($AM21=1,9,10)),IF($AM21=0,10,IF(AND($AR$6&lt;&gt;"",ISNUMBER(SEARCH($AR$6,$AK21))),1,IF(AND($AS$6&lt;&gt;"",ISNUMBER(SEARCH($AS$6,$AK21))),2,IF(AND($AT$6&lt;&gt;"",ISNUMBER(SEARCH($AT$6,$AK21))),3,IF(AND($AU$6&lt;&gt;"",ISNUMBER(SEARCH($AU$6,$AK21))),4,IF(AND($AV$6&lt;&gt;"",ISNUMBER(SEARCH($AV$6,$AK21))),5,IF(AND($AW$6&lt;&gt;"",ISNUMBER(SEARCH($AW$6,$AK21))),6,IF(AND($AX$6&lt;&gt;"",ISNUMBER(SEARCH($AX$6,$AK21))),7,IF(AND($AY$6&lt;&gt;"",ISNUMBER(SEARCH($AY$6,$AK21))),8,0))))))))))</f>
        <v/>
      </c>
      <c r="BA21">
        <f>IF($AN$2="",SUMPRODUCT(($AZ$5:$AZ$41=$AZ21)*($BC$5:$BC$41&lt;$BC21))+1,IF($AN21="",SUMPRODUCT(($AZ$5:$AZ$41=$AZ21)*($AN$5:$AN$41&lt;&gt;""))+SUMPRODUCT(($AZ$5:$AZ$41=$AZ21)*($AN$5:$AN$41="")*($BC$5:$BC$41&lt;$BC21))+1,IF($AL$2="▼ Descending",SUMPRODUCT(($AZ$5:$AZ$41=$AZ21)*($AN$5:$AN$41&gt;$AN21)*($AN$5:$AN$41&lt;&gt;""))+SUMPRODUCT(($AZ$5:$AZ$41=$AZ21)*($AN$5:$AN$41=$AN21)*($BC$5:$BC$41&lt;$BC21))+1,SUMPRODUCT(($AZ$5:$AZ$41=$AZ21)*($AN$5:$AN$41&lt;$AN21)*($AN$5:$AN$41&lt;&gt;""))+SUMPRODUCT(($AZ$5:$AZ$41=$AZ21)*($AN$5:$AN$41=$AN21)*($BC$5:$BC$41&lt;$BC21))+1)))</f>
        <v/>
      </c>
      <c r="BB21">
        <f>IF(INDEX($BF$4:$BF$13,$AZ21)=0,0,INDEX($BE$4:$BE$13,$AZ21)+$BA21-1)</f>
        <v/>
      </c>
      <c r="BC21" t="n">
        <v>20</v>
      </c>
      <c r="BH21">
        <f>IFERROR(MATCH(21,$BF$4:$BF$13,0),0)</f>
        <v/>
      </c>
      <c r="BI21">
        <f>IF(21=$BG$5,1,0)</f>
        <v/>
      </c>
      <c r="BJ21">
        <f>IF(OR($BH21&gt;0,$BI21=1,$BL21=1),0,IFERROR(INDEX($BC$5:$BC$41,MATCH(21,$BB$5:$BB$41,0)),0))</f>
        <v/>
      </c>
      <c r="BK21">
        <f>IF($BJ21&gt;0,IF(INDEX($AZ$5:$AZ$41,MATCH(21,$BB$5:$BB$41,0))=10,1,0),IF($BH21=10,1,0))</f>
        <v/>
      </c>
      <c r="BL21">
        <f>IF(21=$BG$4,1,0)</f>
        <v/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/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/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/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/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/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/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/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/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/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/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/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/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/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/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/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/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/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/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/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/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/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/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/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/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/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/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/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/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/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/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/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/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/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/>
      </c>
    </row>
    <row r="22" ht="15" customHeight="1" s="77">
      <c r="A22" s="67">
        <f>IF($BJ21&gt;0,INDEX($BA$5:$BA$41,MATCH(21,$BB$5:$BB$41,0)),IF(OR($BI21=1,$BL21=1,$BH21&gt;0),"∑",""))</f>
        <v/>
      </c>
      <c r="B22" s="68">
        <f>IF($BJ21&gt;0,IF(INDEX('Final Calculation Sheet'!$F$4:$F$40,$BJ21-3)="","",INDEX('Final Calculation Sheet'!$F$4:$F$40,$BJ21-3)),"")</f>
        <v/>
      </c>
      <c r="C22" s="68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/>
      </c>
      <c r="D22" s="69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/>
      </c>
      <c r="E22" s="69">
        <f>IF($BJ21&gt;0,IF(INDEX('Final Calculation Sheet'!$D$4:$D$40,$BJ21-3)="","",INDEX('Final Calculation Sheet'!$D$4:$D$40,$BJ21-3)),IF(OR($BI21=1,$BL21=1,$BH21&gt;0),"–",""))</f>
        <v/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/>
      </c>
      <c r="G22" s="69">
        <f>IF($BJ21&gt;0,IF(INDEX('Final Calculation Sheet'!$E$4:$E$40,$BJ21-3)="","",INDEX('Final Calculation Sheet'!$E$4:$E$40,$BJ21-3)),IF(OR($BI21=1,$BL21=1,$BH21&gt;0),"–",""))</f>
        <v/>
      </c>
      <c r="H22" s="70">
        <f>IF($BJ21&gt;0,IF(INDEX('Final Calculation Sheet'!$C$4:$C$40,$BJ21-3)="","",INDEX('Final Calculation Sheet'!$C$4:$C$40,$BJ21-3)),IF(OR($BI21=1,$BL21=1,$BH21&gt;0),"–",""))</f>
        <v/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/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/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/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/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/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/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/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/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/>
      </c>
      <c r="R22" s="72">
        <f>IF($BJ21&gt;0,IF(INDEX('Final Calculation Sheet'!$Q$4:$Q$40,$BJ21-3)="","",INDEX('Final Calculation Sheet'!$Q$4:$Q$40,$BJ21-3)),IF(OR($BI21=1,$BL21=1,$BH21&gt;0),"–",""))</f>
        <v/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/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/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/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/>
      </c>
      <c r="W22" s="70">
        <f>IF($BJ21&gt;0,IF(INDEX('Final Calculation Sheet'!$V$4:$V$40,$BJ21-3)="","",INDEX('Final Calculation Sheet'!$V$4:$V$40,$BJ21-3)),IF(OR($BI21=1,$BL21=1,$BH21&gt;0),"–",""))</f>
        <v/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/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/>
      </c>
      <c r="Z22" s="70">
        <f>IF($BJ21&gt;0,IF(INDEX('Final Calculation Sheet'!$Y$4:$Y$40,$BJ21-3)="","",INDEX('Final Calculation Sheet'!$Y$4:$Y$40,$BJ21-3)),IF(OR($BI21=1,$BL21=1,$BH21&gt;0),"–",""))</f>
        <v/>
      </c>
      <c r="AA22" s="70">
        <f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/>
      </c>
      <c r="AB22" s="70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/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/>
      </c>
      <c r="AF22" s="70">
        <f>IF($BJ21&gt;0,IF(INDEX('Final Calculation Sheet'!$AE$4:$AE$40,$BJ21-3)="","",INDEX('Final Calculation Sheet'!$AE$4:$AE$40,$BJ21-3)),IF(OR($BI21=1,$BL21=1,$BH21&gt;0),"–",""))</f>
        <v/>
      </c>
      <c r="AG22" s="74">
        <f>IF($BJ21&gt;0,IF(INDEX('Final Calculation Sheet'!$AF$4:$AF$40,$BJ21-3)="","",INDEX('Final Calculation Sheet'!$AF$4:$AF$40,$BJ21-3)),IF(OR($BI21=1,$BL21=1,$BH21&gt;0),"–",""))</f>
        <v/>
      </c>
      <c r="AH22" s="70">
        <f>IF($BJ21&gt;0,IF(INDEX('Final Calculation Sheet'!$AG$4:$AG$40,$BJ21-3)="","",INDEX('Final Calculation Sheet'!$AG$4:$AG$40,$BJ21-3)),IF(OR($BI21=1,$BL21=1,$BH21&gt;0),"–",""))</f>
        <v/>
      </c>
      <c r="AI22" s="75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/>
      </c>
      <c r="AJ22" s="85" t="inlineStr">
        <is>
          <t>Q - Service charge to MSTC</t>
        </is>
      </c>
      <c r="AK22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/>
      </c>
      <c r="AM22">
        <f>IF(COUNTIF($BM22:$CU22,0)&gt;0,0,IF($B$3="",1,IF(AND(IF(COUNTIF($AR$9:$AY$9,1)=0,TRUE,SUMPRODUCT(($AR$9:$AY$9=1)*($AR$6:$AY$6&lt;&gt;"")*ISNUMBER(SEARCH($AR$6:$AY$6,$AK22)))&gt;0),IF(COUNTIF($AR$9:$AY$9,2)=0,TRUE,SUMPRODUCT(($AR$9:$AY$9=2)*($AR$6:$AY$6&lt;&gt;"")*ISNUMBER(SEARCH($AR$6:$AY$6,$AK22)))&gt;0),IF(COUNTIF($AR$9:$AY$9,3)=0,TRUE,SUMPRODUCT(($AR$9:$AY$9=3)*($AR$6:$AY$6&lt;&gt;"")*ISNUMBER(SEARCH($AR$6:$AY$6,$AK22)))&gt;0),IF(COUNTIF($AR$9:$AY$9,4)=0,TRUE,SUMPRODUCT(($AR$9:$AY$9=4)*($AR$6:$AY$6&lt;&gt;"")*ISNUMBER(SEARCH($AR$6:$AY$6,$AK22)))&gt;0),IF(COUNTIF($AR$9:$AY$9,5)=0,TRUE,SUMPRODUCT(($AR$9:$AY$9=5)*($AR$6:$AY$6&lt;&gt;"")*ISNUMBER(SEARCH($AR$6:$AY$6,$AK22)))&gt;0),IF(COUNTIF($AR$9:$AY$9,6)=0,TRUE,SUMPRODUCT(($AR$9:$AY$9=6)*($AR$6:$AY$6&lt;&gt;"")*ISNUMBER(SEARCH($AR$6:$AY$6,$AK22)))&gt;0),IF(COUNTIF($AR$9:$AY$9,7)=0,TRUE,SUMPRODUCT(($AR$9:$AY$9=7)*($AR$6:$AY$6&lt;&gt;"")*ISNUMBER(SEARCH($AR$6:$AY$6,$AK22)))&gt;0),IF(COUNTIF($AR$9:$AY$9,8)=0,TRUE,SUMPRODUCT(($AR$9:$AY$9=8)*($AR$6:$AY$6&lt;&gt;"")*ISNUMBER(SEARCH($AR$6:$AY$6,$AK22)))&gt;0)),1,0)))</f>
        <v/>
      </c>
      <c r="AN22">
        <f>IF($AP22="","",IF(OR($AN$2="W",$AN$2="Z",$AN$2="AC",$AN$2="AH"),IF(ISNUMBER($AP22),$AP22,IFERROR(DATE(VALUE(RIGHT($AP22,4)),VALUE(MID($AP22,4,2)),VALUE(LEFT($AP22,2))),$AP22)),$AP22))</f>
        <v/>
      </c>
      <c r="AP22">
        <f>IFERROR(IF($AN$2="","",IF($AN$2="A",$BC22,CHOOSE(MATCH($AN$2,{"B","C","D","E","F","G","H","I","J","K","L","M","N","O","P","Q","R","S","T","U","V","W","X","Y","Z","AA","AB","AC","AD","AE","AF","AG","AH","AI"},0),'Final Calculation Sheet'!$F$21,'Final Calculation Sheet'!$G$21,'Final Calculation Sheet'!$B$21,'Final Calculation Sheet'!$D$21,'Final Calculation Sheet'!$A$21,'Final Calculation Sheet'!$E$21,'Final Calculation Sheet'!$C$21,'Final Calculation Sheet'!$H$21,'Final Calculation Sheet'!$I$21,'Final Calculation Sheet'!$J$21,'Final Calculation Sheet'!$K$21,'Final Calculation Sheet'!$L$21,'Final Calculation Sheet'!$M$21,'Final Calculation Sheet'!$N$21,'Final Calculation Sheet'!$O$21,'Final Calculation Sheet'!$P$21,'Final Calculation Sheet'!$Q$21,'Final Calculation Sheet'!$R$21,'Final Calculation Sheet'!$S$21,'Final Calculation Sheet'!$T$21,'Final Calculation Sheet'!$U$21,'Final Calculation Sheet'!$V$21,'Final Calculation Sheet'!$W$21,'Final Calculation Sheet'!$X$21,'Final Calculation Sheet'!$Y$21,'Final Calculation Sheet'!$Z$21,'Final Calculation Sheet'!$AA$21,'Final Calculation Sheet'!$AB$21,'Final Calculation Sheet'!$AC$21,'Final Calculation Sheet'!$AD$21,'Final Calculation Sheet'!$AE$21,'Final Calculation Sheet'!$AF$21,'Final Calculation Sheet'!$AG$21,IF('Final Calculation Sheet'!$AD$21="","",IF('Final Calculation Sheet'!$AD$21&lt;=0,"SETTLED","OUTSTANDING"))))),"")</f>
        <v/>
      </c>
      <c r="AZ22">
        <f>IF($B$3="",IF(COUNTIF($A$4:$AI$4,"&lt;&gt;")=0,9,IF($AM22=1,9,10)),IF($AM22=0,10,IF(AND($AR$6&lt;&gt;"",ISNUMBER(SEARCH($AR$6,$AK22))),1,IF(AND($AS$6&lt;&gt;"",ISNUMBER(SEARCH($AS$6,$AK22))),2,IF(AND($AT$6&lt;&gt;"",ISNUMBER(SEARCH($AT$6,$AK22))),3,IF(AND($AU$6&lt;&gt;"",ISNUMBER(SEARCH($AU$6,$AK22))),4,IF(AND($AV$6&lt;&gt;"",ISNUMBER(SEARCH($AV$6,$AK22))),5,IF(AND($AW$6&lt;&gt;"",ISNUMBER(SEARCH($AW$6,$AK22))),6,IF(AND($AX$6&lt;&gt;"",ISNUMBER(SEARCH($AX$6,$AK22))),7,IF(AND($AY$6&lt;&gt;"",ISNUMBER(SEARCH($AY$6,$AK22))),8,0))))))))))</f>
        <v/>
      </c>
      <c r="BA22">
        <f>IF($AN$2="",SUMPRODUCT(($AZ$5:$AZ$41=$AZ22)*($BC$5:$BC$41&lt;$BC22))+1,IF($AN22="",SUMPRODUCT(($AZ$5:$AZ$41=$AZ22)*($AN$5:$AN$41&lt;&gt;""))+SUMPRODUCT(($AZ$5:$AZ$41=$AZ22)*($AN$5:$AN$41="")*($BC$5:$BC$41&lt;$BC22))+1,IF($AL$2="▼ Descending",SUMPRODUCT(($AZ$5:$AZ$41=$AZ22)*($AN$5:$AN$41&gt;$AN22)*($AN$5:$AN$41&lt;&gt;""))+SUMPRODUCT(($AZ$5:$AZ$41=$AZ22)*($AN$5:$AN$41=$AN22)*($BC$5:$BC$41&lt;$BC22))+1,SUMPRODUCT(($AZ$5:$AZ$41=$AZ22)*($AN$5:$AN$41&lt;$AN22)*($AN$5:$AN$41&lt;&gt;""))+SUMPRODUCT(($AZ$5:$AZ$41=$AZ22)*($AN$5:$AN$41=$AN22)*($BC$5:$BC$41&lt;$BC22))+1)))</f>
        <v/>
      </c>
      <c r="BB22">
        <f>IF(INDEX($BF$4:$BF$13,$AZ22)=0,0,INDEX($BE$4:$BE$13,$AZ22)+$BA22-1)</f>
        <v/>
      </c>
      <c r="BC22" t="n">
        <v>21</v>
      </c>
      <c r="BH22">
        <f>IFERROR(MATCH(22,$BF$4:$BF$13,0),0)</f>
        <v/>
      </c>
      <c r="BI22">
        <f>IF(22=$BG$5,1,0)</f>
        <v/>
      </c>
      <c r="BJ22">
        <f>IF(OR($BH22&gt;0,$BI22=1,$BL22=1),0,IFERROR(INDEX($BC$5:$BC$41,MATCH(22,$BB$5:$BB$41,0)),0))</f>
        <v/>
      </c>
      <c r="BK22">
        <f>IF($BJ22&gt;0,IF(INDEX($AZ$5:$AZ$41,MATCH(22,$BB$5:$BB$41,0))=10,1,0),IF($BH22=10,1,0))</f>
        <v/>
      </c>
      <c r="BL22">
        <f>IF(22=$BG$4,1,0)</f>
        <v/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/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/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/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/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/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/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/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/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/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/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/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/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/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/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/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/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/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/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/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/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/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/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/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/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/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/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/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/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/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/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/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/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/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/>
      </c>
    </row>
    <row r="23" ht="15" customHeight="1" s="77">
      <c r="A23" s="67">
        <f>IF($BJ22&gt;0,INDEX($BA$5:$BA$41,MATCH(22,$BB$5:$BB$41,0)),IF(OR($BI22=1,$BL22=1,$BH22&gt;0),"∑",""))</f>
        <v/>
      </c>
      <c r="B23" s="68">
        <f>IF($BJ22&gt;0,IF(INDEX('Final Calculation Sheet'!$F$4:$F$40,$BJ22-3)="","",INDEX('Final Calculation Sheet'!$F$4:$F$40,$BJ22-3)),"")</f>
        <v/>
      </c>
      <c r="C23" s="68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/>
      </c>
      <c r="D23" s="69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/>
      </c>
      <c r="E23" s="69">
        <f>IF($BJ22&gt;0,IF(INDEX('Final Calculation Sheet'!$D$4:$D$40,$BJ22-3)="","",INDEX('Final Calculation Sheet'!$D$4:$D$40,$BJ22-3)),IF(OR($BI22=1,$BL22=1,$BH22&gt;0),"–",""))</f>
        <v/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/>
      </c>
      <c r="G23" s="69">
        <f>IF($BJ22&gt;0,IF(INDEX('Final Calculation Sheet'!$E$4:$E$40,$BJ22-3)="","",INDEX('Final Calculation Sheet'!$E$4:$E$40,$BJ22-3)),IF(OR($BI22=1,$BL22=1,$BH22&gt;0),"–",""))</f>
        <v/>
      </c>
      <c r="H23" s="70">
        <f>IF($BJ22&gt;0,IF(INDEX('Final Calculation Sheet'!$C$4:$C$40,$BJ22-3)="","",INDEX('Final Calculation Sheet'!$C$4:$C$40,$BJ22-3)),IF(OR($BI22=1,$BL22=1,$BH22&gt;0),"–",""))</f>
        <v/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/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/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/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/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/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/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/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/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/>
      </c>
      <c r="R23" s="72">
        <f>IF($BJ22&gt;0,IF(INDEX('Final Calculation Sheet'!$Q$4:$Q$40,$BJ22-3)="","",INDEX('Final Calculation Sheet'!$Q$4:$Q$40,$BJ22-3)),IF(OR($BI22=1,$BL22=1,$BH22&gt;0),"–",""))</f>
        <v/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/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/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/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/>
      </c>
      <c r="W23" s="70">
        <f>IF($BJ22&gt;0,IF(INDEX('Final Calculation Sheet'!$V$4:$V$40,$BJ22-3)="","",INDEX('Final Calculation Sheet'!$V$4:$V$40,$BJ22-3)),IF(OR($BI22=1,$BL22=1,$BH22&gt;0),"–",""))</f>
        <v/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/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/>
      </c>
      <c r="Z23" s="70">
        <f>IF($BJ22&gt;0,IF(INDEX('Final Calculation Sheet'!$Y$4:$Y$40,$BJ22-3)="","",INDEX('Final Calculation Sheet'!$Y$4:$Y$40,$BJ22-3)),IF(OR($BI22=1,$BL22=1,$BH22&gt;0),"–",""))</f>
        <v/>
      </c>
      <c r="AA23" s="70">
        <f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/>
      </c>
      <c r="AB23" s="70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/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/>
      </c>
      <c r="AF23" s="70">
        <f>IF($BJ22&gt;0,IF(INDEX('Final Calculation Sheet'!$AE$4:$AE$40,$BJ22-3)="","",INDEX('Final Calculation Sheet'!$AE$4:$AE$40,$BJ22-3)),IF(OR($BI22=1,$BL22=1,$BH22&gt;0),"–",""))</f>
        <v/>
      </c>
      <c r="AG23" s="74">
        <f>IF($BJ22&gt;0,IF(INDEX('Final Calculation Sheet'!$AF$4:$AF$40,$BJ22-3)="","",INDEX('Final Calculation Sheet'!$AF$4:$AF$40,$BJ22-3)),IF(OR($BI22=1,$BL22=1,$BH22&gt;0),"–",""))</f>
        <v/>
      </c>
      <c r="AH23" s="70">
        <f>IF($BJ22&gt;0,IF(INDEX('Final Calculation Sheet'!$AG$4:$AG$40,$BJ22-3)="","",INDEX('Final Calculation Sheet'!$AG$4:$AG$40,$BJ22-3)),IF(OR($BI22=1,$BL22=1,$BH22&gt;0),"–",""))</f>
        <v/>
      </c>
      <c r="AI23" s="75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/>
      </c>
      <c r="AJ23" s="85" t="inlineStr">
        <is>
          <t>R - GST TDS Rate</t>
        </is>
      </c>
      <c r="AK23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/>
      </c>
      <c r="AM23">
        <f>IF(COUNTIF($BM23:$CU23,0)&gt;0,0,IF($B$3="",1,IF(AND(IF(COUNTIF($AR$9:$AY$9,1)=0,TRUE,SUMPRODUCT(($AR$9:$AY$9=1)*($AR$6:$AY$6&lt;&gt;"")*ISNUMBER(SEARCH($AR$6:$AY$6,$AK23)))&gt;0),IF(COUNTIF($AR$9:$AY$9,2)=0,TRUE,SUMPRODUCT(($AR$9:$AY$9=2)*($AR$6:$AY$6&lt;&gt;"")*ISNUMBER(SEARCH($AR$6:$AY$6,$AK23)))&gt;0),IF(COUNTIF($AR$9:$AY$9,3)=0,TRUE,SUMPRODUCT(($AR$9:$AY$9=3)*($AR$6:$AY$6&lt;&gt;"")*ISNUMBER(SEARCH($AR$6:$AY$6,$AK23)))&gt;0),IF(COUNTIF($AR$9:$AY$9,4)=0,TRUE,SUMPRODUCT(($AR$9:$AY$9=4)*($AR$6:$AY$6&lt;&gt;"")*ISNUMBER(SEARCH($AR$6:$AY$6,$AK23)))&gt;0),IF(COUNTIF($AR$9:$AY$9,5)=0,TRUE,SUMPRODUCT(($AR$9:$AY$9=5)*($AR$6:$AY$6&lt;&gt;"")*ISNUMBER(SEARCH($AR$6:$AY$6,$AK23)))&gt;0),IF(COUNTIF($AR$9:$AY$9,6)=0,TRUE,SUMPRODUCT(($AR$9:$AY$9=6)*($AR$6:$AY$6&lt;&gt;"")*ISNUMBER(SEARCH($AR$6:$AY$6,$AK23)))&gt;0),IF(COUNTIF($AR$9:$AY$9,7)=0,TRUE,SUMPRODUCT(($AR$9:$AY$9=7)*($AR$6:$AY$6&lt;&gt;"")*ISNUMBER(SEARCH($AR$6:$AY$6,$AK23)))&gt;0),IF(COUNTIF($AR$9:$AY$9,8)=0,TRUE,SUMPRODUCT(($AR$9:$AY$9=8)*($AR$6:$AY$6&lt;&gt;"")*ISNUMBER(SEARCH($AR$6:$AY$6,$AK23)))&gt;0)),1,0)))</f>
        <v/>
      </c>
      <c r="AN23">
        <f>IF($AP23="","",IF(OR($AN$2="W",$AN$2="Z",$AN$2="AC",$AN$2="AH"),IF(ISNUMBER($AP23),$AP23,IFERROR(DATE(VALUE(RIGHT($AP23,4)),VALUE(MID($AP23,4,2)),VALUE(LEFT($AP23,2))),$AP23)),$AP23))</f>
        <v/>
      </c>
      <c r="AP23">
        <f>IFERROR(IF($AN$2="","",IF($AN$2="A",$BC23,CHOOSE(MATCH($AN$2,{"B","C","D","E","F","G","H","I","J","K","L","M","N","O","P","Q","R","S","T","U","V","W","X","Y","Z","AA","AB","AC","AD","AE","AF","AG","AH","AI"},0),'Final Calculation Sheet'!$F$22,'Final Calculation Sheet'!$G$22,'Final Calculation Sheet'!$B$22,'Final Calculation Sheet'!$D$22,'Final Calculation Sheet'!$A$22,'Final Calculation Sheet'!$E$22,'Final Calculation Sheet'!$C$22,'Final Calculation Sheet'!$H$22,'Final Calculation Sheet'!$I$22,'Final Calculation Sheet'!$J$22,'Final Calculation Sheet'!$K$22,'Final Calculation Sheet'!$L$22,'Final Calculation Sheet'!$M$22,'Final Calculation Sheet'!$N$22,'Final Calculation Sheet'!$O$22,'Final Calculation Sheet'!$P$22,'Final Calculation Sheet'!$Q$22,'Final Calculation Sheet'!$R$22,'Final Calculation Sheet'!$S$22,'Final Calculation Sheet'!$T$22,'Final Calculation Sheet'!$U$22,'Final Calculation Sheet'!$V$22,'Final Calculation Sheet'!$W$22,'Final Calculation Sheet'!$X$22,'Final Calculation Sheet'!$Y$22,'Final Calculation Sheet'!$Z$22,'Final Calculation Sheet'!$AA$22,'Final Calculation Sheet'!$AB$22,'Final Calculation Sheet'!$AC$22,'Final Calculation Sheet'!$AD$22,'Final Calculation Sheet'!$AE$22,'Final Calculation Sheet'!$AF$22,'Final Calculation Sheet'!$AG$22,IF('Final Calculation Sheet'!$AD$22="","",IF('Final Calculation Sheet'!$AD$22&lt;=0,"SETTLED","OUTSTANDING"))))),"")</f>
        <v/>
      </c>
      <c r="AZ23">
        <f>IF($B$3="",IF(COUNTIF($A$4:$AI$4,"&lt;&gt;")=0,9,IF($AM23=1,9,10)),IF($AM23=0,10,IF(AND($AR$6&lt;&gt;"",ISNUMBER(SEARCH($AR$6,$AK23))),1,IF(AND($AS$6&lt;&gt;"",ISNUMBER(SEARCH($AS$6,$AK23))),2,IF(AND($AT$6&lt;&gt;"",ISNUMBER(SEARCH($AT$6,$AK23))),3,IF(AND($AU$6&lt;&gt;"",ISNUMBER(SEARCH($AU$6,$AK23))),4,IF(AND($AV$6&lt;&gt;"",ISNUMBER(SEARCH($AV$6,$AK23))),5,IF(AND($AW$6&lt;&gt;"",ISNUMBER(SEARCH($AW$6,$AK23))),6,IF(AND($AX$6&lt;&gt;"",ISNUMBER(SEARCH($AX$6,$AK23))),7,IF(AND($AY$6&lt;&gt;"",ISNUMBER(SEARCH($AY$6,$AK23))),8,0))))))))))</f>
        <v/>
      </c>
      <c r="BA23">
        <f>IF($AN$2="",SUMPRODUCT(($AZ$5:$AZ$41=$AZ23)*($BC$5:$BC$41&lt;$BC23))+1,IF($AN23="",SUMPRODUCT(($AZ$5:$AZ$41=$AZ23)*($AN$5:$AN$41&lt;&gt;""))+SUMPRODUCT(($AZ$5:$AZ$41=$AZ23)*($AN$5:$AN$41="")*($BC$5:$BC$41&lt;$BC23))+1,IF($AL$2="▼ Descending",SUMPRODUCT(($AZ$5:$AZ$41=$AZ23)*($AN$5:$AN$41&gt;$AN23)*($AN$5:$AN$41&lt;&gt;""))+SUMPRODUCT(($AZ$5:$AZ$41=$AZ23)*($AN$5:$AN$41=$AN23)*($BC$5:$BC$41&lt;$BC23))+1,SUMPRODUCT(($AZ$5:$AZ$41=$AZ23)*($AN$5:$AN$41&lt;$AN23)*($AN$5:$AN$41&lt;&gt;""))+SUMPRODUCT(($AZ$5:$AZ$41=$AZ23)*($AN$5:$AN$41=$AN23)*($BC$5:$BC$41&lt;$BC23))+1)))</f>
        <v/>
      </c>
      <c r="BB23">
        <f>IF(INDEX($BF$4:$BF$13,$AZ23)=0,0,INDEX($BE$4:$BE$13,$AZ23)+$BA23-1)</f>
        <v/>
      </c>
      <c r="BC23" t="n">
        <v>22</v>
      </c>
      <c r="BH23">
        <f>IFERROR(MATCH(23,$BF$4:$BF$13,0),0)</f>
        <v/>
      </c>
      <c r="BI23">
        <f>IF(23=$BG$5,1,0)</f>
        <v/>
      </c>
      <c r="BJ23">
        <f>IF(OR($BH23&gt;0,$BI23=1,$BL23=1),0,IFERROR(INDEX($BC$5:$BC$41,MATCH(23,$BB$5:$BB$41,0)),0))</f>
        <v/>
      </c>
      <c r="BK23">
        <f>IF($BJ23&gt;0,IF(INDEX($AZ$5:$AZ$41,MATCH(23,$BB$5:$BB$41,0))=10,1,0),IF($BH23=10,1,0))</f>
        <v/>
      </c>
      <c r="BL23">
        <f>IF(23=$BG$4,1,0)</f>
        <v/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/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/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/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/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/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/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/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/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/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/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/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/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/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/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/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/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/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/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/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/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/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/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/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/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/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/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/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/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/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/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/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/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/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/>
      </c>
    </row>
    <row r="24" ht="15" customHeight="1" s="77">
      <c r="A24" s="67">
        <f>IF($BJ23&gt;0,INDEX($BA$5:$BA$41,MATCH(23,$BB$5:$BB$41,0)),IF(OR($BI23=1,$BL23=1,$BH23&gt;0),"∑",""))</f>
        <v/>
      </c>
      <c r="B24" s="68">
        <f>IF($BJ23&gt;0,IF(INDEX('Final Calculation Sheet'!$F$4:$F$40,$BJ23-3)="","",INDEX('Final Calculation Sheet'!$F$4:$F$40,$BJ23-3)),"")</f>
        <v/>
      </c>
      <c r="C24" s="68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/>
      </c>
      <c r="D24" s="69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/>
      </c>
      <c r="E24" s="69">
        <f>IF($BJ23&gt;0,IF(INDEX('Final Calculation Sheet'!$D$4:$D$40,$BJ23-3)="","",INDEX('Final Calculation Sheet'!$D$4:$D$40,$BJ23-3)),IF(OR($BI23=1,$BL23=1,$BH23&gt;0),"–",""))</f>
        <v/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/>
      </c>
      <c r="G24" s="69">
        <f>IF($BJ23&gt;0,IF(INDEX('Final Calculation Sheet'!$E$4:$E$40,$BJ23-3)="","",INDEX('Final Calculation Sheet'!$E$4:$E$40,$BJ23-3)),IF(OR($BI23=1,$BL23=1,$BH23&gt;0),"–",""))</f>
        <v/>
      </c>
      <c r="H24" s="70">
        <f>IF($BJ23&gt;0,IF(INDEX('Final Calculation Sheet'!$C$4:$C$40,$BJ23-3)="","",INDEX('Final Calculation Sheet'!$C$4:$C$40,$BJ23-3)),IF(OR($BI23=1,$BL23=1,$BH23&gt;0),"–",""))</f>
        <v/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/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/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/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/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/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/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/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/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/>
      </c>
      <c r="R24" s="72">
        <f>IF($BJ23&gt;0,IF(INDEX('Final Calculation Sheet'!$Q$4:$Q$40,$BJ23-3)="","",INDEX('Final Calculation Sheet'!$Q$4:$Q$40,$BJ23-3)),IF(OR($BI23=1,$BL23=1,$BH23&gt;0),"–",""))</f>
        <v/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/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/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/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/>
      </c>
      <c r="W24" s="70">
        <f>IF($BJ23&gt;0,IF(INDEX('Final Calculation Sheet'!$V$4:$V$40,$BJ23-3)="","",INDEX('Final Calculation Sheet'!$V$4:$V$40,$BJ23-3)),IF(OR($BI23=1,$BL23=1,$BH23&gt;0),"–",""))</f>
        <v/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/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/>
      </c>
      <c r="Z24" s="70">
        <f>IF($BJ23&gt;0,IF(INDEX('Final Calculation Sheet'!$Y$4:$Y$40,$BJ23-3)="","",INDEX('Final Calculation Sheet'!$Y$4:$Y$40,$BJ23-3)),IF(OR($BI23=1,$BL23=1,$BH23&gt;0),"–",""))</f>
        <v/>
      </c>
      <c r="AA24" s="70">
        <f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/>
      </c>
      <c r="AB24" s="70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/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/>
      </c>
      <c r="AF24" s="70">
        <f>IF($BJ23&gt;0,IF(INDEX('Final Calculation Sheet'!$AE$4:$AE$40,$BJ23-3)="","",INDEX('Final Calculation Sheet'!$AE$4:$AE$40,$BJ23-3)),IF(OR($BI23=1,$BL23=1,$BH23&gt;0),"–",""))</f>
        <v/>
      </c>
      <c r="AG24" s="74">
        <f>IF($BJ23&gt;0,IF(INDEX('Final Calculation Sheet'!$AF$4:$AF$40,$BJ23-3)="","",INDEX('Final Calculation Sheet'!$AF$4:$AF$40,$BJ23-3)),IF(OR($BI23=1,$BL23=1,$BH23&gt;0),"–",""))</f>
        <v/>
      </c>
      <c r="AH24" s="70">
        <f>IF($BJ23&gt;0,IF(INDEX('Final Calculation Sheet'!$AG$4:$AG$40,$BJ23-3)="","",INDEX('Final Calculation Sheet'!$AG$4:$AG$40,$BJ23-3)),IF(OR($BI23=1,$BL23=1,$BH23&gt;0),"–",""))</f>
        <v/>
      </c>
      <c r="AI24" s="75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/>
      </c>
      <c r="AJ24" s="85" t="inlineStr">
        <is>
          <t>S - GST TDS</t>
        </is>
      </c>
      <c r="AK24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/>
      </c>
      <c r="AM24">
        <f>IF(COUNTIF($BM24:$CU24,0)&gt;0,0,IF($B$3="",1,IF(AND(IF(COUNTIF($AR$9:$AY$9,1)=0,TRUE,SUMPRODUCT(($AR$9:$AY$9=1)*($AR$6:$AY$6&lt;&gt;"")*ISNUMBER(SEARCH($AR$6:$AY$6,$AK24)))&gt;0),IF(COUNTIF($AR$9:$AY$9,2)=0,TRUE,SUMPRODUCT(($AR$9:$AY$9=2)*($AR$6:$AY$6&lt;&gt;"")*ISNUMBER(SEARCH($AR$6:$AY$6,$AK24)))&gt;0),IF(COUNTIF($AR$9:$AY$9,3)=0,TRUE,SUMPRODUCT(($AR$9:$AY$9=3)*($AR$6:$AY$6&lt;&gt;"")*ISNUMBER(SEARCH($AR$6:$AY$6,$AK24)))&gt;0),IF(COUNTIF($AR$9:$AY$9,4)=0,TRUE,SUMPRODUCT(($AR$9:$AY$9=4)*($AR$6:$AY$6&lt;&gt;"")*ISNUMBER(SEARCH($AR$6:$AY$6,$AK24)))&gt;0),IF(COUNTIF($AR$9:$AY$9,5)=0,TRUE,SUMPRODUCT(($AR$9:$AY$9=5)*($AR$6:$AY$6&lt;&gt;"")*ISNUMBER(SEARCH($AR$6:$AY$6,$AK24)))&gt;0),IF(COUNTIF($AR$9:$AY$9,6)=0,TRUE,SUMPRODUCT(($AR$9:$AY$9=6)*($AR$6:$AY$6&lt;&gt;"")*ISNUMBER(SEARCH($AR$6:$AY$6,$AK24)))&gt;0),IF(COUNTIF($AR$9:$AY$9,7)=0,TRUE,SUMPRODUCT(($AR$9:$AY$9=7)*($AR$6:$AY$6&lt;&gt;"")*ISNUMBER(SEARCH($AR$6:$AY$6,$AK24)))&gt;0),IF(COUNTIF($AR$9:$AY$9,8)=0,TRUE,SUMPRODUCT(($AR$9:$AY$9=8)*($AR$6:$AY$6&lt;&gt;"")*ISNUMBER(SEARCH($AR$6:$AY$6,$AK24)))&gt;0)),1,0)))</f>
        <v/>
      </c>
      <c r="AN24">
        <f>IF($AP24="","",IF(OR($AN$2="W",$AN$2="Z",$AN$2="AC",$AN$2="AH"),IF(ISNUMBER($AP24),$AP24,IFERROR(DATE(VALUE(RIGHT($AP24,4)),VALUE(MID($AP24,4,2)),VALUE(LEFT($AP24,2))),$AP24)),$AP24))</f>
        <v/>
      </c>
      <c r="AP24">
        <f>IFERROR(IF($AN$2="","",IF($AN$2="A",$BC24,CHOOSE(MATCH($AN$2,{"B","C","D","E","F","G","H","I","J","K","L","M","N","O","P","Q","R","S","T","U","V","W","X","Y","Z","AA","AB","AC","AD","AE","AF","AG","AH","AI"},0),'Final Calculation Sheet'!$F$23,'Final Calculation Sheet'!$G$23,'Final Calculation Sheet'!$B$23,'Final Calculation Sheet'!$D$23,'Final Calculation Sheet'!$A$23,'Final Calculation Sheet'!$E$23,'Final Calculation Sheet'!$C$23,'Final Calculation Sheet'!$H$23,'Final Calculation Sheet'!$I$23,'Final Calculation Sheet'!$J$23,'Final Calculation Sheet'!$K$23,'Final Calculation Sheet'!$L$23,'Final Calculation Sheet'!$M$23,'Final Calculation Sheet'!$N$23,'Final Calculation Sheet'!$O$23,'Final Calculation Sheet'!$P$23,'Final Calculation Sheet'!$Q$23,'Final Calculation Sheet'!$R$23,'Final Calculation Sheet'!$S$23,'Final Calculation Sheet'!$T$23,'Final Calculation Sheet'!$U$23,'Final Calculation Sheet'!$V$23,'Final Calculation Sheet'!$W$23,'Final Calculation Sheet'!$X$23,'Final Calculation Sheet'!$Y$23,'Final Calculation Sheet'!$Z$23,'Final Calculation Sheet'!$AA$23,'Final Calculation Sheet'!$AB$23,'Final Calculation Sheet'!$AC$23,'Final Calculation Sheet'!$AD$23,'Final Calculation Sheet'!$AE$23,'Final Calculation Sheet'!$AF$23,'Final Calculation Sheet'!$AG$23,IF('Final Calculation Sheet'!$AD$23="","",IF('Final Calculation Sheet'!$AD$23&lt;=0,"SETTLED","OUTSTANDING"))))),"")</f>
        <v/>
      </c>
      <c r="AZ24">
        <f>IF($B$3="",IF(COUNTIF($A$4:$AI$4,"&lt;&gt;")=0,9,IF($AM24=1,9,10)),IF($AM24=0,10,IF(AND($AR$6&lt;&gt;"",ISNUMBER(SEARCH($AR$6,$AK24))),1,IF(AND($AS$6&lt;&gt;"",ISNUMBER(SEARCH($AS$6,$AK24))),2,IF(AND($AT$6&lt;&gt;"",ISNUMBER(SEARCH($AT$6,$AK24))),3,IF(AND($AU$6&lt;&gt;"",ISNUMBER(SEARCH($AU$6,$AK24))),4,IF(AND($AV$6&lt;&gt;"",ISNUMBER(SEARCH($AV$6,$AK24))),5,IF(AND($AW$6&lt;&gt;"",ISNUMBER(SEARCH($AW$6,$AK24))),6,IF(AND($AX$6&lt;&gt;"",ISNUMBER(SEARCH($AX$6,$AK24))),7,IF(AND($AY$6&lt;&gt;"",ISNUMBER(SEARCH($AY$6,$AK24))),8,0))))))))))</f>
        <v/>
      </c>
      <c r="BA24">
        <f>IF($AN$2="",SUMPRODUCT(($AZ$5:$AZ$41=$AZ24)*($BC$5:$BC$41&lt;$BC24))+1,IF($AN24="",SUMPRODUCT(($AZ$5:$AZ$41=$AZ24)*($AN$5:$AN$41&lt;&gt;""))+SUMPRODUCT(($AZ$5:$AZ$41=$AZ24)*($AN$5:$AN$41="")*($BC$5:$BC$41&lt;$BC24))+1,IF($AL$2="▼ Descending",SUMPRODUCT(($AZ$5:$AZ$41=$AZ24)*($AN$5:$AN$41&gt;$AN24)*($AN$5:$AN$41&lt;&gt;""))+SUMPRODUCT(($AZ$5:$AZ$41=$AZ24)*($AN$5:$AN$41=$AN24)*($BC$5:$BC$41&lt;$BC24))+1,SUMPRODUCT(($AZ$5:$AZ$41=$AZ24)*($AN$5:$AN$41&lt;$AN24)*($AN$5:$AN$41&lt;&gt;""))+SUMPRODUCT(($AZ$5:$AZ$41=$AZ24)*($AN$5:$AN$41=$AN24)*($BC$5:$BC$41&lt;$BC24))+1)))</f>
        <v/>
      </c>
      <c r="BB24">
        <f>IF(INDEX($BF$4:$BF$13,$AZ24)=0,0,INDEX($BE$4:$BE$13,$AZ24)+$BA24-1)</f>
        <v/>
      </c>
      <c r="BC24" t="n">
        <v>23</v>
      </c>
      <c r="BH24">
        <f>IFERROR(MATCH(24,$BF$4:$BF$13,0),0)</f>
        <v/>
      </c>
      <c r="BI24">
        <f>IF(24=$BG$5,1,0)</f>
        <v/>
      </c>
      <c r="BJ24">
        <f>IF(OR($BH24&gt;0,$BI24=1,$BL24=1),0,IFERROR(INDEX($BC$5:$BC$41,MATCH(24,$BB$5:$BB$41,0)),0))</f>
        <v/>
      </c>
      <c r="BK24">
        <f>IF($BJ24&gt;0,IF(INDEX($AZ$5:$AZ$41,MATCH(24,$BB$5:$BB$41,0))=10,1,0),IF($BH24=10,1,0))</f>
        <v/>
      </c>
      <c r="BL24">
        <f>IF(24=$BG$4,1,0)</f>
        <v/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/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/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/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/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/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/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/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/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/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/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/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/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/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/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/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/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/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/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/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/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/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/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/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/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/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/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/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/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/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/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/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/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/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/>
      </c>
    </row>
    <row r="25" ht="15" customHeight="1" s="77">
      <c r="A25" s="67">
        <f>IF($BJ24&gt;0,INDEX($BA$5:$BA$41,MATCH(24,$BB$5:$BB$41,0)),IF(OR($BI24=1,$BL24=1,$BH24&gt;0),"∑",""))</f>
        <v/>
      </c>
      <c r="B25" s="68">
        <f>IF($BJ24&gt;0,IF(INDEX('Final Calculation Sheet'!$F$4:$F$40,$BJ24-3)="","",INDEX('Final Calculation Sheet'!$F$4:$F$40,$BJ24-3)),"")</f>
        <v/>
      </c>
      <c r="C25" s="68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/>
      </c>
      <c r="D25" s="69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/>
      </c>
      <c r="E25" s="69">
        <f>IF($BJ24&gt;0,IF(INDEX('Final Calculation Sheet'!$D$4:$D$40,$BJ24-3)="","",INDEX('Final Calculation Sheet'!$D$4:$D$40,$BJ24-3)),IF(OR($BI24=1,$BL24=1,$BH24&gt;0),"–",""))</f>
        <v/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/>
      </c>
      <c r="G25" s="69">
        <f>IF($BJ24&gt;0,IF(INDEX('Final Calculation Sheet'!$E$4:$E$40,$BJ24-3)="","",INDEX('Final Calculation Sheet'!$E$4:$E$40,$BJ24-3)),IF(OR($BI24=1,$BL24=1,$BH24&gt;0),"–",""))</f>
        <v/>
      </c>
      <c r="H25" s="70">
        <f>IF($BJ24&gt;0,IF(INDEX('Final Calculation Sheet'!$C$4:$C$40,$BJ24-3)="","",INDEX('Final Calculation Sheet'!$C$4:$C$40,$BJ24-3)),IF(OR($BI24=1,$BL24=1,$BH24&gt;0),"–",""))</f>
        <v/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/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/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/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/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/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/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/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/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/>
      </c>
      <c r="R25" s="72">
        <f>IF($BJ24&gt;0,IF(INDEX('Final Calculation Sheet'!$Q$4:$Q$40,$BJ24-3)="","",INDEX('Final Calculation Sheet'!$Q$4:$Q$40,$BJ24-3)),IF(OR($BI24=1,$BL24=1,$BH24&gt;0),"–",""))</f>
        <v/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/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/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/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/>
      </c>
      <c r="W25" s="70">
        <f>IF($BJ24&gt;0,IF(INDEX('Final Calculation Sheet'!$V$4:$V$40,$BJ24-3)="","",INDEX('Final Calculation Sheet'!$V$4:$V$40,$BJ24-3)),IF(OR($BI24=1,$BL24=1,$BH24&gt;0),"–",""))</f>
        <v/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/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/>
      </c>
      <c r="Z25" s="70">
        <f>IF($BJ24&gt;0,IF(INDEX('Final Calculation Sheet'!$Y$4:$Y$40,$BJ24-3)="","",INDEX('Final Calculation Sheet'!$Y$4:$Y$40,$BJ24-3)),IF(OR($BI24=1,$BL24=1,$BH24&gt;0),"–",""))</f>
        <v/>
      </c>
      <c r="AA25" s="70">
        <f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/>
      </c>
      <c r="AB25" s="70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/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/>
      </c>
      <c r="AF25" s="70">
        <f>IF($BJ24&gt;0,IF(INDEX('Final Calculation Sheet'!$AE$4:$AE$40,$BJ24-3)="","",INDEX('Final Calculation Sheet'!$AE$4:$AE$40,$BJ24-3)),IF(OR($BI24=1,$BL24=1,$BH24&gt;0),"–",""))</f>
        <v/>
      </c>
      <c r="AG25" s="74">
        <f>IF($BJ24&gt;0,IF(INDEX('Final Calculation Sheet'!$AF$4:$AF$40,$BJ24-3)="","",INDEX('Final Calculation Sheet'!$AF$4:$AF$40,$BJ24-3)),IF(OR($BI24=1,$BL24=1,$BH24&gt;0),"–",""))</f>
        <v/>
      </c>
      <c r="AH25" s="70">
        <f>IF($BJ24&gt;0,IF(INDEX('Final Calculation Sheet'!$AG$4:$AG$40,$BJ24-3)="","",INDEX('Final Calculation Sheet'!$AG$4:$AG$40,$BJ24-3)),IF(OR($BI24=1,$BL24=1,$BH24&gt;0),"–",""))</f>
        <v/>
      </c>
      <c r="AI25" s="75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/>
      </c>
      <c r="AJ25" s="85" t="inlineStr">
        <is>
          <t>T - Total Receivables in Cash</t>
        </is>
      </c>
      <c r="AK25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/>
      </c>
      <c r="AM25">
        <f>IF(COUNTIF($BM25:$CU25,0)&gt;0,0,IF($B$3="",1,IF(AND(IF(COUNTIF($AR$9:$AY$9,1)=0,TRUE,SUMPRODUCT(($AR$9:$AY$9=1)*($AR$6:$AY$6&lt;&gt;"")*ISNUMBER(SEARCH($AR$6:$AY$6,$AK25)))&gt;0),IF(COUNTIF($AR$9:$AY$9,2)=0,TRUE,SUMPRODUCT(($AR$9:$AY$9=2)*($AR$6:$AY$6&lt;&gt;"")*ISNUMBER(SEARCH($AR$6:$AY$6,$AK25)))&gt;0),IF(COUNTIF($AR$9:$AY$9,3)=0,TRUE,SUMPRODUCT(($AR$9:$AY$9=3)*($AR$6:$AY$6&lt;&gt;"")*ISNUMBER(SEARCH($AR$6:$AY$6,$AK25)))&gt;0),IF(COUNTIF($AR$9:$AY$9,4)=0,TRUE,SUMPRODUCT(($AR$9:$AY$9=4)*($AR$6:$AY$6&lt;&gt;"")*ISNUMBER(SEARCH($AR$6:$AY$6,$AK25)))&gt;0),IF(COUNTIF($AR$9:$AY$9,5)=0,TRUE,SUMPRODUCT(($AR$9:$AY$9=5)*($AR$6:$AY$6&lt;&gt;"")*ISNUMBER(SEARCH($AR$6:$AY$6,$AK25)))&gt;0),IF(COUNTIF($AR$9:$AY$9,6)=0,TRUE,SUMPRODUCT(($AR$9:$AY$9=6)*($AR$6:$AY$6&lt;&gt;"")*ISNUMBER(SEARCH($AR$6:$AY$6,$AK25)))&gt;0),IF(COUNTIF($AR$9:$AY$9,7)=0,TRUE,SUMPRODUCT(($AR$9:$AY$9=7)*($AR$6:$AY$6&lt;&gt;"")*ISNUMBER(SEARCH($AR$6:$AY$6,$AK25)))&gt;0),IF(COUNTIF($AR$9:$AY$9,8)=0,TRUE,SUMPRODUCT(($AR$9:$AY$9=8)*($AR$6:$AY$6&lt;&gt;"")*ISNUMBER(SEARCH($AR$6:$AY$6,$AK25)))&gt;0)),1,0)))</f>
        <v/>
      </c>
      <c r="AN25">
        <f>IF($AP25="","",IF(OR($AN$2="W",$AN$2="Z",$AN$2="AC",$AN$2="AH"),IF(ISNUMBER($AP25),$AP25,IFERROR(DATE(VALUE(RIGHT($AP25,4)),VALUE(MID($AP25,4,2)),VALUE(LEFT($AP25,2))),$AP25)),$AP25))</f>
        <v/>
      </c>
      <c r="AP25">
        <f>IFERROR(IF($AN$2="","",IF($AN$2="A",$BC25,CHOOSE(MATCH($AN$2,{"B","C","D","E","F","G","H","I","J","K","L","M","N","O","P","Q","R","S","T","U","V","W","X","Y","Z","AA","AB","AC","AD","AE","AF","AG","AH","AI"},0),'Final Calculation Sheet'!$F$24,'Final Calculation Sheet'!$G$24,'Final Calculation Sheet'!$B$24,'Final Calculation Sheet'!$D$24,'Final Calculation Sheet'!$A$24,'Final Calculation Sheet'!$E$24,'Final Calculation Sheet'!$C$24,'Final Calculation Sheet'!$H$24,'Final Calculation Sheet'!$I$24,'Final Calculation Sheet'!$J$24,'Final Calculation Sheet'!$K$24,'Final Calculation Sheet'!$L$24,'Final Calculation Sheet'!$M$24,'Final Calculation Sheet'!$N$24,'Final Calculation Sheet'!$O$24,'Final Calculation Sheet'!$P$24,'Final Calculation Sheet'!$Q$24,'Final Calculation Sheet'!$R$24,'Final Calculation Sheet'!$S$24,'Final Calculation Sheet'!$T$24,'Final Calculation Sheet'!$U$24,'Final Calculation Sheet'!$V$24,'Final Calculation Sheet'!$W$24,'Final Calculation Sheet'!$X$24,'Final Calculation Sheet'!$Y$24,'Final Calculation Sheet'!$Z$24,'Final Calculation Sheet'!$AA$24,'Final Calculation Sheet'!$AB$24,'Final Calculation Sheet'!$AC$24,'Final Calculation Sheet'!$AD$24,'Final Calculation Sheet'!$AE$24,'Final Calculation Sheet'!$AF$24,'Final Calculation Sheet'!$AG$24,IF('Final Calculation Sheet'!$AD$24="","",IF('Final Calculation Sheet'!$AD$24&lt;=0,"SETTLED","OUTSTANDING"))))),"")</f>
        <v/>
      </c>
      <c r="AZ25">
        <f>IF($B$3="",IF(COUNTIF($A$4:$AI$4,"&lt;&gt;")=0,9,IF($AM25=1,9,10)),IF($AM25=0,10,IF(AND($AR$6&lt;&gt;"",ISNUMBER(SEARCH($AR$6,$AK25))),1,IF(AND($AS$6&lt;&gt;"",ISNUMBER(SEARCH($AS$6,$AK25))),2,IF(AND($AT$6&lt;&gt;"",ISNUMBER(SEARCH($AT$6,$AK25))),3,IF(AND($AU$6&lt;&gt;"",ISNUMBER(SEARCH($AU$6,$AK25))),4,IF(AND($AV$6&lt;&gt;"",ISNUMBER(SEARCH($AV$6,$AK25))),5,IF(AND($AW$6&lt;&gt;"",ISNUMBER(SEARCH($AW$6,$AK25))),6,IF(AND($AX$6&lt;&gt;"",ISNUMBER(SEARCH($AX$6,$AK25))),7,IF(AND($AY$6&lt;&gt;"",ISNUMBER(SEARCH($AY$6,$AK25))),8,0))))))))))</f>
        <v/>
      </c>
      <c r="BA25">
        <f>IF($AN$2="",SUMPRODUCT(($AZ$5:$AZ$41=$AZ25)*($BC$5:$BC$41&lt;$BC25))+1,IF($AN25="",SUMPRODUCT(($AZ$5:$AZ$41=$AZ25)*($AN$5:$AN$41&lt;&gt;""))+SUMPRODUCT(($AZ$5:$AZ$41=$AZ25)*($AN$5:$AN$41="")*($BC$5:$BC$41&lt;$BC25))+1,IF($AL$2="▼ Descending",SUMPRODUCT(($AZ$5:$AZ$41=$AZ25)*($AN$5:$AN$41&gt;$AN25)*($AN$5:$AN$41&lt;&gt;""))+SUMPRODUCT(($AZ$5:$AZ$41=$AZ25)*($AN$5:$AN$41=$AN25)*($BC$5:$BC$41&lt;$BC25))+1,SUMPRODUCT(($AZ$5:$AZ$41=$AZ25)*($AN$5:$AN$41&lt;$AN25)*($AN$5:$AN$41&lt;&gt;""))+SUMPRODUCT(($AZ$5:$AZ$41=$AZ25)*($AN$5:$AN$41=$AN25)*($BC$5:$BC$41&lt;$BC25))+1)))</f>
        <v/>
      </c>
      <c r="BB25">
        <f>IF(INDEX($BF$4:$BF$13,$AZ25)=0,0,INDEX($BE$4:$BE$13,$AZ25)+$BA25-1)</f>
        <v/>
      </c>
      <c r="BC25" t="n">
        <v>24</v>
      </c>
      <c r="BH25">
        <f>IFERROR(MATCH(25,$BF$4:$BF$13,0),0)</f>
        <v/>
      </c>
      <c r="BI25">
        <f>IF(25=$BG$5,1,0)</f>
        <v/>
      </c>
      <c r="BJ25">
        <f>IF(OR($BH25&gt;0,$BI25=1,$BL25=1),0,IFERROR(INDEX($BC$5:$BC$41,MATCH(25,$BB$5:$BB$41,0)),0))</f>
        <v/>
      </c>
      <c r="BK25">
        <f>IF($BJ25&gt;0,IF(INDEX($AZ$5:$AZ$41,MATCH(25,$BB$5:$BB$41,0))=10,1,0),IF($BH25=10,1,0))</f>
        <v/>
      </c>
      <c r="BL25">
        <f>IF(25=$BG$4,1,0)</f>
        <v/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/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/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/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/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/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/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/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/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/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/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/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/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/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/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/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/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/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/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/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/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/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/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/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/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/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/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/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/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/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/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/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/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/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/>
      </c>
    </row>
    <row r="26" ht="15" customHeight="1" s="77">
      <c r="A26" s="67">
        <f>IF($BJ25&gt;0,INDEX($BA$5:$BA$41,MATCH(25,$BB$5:$BB$41,0)),IF(OR($BI25=1,$BL25=1,$BH25&gt;0),"∑",""))</f>
        <v/>
      </c>
      <c r="B26" s="68">
        <f>IF($BJ25&gt;0,IF(INDEX('Final Calculation Sheet'!$F$4:$F$40,$BJ25-3)="","",INDEX('Final Calculation Sheet'!$F$4:$F$40,$BJ25-3)),"")</f>
        <v/>
      </c>
      <c r="C26" s="68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/>
      </c>
      <c r="D26" s="69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/>
      </c>
      <c r="E26" s="69">
        <f>IF($BJ25&gt;0,IF(INDEX('Final Calculation Sheet'!$D$4:$D$40,$BJ25-3)="","",INDEX('Final Calculation Sheet'!$D$4:$D$40,$BJ25-3)),IF(OR($BI25=1,$BL25=1,$BH25&gt;0),"–",""))</f>
        <v/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/>
      </c>
      <c r="G26" s="69">
        <f>IF($BJ25&gt;0,IF(INDEX('Final Calculation Sheet'!$E$4:$E$40,$BJ25-3)="","",INDEX('Final Calculation Sheet'!$E$4:$E$40,$BJ25-3)),IF(OR($BI25=1,$BL25=1,$BH25&gt;0),"–",""))</f>
        <v/>
      </c>
      <c r="H26" s="70">
        <f>IF($BJ25&gt;0,IF(INDEX('Final Calculation Sheet'!$C$4:$C$40,$BJ25-3)="","",INDEX('Final Calculation Sheet'!$C$4:$C$40,$BJ25-3)),IF(OR($BI25=1,$BL25=1,$BH25&gt;0),"–",""))</f>
        <v/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/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/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/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/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/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/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/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/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/>
      </c>
      <c r="R26" s="72">
        <f>IF($BJ25&gt;0,IF(INDEX('Final Calculation Sheet'!$Q$4:$Q$40,$BJ25-3)="","",INDEX('Final Calculation Sheet'!$Q$4:$Q$40,$BJ25-3)),IF(OR($BI25=1,$BL25=1,$BH25&gt;0),"–",""))</f>
        <v/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/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/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/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/>
      </c>
      <c r="W26" s="70">
        <f>IF($BJ25&gt;0,IF(INDEX('Final Calculation Sheet'!$V$4:$V$40,$BJ25-3)="","",INDEX('Final Calculation Sheet'!$V$4:$V$40,$BJ25-3)),IF(OR($BI25=1,$BL25=1,$BH25&gt;0),"–",""))</f>
        <v/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/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/>
      </c>
      <c r="Z26" s="70">
        <f>IF($BJ25&gt;0,IF(INDEX('Final Calculation Sheet'!$Y$4:$Y$40,$BJ25-3)="","",INDEX('Final Calculation Sheet'!$Y$4:$Y$40,$BJ25-3)),IF(OR($BI25=1,$BL25=1,$BH25&gt;0),"–",""))</f>
        <v/>
      </c>
      <c r="AA26" s="70">
        <f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/>
      </c>
      <c r="AB26" s="70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/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/>
      </c>
      <c r="AF26" s="70">
        <f>IF($BJ25&gt;0,IF(INDEX('Final Calculation Sheet'!$AE$4:$AE$40,$BJ25-3)="","",INDEX('Final Calculation Sheet'!$AE$4:$AE$40,$BJ25-3)),IF(OR($BI25=1,$BL25=1,$BH25&gt;0),"–",""))</f>
        <v/>
      </c>
      <c r="AG26" s="74">
        <f>IF($BJ25&gt;0,IF(INDEX('Final Calculation Sheet'!$AF$4:$AF$40,$BJ25-3)="","",INDEX('Final Calculation Sheet'!$AF$4:$AF$40,$BJ25-3)),IF(OR($BI25=1,$BL25=1,$BH25&gt;0),"–",""))</f>
        <v/>
      </c>
      <c r="AH26" s="70">
        <f>IF($BJ25&gt;0,IF(INDEX('Final Calculation Sheet'!$AG$4:$AG$40,$BJ25-3)="","",INDEX('Final Calculation Sheet'!$AG$4:$AG$40,$BJ25-3)),IF(OR($BI25=1,$BL25=1,$BH25&gt;0),"–",""))</f>
        <v/>
      </c>
      <c r="AI26" s="75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/>
      </c>
      <c r="AJ26" s="85" t="inlineStr">
        <is>
          <t>U - Security Deposit (Expected)</t>
        </is>
      </c>
      <c r="AK26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/>
      </c>
      <c r="AM26">
        <f>IF(COUNTIF($BM26:$CU26,0)&gt;0,0,IF($B$3="",1,IF(AND(IF(COUNTIF($AR$9:$AY$9,1)=0,TRUE,SUMPRODUCT(($AR$9:$AY$9=1)*($AR$6:$AY$6&lt;&gt;"")*ISNUMBER(SEARCH($AR$6:$AY$6,$AK26)))&gt;0),IF(COUNTIF($AR$9:$AY$9,2)=0,TRUE,SUMPRODUCT(($AR$9:$AY$9=2)*($AR$6:$AY$6&lt;&gt;"")*ISNUMBER(SEARCH($AR$6:$AY$6,$AK26)))&gt;0),IF(COUNTIF($AR$9:$AY$9,3)=0,TRUE,SUMPRODUCT(($AR$9:$AY$9=3)*($AR$6:$AY$6&lt;&gt;"")*ISNUMBER(SEARCH($AR$6:$AY$6,$AK26)))&gt;0),IF(COUNTIF($AR$9:$AY$9,4)=0,TRUE,SUMPRODUCT(($AR$9:$AY$9=4)*($AR$6:$AY$6&lt;&gt;"")*ISNUMBER(SEARCH($AR$6:$AY$6,$AK26)))&gt;0),IF(COUNTIF($AR$9:$AY$9,5)=0,TRUE,SUMPRODUCT(($AR$9:$AY$9=5)*($AR$6:$AY$6&lt;&gt;"")*ISNUMBER(SEARCH($AR$6:$AY$6,$AK26)))&gt;0),IF(COUNTIF($AR$9:$AY$9,6)=0,TRUE,SUMPRODUCT(($AR$9:$AY$9=6)*($AR$6:$AY$6&lt;&gt;"")*ISNUMBER(SEARCH($AR$6:$AY$6,$AK26)))&gt;0),IF(COUNTIF($AR$9:$AY$9,7)=0,TRUE,SUMPRODUCT(($AR$9:$AY$9=7)*($AR$6:$AY$6&lt;&gt;"")*ISNUMBER(SEARCH($AR$6:$AY$6,$AK26)))&gt;0),IF(COUNTIF($AR$9:$AY$9,8)=0,TRUE,SUMPRODUCT(($AR$9:$AY$9=8)*($AR$6:$AY$6&lt;&gt;"")*ISNUMBER(SEARCH($AR$6:$AY$6,$AK26)))&gt;0)),1,0)))</f>
        <v/>
      </c>
      <c r="AN26">
        <f>IF($AP26="","",IF(OR($AN$2="W",$AN$2="Z",$AN$2="AC",$AN$2="AH"),IF(ISNUMBER($AP26),$AP26,IFERROR(DATE(VALUE(RIGHT($AP26,4)),VALUE(MID($AP26,4,2)),VALUE(LEFT($AP26,2))),$AP26)),$AP26))</f>
        <v/>
      </c>
      <c r="AP26">
        <f>IFERROR(IF($AN$2="","",IF($AN$2="A",$BC26,CHOOSE(MATCH($AN$2,{"B","C","D","E","F","G","H","I","J","K","L","M","N","O","P","Q","R","S","T","U","V","W","X","Y","Z","AA","AB","AC","AD","AE","AF","AG","AH","AI"},0),'Final Calculation Sheet'!$F$25,'Final Calculation Sheet'!$G$25,'Final Calculation Sheet'!$B$25,'Final Calculation Sheet'!$D$25,'Final Calculation Sheet'!$A$25,'Final Calculation Sheet'!$E$25,'Final Calculation Sheet'!$C$25,'Final Calculation Sheet'!$H$25,'Final Calculation Sheet'!$I$25,'Final Calculation Sheet'!$J$25,'Final Calculation Sheet'!$K$25,'Final Calculation Sheet'!$L$25,'Final Calculation Sheet'!$M$25,'Final Calculation Sheet'!$N$25,'Final Calculation Sheet'!$O$25,'Final Calculation Sheet'!$P$25,'Final Calculation Sheet'!$Q$25,'Final Calculation Sheet'!$R$25,'Final Calculation Sheet'!$S$25,'Final Calculation Sheet'!$T$25,'Final Calculation Sheet'!$U$25,'Final Calculation Sheet'!$V$25,'Final Calculation Sheet'!$W$25,'Final Calculation Sheet'!$X$25,'Final Calculation Sheet'!$Y$25,'Final Calculation Sheet'!$Z$25,'Final Calculation Sheet'!$AA$25,'Final Calculation Sheet'!$AB$25,'Final Calculation Sheet'!$AC$25,'Final Calculation Sheet'!$AD$25,'Final Calculation Sheet'!$AE$25,'Final Calculation Sheet'!$AF$25,'Final Calculation Sheet'!$AG$25,IF('Final Calculation Sheet'!$AD$25="","",IF('Final Calculation Sheet'!$AD$25&lt;=0,"SETTLED","OUTSTANDING"))))),"")</f>
        <v/>
      </c>
      <c r="AZ26">
        <f>IF($B$3="",IF(COUNTIF($A$4:$AI$4,"&lt;&gt;")=0,9,IF($AM26=1,9,10)),IF($AM26=0,10,IF(AND($AR$6&lt;&gt;"",ISNUMBER(SEARCH($AR$6,$AK26))),1,IF(AND($AS$6&lt;&gt;"",ISNUMBER(SEARCH($AS$6,$AK26))),2,IF(AND($AT$6&lt;&gt;"",ISNUMBER(SEARCH($AT$6,$AK26))),3,IF(AND($AU$6&lt;&gt;"",ISNUMBER(SEARCH($AU$6,$AK26))),4,IF(AND($AV$6&lt;&gt;"",ISNUMBER(SEARCH($AV$6,$AK26))),5,IF(AND($AW$6&lt;&gt;"",ISNUMBER(SEARCH($AW$6,$AK26))),6,IF(AND($AX$6&lt;&gt;"",ISNUMBER(SEARCH($AX$6,$AK26))),7,IF(AND($AY$6&lt;&gt;"",ISNUMBER(SEARCH($AY$6,$AK26))),8,0))))))))))</f>
        <v/>
      </c>
      <c r="BA26">
        <f>IF($AN$2="",SUMPRODUCT(($AZ$5:$AZ$41=$AZ26)*($BC$5:$BC$41&lt;$BC26))+1,IF($AN26="",SUMPRODUCT(($AZ$5:$AZ$41=$AZ26)*($AN$5:$AN$41&lt;&gt;""))+SUMPRODUCT(($AZ$5:$AZ$41=$AZ26)*($AN$5:$AN$41="")*($BC$5:$BC$41&lt;$BC26))+1,IF($AL$2="▼ Descending",SUMPRODUCT(($AZ$5:$AZ$41=$AZ26)*($AN$5:$AN$41&gt;$AN26)*($AN$5:$AN$41&lt;&gt;""))+SUMPRODUCT(($AZ$5:$AZ$41=$AZ26)*($AN$5:$AN$41=$AN26)*($BC$5:$BC$41&lt;$BC26))+1,SUMPRODUCT(($AZ$5:$AZ$41=$AZ26)*($AN$5:$AN$41&lt;$AN26)*($AN$5:$AN$41&lt;&gt;""))+SUMPRODUCT(($AZ$5:$AZ$41=$AZ26)*($AN$5:$AN$41=$AN26)*($BC$5:$BC$41&lt;$BC26))+1)))</f>
        <v/>
      </c>
      <c r="BB26">
        <f>IF(INDEX($BF$4:$BF$13,$AZ26)=0,0,INDEX($BE$4:$BE$13,$AZ26)+$BA26-1)</f>
        <v/>
      </c>
      <c r="BC26" t="n">
        <v>25</v>
      </c>
      <c r="BH26">
        <f>IFERROR(MATCH(26,$BF$4:$BF$13,0),0)</f>
        <v/>
      </c>
      <c r="BI26">
        <f>IF(26=$BG$5,1,0)</f>
        <v/>
      </c>
      <c r="BJ26">
        <f>IF(OR($BH26&gt;0,$BI26=1,$BL26=1),0,IFERROR(INDEX($BC$5:$BC$41,MATCH(26,$BB$5:$BB$41,0)),0))</f>
        <v/>
      </c>
      <c r="BK26">
        <f>IF($BJ26&gt;0,IF(INDEX($AZ$5:$AZ$41,MATCH(26,$BB$5:$BB$41,0))=10,1,0),IF($BH26=10,1,0))</f>
        <v/>
      </c>
      <c r="BL26">
        <f>IF(26=$BG$4,1,0)</f>
        <v/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/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/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/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/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/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/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/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/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/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/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/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/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/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/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/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/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/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/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/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/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/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/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/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/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/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/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/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/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/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/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/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/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/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/>
      </c>
    </row>
    <row r="27" ht="15" customHeight="1" s="77">
      <c r="A27" s="67">
        <f>IF($BJ26&gt;0,INDEX($BA$5:$BA$41,MATCH(26,$BB$5:$BB$41,0)),IF(OR($BI26=1,$BL26=1,$BH26&gt;0),"∑",""))</f>
        <v/>
      </c>
      <c r="B27" s="68">
        <f>IF($BJ26&gt;0,IF(INDEX('Final Calculation Sheet'!$F$4:$F$40,$BJ26-3)="","",INDEX('Final Calculation Sheet'!$F$4:$F$40,$BJ26-3)),"")</f>
        <v/>
      </c>
      <c r="C27" s="68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/>
      </c>
      <c r="D27" s="69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/>
      </c>
      <c r="E27" s="69">
        <f>IF($BJ26&gt;0,IF(INDEX('Final Calculation Sheet'!$D$4:$D$40,$BJ26-3)="","",INDEX('Final Calculation Sheet'!$D$4:$D$40,$BJ26-3)),IF(OR($BI26=1,$BL26=1,$BH26&gt;0),"–",""))</f>
        <v/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/>
      </c>
      <c r="G27" s="69">
        <f>IF($BJ26&gt;0,IF(INDEX('Final Calculation Sheet'!$E$4:$E$40,$BJ26-3)="","",INDEX('Final Calculation Sheet'!$E$4:$E$40,$BJ26-3)),IF(OR($BI26=1,$BL26=1,$BH26&gt;0),"–",""))</f>
        <v/>
      </c>
      <c r="H27" s="70">
        <f>IF($BJ26&gt;0,IF(INDEX('Final Calculation Sheet'!$C$4:$C$40,$BJ26-3)="","",INDEX('Final Calculation Sheet'!$C$4:$C$40,$BJ26-3)),IF(OR($BI26=1,$BL26=1,$BH26&gt;0),"–",""))</f>
        <v/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/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/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/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/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/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/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/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/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/>
      </c>
      <c r="R27" s="72">
        <f>IF($BJ26&gt;0,IF(INDEX('Final Calculation Sheet'!$Q$4:$Q$40,$BJ26-3)="","",INDEX('Final Calculation Sheet'!$Q$4:$Q$40,$BJ26-3)),IF(OR($BI26=1,$BL26=1,$BH26&gt;0),"–",""))</f>
        <v/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/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/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/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/>
      </c>
      <c r="W27" s="70">
        <f>IF($BJ26&gt;0,IF(INDEX('Final Calculation Sheet'!$V$4:$V$40,$BJ26-3)="","",INDEX('Final Calculation Sheet'!$V$4:$V$40,$BJ26-3)),IF(OR($BI26=1,$BL26=1,$BH26&gt;0),"–",""))</f>
        <v/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/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/>
      </c>
      <c r="Z27" s="70">
        <f>IF($BJ26&gt;0,IF(INDEX('Final Calculation Sheet'!$Y$4:$Y$40,$BJ26-3)="","",INDEX('Final Calculation Sheet'!$Y$4:$Y$40,$BJ26-3)),IF(OR($BI26=1,$BL26=1,$BH26&gt;0),"–",""))</f>
        <v/>
      </c>
      <c r="AA27" s="70">
        <f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/>
      </c>
      <c r="AB27" s="70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/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/>
      </c>
      <c r="AF27" s="70">
        <f>IF($BJ26&gt;0,IF(INDEX('Final Calculation Sheet'!$AE$4:$AE$40,$BJ26-3)="","",INDEX('Final Calculation Sheet'!$AE$4:$AE$40,$BJ26-3)),IF(OR($BI26=1,$BL26=1,$BH26&gt;0),"–",""))</f>
        <v/>
      </c>
      <c r="AG27" s="74">
        <f>IF($BJ26&gt;0,IF(INDEX('Final Calculation Sheet'!$AF$4:$AF$40,$BJ26-3)="","",INDEX('Final Calculation Sheet'!$AF$4:$AF$40,$BJ26-3)),IF(OR($BI26=1,$BL26=1,$BH26&gt;0),"–",""))</f>
        <v/>
      </c>
      <c r="AH27" s="70">
        <f>IF($BJ26&gt;0,IF(INDEX('Final Calculation Sheet'!$AG$4:$AG$40,$BJ26-3)="","",INDEX('Final Calculation Sheet'!$AG$4:$AG$40,$BJ26-3)),IF(OR($BI26=1,$BL26=1,$BH26&gt;0),"–",""))</f>
        <v/>
      </c>
      <c r="AI27" s="75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/>
      </c>
      <c r="AJ27" s="85" t="inlineStr">
        <is>
          <t>V - Security Deposit (Received)</t>
        </is>
      </c>
      <c r="AK27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/>
      </c>
      <c r="AM27">
        <f>IF(COUNTIF($BM27:$CU27,0)&gt;0,0,IF($B$3="",1,IF(AND(IF(COUNTIF($AR$9:$AY$9,1)=0,TRUE,SUMPRODUCT(($AR$9:$AY$9=1)*($AR$6:$AY$6&lt;&gt;"")*ISNUMBER(SEARCH($AR$6:$AY$6,$AK27)))&gt;0),IF(COUNTIF($AR$9:$AY$9,2)=0,TRUE,SUMPRODUCT(($AR$9:$AY$9=2)*($AR$6:$AY$6&lt;&gt;"")*ISNUMBER(SEARCH($AR$6:$AY$6,$AK27)))&gt;0),IF(COUNTIF($AR$9:$AY$9,3)=0,TRUE,SUMPRODUCT(($AR$9:$AY$9=3)*($AR$6:$AY$6&lt;&gt;"")*ISNUMBER(SEARCH($AR$6:$AY$6,$AK27)))&gt;0),IF(COUNTIF($AR$9:$AY$9,4)=0,TRUE,SUMPRODUCT(($AR$9:$AY$9=4)*($AR$6:$AY$6&lt;&gt;"")*ISNUMBER(SEARCH($AR$6:$AY$6,$AK27)))&gt;0),IF(COUNTIF($AR$9:$AY$9,5)=0,TRUE,SUMPRODUCT(($AR$9:$AY$9=5)*($AR$6:$AY$6&lt;&gt;"")*ISNUMBER(SEARCH($AR$6:$AY$6,$AK27)))&gt;0),IF(COUNTIF($AR$9:$AY$9,6)=0,TRUE,SUMPRODUCT(($AR$9:$AY$9=6)*($AR$6:$AY$6&lt;&gt;"")*ISNUMBER(SEARCH($AR$6:$AY$6,$AK27)))&gt;0),IF(COUNTIF($AR$9:$AY$9,7)=0,TRUE,SUMPRODUCT(($AR$9:$AY$9=7)*($AR$6:$AY$6&lt;&gt;"")*ISNUMBER(SEARCH($AR$6:$AY$6,$AK27)))&gt;0),IF(COUNTIF($AR$9:$AY$9,8)=0,TRUE,SUMPRODUCT(($AR$9:$AY$9=8)*($AR$6:$AY$6&lt;&gt;"")*ISNUMBER(SEARCH($AR$6:$AY$6,$AK27)))&gt;0)),1,0)))</f>
        <v/>
      </c>
      <c r="AN27">
        <f>IF($AP27="","",IF(OR($AN$2="W",$AN$2="Z",$AN$2="AC",$AN$2="AH"),IF(ISNUMBER($AP27),$AP27,IFERROR(DATE(VALUE(RIGHT($AP27,4)),VALUE(MID($AP27,4,2)),VALUE(LEFT($AP27,2))),$AP27)),$AP27))</f>
        <v/>
      </c>
      <c r="AP27">
        <f>IFERROR(IF($AN$2="","",IF($AN$2="A",$BC27,CHOOSE(MATCH($AN$2,{"B","C","D","E","F","G","H","I","J","K","L","M","N","O","P","Q","R","S","T","U","V","W","X","Y","Z","AA","AB","AC","AD","AE","AF","AG","AH","AI"},0),'Final Calculation Sheet'!$F$26,'Final Calculation Sheet'!$G$26,'Final Calculation Sheet'!$B$26,'Final Calculation Sheet'!$D$26,'Final Calculation Sheet'!$A$26,'Final Calculation Sheet'!$E$26,'Final Calculation Sheet'!$C$26,'Final Calculation Sheet'!$H$26,'Final Calculation Sheet'!$I$26,'Final Calculation Sheet'!$J$26,'Final Calculation Sheet'!$K$26,'Final Calculation Sheet'!$L$26,'Final Calculation Sheet'!$M$26,'Final Calculation Sheet'!$N$26,'Final Calculation Sheet'!$O$26,'Final Calculation Sheet'!$P$26,'Final Calculation Sheet'!$Q$26,'Final Calculation Sheet'!$R$26,'Final Calculation Sheet'!$S$26,'Final Calculation Sheet'!$T$26,'Final Calculation Sheet'!$U$26,'Final Calculation Sheet'!$V$26,'Final Calculation Sheet'!$W$26,'Final Calculation Sheet'!$X$26,'Final Calculation Sheet'!$Y$26,'Final Calculation Sheet'!$Z$26,'Final Calculation Sheet'!$AA$26,'Final Calculation Sheet'!$AB$26,'Final Calculation Sheet'!$AC$26,'Final Calculation Sheet'!$AD$26,'Final Calculation Sheet'!$AE$26,'Final Calculation Sheet'!$AF$26,'Final Calculation Sheet'!$AG$26,IF('Final Calculation Sheet'!$AD$26="","",IF('Final Calculation Sheet'!$AD$26&lt;=0,"SETTLED","OUTSTANDING"))))),"")</f>
        <v/>
      </c>
      <c r="AZ27">
        <f>IF($B$3="",IF(COUNTIF($A$4:$AI$4,"&lt;&gt;")=0,9,IF($AM27=1,9,10)),IF($AM27=0,10,IF(AND($AR$6&lt;&gt;"",ISNUMBER(SEARCH($AR$6,$AK27))),1,IF(AND($AS$6&lt;&gt;"",ISNUMBER(SEARCH($AS$6,$AK27))),2,IF(AND($AT$6&lt;&gt;"",ISNUMBER(SEARCH($AT$6,$AK27))),3,IF(AND($AU$6&lt;&gt;"",ISNUMBER(SEARCH($AU$6,$AK27))),4,IF(AND($AV$6&lt;&gt;"",ISNUMBER(SEARCH($AV$6,$AK27))),5,IF(AND($AW$6&lt;&gt;"",ISNUMBER(SEARCH($AW$6,$AK27))),6,IF(AND($AX$6&lt;&gt;"",ISNUMBER(SEARCH($AX$6,$AK27))),7,IF(AND($AY$6&lt;&gt;"",ISNUMBER(SEARCH($AY$6,$AK27))),8,0))))))))))</f>
        <v/>
      </c>
      <c r="BA27">
        <f>IF($AN$2="",SUMPRODUCT(($AZ$5:$AZ$41=$AZ27)*($BC$5:$BC$41&lt;$BC27))+1,IF($AN27="",SUMPRODUCT(($AZ$5:$AZ$41=$AZ27)*($AN$5:$AN$41&lt;&gt;""))+SUMPRODUCT(($AZ$5:$AZ$41=$AZ27)*($AN$5:$AN$41="")*($BC$5:$BC$41&lt;$BC27))+1,IF($AL$2="▼ Descending",SUMPRODUCT(($AZ$5:$AZ$41=$AZ27)*($AN$5:$AN$41&gt;$AN27)*($AN$5:$AN$41&lt;&gt;""))+SUMPRODUCT(($AZ$5:$AZ$41=$AZ27)*($AN$5:$AN$41=$AN27)*($BC$5:$BC$41&lt;$BC27))+1,SUMPRODUCT(($AZ$5:$AZ$41=$AZ27)*($AN$5:$AN$41&lt;$AN27)*($AN$5:$AN$41&lt;&gt;""))+SUMPRODUCT(($AZ$5:$AZ$41=$AZ27)*($AN$5:$AN$41=$AN27)*($BC$5:$BC$41&lt;$BC27))+1)))</f>
        <v/>
      </c>
      <c r="BB27">
        <f>IF(INDEX($BF$4:$BF$13,$AZ27)=0,0,INDEX($BE$4:$BE$13,$AZ27)+$BA27-1)</f>
        <v/>
      </c>
      <c r="BC27" t="n">
        <v>26</v>
      </c>
      <c r="BH27">
        <f>IFERROR(MATCH(27,$BF$4:$BF$13,0),0)</f>
        <v/>
      </c>
      <c r="BI27">
        <f>IF(27=$BG$5,1,0)</f>
        <v/>
      </c>
      <c r="BJ27">
        <f>IF(OR($BH27&gt;0,$BI27=1,$BL27=1),0,IFERROR(INDEX($BC$5:$BC$41,MATCH(27,$BB$5:$BB$41,0)),0))</f>
        <v/>
      </c>
      <c r="BK27">
        <f>IF($BJ27&gt;0,IF(INDEX($AZ$5:$AZ$41,MATCH(27,$BB$5:$BB$41,0))=10,1,0),IF($BH27=10,1,0))</f>
        <v/>
      </c>
      <c r="BL27">
        <f>IF(27=$BG$4,1,0)</f>
        <v/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/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/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/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/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/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/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/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/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/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/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/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/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/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/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/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/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/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/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/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/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/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/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/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/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/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/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/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/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/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/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/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/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/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/>
      </c>
    </row>
    <row r="28" ht="15" customHeight="1" s="77">
      <c r="A28" s="67">
        <f>IF($BJ27&gt;0,INDEX($BA$5:$BA$41,MATCH(27,$BB$5:$BB$41,0)),IF(OR($BI27=1,$BL27=1,$BH27&gt;0),"∑",""))</f>
        <v/>
      </c>
      <c r="B28" s="68">
        <f>IF($BJ27&gt;0,IF(INDEX('Final Calculation Sheet'!$F$4:$F$40,$BJ27-3)="","",INDEX('Final Calculation Sheet'!$F$4:$F$40,$BJ27-3)),"")</f>
        <v/>
      </c>
      <c r="C28" s="68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/>
      </c>
      <c r="D28" s="69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/>
      </c>
      <c r="E28" s="69">
        <f>IF($BJ27&gt;0,IF(INDEX('Final Calculation Sheet'!$D$4:$D$40,$BJ27-3)="","",INDEX('Final Calculation Sheet'!$D$4:$D$40,$BJ27-3)),IF(OR($BI27=1,$BL27=1,$BH27&gt;0),"–",""))</f>
        <v/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/>
      </c>
      <c r="G28" s="69">
        <f>IF($BJ27&gt;0,IF(INDEX('Final Calculation Sheet'!$E$4:$E$40,$BJ27-3)="","",INDEX('Final Calculation Sheet'!$E$4:$E$40,$BJ27-3)),IF(OR($BI27=1,$BL27=1,$BH27&gt;0),"–",""))</f>
        <v/>
      </c>
      <c r="H28" s="70">
        <f>IF($BJ27&gt;0,IF(INDEX('Final Calculation Sheet'!$C$4:$C$40,$BJ27-3)="","",INDEX('Final Calculation Sheet'!$C$4:$C$40,$BJ27-3)),IF(OR($BI27=1,$BL27=1,$BH27&gt;0),"–",""))</f>
        <v/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/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/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/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/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/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/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/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/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/>
      </c>
      <c r="R28" s="72">
        <f>IF($BJ27&gt;0,IF(INDEX('Final Calculation Sheet'!$Q$4:$Q$40,$BJ27-3)="","",INDEX('Final Calculation Sheet'!$Q$4:$Q$40,$BJ27-3)),IF(OR($BI27=1,$BL27=1,$BH27&gt;0),"–",""))</f>
        <v/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/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/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/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/>
      </c>
      <c r="W28" s="70">
        <f>IF($BJ27&gt;0,IF(INDEX('Final Calculation Sheet'!$V$4:$V$40,$BJ27-3)="","",INDEX('Final Calculation Sheet'!$V$4:$V$40,$BJ27-3)),IF(OR($BI27=1,$BL27=1,$BH27&gt;0),"–",""))</f>
        <v/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/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/>
      </c>
      <c r="Z28" s="70">
        <f>IF($BJ27&gt;0,IF(INDEX('Final Calculation Sheet'!$Y$4:$Y$40,$BJ27-3)="","",INDEX('Final Calculation Sheet'!$Y$4:$Y$40,$BJ27-3)),IF(OR($BI27=1,$BL27=1,$BH27&gt;0),"–",""))</f>
        <v/>
      </c>
      <c r="AA28" s="70">
        <f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/>
      </c>
      <c r="AB28" s="70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/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/>
      </c>
      <c r="AF28" s="70">
        <f>IF($BJ27&gt;0,IF(INDEX('Final Calculation Sheet'!$AE$4:$AE$40,$BJ27-3)="","",INDEX('Final Calculation Sheet'!$AE$4:$AE$40,$BJ27-3)),IF(OR($BI27=1,$BL27=1,$BH27&gt;0),"–",""))</f>
        <v/>
      </c>
      <c r="AG28" s="74">
        <f>IF($BJ27&gt;0,IF(INDEX('Final Calculation Sheet'!$AF$4:$AF$40,$BJ27-3)="","",INDEX('Final Calculation Sheet'!$AF$4:$AF$40,$BJ27-3)),IF(OR($BI27=1,$BL27=1,$BH27&gt;0),"–",""))</f>
        <v/>
      </c>
      <c r="AH28" s="70">
        <f>IF($BJ27&gt;0,IF(INDEX('Final Calculation Sheet'!$AG$4:$AG$40,$BJ27-3)="","",INDEX('Final Calculation Sheet'!$AG$4:$AG$40,$BJ27-3)),IF(OR($BI27=1,$BL27=1,$BH27&gt;0),"–",""))</f>
        <v/>
      </c>
      <c r="AI28" s="75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/>
      </c>
      <c r="AJ28" s="85" t="inlineStr">
        <is>
          <t>W - Date of Receipt (col V)</t>
        </is>
      </c>
      <c r="AK28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/>
      </c>
      <c r="AM28">
        <f>IF(COUNTIF($BM28:$CU28,0)&gt;0,0,IF($B$3="",1,IF(AND(IF(COUNTIF($AR$9:$AY$9,1)=0,TRUE,SUMPRODUCT(($AR$9:$AY$9=1)*($AR$6:$AY$6&lt;&gt;"")*ISNUMBER(SEARCH($AR$6:$AY$6,$AK28)))&gt;0),IF(COUNTIF($AR$9:$AY$9,2)=0,TRUE,SUMPRODUCT(($AR$9:$AY$9=2)*($AR$6:$AY$6&lt;&gt;"")*ISNUMBER(SEARCH($AR$6:$AY$6,$AK28)))&gt;0),IF(COUNTIF($AR$9:$AY$9,3)=0,TRUE,SUMPRODUCT(($AR$9:$AY$9=3)*($AR$6:$AY$6&lt;&gt;"")*ISNUMBER(SEARCH($AR$6:$AY$6,$AK28)))&gt;0),IF(COUNTIF($AR$9:$AY$9,4)=0,TRUE,SUMPRODUCT(($AR$9:$AY$9=4)*($AR$6:$AY$6&lt;&gt;"")*ISNUMBER(SEARCH($AR$6:$AY$6,$AK28)))&gt;0),IF(COUNTIF($AR$9:$AY$9,5)=0,TRUE,SUMPRODUCT(($AR$9:$AY$9=5)*($AR$6:$AY$6&lt;&gt;"")*ISNUMBER(SEARCH($AR$6:$AY$6,$AK28)))&gt;0),IF(COUNTIF($AR$9:$AY$9,6)=0,TRUE,SUMPRODUCT(($AR$9:$AY$9=6)*($AR$6:$AY$6&lt;&gt;"")*ISNUMBER(SEARCH($AR$6:$AY$6,$AK28)))&gt;0),IF(COUNTIF($AR$9:$AY$9,7)=0,TRUE,SUMPRODUCT(($AR$9:$AY$9=7)*($AR$6:$AY$6&lt;&gt;"")*ISNUMBER(SEARCH($AR$6:$AY$6,$AK28)))&gt;0),IF(COUNTIF($AR$9:$AY$9,8)=0,TRUE,SUMPRODUCT(($AR$9:$AY$9=8)*($AR$6:$AY$6&lt;&gt;"")*ISNUMBER(SEARCH($AR$6:$AY$6,$AK28)))&gt;0)),1,0)))</f>
        <v/>
      </c>
      <c r="AN28">
        <f>IF($AP28="","",IF(OR($AN$2="W",$AN$2="Z",$AN$2="AC",$AN$2="AH"),IF(ISNUMBER($AP28),$AP28,IFERROR(DATE(VALUE(RIGHT($AP28,4)),VALUE(MID($AP28,4,2)),VALUE(LEFT($AP28,2))),$AP28)),$AP28))</f>
        <v/>
      </c>
      <c r="AP28">
        <f>IFERROR(IF($AN$2="","",IF($AN$2="A",$BC28,CHOOSE(MATCH($AN$2,{"B","C","D","E","F","G","H","I","J","K","L","M","N","O","P","Q","R","S","T","U","V","W","X","Y","Z","AA","AB","AC","AD","AE","AF","AG","AH","AI"},0),'Final Calculation Sheet'!$F$27,'Final Calculation Sheet'!$G$27,'Final Calculation Sheet'!$B$27,'Final Calculation Sheet'!$D$27,'Final Calculation Sheet'!$A$27,'Final Calculation Sheet'!$E$27,'Final Calculation Sheet'!$C$27,'Final Calculation Sheet'!$H$27,'Final Calculation Sheet'!$I$27,'Final Calculation Sheet'!$J$27,'Final Calculation Sheet'!$K$27,'Final Calculation Sheet'!$L$27,'Final Calculation Sheet'!$M$27,'Final Calculation Sheet'!$N$27,'Final Calculation Sheet'!$O$27,'Final Calculation Sheet'!$P$27,'Final Calculation Sheet'!$Q$27,'Final Calculation Sheet'!$R$27,'Final Calculation Sheet'!$S$27,'Final Calculation Sheet'!$T$27,'Final Calculation Sheet'!$U$27,'Final Calculation Sheet'!$V$27,'Final Calculation Sheet'!$W$27,'Final Calculation Sheet'!$X$27,'Final Calculation Sheet'!$Y$27,'Final Calculation Sheet'!$Z$27,'Final Calculation Sheet'!$AA$27,'Final Calculation Sheet'!$AB$27,'Final Calculation Sheet'!$AC$27,'Final Calculation Sheet'!$AD$27,'Final Calculation Sheet'!$AE$27,'Final Calculation Sheet'!$AF$27,'Final Calculation Sheet'!$AG$27,IF('Final Calculation Sheet'!$AD$27="","",IF('Final Calculation Sheet'!$AD$27&lt;=0,"SETTLED","OUTSTANDING"))))),"")</f>
        <v/>
      </c>
      <c r="AZ28">
        <f>IF($B$3="",IF(COUNTIF($A$4:$AI$4,"&lt;&gt;")=0,9,IF($AM28=1,9,10)),IF($AM28=0,10,IF(AND($AR$6&lt;&gt;"",ISNUMBER(SEARCH($AR$6,$AK28))),1,IF(AND($AS$6&lt;&gt;"",ISNUMBER(SEARCH($AS$6,$AK28))),2,IF(AND($AT$6&lt;&gt;"",ISNUMBER(SEARCH($AT$6,$AK28))),3,IF(AND($AU$6&lt;&gt;"",ISNUMBER(SEARCH($AU$6,$AK28))),4,IF(AND($AV$6&lt;&gt;"",ISNUMBER(SEARCH($AV$6,$AK28))),5,IF(AND($AW$6&lt;&gt;"",ISNUMBER(SEARCH($AW$6,$AK28))),6,IF(AND($AX$6&lt;&gt;"",ISNUMBER(SEARCH($AX$6,$AK28))),7,IF(AND($AY$6&lt;&gt;"",ISNUMBER(SEARCH($AY$6,$AK28))),8,0))))))))))</f>
        <v/>
      </c>
      <c r="BA28">
        <f>IF($AN$2="",SUMPRODUCT(($AZ$5:$AZ$41=$AZ28)*($BC$5:$BC$41&lt;$BC28))+1,IF($AN28="",SUMPRODUCT(($AZ$5:$AZ$41=$AZ28)*($AN$5:$AN$41&lt;&gt;""))+SUMPRODUCT(($AZ$5:$AZ$41=$AZ28)*($AN$5:$AN$41="")*($BC$5:$BC$41&lt;$BC28))+1,IF($AL$2="▼ Descending",SUMPRODUCT(($AZ$5:$AZ$41=$AZ28)*($AN$5:$AN$41&gt;$AN28)*($AN$5:$AN$41&lt;&gt;""))+SUMPRODUCT(($AZ$5:$AZ$41=$AZ28)*($AN$5:$AN$41=$AN28)*($BC$5:$BC$41&lt;$BC28))+1,SUMPRODUCT(($AZ$5:$AZ$41=$AZ28)*($AN$5:$AN$41&lt;$AN28)*($AN$5:$AN$41&lt;&gt;""))+SUMPRODUCT(($AZ$5:$AZ$41=$AZ28)*($AN$5:$AN$41=$AN28)*($BC$5:$BC$41&lt;$BC28))+1)))</f>
        <v/>
      </c>
      <c r="BB28">
        <f>IF(INDEX($BF$4:$BF$13,$AZ28)=0,0,INDEX($BE$4:$BE$13,$AZ28)+$BA28-1)</f>
        <v/>
      </c>
      <c r="BC28" t="n">
        <v>27</v>
      </c>
      <c r="BH28">
        <f>IFERROR(MATCH(28,$BF$4:$BF$13,0),0)</f>
        <v/>
      </c>
      <c r="BI28">
        <f>IF(28=$BG$5,1,0)</f>
        <v/>
      </c>
      <c r="BJ28">
        <f>IF(OR($BH28&gt;0,$BI28=1,$BL28=1),0,IFERROR(INDEX($BC$5:$BC$41,MATCH(28,$BB$5:$BB$41,0)),0))</f>
        <v/>
      </c>
      <c r="BK28">
        <f>IF($BJ28&gt;0,IF(INDEX($AZ$5:$AZ$41,MATCH(28,$BB$5:$BB$41,0))=10,1,0),IF($BH28=10,1,0))</f>
        <v/>
      </c>
      <c r="BL28">
        <f>IF(28=$BG$4,1,0)</f>
        <v/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/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/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/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/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/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/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/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/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/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/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/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/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/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/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/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/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/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/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/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/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/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/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/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/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/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/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/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/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/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/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/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/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/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/>
      </c>
    </row>
    <row r="29" ht="15" customHeight="1" s="77">
      <c r="A29" s="67">
        <f>IF($BJ28&gt;0,INDEX($BA$5:$BA$41,MATCH(28,$BB$5:$BB$41,0)),IF(OR($BI28=1,$BL28=1,$BH28&gt;0),"∑",""))</f>
        <v/>
      </c>
      <c r="B29" s="68">
        <f>IF($BJ28&gt;0,IF(INDEX('Final Calculation Sheet'!$F$4:$F$40,$BJ28-3)="","",INDEX('Final Calculation Sheet'!$F$4:$F$40,$BJ28-3)),"")</f>
        <v/>
      </c>
      <c r="C29" s="68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/>
      </c>
      <c r="D29" s="69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/>
      </c>
      <c r="E29" s="69">
        <f>IF($BJ28&gt;0,IF(INDEX('Final Calculation Sheet'!$D$4:$D$40,$BJ28-3)="","",INDEX('Final Calculation Sheet'!$D$4:$D$40,$BJ28-3)),IF(OR($BI28=1,$BL28=1,$BH28&gt;0),"–",""))</f>
        <v/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/>
      </c>
      <c r="G29" s="69">
        <f>IF($BJ28&gt;0,IF(INDEX('Final Calculation Sheet'!$E$4:$E$40,$BJ28-3)="","",INDEX('Final Calculation Sheet'!$E$4:$E$40,$BJ28-3)),IF(OR($BI28=1,$BL28=1,$BH28&gt;0),"–",""))</f>
        <v/>
      </c>
      <c r="H29" s="70">
        <f>IF($BJ28&gt;0,IF(INDEX('Final Calculation Sheet'!$C$4:$C$40,$BJ28-3)="","",INDEX('Final Calculation Sheet'!$C$4:$C$40,$BJ28-3)),IF(OR($BI28=1,$BL28=1,$BH28&gt;0),"–",""))</f>
        <v/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/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/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/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/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/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/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/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/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/>
      </c>
      <c r="R29" s="72">
        <f>IF($BJ28&gt;0,IF(INDEX('Final Calculation Sheet'!$Q$4:$Q$40,$BJ28-3)="","",INDEX('Final Calculation Sheet'!$Q$4:$Q$40,$BJ28-3)),IF(OR($BI28=1,$BL28=1,$BH28&gt;0),"–",""))</f>
        <v/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/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/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/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/>
      </c>
      <c r="W29" s="70">
        <f>IF($BJ28&gt;0,IF(INDEX('Final Calculation Sheet'!$V$4:$V$40,$BJ28-3)="","",INDEX('Final Calculation Sheet'!$V$4:$V$40,$BJ28-3)),IF(OR($BI28=1,$BL28=1,$BH28&gt;0),"–",""))</f>
        <v/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/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/>
      </c>
      <c r="Z29" s="70">
        <f>IF($BJ28&gt;0,IF(INDEX('Final Calculation Sheet'!$Y$4:$Y$40,$BJ28-3)="","",INDEX('Final Calculation Sheet'!$Y$4:$Y$40,$BJ28-3)),IF(OR($BI28=1,$BL28=1,$BH28&gt;0),"–",""))</f>
        <v/>
      </c>
      <c r="AA29" s="70">
        <f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/>
      </c>
      <c r="AB29" s="70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/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/>
      </c>
      <c r="AF29" s="70">
        <f>IF($BJ28&gt;0,IF(INDEX('Final Calculation Sheet'!$AE$4:$AE$40,$BJ28-3)="","",INDEX('Final Calculation Sheet'!$AE$4:$AE$40,$BJ28-3)),IF(OR($BI28=1,$BL28=1,$BH28&gt;0),"–",""))</f>
        <v/>
      </c>
      <c r="AG29" s="74">
        <f>IF($BJ28&gt;0,IF(INDEX('Final Calculation Sheet'!$AF$4:$AF$40,$BJ28-3)="","",INDEX('Final Calculation Sheet'!$AF$4:$AF$40,$BJ28-3)),IF(OR($BI28=1,$BL28=1,$BH28&gt;0),"–",""))</f>
        <v/>
      </c>
      <c r="AH29" s="70">
        <f>IF($BJ28&gt;0,IF(INDEX('Final Calculation Sheet'!$AG$4:$AG$40,$BJ28-3)="","",INDEX('Final Calculation Sheet'!$AG$4:$AG$40,$BJ28-3)),IF(OR($BI28=1,$BL28=1,$BH28&gt;0),"–",""))</f>
        <v/>
      </c>
      <c r="AI29" s="75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/>
      </c>
      <c r="AJ29" s="85" t="inlineStr">
        <is>
          <t>X - Final Payment (Expected)</t>
        </is>
      </c>
      <c r="AK29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/>
      </c>
      <c r="AM29">
        <f>IF(COUNTIF($BM29:$CU29,0)&gt;0,0,IF($B$3="",1,IF(AND(IF(COUNTIF($AR$9:$AY$9,1)=0,TRUE,SUMPRODUCT(($AR$9:$AY$9=1)*($AR$6:$AY$6&lt;&gt;"")*ISNUMBER(SEARCH($AR$6:$AY$6,$AK29)))&gt;0),IF(COUNTIF($AR$9:$AY$9,2)=0,TRUE,SUMPRODUCT(($AR$9:$AY$9=2)*($AR$6:$AY$6&lt;&gt;"")*ISNUMBER(SEARCH($AR$6:$AY$6,$AK29)))&gt;0),IF(COUNTIF($AR$9:$AY$9,3)=0,TRUE,SUMPRODUCT(($AR$9:$AY$9=3)*($AR$6:$AY$6&lt;&gt;"")*ISNUMBER(SEARCH($AR$6:$AY$6,$AK29)))&gt;0),IF(COUNTIF($AR$9:$AY$9,4)=0,TRUE,SUMPRODUCT(($AR$9:$AY$9=4)*($AR$6:$AY$6&lt;&gt;"")*ISNUMBER(SEARCH($AR$6:$AY$6,$AK29)))&gt;0),IF(COUNTIF($AR$9:$AY$9,5)=0,TRUE,SUMPRODUCT(($AR$9:$AY$9=5)*($AR$6:$AY$6&lt;&gt;"")*ISNUMBER(SEARCH($AR$6:$AY$6,$AK29)))&gt;0),IF(COUNTIF($AR$9:$AY$9,6)=0,TRUE,SUMPRODUCT(($AR$9:$AY$9=6)*($AR$6:$AY$6&lt;&gt;"")*ISNUMBER(SEARCH($AR$6:$AY$6,$AK29)))&gt;0),IF(COUNTIF($AR$9:$AY$9,7)=0,TRUE,SUMPRODUCT(($AR$9:$AY$9=7)*($AR$6:$AY$6&lt;&gt;"")*ISNUMBER(SEARCH($AR$6:$AY$6,$AK29)))&gt;0),IF(COUNTIF($AR$9:$AY$9,8)=0,TRUE,SUMPRODUCT(($AR$9:$AY$9=8)*($AR$6:$AY$6&lt;&gt;"")*ISNUMBER(SEARCH($AR$6:$AY$6,$AK29)))&gt;0)),1,0)))</f>
        <v/>
      </c>
      <c r="AN29">
        <f>IF($AP29="","",IF(OR($AN$2="W",$AN$2="Z",$AN$2="AC",$AN$2="AH"),IF(ISNUMBER($AP29),$AP29,IFERROR(DATE(VALUE(RIGHT($AP29,4)),VALUE(MID($AP29,4,2)),VALUE(LEFT($AP29,2))),$AP29)),$AP29))</f>
        <v/>
      </c>
      <c r="AP29">
        <f>IFERROR(IF($AN$2="","",IF($AN$2="A",$BC29,CHOOSE(MATCH($AN$2,{"B","C","D","E","F","G","H","I","J","K","L","M","N","O","P","Q","R","S","T","U","V","W","X","Y","Z","AA","AB","AC","AD","AE","AF","AG","AH","AI"},0),'Final Calculation Sheet'!$F$28,'Final Calculation Sheet'!$G$28,'Final Calculation Sheet'!$B$28,'Final Calculation Sheet'!$D$28,'Final Calculation Sheet'!$A$28,'Final Calculation Sheet'!$E$28,'Final Calculation Sheet'!$C$28,'Final Calculation Sheet'!$H$28,'Final Calculation Sheet'!$I$28,'Final Calculation Sheet'!$J$28,'Final Calculation Sheet'!$K$28,'Final Calculation Sheet'!$L$28,'Final Calculation Sheet'!$M$28,'Final Calculation Sheet'!$N$28,'Final Calculation Sheet'!$O$28,'Final Calculation Sheet'!$P$28,'Final Calculation Sheet'!$Q$28,'Final Calculation Sheet'!$R$28,'Final Calculation Sheet'!$S$28,'Final Calculation Sheet'!$T$28,'Final Calculation Sheet'!$U$28,'Final Calculation Sheet'!$V$28,'Final Calculation Sheet'!$W$28,'Final Calculation Sheet'!$X$28,'Final Calculation Sheet'!$Y$28,'Final Calculation Sheet'!$Z$28,'Final Calculation Sheet'!$AA$28,'Final Calculation Sheet'!$AB$28,'Final Calculation Sheet'!$AC$28,'Final Calculation Sheet'!$AD$28,'Final Calculation Sheet'!$AE$28,'Final Calculation Sheet'!$AF$28,'Final Calculation Sheet'!$AG$28,IF('Final Calculation Sheet'!$AD$28="","",IF('Final Calculation Sheet'!$AD$28&lt;=0,"SETTLED","OUTSTANDING"))))),"")</f>
        <v/>
      </c>
      <c r="AZ29">
        <f>IF($B$3="",IF(COUNTIF($A$4:$AI$4,"&lt;&gt;")=0,9,IF($AM29=1,9,10)),IF($AM29=0,10,IF(AND($AR$6&lt;&gt;"",ISNUMBER(SEARCH($AR$6,$AK29))),1,IF(AND($AS$6&lt;&gt;"",ISNUMBER(SEARCH($AS$6,$AK29))),2,IF(AND($AT$6&lt;&gt;"",ISNUMBER(SEARCH($AT$6,$AK29))),3,IF(AND($AU$6&lt;&gt;"",ISNUMBER(SEARCH($AU$6,$AK29))),4,IF(AND($AV$6&lt;&gt;"",ISNUMBER(SEARCH($AV$6,$AK29))),5,IF(AND($AW$6&lt;&gt;"",ISNUMBER(SEARCH($AW$6,$AK29))),6,IF(AND($AX$6&lt;&gt;"",ISNUMBER(SEARCH($AX$6,$AK29))),7,IF(AND($AY$6&lt;&gt;"",ISNUMBER(SEARCH($AY$6,$AK29))),8,0))))))))))</f>
        <v/>
      </c>
      <c r="BA29">
        <f>IF($AN$2="",SUMPRODUCT(($AZ$5:$AZ$41=$AZ29)*($BC$5:$BC$41&lt;$BC29))+1,IF($AN29="",SUMPRODUCT(($AZ$5:$AZ$41=$AZ29)*($AN$5:$AN$41&lt;&gt;""))+SUMPRODUCT(($AZ$5:$AZ$41=$AZ29)*($AN$5:$AN$41="")*($BC$5:$BC$41&lt;$BC29))+1,IF($AL$2="▼ Descending",SUMPRODUCT(($AZ$5:$AZ$41=$AZ29)*($AN$5:$AN$41&gt;$AN29)*($AN$5:$AN$41&lt;&gt;""))+SUMPRODUCT(($AZ$5:$AZ$41=$AZ29)*($AN$5:$AN$41=$AN29)*($BC$5:$BC$41&lt;$BC29))+1,SUMPRODUCT(($AZ$5:$AZ$41=$AZ29)*($AN$5:$AN$41&lt;$AN29)*($AN$5:$AN$41&lt;&gt;""))+SUMPRODUCT(($AZ$5:$AZ$41=$AZ29)*($AN$5:$AN$41=$AN29)*($BC$5:$BC$41&lt;$BC29))+1)))</f>
        <v/>
      </c>
      <c r="BB29">
        <f>IF(INDEX($BF$4:$BF$13,$AZ29)=0,0,INDEX($BE$4:$BE$13,$AZ29)+$BA29-1)</f>
        <v/>
      </c>
      <c r="BC29" t="n">
        <v>28</v>
      </c>
      <c r="BH29">
        <f>IFERROR(MATCH(29,$BF$4:$BF$13,0),0)</f>
        <v/>
      </c>
      <c r="BI29">
        <f>IF(29=$BG$5,1,0)</f>
        <v/>
      </c>
      <c r="BJ29">
        <f>IF(OR($BH29&gt;0,$BI29=1,$BL29=1),0,IFERROR(INDEX($BC$5:$BC$41,MATCH(29,$BB$5:$BB$41,0)),0))</f>
        <v/>
      </c>
      <c r="BK29">
        <f>IF($BJ29&gt;0,IF(INDEX($AZ$5:$AZ$41,MATCH(29,$BB$5:$BB$41,0))=10,1,0),IF($BH29=10,1,0))</f>
        <v/>
      </c>
      <c r="BL29">
        <f>IF(29=$BG$4,1,0)</f>
        <v/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/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/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/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/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/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/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/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/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/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/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/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/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/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/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/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/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/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/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/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/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/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/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/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/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/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/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/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/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/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/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/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/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/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/>
      </c>
    </row>
    <row r="30" ht="15" customHeight="1" s="77">
      <c r="A30" s="67">
        <f>IF($BJ29&gt;0,INDEX($BA$5:$BA$41,MATCH(29,$BB$5:$BB$41,0)),IF(OR($BI29=1,$BL29=1,$BH29&gt;0),"∑",""))</f>
        <v/>
      </c>
      <c r="B30" s="68">
        <f>IF($BJ29&gt;0,IF(INDEX('Final Calculation Sheet'!$F$4:$F$40,$BJ29-3)="","",INDEX('Final Calculation Sheet'!$F$4:$F$40,$BJ29-3)),"")</f>
        <v/>
      </c>
      <c r="C30" s="68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/>
      </c>
      <c r="D30" s="69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/>
      </c>
      <c r="E30" s="69">
        <f>IF($BJ29&gt;0,IF(INDEX('Final Calculation Sheet'!$D$4:$D$40,$BJ29-3)="","",INDEX('Final Calculation Sheet'!$D$4:$D$40,$BJ29-3)),IF(OR($BI29=1,$BL29=1,$BH29&gt;0),"–",""))</f>
        <v/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/>
      </c>
      <c r="G30" s="69">
        <f>IF($BJ29&gt;0,IF(INDEX('Final Calculation Sheet'!$E$4:$E$40,$BJ29-3)="","",INDEX('Final Calculation Sheet'!$E$4:$E$40,$BJ29-3)),IF(OR($BI29=1,$BL29=1,$BH29&gt;0),"–",""))</f>
        <v/>
      </c>
      <c r="H30" s="70">
        <f>IF($BJ29&gt;0,IF(INDEX('Final Calculation Sheet'!$C$4:$C$40,$BJ29-3)="","",INDEX('Final Calculation Sheet'!$C$4:$C$40,$BJ29-3)),IF(OR($BI29=1,$BL29=1,$BH29&gt;0),"–",""))</f>
        <v/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/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/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/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/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/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/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/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/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/>
      </c>
      <c r="R30" s="72">
        <f>IF($BJ29&gt;0,IF(INDEX('Final Calculation Sheet'!$Q$4:$Q$40,$BJ29-3)="","",INDEX('Final Calculation Sheet'!$Q$4:$Q$40,$BJ29-3)),IF(OR($BI29=1,$BL29=1,$BH29&gt;0),"–",""))</f>
        <v/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/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/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/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/>
      </c>
      <c r="W30" s="70">
        <f>IF($BJ29&gt;0,IF(INDEX('Final Calculation Sheet'!$V$4:$V$40,$BJ29-3)="","",INDEX('Final Calculation Sheet'!$V$4:$V$40,$BJ29-3)),IF(OR($BI29=1,$BL29=1,$BH29&gt;0),"–",""))</f>
        <v/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/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/>
      </c>
      <c r="Z30" s="70">
        <f>IF($BJ29&gt;0,IF(INDEX('Final Calculation Sheet'!$Y$4:$Y$40,$BJ29-3)="","",INDEX('Final Calculation Sheet'!$Y$4:$Y$40,$BJ29-3)),IF(OR($BI29=1,$BL29=1,$BH29&gt;0),"–",""))</f>
        <v/>
      </c>
      <c r="AA30" s="70">
        <f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/>
      </c>
      <c r="AB30" s="70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/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/>
      </c>
      <c r="AF30" s="70">
        <f>IF($BJ29&gt;0,IF(INDEX('Final Calculation Sheet'!$AE$4:$AE$40,$BJ29-3)="","",INDEX('Final Calculation Sheet'!$AE$4:$AE$40,$BJ29-3)),IF(OR($BI29=1,$BL29=1,$BH29&gt;0),"–",""))</f>
        <v/>
      </c>
      <c r="AG30" s="74">
        <f>IF($BJ29&gt;0,IF(INDEX('Final Calculation Sheet'!$AF$4:$AF$40,$BJ29-3)="","",INDEX('Final Calculation Sheet'!$AF$4:$AF$40,$BJ29-3)),IF(OR($BI29=1,$BL29=1,$BH29&gt;0),"–",""))</f>
        <v/>
      </c>
      <c r="AH30" s="70">
        <f>IF($BJ29&gt;0,IF(INDEX('Final Calculation Sheet'!$AG$4:$AG$40,$BJ29-3)="","",INDEX('Final Calculation Sheet'!$AG$4:$AG$40,$BJ29-3)),IF(OR($BI29=1,$BL29=1,$BH29&gt;0),"–",""))</f>
        <v/>
      </c>
      <c r="AI30" s="75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/>
      </c>
      <c r="AJ30" s="85" t="inlineStr">
        <is>
          <t>Y - Final Payment (Received)</t>
        </is>
      </c>
      <c r="AK30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/>
      </c>
      <c r="AM30">
        <f>IF(COUNTIF($BM30:$CU30,0)&gt;0,0,IF($B$3="",1,IF(AND(IF(COUNTIF($AR$9:$AY$9,1)=0,TRUE,SUMPRODUCT(($AR$9:$AY$9=1)*($AR$6:$AY$6&lt;&gt;"")*ISNUMBER(SEARCH($AR$6:$AY$6,$AK30)))&gt;0),IF(COUNTIF($AR$9:$AY$9,2)=0,TRUE,SUMPRODUCT(($AR$9:$AY$9=2)*($AR$6:$AY$6&lt;&gt;"")*ISNUMBER(SEARCH($AR$6:$AY$6,$AK30)))&gt;0),IF(COUNTIF($AR$9:$AY$9,3)=0,TRUE,SUMPRODUCT(($AR$9:$AY$9=3)*($AR$6:$AY$6&lt;&gt;"")*ISNUMBER(SEARCH($AR$6:$AY$6,$AK30)))&gt;0),IF(COUNTIF($AR$9:$AY$9,4)=0,TRUE,SUMPRODUCT(($AR$9:$AY$9=4)*($AR$6:$AY$6&lt;&gt;"")*ISNUMBER(SEARCH($AR$6:$AY$6,$AK30)))&gt;0),IF(COUNTIF($AR$9:$AY$9,5)=0,TRUE,SUMPRODUCT(($AR$9:$AY$9=5)*($AR$6:$AY$6&lt;&gt;"")*ISNUMBER(SEARCH($AR$6:$AY$6,$AK30)))&gt;0),IF(COUNTIF($AR$9:$AY$9,6)=0,TRUE,SUMPRODUCT(($AR$9:$AY$9=6)*($AR$6:$AY$6&lt;&gt;"")*ISNUMBER(SEARCH($AR$6:$AY$6,$AK30)))&gt;0),IF(COUNTIF($AR$9:$AY$9,7)=0,TRUE,SUMPRODUCT(($AR$9:$AY$9=7)*($AR$6:$AY$6&lt;&gt;"")*ISNUMBER(SEARCH($AR$6:$AY$6,$AK30)))&gt;0),IF(COUNTIF($AR$9:$AY$9,8)=0,TRUE,SUMPRODUCT(($AR$9:$AY$9=8)*($AR$6:$AY$6&lt;&gt;"")*ISNUMBER(SEARCH($AR$6:$AY$6,$AK30)))&gt;0)),1,0)))</f>
        <v/>
      </c>
      <c r="AN30">
        <f>IF($AP30="","",IF(OR($AN$2="W",$AN$2="Z",$AN$2="AC",$AN$2="AH"),IF(ISNUMBER($AP30),$AP30,IFERROR(DATE(VALUE(RIGHT($AP30,4)),VALUE(MID($AP30,4,2)),VALUE(LEFT($AP30,2))),$AP30)),$AP30))</f>
        <v/>
      </c>
      <c r="AP30">
        <f>IFERROR(IF($AN$2="","",IF($AN$2="A",$BC30,CHOOSE(MATCH($AN$2,{"B","C","D","E","F","G","H","I","J","K","L","M","N","O","P","Q","R","S","T","U","V","W","X","Y","Z","AA","AB","AC","AD","AE","AF","AG","AH","AI"},0),'Final Calculation Sheet'!$F$29,'Final Calculation Sheet'!$G$29,'Final Calculation Sheet'!$B$29,'Final Calculation Sheet'!$D$29,'Final Calculation Sheet'!$A$29,'Final Calculation Sheet'!$E$29,'Final Calculation Sheet'!$C$29,'Final Calculation Sheet'!$H$29,'Final Calculation Sheet'!$I$29,'Final Calculation Sheet'!$J$29,'Final Calculation Sheet'!$K$29,'Final Calculation Sheet'!$L$29,'Final Calculation Sheet'!$M$29,'Final Calculation Sheet'!$N$29,'Final Calculation Sheet'!$O$29,'Final Calculation Sheet'!$P$29,'Final Calculation Sheet'!$Q$29,'Final Calculation Sheet'!$R$29,'Final Calculation Sheet'!$S$29,'Final Calculation Sheet'!$T$29,'Final Calculation Sheet'!$U$29,'Final Calculation Sheet'!$V$29,'Final Calculation Sheet'!$W$29,'Final Calculation Sheet'!$X$29,'Final Calculation Sheet'!$Y$29,'Final Calculation Sheet'!$Z$29,'Final Calculation Sheet'!$AA$29,'Final Calculation Sheet'!$AB$29,'Final Calculation Sheet'!$AC$29,'Final Calculation Sheet'!$AD$29,'Final Calculation Sheet'!$AE$29,'Final Calculation Sheet'!$AF$29,'Final Calculation Sheet'!$AG$29,IF('Final Calculation Sheet'!$AD$29="","",IF('Final Calculation Sheet'!$AD$29&lt;=0,"SETTLED","OUTSTANDING"))))),"")</f>
        <v/>
      </c>
      <c r="AZ30">
        <f>IF($B$3="",IF(COUNTIF($A$4:$AI$4,"&lt;&gt;")=0,9,IF($AM30=1,9,10)),IF($AM30=0,10,IF(AND($AR$6&lt;&gt;"",ISNUMBER(SEARCH($AR$6,$AK30))),1,IF(AND($AS$6&lt;&gt;"",ISNUMBER(SEARCH($AS$6,$AK30))),2,IF(AND($AT$6&lt;&gt;"",ISNUMBER(SEARCH($AT$6,$AK30))),3,IF(AND($AU$6&lt;&gt;"",ISNUMBER(SEARCH($AU$6,$AK30))),4,IF(AND($AV$6&lt;&gt;"",ISNUMBER(SEARCH($AV$6,$AK30))),5,IF(AND($AW$6&lt;&gt;"",ISNUMBER(SEARCH($AW$6,$AK30))),6,IF(AND($AX$6&lt;&gt;"",ISNUMBER(SEARCH($AX$6,$AK30))),7,IF(AND($AY$6&lt;&gt;"",ISNUMBER(SEARCH($AY$6,$AK30))),8,0))))))))))</f>
        <v/>
      </c>
      <c r="BA30">
        <f>IF($AN$2="",SUMPRODUCT(($AZ$5:$AZ$41=$AZ30)*($BC$5:$BC$41&lt;$BC30))+1,IF($AN30="",SUMPRODUCT(($AZ$5:$AZ$41=$AZ30)*($AN$5:$AN$41&lt;&gt;""))+SUMPRODUCT(($AZ$5:$AZ$41=$AZ30)*($AN$5:$AN$41="")*($BC$5:$BC$41&lt;$BC30))+1,IF($AL$2="▼ Descending",SUMPRODUCT(($AZ$5:$AZ$41=$AZ30)*($AN$5:$AN$41&gt;$AN30)*($AN$5:$AN$41&lt;&gt;""))+SUMPRODUCT(($AZ$5:$AZ$41=$AZ30)*($AN$5:$AN$41=$AN30)*($BC$5:$BC$41&lt;$BC30))+1,SUMPRODUCT(($AZ$5:$AZ$41=$AZ30)*($AN$5:$AN$41&lt;$AN30)*($AN$5:$AN$41&lt;&gt;""))+SUMPRODUCT(($AZ$5:$AZ$41=$AZ30)*($AN$5:$AN$41=$AN30)*($BC$5:$BC$41&lt;$BC30))+1)))</f>
        <v/>
      </c>
      <c r="BB30">
        <f>IF(INDEX($BF$4:$BF$13,$AZ30)=0,0,INDEX($BE$4:$BE$13,$AZ30)+$BA30-1)</f>
        <v/>
      </c>
      <c r="BC30" t="n">
        <v>29</v>
      </c>
      <c r="BH30">
        <f>IFERROR(MATCH(30,$BF$4:$BF$13,0),0)</f>
        <v/>
      </c>
      <c r="BI30">
        <f>IF(30=$BG$5,1,0)</f>
        <v/>
      </c>
      <c r="BJ30">
        <f>IF(OR($BH30&gt;0,$BI30=1,$BL30=1),0,IFERROR(INDEX($BC$5:$BC$41,MATCH(30,$BB$5:$BB$41,0)),0))</f>
        <v/>
      </c>
      <c r="BK30">
        <f>IF($BJ30&gt;0,IF(INDEX($AZ$5:$AZ$41,MATCH(30,$BB$5:$BB$41,0))=10,1,0),IF($BH30=10,1,0))</f>
        <v/>
      </c>
      <c r="BL30">
        <f>IF(30=$BG$4,1,0)</f>
        <v/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/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/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/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/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/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/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/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/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/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/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/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/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/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/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/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/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/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/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/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/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/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/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/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/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/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/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/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/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/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/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/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/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/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/>
      </c>
    </row>
    <row r="31" ht="15" customHeight="1" s="77">
      <c r="A31" s="67">
        <f>IF($BJ30&gt;0,INDEX($BA$5:$BA$41,MATCH(30,$BB$5:$BB$41,0)),IF(OR($BI30=1,$BL30=1,$BH30&gt;0),"∑",""))</f>
        <v/>
      </c>
      <c r="B31" s="68">
        <f>IF($BJ30&gt;0,IF(INDEX('Final Calculation Sheet'!$F$4:$F$40,$BJ30-3)="","",INDEX('Final Calculation Sheet'!$F$4:$F$40,$BJ30-3)),"")</f>
        <v/>
      </c>
      <c r="C31" s="68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/>
      </c>
      <c r="D31" s="69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/>
      </c>
      <c r="E31" s="69">
        <f>IF($BJ30&gt;0,IF(INDEX('Final Calculation Sheet'!$D$4:$D$40,$BJ30-3)="","",INDEX('Final Calculation Sheet'!$D$4:$D$40,$BJ30-3)),IF(OR($BI30=1,$BL30=1,$BH30&gt;0),"–",""))</f>
        <v/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/>
      </c>
      <c r="G31" s="69">
        <f>IF($BJ30&gt;0,IF(INDEX('Final Calculation Sheet'!$E$4:$E$40,$BJ30-3)="","",INDEX('Final Calculation Sheet'!$E$4:$E$40,$BJ30-3)),IF(OR($BI30=1,$BL30=1,$BH30&gt;0),"–",""))</f>
        <v/>
      </c>
      <c r="H31" s="70">
        <f>IF($BJ30&gt;0,IF(INDEX('Final Calculation Sheet'!$C$4:$C$40,$BJ30-3)="","",INDEX('Final Calculation Sheet'!$C$4:$C$40,$BJ30-3)),IF(OR($BI30=1,$BL30=1,$BH30&gt;0),"–",""))</f>
        <v/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/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/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/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/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/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/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/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/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/>
      </c>
      <c r="R31" s="72">
        <f>IF($BJ30&gt;0,IF(INDEX('Final Calculation Sheet'!$Q$4:$Q$40,$BJ30-3)="","",INDEX('Final Calculation Sheet'!$Q$4:$Q$40,$BJ30-3)),IF(OR($BI30=1,$BL30=1,$BH30&gt;0),"–",""))</f>
        <v/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/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/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/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/>
      </c>
      <c r="W31" s="70">
        <f>IF($BJ30&gt;0,IF(INDEX('Final Calculation Sheet'!$V$4:$V$40,$BJ30-3)="","",INDEX('Final Calculation Sheet'!$V$4:$V$40,$BJ30-3)),IF(OR($BI30=1,$BL30=1,$BH30&gt;0),"–",""))</f>
        <v/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/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/>
      </c>
      <c r="Z31" s="70">
        <f>IF($BJ30&gt;0,IF(INDEX('Final Calculation Sheet'!$Y$4:$Y$40,$BJ30-3)="","",INDEX('Final Calculation Sheet'!$Y$4:$Y$40,$BJ30-3)),IF(OR($BI30=1,$BL30=1,$BH30&gt;0),"–",""))</f>
        <v/>
      </c>
      <c r="AA31" s="70">
        <f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/>
      </c>
      <c r="AB31" s="70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/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/>
      </c>
      <c r="AF31" s="70">
        <f>IF($BJ30&gt;0,IF(INDEX('Final Calculation Sheet'!$AE$4:$AE$40,$BJ30-3)="","",INDEX('Final Calculation Sheet'!$AE$4:$AE$40,$BJ30-3)),IF(OR($BI30=1,$BL30=1,$BH30&gt;0),"–",""))</f>
        <v/>
      </c>
      <c r="AG31" s="74">
        <f>IF($BJ30&gt;0,IF(INDEX('Final Calculation Sheet'!$AF$4:$AF$40,$BJ30-3)="","",INDEX('Final Calculation Sheet'!$AF$4:$AF$40,$BJ30-3)),IF(OR($BI30=1,$BL30=1,$BH30&gt;0),"–",""))</f>
        <v/>
      </c>
      <c r="AH31" s="70">
        <f>IF($BJ30&gt;0,IF(INDEX('Final Calculation Sheet'!$AG$4:$AG$40,$BJ30-3)="","",INDEX('Final Calculation Sheet'!$AG$4:$AG$40,$BJ30-3)),IF(OR($BI30=1,$BL30=1,$BH30&gt;0),"–",""))</f>
        <v/>
      </c>
      <c r="AI31" s="75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/>
      </c>
      <c r="AJ31" s="85" t="inlineStr">
        <is>
          <t>Z - Date of Receipt (col Y)</t>
        </is>
      </c>
      <c r="AK31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/>
      </c>
      <c r="AM31">
        <f>IF(COUNTIF($BM31:$CU31,0)&gt;0,0,IF($B$3="",1,IF(AND(IF(COUNTIF($AR$9:$AY$9,1)=0,TRUE,SUMPRODUCT(($AR$9:$AY$9=1)*($AR$6:$AY$6&lt;&gt;"")*ISNUMBER(SEARCH($AR$6:$AY$6,$AK31)))&gt;0),IF(COUNTIF($AR$9:$AY$9,2)=0,TRUE,SUMPRODUCT(($AR$9:$AY$9=2)*($AR$6:$AY$6&lt;&gt;"")*ISNUMBER(SEARCH($AR$6:$AY$6,$AK31)))&gt;0),IF(COUNTIF($AR$9:$AY$9,3)=0,TRUE,SUMPRODUCT(($AR$9:$AY$9=3)*($AR$6:$AY$6&lt;&gt;"")*ISNUMBER(SEARCH($AR$6:$AY$6,$AK31)))&gt;0),IF(COUNTIF($AR$9:$AY$9,4)=0,TRUE,SUMPRODUCT(($AR$9:$AY$9=4)*($AR$6:$AY$6&lt;&gt;"")*ISNUMBER(SEARCH($AR$6:$AY$6,$AK31)))&gt;0),IF(COUNTIF($AR$9:$AY$9,5)=0,TRUE,SUMPRODUCT(($AR$9:$AY$9=5)*($AR$6:$AY$6&lt;&gt;"")*ISNUMBER(SEARCH($AR$6:$AY$6,$AK31)))&gt;0),IF(COUNTIF($AR$9:$AY$9,6)=0,TRUE,SUMPRODUCT(($AR$9:$AY$9=6)*($AR$6:$AY$6&lt;&gt;"")*ISNUMBER(SEARCH($AR$6:$AY$6,$AK31)))&gt;0),IF(COUNTIF($AR$9:$AY$9,7)=0,TRUE,SUMPRODUCT(($AR$9:$AY$9=7)*($AR$6:$AY$6&lt;&gt;"")*ISNUMBER(SEARCH($AR$6:$AY$6,$AK31)))&gt;0),IF(COUNTIF($AR$9:$AY$9,8)=0,TRUE,SUMPRODUCT(($AR$9:$AY$9=8)*($AR$6:$AY$6&lt;&gt;"")*ISNUMBER(SEARCH($AR$6:$AY$6,$AK31)))&gt;0)),1,0)))</f>
        <v/>
      </c>
      <c r="AN31">
        <f>IF($AP31="","",IF(OR($AN$2="W",$AN$2="Z",$AN$2="AC",$AN$2="AH"),IF(ISNUMBER($AP31),$AP31,IFERROR(DATE(VALUE(RIGHT($AP31,4)),VALUE(MID($AP31,4,2)),VALUE(LEFT($AP31,2))),$AP31)),$AP31))</f>
        <v/>
      </c>
      <c r="AP31">
        <f>IFERROR(IF($AN$2="","",IF($AN$2="A",$BC31,CHOOSE(MATCH($AN$2,{"B","C","D","E","F","G","H","I","J","K","L","M","N","O","P","Q","R","S","T","U","V","W","X","Y","Z","AA","AB","AC","AD","AE","AF","AG","AH","AI"},0),'Final Calculation Sheet'!$F$30,'Final Calculation Sheet'!$G$30,'Final Calculation Sheet'!$B$30,'Final Calculation Sheet'!$D$30,'Final Calculation Sheet'!$A$30,'Final Calculation Sheet'!$E$30,'Final Calculation Sheet'!$C$30,'Final Calculation Sheet'!$H$30,'Final Calculation Sheet'!$I$30,'Final Calculation Sheet'!$J$30,'Final Calculation Sheet'!$K$30,'Final Calculation Sheet'!$L$30,'Final Calculation Sheet'!$M$30,'Final Calculation Sheet'!$N$30,'Final Calculation Sheet'!$O$30,'Final Calculation Sheet'!$P$30,'Final Calculation Sheet'!$Q$30,'Final Calculation Sheet'!$R$30,'Final Calculation Sheet'!$S$30,'Final Calculation Sheet'!$T$30,'Final Calculation Sheet'!$U$30,'Final Calculation Sheet'!$V$30,'Final Calculation Sheet'!$W$30,'Final Calculation Sheet'!$X$30,'Final Calculation Sheet'!$Y$30,'Final Calculation Sheet'!$Z$30,'Final Calculation Sheet'!$AA$30,'Final Calculation Sheet'!$AB$30,'Final Calculation Sheet'!$AC$30,'Final Calculation Sheet'!$AD$30,'Final Calculation Sheet'!$AE$30,'Final Calculation Sheet'!$AF$30,'Final Calculation Sheet'!$AG$30,IF('Final Calculation Sheet'!$AD$30="","",IF('Final Calculation Sheet'!$AD$30&lt;=0,"SETTLED","OUTSTANDING"))))),"")</f>
        <v/>
      </c>
      <c r="AZ31">
        <f>IF($B$3="",IF(COUNTIF($A$4:$AI$4,"&lt;&gt;")=0,9,IF($AM31=1,9,10)),IF($AM31=0,10,IF(AND($AR$6&lt;&gt;"",ISNUMBER(SEARCH($AR$6,$AK31))),1,IF(AND($AS$6&lt;&gt;"",ISNUMBER(SEARCH($AS$6,$AK31))),2,IF(AND($AT$6&lt;&gt;"",ISNUMBER(SEARCH($AT$6,$AK31))),3,IF(AND($AU$6&lt;&gt;"",ISNUMBER(SEARCH($AU$6,$AK31))),4,IF(AND($AV$6&lt;&gt;"",ISNUMBER(SEARCH($AV$6,$AK31))),5,IF(AND($AW$6&lt;&gt;"",ISNUMBER(SEARCH($AW$6,$AK31))),6,IF(AND($AX$6&lt;&gt;"",ISNUMBER(SEARCH($AX$6,$AK31))),7,IF(AND($AY$6&lt;&gt;"",ISNUMBER(SEARCH($AY$6,$AK31))),8,0))))))))))</f>
        <v/>
      </c>
      <c r="BA31">
        <f>IF($AN$2="",SUMPRODUCT(($AZ$5:$AZ$41=$AZ31)*($BC$5:$BC$41&lt;$BC31))+1,IF($AN31="",SUMPRODUCT(($AZ$5:$AZ$41=$AZ31)*($AN$5:$AN$41&lt;&gt;""))+SUMPRODUCT(($AZ$5:$AZ$41=$AZ31)*($AN$5:$AN$41="")*($BC$5:$BC$41&lt;$BC31))+1,IF($AL$2="▼ Descending",SUMPRODUCT(($AZ$5:$AZ$41=$AZ31)*($AN$5:$AN$41&gt;$AN31)*($AN$5:$AN$41&lt;&gt;""))+SUMPRODUCT(($AZ$5:$AZ$41=$AZ31)*($AN$5:$AN$41=$AN31)*($BC$5:$BC$41&lt;$BC31))+1,SUMPRODUCT(($AZ$5:$AZ$41=$AZ31)*($AN$5:$AN$41&lt;$AN31)*($AN$5:$AN$41&lt;&gt;""))+SUMPRODUCT(($AZ$5:$AZ$41=$AZ31)*($AN$5:$AN$41=$AN31)*($BC$5:$BC$41&lt;$BC31))+1)))</f>
        <v/>
      </c>
      <c r="BB31">
        <f>IF(INDEX($BF$4:$BF$13,$AZ31)=0,0,INDEX($BE$4:$BE$13,$AZ31)+$BA31-1)</f>
        <v/>
      </c>
      <c r="BC31" t="n">
        <v>30</v>
      </c>
      <c r="BH31">
        <f>IFERROR(MATCH(31,$BF$4:$BF$13,0),0)</f>
        <v/>
      </c>
      <c r="BI31">
        <f>IF(31=$BG$5,1,0)</f>
        <v/>
      </c>
      <c r="BJ31">
        <f>IF(OR($BH31&gt;0,$BI31=1,$BL31=1),0,IFERROR(INDEX($BC$5:$BC$41,MATCH(31,$BB$5:$BB$41,0)),0))</f>
        <v/>
      </c>
      <c r="BK31">
        <f>IF($BJ31&gt;0,IF(INDEX($AZ$5:$AZ$41,MATCH(31,$BB$5:$BB$41,0))=10,1,0),IF($BH31=10,1,0))</f>
        <v/>
      </c>
      <c r="BL31">
        <f>IF(31=$BG$4,1,0)</f>
        <v/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/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/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/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/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/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/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/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/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/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/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/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/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/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/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/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/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/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/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/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/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/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/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/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/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/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/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/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/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/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/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/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/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/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/>
      </c>
    </row>
    <row r="32" ht="15" customHeight="1" s="77">
      <c r="A32" s="67">
        <f>IF($BJ31&gt;0,INDEX($BA$5:$BA$41,MATCH(31,$BB$5:$BB$41,0)),IF(OR($BI31=1,$BL31=1,$BH31&gt;0),"∑",""))</f>
        <v/>
      </c>
      <c r="B32" s="68">
        <f>IF($BJ31&gt;0,IF(INDEX('Final Calculation Sheet'!$F$4:$F$40,$BJ31-3)="","",INDEX('Final Calculation Sheet'!$F$4:$F$40,$BJ31-3)),"")</f>
        <v/>
      </c>
      <c r="C32" s="68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/>
      </c>
      <c r="D32" s="69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/>
      </c>
      <c r="E32" s="69">
        <f>IF($BJ31&gt;0,IF(INDEX('Final Calculation Sheet'!$D$4:$D$40,$BJ31-3)="","",INDEX('Final Calculation Sheet'!$D$4:$D$40,$BJ31-3)),IF(OR($BI31=1,$BL31=1,$BH31&gt;0),"–",""))</f>
        <v/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/>
      </c>
      <c r="G32" s="69">
        <f>IF($BJ31&gt;0,IF(INDEX('Final Calculation Sheet'!$E$4:$E$40,$BJ31-3)="","",INDEX('Final Calculation Sheet'!$E$4:$E$40,$BJ31-3)),IF(OR($BI31=1,$BL31=1,$BH31&gt;0),"–",""))</f>
        <v/>
      </c>
      <c r="H32" s="70">
        <f>IF($BJ31&gt;0,IF(INDEX('Final Calculation Sheet'!$C$4:$C$40,$BJ31-3)="","",INDEX('Final Calculation Sheet'!$C$4:$C$40,$BJ31-3)),IF(OR($BI31=1,$BL31=1,$BH31&gt;0),"–",""))</f>
        <v/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/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/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/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/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/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/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/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/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/>
      </c>
      <c r="R32" s="72">
        <f>IF($BJ31&gt;0,IF(INDEX('Final Calculation Sheet'!$Q$4:$Q$40,$BJ31-3)="","",INDEX('Final Calculation Sheet'!$Q$4:$Q$40,$BJ31-3)),IF(OR($BI31=1,$BL31=1,$BH31&gt;0),"–",""))</f>
        <v/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/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/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/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/>
      </c>
      <c r="W32" s="70">
        <f>IF($BJ31&gt;0,IF(INDEX('Final Calculation Sheet'!$V$4:$V$40,$BJ31-3)="","",INDEX('Final Calculation Sheet'!$V$4:$V$40,$BJ31-3)),IF(OR($BI31=1,$BL31=1,$BH31&gt;0),"–",""))</f>
        <v/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/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/>
      </c>
      <c r="Z32" s="70">
        <f>IF($BJ31&gt;0,IF(INDEX('Final Calculation Sheet'!$Y$4:$Y$40,$BJ31-3)="","",INDEX('Final Calculation Sheet'!$Y$4:$Y$40,$BJ31-3)),IF(OR($BI31=1,$BL31=1,$BH31&gt;0),"–",""))</f>
        <v/>
      </c>
      <c r="AA32" s="70">
        <f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/>
      </c>
      <c r="AB32" s="70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/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/>
      </c>
      <c r="AF32" s="70">
        <f>IF($BJ31&gt;0,IF(INDEX('Final Calculation Sheet'!$AE$4:$AE$40,$BJ31-3)="","",INDEX('Final Calculation Sheet'!$AE$4:$AE$40,$BJ31-3)),IF(OR($BI31=1,$BL31=1,$BH31&gt;0),"–",""))</f>
        <v/>
      </c>
      <c r="AG32" s="74">
        <f>IF($BJ31&gt;0,IF(INDEX('Final Calculation Sheet'!$AF$4:$AF$40,$BJ31-3)="","",INDEX('Final Calculation Sheet'!$AF$4:$AF$40,$BJ31-3)),IF(OR($BI31=1,$BL31=1,$BH31&gt;0),"–",""))</f>
        <v/>
      </c>
      <c r="AH32" s="70">
        <f>IF($BJ31&gt;0,IF(INDEX('Final Calculation Sheet'!$AG$4:$AG$40,$BJ31-3)="","",INDEX('Final Calculation Sheet'!$AG$4:$AG$40,$BJ31-3)),IF(OR($BI31=1,$BL31=1,$BH31&gt;0),"–",""))</f>
        <v/>
      </c>
      <c r="AI32" s="75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/>
      </c>
      <c r="AJ32" s="85" t="inlineStr">
        <is>
          <t>AA - LPP Expected</t>
        </is>
      </c>
      <c r="AK32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/>
      </c>
      <c r="AM32">
        <f>IF(COUNTIF($BM32:$CU32,0)&gt;0,0,IF($B$3="",1,IF(AND(IF(COUNTIF($AR$9:$AY$9,1)=0,TRUE,SUMPRODUCT(($AR$9:$AY$9=1)*($AR$6:$AY$6&lt;&gt;"")*ISNUMBER(SEARCH($AR$6:$AY$6,$AK32)))&gt;0),IF(COUNTIF($AR$9:$AY$9,2)=0,TRUE,SUMPRODUCT(($AR$9:$AY$9=2)*($AR$6:$AY$6&lt;&gt;"")*ISNUMBER(SEARCH($AR$6:$AY$6,$AK32)))&gt;0),IF(COUNTIF($AR$9:$AY$9,3)=0,TRUE,SUMPRODUCT(($AR$9:$AY$9=3)*($AR$6:$AY$6&lt;&gt;"")*ISNUMBER(SEARCH($AR$6:$AY$6,$AK32)))&gt;0),IF(COUNTIF($AR$9:$AY$9,4)=0,TRUE,SUMPRODUCT(($AR$9:$AY$9=4)*($AR$6:$AY$6&lt;&gt;"")*ISNUMBER(SEARCH($AR$6:$AY$6,$AK32)))&gt;0),IF(COUNTIF($AR$9:$AY$9,5)=0,TRUE,SUMPRODUCT(($AR$9:$AY$9=5)*($AR$6:$AY$6&lt;&gt;"")*ISNUMBER(SEARCH($AR$6:$AY$6,$AK32)))&gt;0),IF(COUNTIF($AR$9:$AY$9,6)=0,TRUE,SUMPRODUCT(($AR$9:$AY$9=6)*($AR$6:$AY$6&lt;&gt;"")*ISNUMBER(SEARCH($AR$6:$AY$6,$AK32)))&gt;0),IF(COUNTIF($AR$9:$AY$9,7)=0,TRUE,SUMPRODUCT(($AR$9:$AY$9=7)*($AR$6:$AY$6&lt;&gt;"")*ISNUMBER(SEARCH($AR$6:$AY$6,$AK32)))&gt;0),IF(COUNTIF($AR$9:$AY$9,8)=0,TRUE,SUMPRODUCT(($AR$9:$AY$9=8)*($AR$6:$AY$6&lt;&gt;"")*ISNUMBER(SEARCH($AR$6:$AY$6,$AK32)))&gt;0)),1,0)))</f>
        <v/>
      </c>
      <c r="AN32">
        <f>IF($AP32="","",IF(OR($AN$2="W",$AN$2="Z",$AN$2="AC",$AN$2="AH"),IF(ISNUMBER($AP32),$AP32,IFERROR(DATE(VALUE(RIGHT($AP32,4)),VALUE(MID($AP32,4,2)),VALUE(LEFT($AP32,2))),$AP32)),$AP32))</f>
        <v/>
      </c>
      <c r="AP32">
        <f>IFERROR(IF($AN$2="","",IF($AN$2="A",$BC32,CHOOSE(MATCH($AN$2,{"B","C","D","E","F","G","H","I","J","K","L","M","N","O","P","Q","R","S","T","U","V","W","X","Y","Z","AA","AB","AC","AD","AE","AF","AG","AH","AI"},0),'Final Calculation Sheet'!$F$31,'Final Calculation Sheet'!$G$31,'Final Calculation Sheet'!$B$31,'Final Calculation Sheet'!$D$31,'Final Calculation Sheet'!$A$31,'Final Calculation Sheet'!$E$31,'Final Calculation Sheet'!$C$31,'Final Calculation Sheet'!$H$31,'Final Calculation Sheet'!$I$31,'Final Calculation Sheet'!$J$31,'Final Calculation Sheet'!$K$31,'Final Calculation Sheet'!$L$31,'Final Calculation Sheet'!$M$31,'Final Calculation Sheet'!$N$31,'Final Calculation Sheet'!$O$31,'Final Calculation Sheet'!$P$31,'Final Calculation Sheet'!$Q$31,'Final Calculation Sheet'!$R$31,'Final Calculation Sheet'!$S$31,'Final Calculation Sheet'!$T$31,'Final Calculation Sheet'!$U$31,'Final Calculation Sheet'!$V$31,'Final Calculation Sheet'!$W$31,'Final Calculation Sheet'!$X$31,'Final Calculation Sheet'!$Y$31,'Final Calculation Sheet'!$Z$31,'Final Calculation Sheet'!$AA$31,'Final Calculation Sheet'!$AB$31,'Final Calculation Sheet'!$AC$31,'Final Calculation Sheet'!$AD$31,'Final Calculation Sheet'!$AE$31,'Final Calculation Sheet'!$AF$31,'Final Calculation Sheet'!$AG$31,IF('Final Calculation Sheet'!$AD$31="","",IF('Final Calculation Sheet'!$AD$31&lt;=0,"SETTLED","OUTSTANDING"))))),"")</f>
        <v/>
      </c>
      <c r="AZ32">
        <f>IF($B$3="",IF(COUNTIF($A$4:$AI$4,"&lt;&gt;")=0,9,IF($AM32=1,9,10)),IF($AM32=0,10,IF(AND($AR$6&lt;&gt;"",ISNUMBER(SEARCH($AR$6,$AK32))),1,IF(AND($AS$6&lt;&gt;"",ISNUMBER(SEARCH($AS$6,$AK32))),2,IF(AND($AT$6&lt;&gt;"",ISNUMBER(SEARCH($AT$6,$AK32))),3,IF(AND($AU$6&lt;&gt;"",ISNUMBER(SEARCH($AU$6,$AK32))),4,IF(AND($AV$6&lt;&gt;"",ISNUMBER(SEARCH($AV$6,$AK32))),5,IF(AND($AW$6&lt;&gt;"",ISNUMBER(SEARCH($AW$6,$AK32))),6,IF(AND($AX$6&lt;&gt;"",ISNUMBER(SEARCH($AX$6,$AK32))),7,IF(AND($AY$6&lt;&gt;"",ISNUMBER(SEARCH($AY$6,$AK32))),8,0))))))))))</f>
        <v/>
      </c>
      <c r="BA32">
        <f>IF($AN$2="",SUMPRODUCT(($AZ$5:$AZ$41=$AZ32)*($BC$5:$BC$41&lt;$BC32))+1,IF($AN32="",SUMPRODUCT(($AZ$5:$AZ$41=$AZ32)*($AN$5:$AN$41&lt;&gt;""))+SUMPRODUCT(($AZ$5:$AZ$41=$AZ32)*($AN$5:$AN$41="")*($BC$5:$BC$41&lt;$BC32))+1,IF($AL$2="▼ Descending",SUMPRODUCT(($AZ$5:$AZ$41=$AZ32)*($AN$5:$AN$41&gt;$AN32)*($AN$5:$AN$41&lt;&gt;""))+SUMPRODUCT(($AZ$5:$AZ$41=$AZ32)*($AN$5:$AN$41=$AN32)*($BC$5:$BC$41&lt;$BC32))+1,SUMPRODUCT(($AZ$5:$AZ$41=$AZ32)*($AN$5:$AN$41&lt;$AN32)*($AN$5:$AN$41&lt;&gt;""))+SUMPRODUCT(($AZ$5:$AZ$41=$AZ32)*($AN$5:$AN$41=$AN32)*($BC$5:$BC$41&lt;$BC32))+1)))</f>
        <v/>
      </c>
      <c r="BB32">
        <f>IF(INDEX($BF$4:$BF$13,$AZ32)=0,0,INDEX($BE$4:$BE$13,$AZ32)+$BA32-1)</f>
        <v/>
      </c>
      <c r="BC32" t="n">
        <v>31</v>
      </c>
      <c r="BH32">
        <f>IFERROR(MATCH(32,$BF$4:$BF$13,0),0)</f>
        <v/>
      </c>
      <c r="BI32">
        <f>IF(32=$BG$5,1,0)</f>
        <v/>
      </c>
      <c r="BJ32">
        <f>IF(OR($BH32&gt;0,$BI32=1,$BL32=1),0,IFERROR(INDEX($BC$5:$BC$41,MATCH(32,$BB$5:$BB$41,0)),0))</f>
        <v/>
      </c>
      <c r="BK32">
        <f>IF($BJ32&gt;0,IF(INDEX($AZ$5:$AZ$41,MATCH(32,$BB$5:$BB$41,0))=10,1,0),IF($BH32=10,1,0))</f>
        <v/>
      </c>
      <c r="BL32">
        <f>IF(32=$BG$4,1,0)</f>
        <v/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/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/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/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/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/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/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/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/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/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/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/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/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/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/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/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/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/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/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/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/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/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/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/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/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/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/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/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/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/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/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/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/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/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/>
      </c>
    </row>
    <row r="33" ht="15" customHeight="1" s="77">
      <c r="A33" s="67">
        <f>IF($BJ32&gt;0,INDEX($BA$5:$BA$41,MATCH(32,$BB$5:$BB$41,0)),IF(OR($BI32=1,$BL32=1,$BH32&gt;0),"∑",""))</f>
        <v/>
      </c>
      <c r="B33" s="68">
        <f>IF($BJ32&gt;0,IF(INDEX('Final Calculation Sheet'!$F$4:$F$40,$BJ32-3)="","",INDEX('Final Calculation Sheet'!$F$4:$F$40,$BJ32-3)),"")</f>
        <v/>
      </c>
      <c r="C33" s="68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/>
      </c>
      <c r="D33" s="69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/>
      </c>
      <c r="E33" s="69">
        <f>IF($BJ32&gt;0,IF(INDEX('Final Calculation Sheet'!$D$4:$D$40,$BJ32-3)="","",INDEX('Final Calculation Sheet'!$D$4:$D$40,$BJ32-3)),IF(OR($BI32=1,$BL32=1,$BH32&gt;0),"–",""))</f>
        <v/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/>
      </c>
      <c r="G33" s="69">
        <f>IF($BJ32&gt;0,IF(INDEX('Final Calculation Sheet'!$E$4:$E$40,$BJ32-3)="","",INDEX('Final Calculation Sheet'!$E$4:$E$40,$BJ32-3)),IF(OR($BI32=1,$BL32=1,$BH32&gt;0),"–",""))</f>
        <v/>
      </c>
      <c r="H33" s="70">
        <f>IF($BJ32&gt;0,IF(INDEX('Final Calculation Sheet'!$C$4:$C$40,$BJ32-3)="","",INDEX('Final Calculation Sheet'!$C$4:$C$40,$BJ32-3)),IF(OR($BI32=1,$BL32=1,$BH32&gt;0),"–",""))</f>
        <v/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/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/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/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/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/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/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/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/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/>
      </c>
      <c r="R33" s="72">
        <f>IF($BJ32&gt;0,IF(INDEX('Final Calculation Sheet'!$Q$4:$Q$40,$BJ32-3)="","",INDEX('Final Calculation Sheet'!$Q$4:$Q$40,$BJ32-3)),IF(OR($BI32=1,$BL32=1,$BH32&gt;0),"–",""))</f>
        <v/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/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/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/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/>
      </c>
      <c r="W33" s="70">
        <f>IF($BJ32&gt;0,IF(INDEX('Final Calculation Sheet'!$V$4:$V$40,$BJ32-3)="","",INDEX('Final Calculation Sheet'!$V$4:$V$40,$BJ32-3)),IF(OR($BI32=1,$BL32=1,$BH32&gt;0),"–",""))</f>
        <v/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/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/>
      </c>
      <c r="Z33" s="70">
        <f>IF($BJ32&gt;0,IF(INDEX('Final Calculation Sheet'!$Y$4:$Y$40,$BJ32-3)="","",INDEX('Final Calculation Sheet'!$Y$4:$Y$40,$BJ32-3)),IF(OR($BI32=1,$BL32=1,$BH32&gt;0),"–",""))</f>
        <v/>
      </c>
      <c r="AA33" s="70">
        <f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/>
      </c>
      <c r="AB33" s="70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/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/>
      </c>
      <c r="AF33" s="70">
        <f>IF($BJ32&gt;0,IF(INDEX('Final Calculation Sheet'!$AE$4:$AE$40,$BJ32-3)="","",INDEX('Final Calculation Sheet'!$AE$4:$AE$40,$BJ32-3)),IF(OR($BI32=1,$BL32=1,$BH32&gt;0),"–",""))</f>
        <v/>
      </c>
      <c r="AG33" s="74">
        <f>IF($BJ32&gt;0,IF(INDEX('Final Calculation Sheet'!$AF$4:$AF$40,$BJ32-3)="","",INDEX('Final Calculation Sheet'!$AF$4:$AF$40,$BJ32-3)),IF(OR($BI32=1,$BL32=1,$BH32&gt;0),"–",""))</f>
        <v/>
      </c>
      <c r="AH33" s="70">
        <f>IF($BJ32&gt;0,IF(INDEX('Final Calculation Sheet'!$AG$4:$AG$40,$BJ32-3)="","",INDEX('Final Calculation Sheet'!$AG$4:$AG$40,$BJ32-3)),IF(OR($BI32=1,$BL32=1,$BH32&gt;0),"–",""))</f>
        <v/>
      </c>
      <c r="AI33" s="75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/>
      </c>
      <c r="AJ33" s="85" t="inlineStr">
        <is>
          <t>AB - LPP Received</t>
        </is>
      </c>
      <c r="AK33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/>
      </c>
      <c r="AM33">
        <f>IF(COUNTIF($BM33:$CU33,0)&gt;0,0,IF($B$3="",1,IF(AND(IF(COUNTIF($AR$9:$AY$9,1)=0,TRUE,SUMPRODUCT(($AR$9:$AY$9=1)*($AR$6:$AY$6&lt;&gt;"")*ISNUMBER(SEARCH($AR$6:$AY$6,$AK33)))&gt;0),IF(COUNTIF($AR$9:$AY$9,2)=0,TRUE,SUMPRODUCT(($AR$9:$AY$9=2)*($AR$6:$AY$6&lt;&gt;"")*ISNUMBER(SEARCH($AR$6:$AY$6,$AK33)))&gt;0),IF(COUNTIF($AR$9:$AY$9,3)=0,TRUE,SUMPRODUCT(($AR$9:$AY$9=3)*($AR$6:$AY$6&lt;&gt;"")*ISNUMBER(SEARCH($AR$6:$AY$6,$AK33)))&gt;0),IF(COUNTIF($AR$9:$AY$9,4)=0,TRUE,SUMPRODUCT(($AR$9:$AY$9=4)*($AR$6:$AY$6&lt;&gt;"")*ISNUMBER(SEARCH($AR$6:$AY$6,$AK33)))&gt;0),IF(COUNTIF($AR$9:$AY$9,5)=0,TRUE,SUMPRODUCT(($AR$9:$AY$9=5)*($AR$6:$AY$6&lt;&gt;"")*ISNUMBER(SEARCH($AR$6:$AY$6,$AK33)))&gt;0),IF(COUNTIF($AR$9:$AY$9,6)=0,TRUE,SUMPRODUCT(($AR$9:$AY$9=6)*($AR$6:$AY$6&lt;&gt;"")*ISNUMBER(SEARCH($AR$6:$AY$6,$AK33)))&gt;0),IF(COUNTIF($AR$9:$AY$9,7)=0,TRUE,SUMPRODUCT(($AR$9:$AY$9=7)*($AR$6:$AY$6&lt;&gt;"")*ISNUMBER(SEARCH($AR$6:$AY$6,$AK33)))&gt;0),IF(COUNTIF($AR$9:$AY$9,8)=0,TRUE,SUMPRODUCT(($AR$9:$AY$9=8)*($AR$6:$AY$6&lt;&gt;"")*ISNUMBER(SEARCH($AR$6:$AY$6,$AK33)))&gt;0)),1,0)))</f>
        <v/>
      </c>
      <c r="AN33">
        <f>IF($AP33="","",IF(OR($AN$2="W",$AN$2="Z",$AN$2="AC",$AN$2="AH"),IF(ISNUMBER($AP33),$AP33,IFERROR(DATE(VALUE(RIGHT($AP33,4)),VALUE(MID($AP33,4,2)),VALUE(LEFT($AP33,2))),$AP33)),$AP33))</f>
        <v/>
      </c>
      <c r="AP33">
        <f>IFERROR(IF($AN$2="","",IF($AN$2="A",$BC33,CHOOSE(MATCH($AN$2,{"B","C","D","E","F","G","H","I","J","K","L","M","N","O","P","Q","R","S","T","U","V","W","X","Y","Z","AA","AB","AC","AD","AE","AF","AG","AH","AI"},0),'Final Calculation Sheet'!$F$32,'Final Calculation Sheet'!$G$32,'Final Calculation Sheet'!$B$32,'Final Calculation Sheet'!$D$32,'Final Calculation Sheet'!$A$32,'Final Calculation Sheet'!$E$32,'Final Calculation Sheet'!$C$32,'Final Calculation Sheet'!$H$32,'Final Calculation Sheet'!$I$32,'Final Calculation Sheet'!$J$32,'Final Calculation Sheet'!$K$32,'Final Calculation Sheet'!$L$32,'Final Calculation Sheet'!$M$32,'Final Calculation Sheet'!$N$32,'Final Calculation Sheet'!$O$32,'Final Calculation Sheet'!$P$32,'Final Calculation Sheet'!$Q$32,'Final Calculation Sheet'!$R$32,'Final Calculation Sheet'!$S$32,'Final Calculation Sheet'!$T$32,'Final Calculation Sheet'!$U$32,'Final Calculation Sheet'!$V$32,'Final Calculation Sheet'!$W$32,'Final Calculation Sheet'!$X$32,'Final Calculation Sheet'!$Y$32,'Final Calculation Sheet'!$Z$32,'Final Calculation Sheet'!$AA$32,'Final Calculation Sheet'!$AB$32,'Final Calculation Sheet'!$AC$32,'Final Calculation Sheet'!$AD$32,'Final Calculation Sheet'!$AE$32,'Final Calculation Sheet'!$AF$32,'Final Calculation Sheet'!$AG$32,IF('Final Calculation Sheet'!$AD$32="","",IF('Final Calculation Sheet'!$AD$32&lt;=0,"SETTLED","OUTSTANDING"))))),"")</f>
        <v/>
      </c>
      <c r="AZ33">
        <f>IF($B$3="",IF(COUNTIF($A$4:$AI$4,"&lt;&gt;")=0,9,IF($AM33=1,9,10)),IF($AM33=0,10,IF(AND($AR$6&lt;&gt;"",ISNUMBER(SEARCH($AR$6,$AK33))),1,IF(AND($AS$6&lt;&gt;"",ISNUMBER(SEARCH($AS$6,$AK33))),2,IF(AND($AT$6&lt;&gt;"",ISNUMBER(SEARCH($AT$6,$AK33))),3,IF(AND($AU$6&lt;&gt;"",ISNUMBER(SEARCH($AU$6,$AK33))),4,IF(AND($AV$6&lt;&gt;"",ISNUMBER(SEARCH($AV$6,$AK33))),5,IF(AND($AW$6&lt;&gt;"",ISNUMBER(SEARCH($AW$6,$AK33))),6,IF(AND($AX$6&lt;&gt;"",ISNUMBER(SEARCH($AX$6,$AK33))),7,IF(AND($AY$6&lt;&gt;"",ISNUMBER(SEARCH($AY$6,$AK33))),8,0))))))))))</f>
        <v/>
      </c>
      <c r="BA33">
        <f>IF($AN$2="",SUMPRODUCT(($AZ$5:$AZ$41=$AZ33)*($BC$5:$BC$41&lt;$BC33))+1,IF($AN33="",SUMPRODUCT(($AZ$5:$AZ$41=$AZ33)*($AN$5:$AN$41&lt;&gt;""))+SUMPRODUCT(($AZ$5:$AZ$41=$AZ33)*($AN$5:$AN$41="")*($BC$5:$BC$41&lt;$BC33))+1,IF($AL$2="▼ Descending",SUMPRODUCT(($AZ$5:$AZ$41=$AZ33)*($AN$5:$AN$41&gt;$AN33)*($AN$5:$AN$41&lt;&gt;""))+SUMPRODUCT(($AZ$5:$AZ$41=$AZ33)*($AN$5:$AN$41=$AN33)*($BC$5:$BC$41&lt;$BC33))+1,SUMPRODUCT(($AZ$5:$AZ$41=$AZ33)*($AN$5:$AN$41&lt;$AN33)*($AN$5:$AN$41&lt;&gt;""))+SUMPRODUCT(($AZ$5:$AZ$41=$AZ33)*($AN$5:$AN$41=$AN33)*($BC$5:$BC$41&lt;$BC33))+1)))</f>
        <v/>
      </c>
      <c r="BB33">
        <f>IF(INDEX($BF$4:$BF$13,$AZ33)=0,0,INDEX($BE$4:$BE$13,$AZ33)+$BA33-1)</f>
        <v/>
      </c>
      <c r="BC33" t="n">
        <v>32</v>
      </c>
      <c r="BH33">
        <f>IFERROR(MATCH(33,$BF$4:$BF$13,0),0)</f>
        <v/>
      </c>
      <c r="BI33">
        <f>IF(33=$BG$5,1,0)</f>
        <v/>
      </c>
      <c r="BJ33">
        <f>IF(OR($BH33&gt;0,$BI33=1,$BL33=1),0,IFERROR(INDEX($BC$5:$BC$41,MATCH(33,$BB$5:$BB$41,0)),0))</f>
        <v/>
      </c>
      <c r="BK33">
        <f>IF($BJ33&gt;0,IF(INDEX($AZ$5:$AZ$41,MATCH(33,$BB$5:$BB$41,0))=10,1,0),IF($BH33=10,1,0))</f>
        <v/>
      </c>
      <c r="BL33">
        <f>IF(33=$BG$4,1,0)</f>
        <v/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/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/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/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/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/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/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/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/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/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/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/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/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/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/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/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/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/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/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/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/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/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/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/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/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/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/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/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/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/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/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/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/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/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/>
      </c>
    </row>
    <row r="34" ht="15" customHeight="1" s="77">
      <c r="A34" s="67">
        <f>IF($BJ33&gt;0,INDEX($BA$5:$BA$41,MATCH(33,$BB$5:$BB$41,0)),IF(OR($BI33=1,$BL33=1,$BH33&gt;0),"∑",""))</f>
        <v/>
      </c>
      <c r="B34" s="68">
        <f>IF($BJ33&gt;0,IF(INDEX('Final Calculation Sheet'!$F$4:$F$40,$BJ33-3)="","",INDEX('Final Calculation Sheet'!$F$4:$F$40,$BJ33-3)),"")</f>
        <v/>
      </c>
      <c r="C34" s="68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/>
      </c>
      <c r="D34" s="69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/>
      </c>
      <c r="E34" s="69">
        <f>IF($BJ33&gt;0,IF(INDEX('Final Calculation Sheet'!$D$4:$D$40,$BJ33-3)="","",INDEX('Final Calculation Sheet'!$D$4:$D$40,$BJ33-3)),IF(OR($BI33=1,$BL33=1,$BH33&gt;0),"–",""))</f>
        <v/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/>
      </c>
      <c r="G34" s="69">
        <f>IF($BJ33&gt;0,IF(INDEX('Final Calculation Sheet'!$E$4:$E$40,$BJ33-3)="","",INDEX('Final Calculation Sheet'!$E$4:$E$40,$BJ33-3)),IF(OR($BI33=1,$BL33=1,$BH33&gt;0),"–",""))</f>
        <v/>
      </c>
      <c r="H34" s="70">
        <f>IF($BJ33&gt;0,IF(INDEX('Final Calculation Sheet'!$C$4:$C$40,$BJ33-3)="","",INDEX('Final Calculation Sheet'!$C$4:$C$40,$BJ33-3)),IF(OR($BI33=1,$BL33=1,$BH33&gt;0),"–",""))</f>
        <v/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/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/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/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/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/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/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/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/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/>
      </c>
      <c r="R34" s="72">
        <f>IF($BJ33&gt;0,IF(INDEX('Final Calculation Sheet'!$Q$4:$Q$40,$BJ33-3)="","",INDEX('Final Calculation Sheet'!$Q$4:$Q$40,$BJ33-3)),IF(OR($BI33=1,$BL33=1,$BH33&gt;0),"–",""))</f>
        <v/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/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/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/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/>
      </c>
      <c r="W34" s="70">
        <f>IF($BJ33&gt;0,IF(INDEX('Final Calculation Sheet'!$V$4:$V$40,$BJ33-3)="","",INDEX('Final Calculation Sheet'!$V$4:$V$40,$BJ33-3)),IF(OR($BI33=1,$BL33=1,$BH33&gt;0),"–",""))</f>
        <v/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/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/>
      </c>
      <c r="Z34" s="70">
        <f>IF($BJ33&gt;0,IF(INDEX('Final Calculation Sheet'!$Y$4:$Y$40,$BJ33-3)="","",INDEX('Final Calculation Sheet'!$Y$4:$Y$40,$BJ33-3)),IF(OR($BI33=1,$BL33=1,$BH33&gt;0),"–",""))</f>
        <v/>
      </c>
      <c r="AA34" s="70">
        <f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/>
      </c>
      <c r="AB34" s="70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/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/>
      </c>
      <c r="AF34" s="70">
        <f>IF($BJ33&gt;0,IF(INDEX('Final Calculation Sheet'!$AE$4:$AE$40,$BJ33-3)="","",INDEX('Final Calculation Sheet'!$AE$4:$AE$40,$BJ33-3)),IF(OR($BI33=1,$BL33=1,$BH33&gt;0),"–",""))</f>
        <v/>
      </c>
      <c r="AG34" s="74">
        <f>IF($BJ33&gt;0,IF(INDEX('Final Calculation Sheet'!$AF$4:$AF$40,$BJ33-3)="","",INDEX('Final Calculation Sheet'!$AF$4:$AF$40,$BJ33-3)),IF(OR($BI33=1,$BL33=1,$BH33&gt;0),"–",""))</f>
        <v/>
      </c>
      <c r="AH34" s="70">
        <f>IF($BJ33&gt;0,IF(INDEX('Final Calculation Sheet'!$AG$4:$AG$40,$BJ33-3)="","",INDEX('Final Calculation Sheet'!$AG$4:$AG$40,$BJ33-3)),IF(OR($BI33=1,$BL33=1,$BH33&gt;0),"–",""))</f>
        <v/>
      </c>
      <c r="AI34" s="75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/>
      </c>
      <c r="AJ34" s="85" t="inlineStr">
        <is>
          <t>AC - Date of Recepit of LPP</t>
        </is>
      </c>
      <c r="AK34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/>
      </c>
      <c r="AM34">
        <f>IF(COUNTIF($BM34:$CU34,0)&gt;0,0,IF($B$3="",1,IF(AND(IF(COUNTIF($AR$9:$AY$9,1)=0,TRUE,SUMPRODUCT(($AR$9:$AY$9=1)*($AR$6:$AY$6&lt;&gt;"")*ISNUMBER(SEARCH($AR$6:$AY$6,$AK34)))&gt;0),IF(COUNTIF($AR$9:$AY$9,2)=0,TRUE,SUMPRODUCT(($AR$9:$AY$9=2)*($AR$6:$AY$6&lt;&gt;"")*ISNUMBER(SEARCH($AR$6:$AY$6,$AK34)))&gt;0),IF(COUNTIF($AR$9:$AY$9,3)=0,TRUE,SUMPRODUCT(($AR$9:$AY$9=3)*($AR$6:$AY$6&lt;&gt;"")*ISNUMBER(SEARCH($AR$6:$AY$6,$AK34)))&gt;0),IF(COUNTIF($AR$9:$AY$9,4)=0,TRUE,SUMPRODUCT(($AR$9:$AY$9=4)*($AR$6:$AY$6&lt;&gt;"")*ISNUMBER(SEARCH($AR$6:$AY$6,$AK34)))&gt;0),IF(COUNTIF($AR$9:$AY$9,5)=0,TRUE,SUMPRODUCT(($AR$9:$AY$9=5)*($AR$6:$AY$6&lt;&gt;"")*ISNUMBER(SEARCH($AR$6:$AY$6,$AK34)))&gt;0),IF(COUNTIF($AR$9:$AY$9,6)=0,TRUE,SUMPRODUCT(($AR$9:$AY$9=6)*($AR$6:$AY$6&lt;&gt;"")*ISNUMBER(SEARCH($AR$6:$AY$6,$AK34)))&gt;0),IF(COUNTIF($AR$9:$AY$9,7)=0,TRUE,SUMPRODUCT(($AR$9:$AY$9=7)*($AR$6:$AY$6&lt;&gt;"")*ISNUMBER(SEARCH($AR$6:$AY$6,$AK34)))&gt;0),IF(COUNTIF($AR$9:$AY$9,8)=0,TRUE,SUMPRODUCT(($AR$9:$AY$9=8)*($AR$6:$AY$6&lt;&gt;"")*ISNUMBER(SEARCH($AR$6:$AY$6,$AK34)))&gt;0)),1,0)))</f>
        <v/>
      </c>
      <c r="AN34">
        <f>IF($AP34="","",IF(OR($AN$2="W",$AN$2="Z",$AN$2="AC",$AN$2="AH"),IF(ISNUMBER($AP34),$AP34,IFERROR(DATE(VALUE(RIGHT($AP34,4)),VALUE(MID($AP34,4,2)),VALUE(LEFT($AP34,2))),$AP34)),$AP34))</f>
        <v/>
      </c>
      <c r="AP34">
        <f>IFERROR(IF($AN$2="","",IF($AN$2="A",$BC34,CHOOSE(MATCH($AN$2,{"B","C","D","E","F","G","H","I","J","K","L","M","N","O","P","Q","R","S","T","U","V","W","X","Y","Z","AA","AB","AC","AD","AE","AF","AG","AH","AI"},0),'Final Calculation Sheet'!$F$33,'Final Calculation Sheet'!$G$33,'Final Calculation Sheet'!$B$33,'Final Calculation Sheet'!$D$33,'Final Calculation Sheet'!$A$33,'Final Calculation Sheet'!$E$33,'Final Calculation Sheet'!$C$33,'Final Calculation Sheet'!$H$33,'Final Calculation Sheet'!$I$33,'Final Calculation Sheet'!$J$33,'Final Calculation Sheet'!$K$33,'Final Calculation Sheet'!$L$33,'Final Calculation Sheet'!$M$33,'Final Calculation Sheet'!$N$33,'Final Calculation Sheet'!$O$33,'Final Calculation Sheet'!$P$33,'Final Calculation Sheet'!$Q$33,'Final Calculation Sheet'!$R$33,'Final Calculation Sheet'!$S$33,'Final Calculation Sheet'!$T$33,'Final Calculation Sheet'!$U$33,'Final Calculation Sheet'!$V$33,'Final Calculation Sheet'!$W$33,'Final Calculation Sheet'!$X$33,'Final Calculation Sheet'!$Y$33,'Final Calculation Sheet'!$Z$33,'Final Calculation Sheet'!$AA$33,'Final Calculation Sheet'!$AB$33,'Final Calculation Sheet'!$AC$33,'Final Calculation Sheet'!$AD$33,'Final Calculation Sheet'!$AE$33,'Final Calculation Sheet'!$AF$33,'Final Calculation Sheet'!$AG$33,IF('Final Calculation Sheet'!$AD$33="","",IF('Final Calculation Sheet'!$AD$33&lt;=0,"SETTLED","OUTSTANDING"))))),"")</f>
        <v/>
      </c>
      <c r="AZ34">
        <f>IF($B$3="",IF(COUNTIF($A$4:$AI$4,"&lt;&gt;")=0,9,IF($AM34=1,9,10)),IF($AM34=0,10,IF(AND($AR$6&lt;&gt;"",ISNUMBER(SEARCH($AR$6,$AK34))),1,IF(AND($AS$6&lt;&gt;"",ISNUMBER(SEARCH($AS$6,$AK34))),2,IF(AND($AT$6&lt;&gt;"",ISNUMBER(SEARCH($AT$6,$AK34))),3,IF(AND($AU$6&lt;&gt;"",ISNUMBER(SEARCH($AU$6,$AK34))),4,IF(AND($AV$6&lt;&gt;"",ISNUMBER(SEARCH($AV$6,$AK34))),5,IF(AND($AW$6&lt;&gt;"",ISNUMBER(SEARCH($AW$6,$AK34))),6,IF(AND($AX$6&lt;&gt;"",ISNUMBER(SEARCH($AX$6,$AK34))),7,IF(AND($AY$6&lt;&gt;"",ISNUMBER(SEARCH($AY$6,$AK34))),8,0))))))))))</f>
        <v/>
      </c>
      <c r="BA34">
        <f>IF($AN$2="",SUMPRODUCT(($AZ$5:$AZ$41=$AZ34)*($BC$5:$BC$41&lt;$BC34))+1,IF($AN34="",SUMPRODUCT(($AZ$5:$AZ$41=$AZ34)*($AN$5:$AN$41&lt;&gt;""))+SUMPRODUCT(($AZ$5:$AZ$41=$AZ34)*($AN$5:$AN$41="")*($BC$5:$BC$41&lt;$BC34))+1,IF($AL$2="▼ Descending",SUMPRODUCT(($AZ$5:$AZ$41=$AZ34)*($AN$5:$AN$41&gt;$AN34)*($AN$5:$AN$41&lt;&gt;""))+SUMPRODUCT(($AZ$5:$AZ$41=$AZ34)*($AN$5:$AN$41=$AN34)*($BC$5:$BC$41&lt;$BC34))+1,SUMPRODUCT(($AZ$5:$AZ$41=$AZ34)*($AN$5:$AN$41&lt;$AN34)*($AN$5:$AN$41&lt;&gt;""))+SUMPRODUCT(($AZ$5:$AZ$41=$AZ34)*($AN$5:$AN$41=$AN34)*($BC$5:$BC$41&lt;$BC34))+1)))</f>
        <v/>
      </c>
      <c r="BB34">
        <f>IF(INDEX($BF$4:$BF$13,$AZ34)=0,0,INDEX($BE$4:$BE$13,$AZ34)+$BA34-1)</f>
        <v/>
      </c>
      <c r="BC34" t="n">
        <v>33</v>
      </c>
      <c r="BH34">
        <f>IFERROR(MATCH(34,$BF$4:$BF$13,0),0)</f>
        <v/>
      </c>
      <c r="BI34">
        <f>IF(34=$BG$5,1,0)</f>
        <v/>
      </c>
      <c r="BJ34">
        <f>IF(OR($BH34&gt;0,$BI34=1,$BL34=1),0,IFERROR(INDEX($BC$5:$BC$41,MATCH(34,$BB$5:$BB$41,0)),0))</f>
        <v/>
      </c>
      <c r="BK34">
        <f>IF($BJ34&gt;0,IF(INDEX($AZ$5:$AZ$41,MATCH(34,$BB$5:$BB$41,0))=10,1,0),IF($BH34=10,1,0))</f>
        <v/>
      </c>
      <c r="BL34">
        <f>IF(34=$BG$4,1,0)</f>
        <v/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/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/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/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/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/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/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/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/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/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/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/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/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/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/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/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/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/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/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/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/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/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/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/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/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/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/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/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/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/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/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/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/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/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/>
      </c>
    </row>
    <row r="35" ht="15" customHeight="1" s="77">
      <c r="A35" s="67">
        <f>IF($BJ34&gt;0,INDEX($BA$5:$BA$41,MATCH(34,$BB$5:$BB$41,0)),IF(OR($BI34=1,$BL34=1,$BH34&gt;0),"∑",""))</f>
        <v/>
      </c>
      <c r="B35" s="68">
        <f>IF($BJ34&gt;0,IF(INDEX('Final Calculation Sheet'!$F$4:$F$40,$BJ34-3)="","",INDEX('Final Calculation Sheet'!$F$4:$F$40,$BJ34-3)),"")</f>
        <v/>
      </c>
      <c r="C35" s="68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/>
      </c>
      <c r="D35" s="69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/>
      </c>
      <c r="E35" s="69">
        <f>IF($BJ34&gt;0,IF(INDEX('Final Calculation Sheet'!$D$4:$D$40,$BJ34-3)="","",INDEX('Final Calculation Sheet'!$D$4:$D$40,$BJ34-3)),IF(OR($BI34=1,$BL34=1,$BH34&gt;0),"–",""))</f>
        <v/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/>
      </c>
      <c r="G35" s="69">
        <f>IF($BJ34&gt;0,IF(INDEX('Final Calculation Sheet'!$E$4:$E$40,$BJ34-3)="","",INDEX('Final Calculation Sheet'!$E$4:$E$40,$BJ34-3)),IF(OR($BI34=1,$BL34=1,$BH34&gt;0),"–",""))</f>
        <v/>
      </c>
      <c r="H35" s="70">
        <f>IF($BJ34&gt;0,IF(INDEX('Final Calculation Sheet'!$C$4:$C$40,$BJ34-3)="","",INDEX('Final Calculation Sheet'!$C$4:$C$40,$BJ34-3)),IF(OR($BI34=1,$BL34=1,$BH34&gt;0),"–",""))</f>
        <v/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/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/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/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/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/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/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/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/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/>
      </c>
      <c r="R35" s="72">
        <f>IF($BJ34&gt;0,IF(INDEX('Final Calculation Sheet'!$Q$4:$Q$40,$BJ34-3)="","",INDEX('Final Calculation Sheet'!$Q$4:$Q$40,$BJ34-3)),IF(OR($BI34=1,$BL34=1,$BH34&gt;0),"–",""))</f>
        <v/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/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/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/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/>
      </c>
      <c r="W35" s="70">
        <f>IF($BJ34&gt;0,IF(INDEX('Final Calculation Sheet'!$V$4:$V$40,$BJ34-3)="","",INDEX('Final Calculation Sheet'!$V$4:$V$40,$BJ34-3)),IF(OR($BI34=1,$BL34=1,$BH34&gt;0),"–",""))</f>
        <v/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/>
      </c>
      <c r="Y35" s="70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/>
      </c>
      <c r="AA35" s="70">
        <f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/>
      </c>
      <c r="AB35" s="70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/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/>
      </c>
      <c r="AF35" s="70">
        <f>IF($BJ34&gt;0,IF(INDEX('Final Calculation Sheet'!$AE$4:$AE$40,$BJ34-3)="","",INDEX('Final Calculation Sheet'!$AE$4:$AE$40,$BJ34-3)),IF(OR($BI34=1,$BL34=1,$BH34&gt;0),"–",""))</f>
        <v/>
      </c>
      <c r="AG35" s="74">
        <f>IF($BJ34&gt;0,IF(INDEX('Final Calculation Sheet'!$AF$4:$AF$40,$BJ34-3)="","",INDEX('Final Calculation Sheet'!$AF$4:$AF$40,$BJ34-3)),IF(OR($BI34=1,$BL34=1,$BH34&gt;0),"–",""))</f>
        <v/>
      </c>
      <c r="AH35" s="70">
        <f>IF($BJ34&gt;0,IF(INDEX('Final Calculation Sheet'!$AG$4:$AG$40,$BJ34-3)="","",INDEX('Final Calculation Sheet'!$AG$4:$AG$40,$BJ34-3)),IF(OR($BI34=1,$BL34=1,$BH34&gt;0),"–",""))</f>
        <v/>
      </c>
      <c r="AI35" s="75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/>
      </c>
      <c r="AJ35" s="85" t="inlineStr">
        <is>
          <t>AD - Total Received</t>
        </is>
      </c>
      <c r="AK35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/>
      </c>
      <c r="AM35">
        <f>IF(COUNTIF($BM35:$CU35,0)&gt;0,0,IF($B$3="",1,IF(AND(IF(COUNTIF($AR$9:$AY$9,1)=0,TRUE,SUMPRODUCT(($AR$9:$AY$9=1)*($AR$6:$AY$6&lt;&gt;"")*ISNUMBER(SEARCH($AR$6:$AY$6,$AK35)))&gt;0),IF(COUNTIF($AR$9:$AY$9,2)=0,TRUE,SUMPRODUCT(($AR$9:$AY$9=2)*($AR$6:$AY$6&lt;&gt;"")*ISNUMBER(SEARCH($AR$6:$AY$6,$AK35)))&gt;0),IF(COUNTIF($AR$9:$AY$9,3)=0,TRUE,SUMPRODUCT(($AR$9:$AY$9=3)*($AR$6:$AY$6&lt;&gt;"")*ISNUMBER(SEARCH($AR$6:$AY$6,$AK35)))&gt;0),IF(COUNTIF($AR$9:$AY$9,4)=0,TRUE,SUMPRODUCT(($AR$9:$AY$9=4)*($AR$6:$AY$6&lt;&gt;"")*ISNUMBER(SEARCH($AR$6:$AY$6,$AK35)))&gt;0),IF(COUNTIF($AR$9:$AY$9,5)=0,TRUE,SUMPRODUCT(($AR$9:$AY$9=5)*($AR$6:$AY$6&lt;&gt;"")*ISNUMBER(SEARCH($AR$6:$AY$6,$AK35)))&gt;0),IF(COUNTIF($AR$9:$AY$9,6)=0,TRUE,SUMPRODUCT(($AR$9:$AY$9=6)*($AR$6:$AY$6&lt;&gt;"")*ISNUMBER(SEARCH($AR$6:$AY$6,$AK35)))&gt;0),IF(COUNTIF($AR$9:$AY$9,7)=0,TRUE,SUMPRODUCT(($AR$9:$AY$9=7)*($AR$6:$AY$6&lt;&gt;"")*ISNUMBER(SEARCH($AR$6:$AY$6,$AK35)))&gt;0),IF(COUNTIF($AR$9:$AY$9,8)=0,TRUE,SUMPRODUCT(($AR$9:$AY$9=8)*($AR$6:$AY$6&lt;&gt;"")*ISNUMBER(SEARCH($AR$6:$AY$6,$AK35)))&gt;0)),1,0)))</f>
        <v/>
      </c>
      <c r="AN35">
        <f>IF($AP35="","",IF(OR($AN$2="W",$AN$2="Z",$AN$2="AC",$AN$2="AH"),IF(ISNUMBER($AP35),$AP35,IFERROR(DATE(VALUE(RIGHT($AP35,4)),VALUE(MID($AP35,4,2)),VALUE(LEFT($AP35,2))),$AP35)),$AP35))</f>
        <v/>
      </c>
      <c r="AP35">
        <f>IFERROR(IF($AN$2="","",IF($AN$2="A",$BC35,CHOOSE(MATCH($AN$2,{"B","C","D","E","F","G","H","I","J","K","L","M","N","O","P","Q","R","S","T","U","V","W","X","Y","Z","AA","AB","AC","AD","AE","AF","AG","AH","AI"},0),'Final Calculation Sheet'!$F$34,'Final Calculation Sheet'!$G$34,'Final Calculation Sheet'!$B$34,'Final Calculation Sheet'!$D$34,'Final Calculation Sheet'!$A$34,'Final Calculation Sheet'!$E$34,'Final Calculation Sheet'!$C$34,'Final Calculation Sheet'!$H$34,'Final Calculation Sheet'!$I$34,'Final Calculation Sheet'!$J$34,'Final Calculation Sheet'!$K$34,'Final Calculation Sheet'!$L$34,'Final Calculation Sheet'!$M$34,'Final Calculation Sheet'!$N$34,'Final Calculation Sheet'!$O$34,'Final Calculation Sheet'!$P$34,'Final Calculation Sheet'!$Q$34,'Final Calculation Sheet'!$R$34,'Final Calculation Sheet'!$S$34,'Final Calculation Sheet'!$T$34,'Final Calculation Sheet'!$U$34,'Final Calculation Sheet'!$V$34,'Final Calculation Sheet'!$W$34,'Final Calculation Sheet'!$X$34,'Final Calculation Sheet'!$Y$34,'Final Calculation Sheet'!$Z$34,'Final Calculation Sheet'!$AA$34,'Final Calculation Sheet'!$AB$34,'Final Calculation Sheet'!$AC$34,'Final Calculation Sheet'!$AD$34,'Final Calculation Sheet'!$AE$34,'Final Calculation Sheet'!$AF$34,'Final Calculation Sheet'!$AG$34,IF('Final Calculation Sheet'!$AD$34="","",IF('Final Calculation Sheet'!$AD$34&lt;=0,"SETTLED","OUTSTANDING"))))),"")</f>
        <v/>
      </c>
      <c r="AZ35">
        <f>IF($B$3="",IF(COUNTIF($A$4:$AI$4,"&lt;&gt;")=0,9,IF($AM35=1,9,10)),IF($AM35=0,10,IF(AND($AR$6&lt;&gt;"",ISNUMBER(SEARCH($AR$6,$AK35))),1,IF(AND($AS$6&lt;&gt;"",ISNUMBER(SEARCH($AS$6,$AK35))),2,IF(AND($AT$6&lt;&gt;"",ISNUMBER(SEARCH($AT$6,$AK35))),3,IF(AND($AU$6&lt;&gt;"",ISNUMBER(SEARCH($AU$6,$AK35))),4,IF(AND($AV$6&lt;&gt;"",ISNUMBER(SEARCH($AV$6,$AK35))),5,IF(AND($AW$6&lt;&gt;"",ISNUMBER(SEARCH($AW$6,$AK35))),6,IF(AND($AX$6&lt;&gt;"",ISNUMBER(SEARCH($AX$6,$AK35))),7,IF(AND($AY$6&lt;&gt;"",ISNUMBER(SEARCH($AY$6,$AK35))),8,0))))))))))</f>
        <v/>
      </c>
      <c r="BA35">
        <f>IF($AN$2="",SUMPRODUCT(($AZ$5:$AZ$41=$AZ35)*($BC$5:$BC$41&lt;$BC35))+1,IF($AN35="",SUMPRODUCT(($AZ$5:$AZ$41=$AZ35)*($AN$5:$AN$41&lt;&gt;""))+SUMPRODUCT(($AZ$5:$AZ$41=$AZ35)*($AN$5:$AN$41="")*($BC$5:$BC$41&lt;$BC35))+1,IF($AL$2="▼ Descending",SUMPRODUCT(($AZ$5:$AZ$41=$AZ35)*($AN$5:$AN$41&gt;$AN35)*($AN$5:$AN$41&lt;&gt;""))+SUMPRODUCT(($AZ$5:$AZ$41=$AZ35)*($AN$5:$AN$41=$AN35)*($BC$5:$BC$41&lt;$BC35))+1,SUMPRODUCT(($AZ$5:$AZ$41=$AZ35)*($AN$5:$AN$41&lt;$AN35)*($AN$5:$AN$41&lt;&gt;""))+SUMPRODUCT(($AZ$5:$AZ$41=$AZ35)*($AN$5:$AN$41=$AN35)*($BC$5:$BC$41&lt;$BC35))+1)))</f>
        <v/>
      </c>
      <c r="BB35">
        <f>IF(INDEX($BF$4:$BF$13,$AZ35)=0,0,INDEX($BE$4:$BE$13,$AZ35)+$BA35-1)</f>
        <v/>
      </c>
      <c r="BC35" t="n">
        <v>34</v>
      </c>
      <c r="BH35">
        <f>IFERROR(MATCH(35,$BF$4:$BF$13,0),0)</f>
        <v/>
      </c>
      <c r="BI35">
        <f>IF(35=$BG$5,1,0)</f>
        <v/>
      </c>
      <c r="BJ35">
        <f>IF(OR($BH35&gt;0,$BI35=1,$BL35=1),0,IFERROR(INDEX($BC$5:$BC$41,MATCH(35,$BB$5:$BB$41,0)),0))</f>
        <v/>
      </c>
      <c r="BK35">
        <f>IF($BJ35&gt;0,IF(INDEX($AZ$5:$AZ$41,MATCH(35,$BB$5:$BB$41,0))=10,1,0),IF($BH35=10,1,0))</f>
        <v/>
      </c>
      <c r="BL35">
        <f>IF(35=$BG$4,1,0)</f>
        <v/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/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/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/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/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/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/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/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/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/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/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/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/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/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/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/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/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/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/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/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/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/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/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/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/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/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/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/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/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/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/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/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/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/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/>
      </c>
    </row>
    <row r="36" ht="15" customHeight="1" s="77">
      <c r="A36" s="67">
        <f>IF($BJ35&gt;0,INDEX($BA$5:$BA$41,MATCH(35,$BB$5:$BB$41,0)),IF(OR($BI35=1,$BL35=1,$BH35&gt;0),"∑",""))</f>
        <v/>
      </c>
      <c r="B36" s="68">
        <f>IF($BJ35&gt;0,IF(INDEX('Final Calculation Sheet'!$F$4:$F$40,$BJ35-3)="","",INDEX('Final Calculation Sheet'!$F$4:$F$40,$BJ35-3)),"")</f>
        <v/>
      </c>
      <c r="C36" s="68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/>
      </c>
      <c r="D36" s="69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/>
      </c>
      <c r="E36" s="69">
        <f>IF($BJ35&gt;0,IF(INDEX('Final Calculation Sheet'!$D$4:$D$40,$BJ35-3)="","",INDEX('Final Calculation Sheet'!$D$4:$D$40,$BJ35-3)),IF(OR($BI35=1,$BL35=1,$BH35&gt;0),"–",""))</f>
        <v/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/>
      </c>
      <c r="G36" s="69">
        <f>IF($BJ35&gt;0,IF(INDEX('Final Calculation Sheet'!$E$4:$E$40,$BJ35-3)="","",INDEX('Final Calculation Sheet'!$E$4:$E$40,$BJ35-3)),IF(OR($BI35=1,$BL35=1,$BH35&gt;0),"–",""))</f>
        <v/>
      </c>
      <c r="H36" s="70">
        <f>IF($BJ35&gt;0,IF(INDEX('Final Calculation Sheet'!$C$4:$C$40,$BJ35-3)="","",INDEX('Final Calculation Sheet'!$C$4:$C$40,$BJ35-3)),IF(OR($BI35=1,$BL35=1,$BH35&gt;0),"–",""))</f>
        <v/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/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/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/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/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/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/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/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/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/>
      </c>
      <c r="R36" s="72">
        <f>IF($BJ35&gt;0,IF(INDEX('Final Calculation Sheet'!$Q$4:$Q$40,$BJ35-3)="","",INDEX('Final Calculation Sheet'!$Q$4:$Q$40,$BJ35-3)),IF(OR($BI35=1,$BL35=1,$BH35&gt;0),"–",""))</f>
        <v/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/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/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/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/>
      </c>
      <c r="W36" s="70">
        <f>IF($BJ35&gt;0,IF(INDEX('Final Calculation Sheet'!$V$4:$V$40,$BJ35-3)="","",INDEX('Final Calculation Sheet'!$V$4:$V$40,$BJ35-3)),IF(OR($BI35=1,$BL35=1,$BH35&gt;0),"–",""))</f>
        <v/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/>
      </c>
      <c r="Y36" s="70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/>
      </c>
      <c r="AA36" s="70">
        <f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/>
      </c>
      <c r="AB36" s="70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/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/>
      </c>
      <c r="AF36" s="70">
        <f>IF($BJ35&gt;0,IF(INDEX('Final Calculation Sheet'!$AE$4:$AE$40,$BJ35-3)="","",INDEX('Final Calculation Sheet'!$AE$4:$AE$40,$BJ35-3)),IF(OR($BI35=1,$BL35=1,$BH35&gt;0),"–",""))</f>
        <v/>
      </c>
      <c r="AG36" s="74">
        <f>IF($BJ35&gt;0,IF(INDEX('Final Calculation Sheet'!$AF$4:$AF$40,$BJ35-3)="","",INDEX('Final Calculation Sheet'!$AF$4:$AF$40,$BJ35-3)),IF(OR($BI35=1,$BL35=1,$BH35&gt;0),"–",""))</f>
        <v/>
      </c>
      <c r="AH36" s="70">
        <f>IF($BJ35&gt;0,IF(INDEX('Final Calculation Sheet'!$AG$4:$AG$40,$BJ35-3)="","",INDEX('Final Calculation Sheet'!$AG$4:$AG$40,$BJ35-3)),IF(OR($BI35=1,$BL35=1,$BH35&gt;0),"–",""))</f>
        <v/>
      </c>
      <c r="AI36" s="75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/>
      </c>
      <c r="AJ36" s="85" t="inlineStr">
        <is>
          <t>AE - Outstanding</t>
        </is>
      </c>
      <c r="AK36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/>
      </c>
      <c r="AM36">
        <f>IF(COUNTIF($BM36:$CU36,0)&gt;0,0,IF($B$3="",1,IF(AND(IF(COUNTIF($AR$9:$AY$9,1)=0,TRUE,SUMPRODUCT(($AR$9:$AY$9=1)*($AR$6:$AY$6&lt;&gt;"")*ISNUMBER(SEARCH($AR$6:$AY$6,$AK36)))&gt;0),IF(COUNTIF($AR$9:$AY$9,2)=0,TRUE,SUMPRODUCT(($AR$9:$AY$9=2)*($AR$6:$AY$6&lt;&gt;"")*ISNUMBER(SEARCH($AR$6:$AY$6,$AK36)))&gt;0),IF(COUNTIF($AR$9:$AY$9,3)=0,TRUE,SUMPRODUCT(($AR$9:$AY$9=3)*($AR$6:$AY$6&lt;&gt;"")*ISNUMBER(SEARCH($AR$6:$AY$6,$AK36)))&gt;0),IF(COUNTIF($AR$9:$AY$9,4)=0,TRUE,SUMPRODUCT(($AR$9:$AY$9=4)*($AR$6:$AY$6&lt;&gt;"")*ISNUMBER(SEARCH($AR$6:$AY$6,$AK36)))&gt;0),IF(COUNTIF($AR$9:$AY$9,5)=0,TRUE,SUMPRODUCT(($AR$9:$AY$9=5)*($AR$6:$AY$6&lt;&gt;"")*ISNUMBER(SEARCH($AR$6:$AY$6,$AK36)))&gt;0),IF(COUNTIF($AR$9:$AY$9,6)=0,TRUE,SUMPRODUCT(($AR$9:$AY$9=6)*($AR$6:$AY$6&lt;&gt;"")*ISNUMBER(SEARCH($AR$6:$AY$6,$AK36)))&gt;0),IF(COUNTIF($AR$9:$AY$9,7)=0,TRUE,SUMPRODUCT(($AR$9:$AY$9=7)*($AR$6:$AY$6&lt;&gt;"")*ISNUMBER(SEARCH($AR$6:$AY$6,$AK36)))&gt;0),IF(COUNTIF($AR$9:$AY$9,8)=0,TRUE,SUMPRODUCT(($AR$9:$AY$9=8)*($AR$6:$AY$6&lt;&gt;"")*ISNUMBER(SEARCH($AR$6:$AY$6,$AK36)))&gt;0)),1,0)))</f>
        <v/>
      </c>
      <c r="AN36">
        <f>IF($AP36="","",IF(OR($AN$2="W",$AN$2="Z",$AN$2="AC",$AN$2="AH"),IF(ISNUMBER($AP36),$AP36,IFERROR(DATE(VALUE(RIGHT($AP36,4)),VALUE(MID($AP36,4,2)),VALUE(LEFT($AP36,2))),$AP36)),$AP36))</f>
        <v/>
      </c>
      <c r="AP36">
        <f>IFERROR(IF($AN$2="","",IF($AN$2="A",$BC36,CHOOSE(MATCH($AN$2,{"B","C","D","E","F","G","H","I","J","K","L","M","N","O","P","Q","R","S","T","U","V","W","X","Y","Z","AA","AB","AC","AD","AE","AF","AG","AH","AI"},0),'Final Calculation Sheet'!$F$35,'Final Calculation Sheet'!$G$35,'Final Calculation Sheet'!$B$35,'Final Calculation Sheet'!$D$35,'Final Calculation Sheet'!$A$35,'Final Calculation Sheet'!$E$35,'Final Calculation Sheet'!$C$35,'Final Calculation Sheet'!$H$35,'Final Calculation Sheet'!$I$35,'Final Calculation Sheet'!$J$35,'Final Calculation Sheet'!$K$35,'Final Calculation Sheet'!$L$35,'Final Calculation Sheet'!$M$35,'Final Calculation Sheet'!$N$35,'Final Calculation Sheet'!$O$35,'Final Calculation Sheet'!$P$35,'Final Calculation Sheet'!$Q$35,'Final Calculation Sheet'!$R$35,'Final Calculation Sheet'!$S$35,'Final Calculation Sheet'!$T$35,'Final Calculation Sheet'!$U$35,'Final Calculation Sheet'!$V$35,'Final Calculation Sheet'!$W$35,'Final Calculation Sheet'!$X$35,'Final Calculation Sheet'!$Y$35,'Final Calculation Sheet'!$Z$35,'Final Calculation Sheet'!$AA$35,'Final Calculation Sheet'!$AB$35,'Final Calculation Sheet'!$AC$35,'Final Calculation Sheet'!$AD$35,'Final Calculation Sheet'!$AE$35,'Final Calculation Sheet'!$AF$35,'Final Calculation Sheet'!$AG$35,IF('Final Calculation Sheet'!$AD$35="","",IF('Final Calculation Sheet'!$AD$35&lt;=0,"SETTLED","OUTSTANDING"))))),"")</f>
        <v/>
      </c>
      <c r="AZ36">
        <f>IF($B$3="",IF(COUNTIF($A$4:$AI$4,"&lt;&gt;")=0,9,IF($AM36=1,9,10)),IF($AM36=0,10,IF(AND($AR$6&lt;&gt;"",ISNUMBER(SEARCH($AR$6,$AK36))),1,IF(AND($AS$6&lt;&gt;"",ISNUMBER(SEARCH($AS$6,$AK36))),2,IF(AND($AT$6&lt;&gt;"",ISNUMBER(SEARCH($AT$6,$AK36))),3,IF(AND($AU$6&lt;&gt;"",ISNUMBER(SEARCH($AU$6,$AK36))),4,IF(AND($AV$6&lt;&gt;"",ISNUMBER(SEARCH($AV$6,$AK36))),5,IF(AND($AW$6&lt;&gt;"",ISNUMBER(SEARCH($AW$6,$AK36))),6,IF(AND($AX$6&lt;&gt;"",ISNUMBER(SEARCH($AX$6,$AK36))),7,IF(AND($AY$6&lt;&gt;"",ISNUMBER(SEARCH($AY$6,$AK36))),8,0))))))))))</f>
        <v/>
      </c>
      <c r="BA36">
        <f>IF($AN$2="",SUMPRODUCT(($AZ$5:$AZ$41=$AZ36)*($BC$5:$BC$41&lt;$BC36))+1,IF($AN36="",SUMPRODUCT(($AZ$5:$AZ$41=$AZ36)*($AN$5:$AN$41&lt;&gt;""))+SUMPRODUCT(($AZ$5:$AZ$41=$AZ36)*($AN$5:$AN$41="")*($BC$5:$BC$41&lt;$BC36))+1,IF($AL$2="▼ Descending",SUMPRODUCT(($AZ$5:$AZ$41=$AZ36)*($AN$5:$AN$41&gt;$AN36)*($AN$5:$AN$41&lt;&gt;""))+SUMPRODUCT(($AZ$5:$AZ$41=$AZ36)*($AN$5:$AN$41=$AN36)*($BC$5:$BC$41&lt;$BC36))+1,SUMPRODUCT(($AZ$5:$AZ$41=$AZ36)*($AN$5:$AN$41&lt;$AN36)*($AN$5:$AN$41&lt;&gt;""))+SUMPRODUCT(($AZ$5:$AZ$41=$AZ36)*($AN$5:$AN$41=$AN36)*($BC$5:$BC$41&lt;$BC36))+1)))</f>
        <v/>
      </c>
      <c r="BB36">
        <f>IF(INDEX($BF$4:$BF$13,$AZ36)=0,0,INDEX($BE$4:$BE$13,$AZ36)+$BA36-1)</f>
        <v/>
      </c>
      <c r="BC36" t="n">
        <v>35</v>
      </c>
      <c r="BH36">
        <f>IFERROR(MATCH(36,$BF$4:$BF$13,0),0)</f>
        <v/>
      </c>
      <c r="BI36">
        <f>IF(36=$BG$5,1,0)</f>
        <v/>
      </c>
      <c r="BJ36">
        <f>IF(OR($BH36&gt;0,$BI36=1,$BL36=1),0,IFERROR(INDEX($BC$5:$BC$41,MATCH(36,$BB$5:$BB$41,0)),0))</f>
        <v/>
      </c>
      <c r="BK36">
        <f>IF($BJ36&gt;0,IF(INDEX($AZ$5:$AZ$41,MATCH(36,$BB$5:$BB$41,0))=10,1,0),IF($BH36=10,1,0))</f>
        <v/>
      </c>
      <c r="BL36">
        <f>IF(36=$BG$4,1,0)</f>
        <v/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/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/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/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/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/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/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/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/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/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/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/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/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/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/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/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/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/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/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/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/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/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/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/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/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/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/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/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/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/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/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/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/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/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/>
      </c>
    </row>
    <row r="37" ht="15" customHeight="1" s="77">
      <c r="A37" s="67">
        <f>IF($BJ36&gt;0,INDEX($BA$5:$BA$41,MATCH(36,$BB$5:$BB$41,0)),IF(OR($BI36=1,$BL36=1,$BH36&gt;0),"∑",""))</f>
        <v/>
      </c>
      <c r="B37" s="68">
        <f>IF($BJ36&gt;0,IF(INDEX('Final Calculation Sheet'!$F$4:$F$40,$BJ36-3)="","",INDEX('Final Calculation Sheet'!$F$4:$F$40,$BJ36-3)),"")</f>
        <v/>
      </c>
      <c r="C37" s="68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/>
      </c>
      <c r="D37" s="69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/>
      </c>
      <c r="E37" s="69">
        <f>IF($BJ36&gt;0,IF(INDEX('Final Calculation Sheet'!$D$4:$D$40,$BJ36-3)="","",INDEX('Final Calculation Sheet'!$D$4:$D$40,$BJ36-3)),IF(OR($BI36=1,$BL36=1,$BH36&gt;0),"–",""))</f>
        <v/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/>
      </c>
      <c r="G37" s="69">
        <f>IF($BJ36&gt;0,IF(INDEX('Final Calculation Sheet'!$E$4:$E$40,$BJ36-3)="","",INDEX('Final Calculation Sheet'!$E$4:$E$40,$BJ36-3)),IF(OR($BI36=1,$BL36=1,$BH36&gt;0),"–",""))</f>
        <v/>
      </c>
      <c r="H37" s="70">
        <f>IF($BJ36&gt;0,IF(INDEX('Final Calculation Sheet'!$C$4:$C$40,$BJ36-3)="","",INDEX('Final Calculation Sheet'!$C$4:$C$40,$BJ36-3)),IF(OR($BI36=1,$BL36=1,$BH36&gt;0),"–",""))</f>
        <v/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/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/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/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/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/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/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/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/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/>
      </c>
      <c r="R37" s="72">
        <f>IF($BJ36&gt;0,IF(INDEX('Final Calculation Sheet'!$Q$4:$Q$40,$BJ36-3)="","",INDEX('Final Calculation Sheet'!$Q$4:$Q$40,$BJ36-3)),IF(OR($BI36=1,$BL36=1,$BH36&gt;0),"–",""))</f>
        <v/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/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/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/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/>
      </c>
      <c r="W37" s="70">
        <f>IF($BJ36&gt;0,IF(INDEX('Final Calculation Sheet'!$V$4:$V$40,$BJ36-3)="","",INDEX('Final Calculation Sheet'!$V$4:$V$40,$BJ36-3)),IF(OR($BI36=1,$BL36=1,$BH36&gt;0),"–",""))</f>
        <v/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/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/>
      </c>
      <c r="Z37" s="70">
        <f>IF($BJ36&gt;0,IF(INDEX('Final Calculation Sheet'!$Y$4:$Y$40,$BJ36-3)="","",INDEX('Final Calculation Sheet'!$Y$4:$Y$40,$BJ36-3)),IF(OR($BI36=1,$BL36=1,$BH36&gt;0),"–",""))</f>
        <v/>
      </c>
      <c r="AA37" s="70">
        <f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/>
      </c>
      <c r="AB37" s="70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/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/>
      </c>
      <c r="AF37" s="70">
        <f>IF($BJ36&gt;0,IF(INDEX('Final Calculation Sheet'!$AE$4:$AE$40,$BJ36-3)="","",INDEX('Final Calculation Sheet'!$AE$4:$AE$40,$BJ36-3)),IF(OR($BI36=1,$BL36=1,$BH36&gt;0),"–",""))</f>
        <v/>
      </c>
      <c r="AG37" s="74">
        <f>IF($BJ36&gt;0,IF(INDEX('Final Calculation Sheet'!$AF$4:$AF$40,$BJ36-3)="","",INDEX('Final Calculation Sheet'!$AF$4:$AF$40,$BJ36-3)),IF(OR($BI36=1,$BL36=1,$BH36&gt;0),"–",""))</f>
        <v/>
      </c>
      <c r="AH37" s="70">
        <f>IF($BJ36&gt;0,IF(INDEX('Final Calculation Sheet'!$AG$4:$AG$40,$BJ36-3)="","",INDEX('Final Calculation Sheet'!$AG$4:$AG$40,$BJ36-3)),IF(OR($BI36=1,$BL36=1,$BH36&gt;0),"–",""))</f>
        <v/>
      </c>
      <c r="AI37" s="75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/>
      </c>
      <c r="AJ37" s="85" t="inlineStr">
        <is>
          <t>AF - Invoice No.</t>
        </is>
      </c>
      <c r="AK37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/>
      </c>
      <c r="AM37">
        <f>IF(COUNTIF($BM37:$CU37,0)&gt;0,0,IF($B$3="",1,IF(AND(IF(COUNTIF($AR$9:$AY$9,1)=0,TRUE,SUMPRODUCT(($AR$9:$AY$9=1)*($AR$6:$AY$6&lt;&gt;"")*ISNUMBER(SEARCH($AR$6:$AY$6,$AK37)))&gt;0),IF(COUNTIF($AR$9:$AY$9,2)=0,TRUE,SUMPRODUCT(($AR$9:$AY$9=2)*($AR$6:$AY$6&lt;&gt;"")*ISNUMBER(SEARCH($AR$6:$AY$6,$AK37)))&gt;0),IF(COUNTIF($AR$9:$AY$9,3)=0,TRUE,SUMPRODUCT(($AR$9:$AY$9=3)*($AR$6:$AY$6&lt;&gt;"")*ISNUMBER(SEARCH($AR$6:$AY$6,$AK37)))&gt;0),IF(COUNTIF($AR$9:$AY$9,4)=0,TRUE,SUMPRODUCT(($AR$9:$AY$9=4)*($AR$6:$AY$6&lt;&gt;"")*ISNUMBER(SEARCH($AR$6:$AY$6,$AK37)))&gt;0),IF(COUNTIF($AR$9:$AY$9,5)=0,TRUE,SUMPRODUCT(($AR$9:$AY$9=5)*($AR$6:$AY$6&lt;&gt;"")*ISNUMBER(SEARCH($AR$6:$AY$6,$AK37)))&gt;0),IF(COUNTIF($AR$9:$AY$9,6)=0,TRUE,SUMPRODUCT(($AR$9:$AY$9=6)*($AR$6:$AY$6&lt;&gt;"")*ISNUMBER(SEARCH($AR$6:$AY$6,$AK37)))&gt;0),IF(COUNTIF($AR$9:$AY$9,7)=0,TRUE,SUMPRODUCT(($AR$9:$AY$9=7)*($AR$6:$AY$6&lt;&gt;"")*ISNUMBER(SEARCH($AR$6:$AY$6,$AK37)))&gt;0),IF(COUNTIF($AR$9:$AY$9,8)=0,TRUE,SUMPRODUCT(($AR$9:$AY$9=8)*($AR$6:$AY$6&lt;&gt;"")*ISNUMBER(SEARCH($AR$6:$AY$6,$AK37)))&gt;0)),1,0)))</f>
        <v/>
      </c>
      <c r="AN37">
        <f>IF($AP37="","",IF(OR($AN$2="W",$AN$2="Z",$AN$2="AC",$AN$2="AH"),IF(ISNUMBER($AP37),$AP37,IFERROR(DATE(VALUE(RIGHT($AP37,4)),VALUE(MID($AP37,4,2)),VALUE(LEFT($AP37,2))),$AP37)),$AP37))</f>
        <v/>
      </c>
      <c r="AP37">
        <f>IFERROR(IF($AN$2="","",IF($AN$2="A",$BC37,CHOOSE(MATCH($AN$2,{"B","C","D","E","F","G","H","I","J","K","L","M","N","O","P","Q","R","S","T","U","V","W","X","Y","Z","AA","AB","AC","AD","AE","AF","AG","AH","AI"},0),'Final Calculation Sheet'!$F$36,'Final Calculation Sheet'!$G$36,'Final Calculation Sheet'!$B$36,'Final Calculation Sheet'!$D$36,'Final Calculation Sheet'!$A$36,'Final Calculation Sheet'!$E$36,'Final Calculation Sheet'!$C$36,'Final Calculation Sheet'!$H$36,'Final Calculation Sheet'!$I$36,'Final Calculation Sheet'!$J$36,'Final Calculation Sheet'!$K$36,'Final Calculation Sheet'!$L$36,'Final Calculation Sheet'!$M$36,'Final Calculation Sheet'!$N$36,'Final Calculation Sheet'!$O$36,'Final Calculation Sheet'!$P$36,'Final Calculation Sheet'!$Q$36,'Final Calculation Sheet'!$R$36,'Final Calculation Sheet'!$S$36,'Final Calculation Sheet'!$T$36,'Final Calculation Sheet'!$U$36,'Final Calculation Sheet'!$V$36,'Final Calculation Sheet'!$W$36,'Final Calculation Sheet'!$X$36,'Final Calculation Sheet'!$Y$36,'Final Calculation Sheet'!$Z$36,'Final Calculation Sheet'!$AA$36,'Final Calculation Sheet'!$AB$36,'Final Calculation Sheet'!$AC$36,'Final Calculation Sheet'!$AD$36,'Final Calculation Sheet'!$AE$36,'Final Calculation Sheet'!$AF$36,'Final Calculation Sheet'!$AG$36,IF('Final Calculation Sheet'!$AD$36="","",IF('Final Calculation Sheet'!$AD$36&lt;=0,"SETTLED","OUTSTANDING"))))),"")</f>
        <v/>
      </c>
      <c r="AZ37">
        <f>IF($B$3="",IF(COUNTIF($A$4:$AI$4,"&lt;&gt;")=0,9,IF($AM37=1,9,10)),IF($AM37=0,10,IF(AND($AR$6&lt;&gt;"",ISNUMBER(SEARCH($AR$6,$AK37))),1,IF(AND($AS$6&lt;&gt;"",ISNUMBER(SEARCH($AS$6,$AK37))),2,IF(AND($AT$6&lt;&gt;"",ISNUMBER(SEARCH($AT$6,$AK37))),3,IF(AND($AU$6&lt;&gt;"",ISNUMBER(SEARCH($AU$6,$AK37))),4,IF(AND($AV$6&lt;&gt;"",ISNUMBER(SEARCH($AV$6,$AK37))),5,IF(AND($AW$6&lt;&gt;"",ISNUMBER(SEARCH($AW$6,$AK37))),6,IF(AND($AX$6&lt;&gt;"",ISNUMBER(SEARCH($AX$6,$AK37))),7,IF(AND($AY$6&lt;&gt;"",ISNUMBER(SEARCH($AY$6,$AK37))),8,0))))))))))</f>
        <v/>
      </c>
      <c r="BA37">
        <f>IF($AN$2="",SUMPRODUCT(($AZ$5:$AZ$41=$AZ37)*($BC$5:$BC$41&lt;$BC37))+1,IF($AN37="",SUMPRODUCT(($AZ$5:$AZ$41=$AZ37)*($AN$5:$AN$41&lt;&gt;""))+SUMPRODUCT(($AZ$5:$AZ$41=$AZ37)*($AN$5:$AN$41="")*($BC$5:$BC$41&lt;$BC37))+1,IF($AL$2="▼ Descending",SUMPRODUCT(($AZ$5:$AZ$41=$AZ37)*($AN$5:$AN$41&gt;$AN37)*($AN$5:$AN$41&lt;&gt;""))+SUMPRODUCT(($AZ$5:$AZ$41=$AZ37)*($AN$5:$AN$41=$AN37)*($BC$5:$BC$41&lt;$BC37))+1,SUMPRODUCT(($AZ$5:$AZ$41=$AZ37)*($AN$5:$AN$41&lt;$AN37)*($AN$5:$AN$41&lt;&gt;""))+SUMPRODUCT(($AZ$5:$AZ$41=$AZ37)*($AN$5:$AN$41=$AN37)*($BC$5:$BC$41&lt;$BC37))+1)))</f>
        <v/>
      </c>
      <c r="BB37">
        <f>IF(INDEX($BF$4:$BF$13,$AZ37)=0,0,INDEX($BE$4:$BE$13,$AZ37)+$BA37-1)</f>
        <v/>
      </c>
      <c r="BC37" t="n">
        <v>36</v>
      </c>
      <c r="BH37">
        <f>IFERROR(MATCH(37,$BF$4:$BF$13,0),0)</f>
        <v/>
      </c>
      <c r="BI37">
        <f>IF(37=$BG$5,1,0)</f>
        <v/>
      </c>
      <c r="BJ37">
        <f>IF(OR($BH37&gt;0,$BI37=1,$BL37=1),0,IFERROR(INDEX($BC$5:$BC$41,MATCH(37,$BB$5:$BB$41,0)),0))</f>
        <v/>
      </c>
      <c r="BK37">
        <f>IF($BJ37&gt;0,IF(INDEX($AZ$5:$AZ$41,MATCH(37,$BB$5:$BB$41,0))=10,1,0),IF($BH37=10,1,0))</f>
        <v/>
      </c>
      <c r="BL37">
        <f>IF(37=$BG$4,1,0)</f>
        <v/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/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/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/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/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/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/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/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/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/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/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/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/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/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/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/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/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/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/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/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/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/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/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/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/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/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/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/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/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/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/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/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/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/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/>
      </c>
    </row>
    <row r="38" ht="15" customHeight="1" s="77">
      <c r="A38" s="67">
        <f>IF($BJ37&gt;0,INDEX($BA$5:$BA$41,MATCH(37,$BB$5:$BB$41,0)),IF(OR($BI37=1,$BL37=1,$BH37&gt;0),"∑",""))</f>
        <v/>
      </c>
      <c r="B38" s="68">
        <f>IF($BJ37&gt;0,IF(INDEX('Final Calculation Sheet'!$F$4:$F$40,$BJ37-3)="","",INDEX('Final Calculation Sheet'!$F$4:$F$40,$BJ37-3)),"")</f>
        <v/>
      </c>
      <c r="C38" s="68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/>
      </c>
      <c r="D38" s="69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/>
      </c>
      <c r="E38" s="69">
        <f>IF($BJ37&gt;0,IF(INDEX('Final Calculation Sheet'!$D$4:$D$40,$BJ37-3)="","",INDEX('Final Calculation Sheet'!$D$4:$D$40,$BJ37-3)),IF(OR($BI37=1,$BL37=1,$BH37&gt;0),"–",""))</f>
        <v/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/>
      </c>
      <c r="G38" s="69">
        <f>IF($BJ37&gt;0,IF(INDEX('Final Calculation Sheet'!$E$4:$E$40,$BJ37-3)="","",INDEX('Final Calculation Sheet'!$E$4:$E$40,$BJ37-3)),IF(OR($BI37=1,$BL37=1,$BH37&gt;0),"–",""))</f>
        <v/>
      </c>
      <c r="H38" s="70">
        <f>IF($BJ37&gt;0,IF(INDEX('Final Calculation Sheet'!$C$4:$C$40,$BJ37-3)="","",INDEX('Final Calculation Sheet'!$C$4:$C$40,$BJ37-3)),IF(OR($BI37=1,$BL37=1,$BH37&gt;0),"–",""))</f>
        <v/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/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/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/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/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/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/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/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/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/>
      </c>
      <c r="R38" s="72">
        <f>IF($BJ37&gt;0,IF(INDEX('Final Calculation Sheet'!$Q$4:$Q$40,$BJ37-3)="","",INDEX('Final Calculation Sheet'!$Q$4:$Q$40,$BJ37-3)),IF(OR($BI37=1,$BL37=1,$BH37&gt;0),"–",""))</f>
        <v/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/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/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/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/>
      </c>
      <c r="W38" s="70">
        <f>IF($BJ37&gt;0,IF(INDEX('Final Calculation Sheet'!$V$4:$V$40,$BJ37-3)="","",INDEX('Final Calculation Sheet'!$V$4:$V$40,$BJ37-3)),IF(OR($BI37=1,$BL37=1,$BH37&gt;0),"–",""))</f>
        <v/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/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/>
      </c>
      <c r="Z38" s="70">
        <f>IF($BJ37&gt;0,IF(INDEX('Final Calculation Sheet'!$Y$4:$Y$40,$BJ37-3)="","",INDEX('Final Calculation Sheet'!$Y$4:$Y$40,$BJ37-3)),IF(OR($BI37=1,$BL37=1,$BH37&gt;0),"–",""))</f>
        <v/>
      </c>
      <c r="AA38" s="70">
        <f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/>
      </c>
      <c r="AB38" s="70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/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/>
      </c>
      <c r="AF38" s="70">
        <f>IF($BJ37&gt;0,IF(INDEX('Final Calculation Sheet'!$AE$4:$AE$40,$BJ37-3)="","",INDEX('Final Calculation Sheet'!$AE$4:$AE$40,$BJ37-3)),IF(OR($BI37=1,$BL37=1,$BH37&gt;0),"–",""))</f>
        <v/>
      </c>
      <c r="AG38" s="74">
        <f>IF($BJ37&gt;0,IF(INDEX('Final Calculation Sheet'!$AF$4:$AF$40,$BJ37-3)="","",INDEX('Final Calculation Sheet'!$AF$4:$AF$40,$BJ37-3)),IF(OR($BI37=1,$BL37=1,$BH37&gt;0),"–",""))</f>
        <v/>
      </c>
      <c r="AH38" s="70">
        <f>IF($BJ37&gt;0,IF(INDEX('Final Calculation Sheet'!$AG$4:$AG$40,$BJ37-3)="","",INDEX('Final Calculation Sheet'!$AG$4:$AG$40,$BJ37-3)),IF(OR($BI37=1,$BL37=1,$BH37&gt;0),"–",""))</f>
        <v/>
      </c>
      <c r="AI38" s="75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/>
      </c>
      <c r="AJ38" s="85" t="inlineStr">
        <is>
          <t>AG - SAP Document</t>
        </is>
      </c>
      <c r="AK38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/>
      </c>
      <c r="AM38">
        <f>IF(COUNTIF($BM38:$CU38,0)&gt;0,0,IF($B$3="",1,IF(AND(IF(COUNTIF($AR$9:$AY$9,1)=0,TRUE,SUMPRODUCT(($AR$9:$AY$9=1)*($AR$6:$AY$6&lt;&gt;"")*ISNUMBER(SEARCH($AR$6:$AY$6,$AK38)))&gt;0),IF(COUNTIF($AR$9:$AY$9,2)=0,TRUE,SUMPRODUCT(($AR$9:$AY$9=2)*($AR$6:$AY$6&lt;&gt;"")*ISNUMBER(SEARCH($AR$6:$AY$6,$AK38)))&gt;0),IF(COUNTIF($AR$9:$AY$9,3)=0,TRUE,SUMPRODUCT(($AR$9:$AY$9=3)*($AR$6:$AY$6&lt;&gt;"")*ISNUMBER(SEARCH($AR$6:$AY$6,$AK38)))&gt;0),IF(COUNTIF($AR$9:$AY$9,4)=0,TRUE,SUMPRODUCT(($AR$9:$AY$9=4)*($AR$6:$AY$6&lt;&gt;"")*ISNUMBER(SEARCH($AR$6:$AY$6,$AK38)))&gt;0),IF(COUNTIF($AR$9:$AY$9,5)=0,TRUE,SUMPRODUCT(($AR$9:$AY$9=5)*($AR$6:$AY$6&lt;&gt;"")*ISNUMBER(SEARCH($AR$6:$AY$6,$AK38)))&gt;0),IF(COUNTIF($AR$9:$AY$9,6)=0,TRUE,SUMPRODUCT(($AR$9:$AY$9=6)*($AR$6:$AY$6&lt;&gt;"")*ISNUMBER(SEARCH($AR$6:$AY$6,$AK38)))&gt;0),IF(COUNTIF($AR$9:$AY$9,7)=0,TRUE,SUMPRODUCT(($AR$9:$AY$9=7)*($AR$6:$AY$6&lt;&gt;"")*ISNUMBER(SEARCH($AR$6:$AY$6,$AK38)))&gt;0),IF(COUNTIF($AR$9:$AY$9,8)=0,TRUE,SUMPRODUCT(($AR$9:$AY$9=8)*($AR$6:$AY$6&lt;&gt;"")*ISNUMBER(SEARCH($AR$6:$AY$6,$AK38)))&gt;0)),1,0)))</f>
        <v/>
      </c>
      <c r="AN38">
        <f>IF($AP38="","",IF(OR($AN$2="W",$AN$2="Z",$AN$2="AC",$AN$2="AH"),IF(ISNUMBER($AP38),$AP38,IFERROR(DATE(VALUE(RIGHT($AP38,4)),VALUE(MID($AP38,4,2)),VALUE(LEFT($AP38,2))),$AP38)),$AP38))</f>
        <v/>
      </c>
      <c r="AP38">
        <f>IFERROR(IF($AN$2="","",IF($AN$2="A",$BC38,CHOOSE(MATCH($AN$2,{"B","C","D","E","F","G","H","I","J","K","L","M","N","O","P","Q","R","S","T","U","V","W","X","Y","Z","AA","AB","AC","AD","AE","AF","AG","AH","AI"},0),'Final Calculation Sheet'!$F$37,'Final Calculation Sheet'!$G$37,'Final Calculation Sheet'!$B$37,'Final Calculation Sheet'!$D$37,'Final Calculation Sheet'!$A$37,'Final Calculation Sheet'!$E$37,'Final Calculation Sheet'!$C$37,'Final Calculation Sheet'!$H$37,'Final Calculation Sheet'!$I$37,'Final Calculation Sheet'!$J$37,'Final Calculation Sheet'!$K$37,'Final Calculation Sheet'!$L$37,'Final Calculation Sheet'!$M$37,'Final Calculation Sheet'!$N$37,'Final Calculation Sheet'!$O$37,'Final Calculation Sheet'!$P$37,'Final Calculation Sheet'!$Q$37,'Final Calculation Sheet'!$R$37,'Final Calculation Sheet'!$S$37,'Final Calculation Sheet'!$T$37,'Final Calculation Sheet'!$U$37,'Final Calculation Sheet'!$V$37,'Final Calculation Sheet'!$W$37,'Final Calculation Sheet'!$X$37,'Final Calculation Sheet'!$Y$37,'Final Calculation Sheet'!$Z$37,'Final Calculation Sheet'!$AA$37,'Final Calculation Sheet'!$AB$37,'Final Calculation Sheet'!$AC$37,'Final Calculation Sheet'!$AD$37,'Final Calculation Sheet'!$AE$37,'Final Calculation Sheet'!$AF$37,'Final Calculation Sheet'!$AG$37,IF('Final Calculation Sheet'!$AD$37="","",IF('Final Calculation Sheet'!$AD$37&lt;=0,"SETTLED","OUTSTANDING"))))),"")</f>
        <v/>
      </c>
      <c r="AZ38">
        <f>IF($B$3="",IF(COUNTIF($A$4:$AI$4,"&lt;&gt;")=0,9,IF($AM38=1,9,10)),IF($AM38=0,10,IF(AND($AR$6&lt;&gt;"",ISNUMBER(SEARCH($AR$6,$AK38))),1,IF(AND($AS$6&lt;&gt;"",ISNUMBER(SEARCH($AS$6,$AK38))),2,IF(AND($AT$6&lt;&gt;"",ISNUMBER(SEARCH($AT$6,$AK38))),3,IF(AND($AU$6&lt;&gt;"",ISNUMBER(SEARCH($AU$6,$AK38))),4,IF(AND($AV$6&lt;&gt;"",ISNUMBER(SEARCH($AV$6,$AK38))),5,IF(AND($AW$6&lt;&gt;"",ISNUMBER(SEARCH($AW$6,$AK38))),6,IF(AND($AX$6&lt;&gt;"",ISNUMBER(SEARCH($AX$6,$AK38))),7,IF(AND($AY$6&lt;&gt;"",ISNUMBER(SEARCH($AY$6,$AK38))),8,0))))))))))</f>
        <v/>
      </c>
      <c r="BA38">
        <f>IF($AN$2="",SUMPRODUCT(($AZ$5:$AZ$41=$AZ38)*($BC$5:$BC$41&lt;$BC38))+1,IF($AN38="",SUMPRODUCT(($AZ$5:$AZ$41=$AZ38)*($AN$5:$AN$41&lt;&gt;""))+SUMPRODUCT(($AZ$5:$AZ$41=$AZ38)*($AN$5:$AN$41="")*($BC$5:$BC$41&lt;$BC38))+1,IF($AL$2="▼ Descending",SUMPRODUCT(($AZ$5:$AZ$41=$AZ38)*($AN$5:$AN$41&gt;$AN38)*($AN$5:$AN$41&lt;&gt;""))+SUMPRODUCT(($AZ$5:$AZ$41=$AZ38)*($AN$5:$AN$41=$AN38)*($BC$5:$BC$41&lt;$BC38))+1,SUMPRODUCT(($AZ$5:$AZ$41=$AZ38)*($AN$5:$AN$41&lt;$AN38)*($AN$5:$AN$41&lt;&gt;""))+SUMPRODUCT(($AZ$5:$AZ$41=$AZ38)*($AN$5:$AN$41=$AN38)*($BC$5:$BC$41&lt;$BC38))+1)))</f>
        <v/>
      </c>
      <c r="BB38">
        <f>IF(INDEX($BF$4:$BF$13,$AZ38)=0,0,INDEX($BE$4:$BE$13,$AZ38)+$BA38-1)</f>
        <v/>
      </c>
      <c r="BC38" t="n">
        <v>37</v>
      </c>
      <c r="BH38">
        <f>IFERROR(MATCH(38,$BF$4:$BF$13,0),0)</f>
        <v/>
      </c>
      <c r="BI38">
        <f>IF(38=$BG$5,1,0)</f>
        <v/>
      </c>
      <c r="BJ38">
        <f>IF(OR($BH38&gt;0,$BI38=1,$BL38=1),0,IFERROR(INDEX($BC$5:$BC$41,MATCH(38,$BB$5:$BB$41,0)),0))</f>
        <v/>
      </c>
      <c r="BK38">
        <f>IF($BJ38&gt;0,IF(INDEX($AZ$5:$AZ$41,MATCH(38,$BB$5:$BB$41,0))=10,1,0),IF($BH38=10,1,0))</f>
        <v/>
      </c>
      <c r="BL38">
        <f>IF(38=$BG$4,1,0)</f>
        <v/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/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/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/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/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/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/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/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/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/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/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/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/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/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/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/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/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/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/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/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/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/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/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/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/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/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/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/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/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/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/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/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/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/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/>
      </c>
    </row>
    <row r="39" ht="15" customHeight="1" s="77">
      <c r="A39" s="67">
        <f>IF($BJ38&gt;0,INDEX($BA$5:$BA$41,MATCH(38,$BB$5:$BB$41,0)),IF(OR($BI38=1,$BL38=1,$BH38&gt;0),"∑",""))</f>
        <v/>
      </c>
      <c r="B39" s="68">
        <f>IF($BJ38&gt;0,IF(INDEX('Final Calculation Sheet'!$F$4:$F$40,$BJ38-3)="","",INDEX('Final Calculation Sheet'!$F$4:$F$40,$BJ38-3)),"")</f>
        <v/>
      </c>
      <c r="C39" s="68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/>
      </c>
      <c r="D39" s="69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/>
      </c>
      <c r="E39" s="69">
        <f>IF($BJ38&gt;0,IF(INDEX('Final Calculation Sheet'!$D$4:$D$40,$BJ38-3)="","",INDEX('Final Calculation Sheet'!$D$4:$D$40,$BJ38-3)),IF(OR($BI38=1,$BL38=1,$BH38&gt;0),"–",""))</f>
        <v/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/>
      </c>
      <c r="G39" s="69">
        <f>IF($BJ38&gt;0,IF(INDEX('Final Calculation Sheet'!$E$4:$E$40,$BJ38-3)="","",INDEX('Final Calculation Sheet'!$E$4:$E$40,$BJ38-3)),IF(OR($BI38=1,$BL38=1,$BH38&gt;0),"–",""))</f>
        <v/>
      </c>
      <c r="H39" s="70">
        <f>IF($BJ38&gt;0,IF(INDEX('Final Calculation Sheet'!$C$4:$C$40,$BJ38-3)="","",INDEX('Final Calculation Sheet'!$C$4:$C$40,$BJ38-3)),IF(OR($BI38=1,$BL38=1,$BH38&gt;0),"–",""))</f>
        <v/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/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/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/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/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/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/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/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/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/>
      </c>
      <c r="R39" s="72">
        <f>IF($BJ38&gt;0,IF(INDEX('Final Calculation Sheet'!$Q$4:$Q$40,$BJ38-3)="","",INDEX('Final Calculation Sheet'!$Q$4:$Q$40,$BJ38-3)),IF(OR($BI38=1,$BL38=1,$BH38&gt;0),"–",""))</f>
        <v/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/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/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/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/>
      </c>
      <c r="W39" s="70">
        <f>IF($BJ38&gt;0,IF(INDEX('Final Calculation Sheet'!$V$4:$V$40,$BJ38-3)="","",INDEX('Final Calculation Sheet'!$V$4:$V$40,$BJ38-3)),IF(OR($BI38=1,$BL38=1,$BH38&gt;0),"–",""))</f>
        <v/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/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/>
      </c>
      <c r="Z39" s="70">
        <f>IF($BJ38&gt;0,IF(INDEX('Final Calculation Sheet'!$Y$4:$Y$40,$BJ38-3)="","",INDEX('Final Calculation Sheet'!$Y$4:$Y$40,$BJ38-3)),IF(OR($BI38=1,$BL38=1,$BH38&gt;0),"–",""))</f>
        <v/>
      </c>
      <c r="AA39" s="70">
        <f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/>
      </c>
      <c r="AB39" s="70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/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/>
      </c>
      <c r="AF39" s="70">
        <f>IF($BJ38&gt;0,IF(INDEX('Final Calculation Sheet'!$AE$4:$AE$40,$BJ38-3)="","",INDEX('Final Calculation Sheet'!$AE$4:$AE$40,$BJ38-3)),IF(OR($BI38=1,$BL38=1,$BH38&gt;0),"–",""))</f>
        <v/>
      </c>
      <c r="AG39" s="74">
        <f>IF($BJ38&gt;0,IF(INDEX('Final Calculation Sheet'!$AF$4:$AF$40,$BJ38-3)="","",INDEX('Final Calculation Sheet'!$AF$4:$AF$40,$BJ38-3)),IF(OR($BI38=1,$BL38=1,$BH38&gt;0),"–",""))</f>
        <v/>
      </c>
      <c r="AH39" s="70">
        <f>IF($BJ38&gt;0,IF(INDEX('Final Calculation Sheet'!$AG$4:$AG$40,$BJ38-3)="","",INDEX('Final Calculation Sheet'!$AG$4:$AG$40,$BJ38-3)),IF(OR($BI38=1,$BL38=1,$BH38&gt;0),"–",""))</f>
        <v/>
      </c>
      <c r="AI39" s="75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/>
      </c>
      <c r="AJ39" s="85" t="inlineStr">
        <is>
          <t>AH - Doc./Invoice Date</t>
        </is>
      </c>
      <c r="AK39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/>
      </c>
      <c r="AM39">
        <f>IF(COUNTIF($BM39:$CU39,0)&gt;0,0,IF($B$3="",1,IF(AND(IF(COUNTIF($AR$9:$AY$9,1)=0,TRUE,SUMPRODUCT(($AR$9:$AY$9=1)*($AR$6:$AY$6&lt;&gt;"")*ISNUMBER(SEARCH($AR$6:$AY$6,$AK39)))&gt;0),IF(COUNTIF($AR$9:$AY$9,2)=0,TRUE,SUMPRODUCT(($AR$9:$AY$9=2)*($AR$6:$AY$6&lt;&gt;"")*ISNUMBER(SEARCH($AR$6:$AY$6,$AK39)))&gt;0),IF(COUNTIF($AR$9:$AY$9,3)=0,TRUE,SUMPRODUCT(($AR$9:$AY$9=3)*($AR$6:$AY$6&lt;&gt;"")*ISNUMBER(SEARCH($AR$6:$AY$6,$AK39)))&gt;0),IF(COUNTIF($AR$9:$AY$9,4)=0,TRUE,SUMPRODUCT(($AR$9:$AY$9=4)*($AR$6:$AY$6&lt;&gt;"")*ISNUMBER(SEARCH($AR$6:$AY$6,$AK39)))&gt;0),IF(COUNTIF($AR$9:$AY$9,5)=0,TRUE,SUMPRODUCT(($AR$9:$AY$9=5)*($AR$6:$AY$6&lt;&gt;"")*ISNUMBER(SEARCH($AR$6:$AY$6,$AK39)))&gt;0),IF(COUNTIF($AR$9:$AY$9,6)=0,TRUE,SUMPRODUCT(($AR$9:$AY$9=6)*($AR$6:$AY$6&lt;&gt;"")*ISNUMBER(SEARCH($AR$6:$AY$6,$AK39)))&gt;0),IF(COUNTIF($AR$9:$AY$9,7)=0,TRUE,SUMPRODUCT(($AR$9:$AY$9=7)*($AR$6:$AY$6&lt;&gt;"")*ISNUMBER(SEARCH($AR$6:$AY$6,$AK39)))&gt;0),IF(COUNTIF($AR$9:$AY$9,8)=0,TRUE,SUMPRODUCT(($AR$9:$AY$9=8)*($AR$6:$AY$6&lt;&gt;"")*ISNUMBER(SEARCH($AR$6:$AY$6,$AK39)))&gt;0)),1,0)))</f>
        <v/>
      </c>
      <c r="AN39">
        <f>IF($AP39="","",IF(OR($AN$2="W",$AN$2="Z",$AN$2="AC",$AN$2="AH"),IF(ISNUMBER($AP39),$AP39,IFERROR(DATE(VALUE(RIGHT($AP39,4)),VALUE(MID($AP39,4,2)),VALUE(LEFT($AP39,2))),$AP39)),$AP39))</f>
        <v/>
      </c>
      <c r="AP39">
        <f>IFERROR(IF($AN$2="","",IF($AN$2="A",$BC39,CHOOSE(MATCH($AN$2,{"B","C","D","E","F","G","H","I","J","K","L","M","N","O","P","Q","R","S","T","U","V","W","X","Y","Z","AA","AB","AC","AD","AE","AF","AG","AH","AI"},0),'Final Calculation Sheet'!$F$38,'Final Calculation Sheet'!$G$38,'Final Calculation Sheet'!$B$38,'Final Calculation Sheet'!$D$38,'Final Calculation Sheet'!$A$38,'Final Calculation Sheet'!$E$38,'Final Calculation Sheet'!$C$38,'Final Calculation Sheet'!$H$38,'Final Calculation Sheet'!$I$38,'Final Calculation Sheet'!$J$38,'Final Calculation Sheet'!$K$38,'Final Calculation Sheet'!$L$38,'Final Calculation Sheet'!$M$38,'Final Calculation Sheet'!$N$38,'Final Calculation Sheet'!$O$38,'Final Calculation Sheet'!$P$38,'Final Calculation Sheet'!$Q$38,'Final Calculation Sheet'!$R$38,'Final Calculation Sheet'!$S$38,'Final Calculation Sheet'!$T$38,'Final Calculation Sheet'!$U$38,'Final Calculation Sheet'!$V$38,'Final Calculation Sheet'!$W$38,'Final Calculation Sheet'!$X$38,'Final Calculation Sheet'!$Y$38,'Final Calculation Sheet'!$Z$38,'Final Calculation Sheet'!$AA$38,'Final Calculation Sheet'!$AB$38,'Final Calculation Sheet'!$AC$38,'Final Calculation Sheet'!$AD$38,'Final Calculation Sheet'!$AE$38,'Final Calculation Sheet'!$AF$38,'Final Calculation Sheet'!$AG$38,IF('Final Calculation Sheet'!$AD$38="","",IF('Final Calculation Sheet'!$AD$38&lt;=0,"SETTLED","OUTSTANDING"))))),"")</f>
        <v/>
      </c>
      <c r="AZ39">
        <f>IF($B$3="",IF(COUNTIF($A$4:$AI$4,"&lt;&gt;")=0,9,IF($AM39=1,9,10)),IF($AM39=0,10,IF(AND($AR$6&lt;&gt;"",ISNUMBER(SEARCH($AR$6,$AK39))),1,IF(AND($AS$6&lt;&gt;"",ISNUMBER(SEARCH($AS$6,$AK39))),2,IF(AND($AT$6&lt;&gt;"",ISNUMBER(SEARCH($AT$6,$AK39))),3,IF(AND($AU$6&lt;&gt;"",ISNUMBER(SEARCH($AU$6,$AK39))),4,IF(AND($AV$6&lt;&gt;"",ISNUMBER(SEARCH($AV$6,$AK39))),5,IF(AND($AW$6&lt;&gt;"",ISNUMBER(SEARCH($AW$6,$AK39))),6,IF(AND($AX$6&lt;&gt;"",ISNUMBER(SEARCH($AX$6,$AK39))),7,IF(AND($AY$6&lt;&gt;"",ISNUMBER(SEARCH($AY$6,$AK39))),8,0))))))))))</f>
        <v/>
      </c>
      <c r="BA39">
        <f>IF($AN$2="",SUMPRODUCT(($AZ$5:$AZ$41=$AZ39)*($BC$5:$BC$41&lt;$BC39))+1,IF($AN39="",SUMPRODUCT(($AZ$5:$AZ$41=$AZ39)*($AN$5:$AN$41&lt;&gt;""))+SUMPRODUCT(($AZ$5:$AZ$41=$AZ39)*($AN$5:$AN$41="")*($BC$5:$BC$41&lt;$BC39))+1,IF($AL$2="▼ Descending",SUMPRODUCT(($AZ$5:$AZ$41=$AZ39)*($AN$5:$AN$41&gt;$AN39)*($AN$5:$AN$41&lt;&gt;""))+SUMPRODUCT(($AZ$5:$AZ$41=$AZ39)*($AN$5:$AN$41=$AN39)*($BC$5:$BC$41&lt;$BC39))+1,SUMPRODUCT(($AZ$5:$AZ$41=$AZ39)*($AN$5:$AN$41&lt;$AN39)*($AN$5:$AN$41&lt;&gt;""))+SUMPRODUCT(($AZ$5:$AZ$41=$AZ39)*($AN$5:$AN$41=$AN39)*($BC$5:$BC$41&lt;$BC39))+1)))</f>
        <v/>
      </c>
      <c r="BB39">
        <f>IF(INDEX($BF$4:$BF$13,$AZ39)=0,0,INDEX($BE$4:$BE$13,$AZ39)+$BA39-1)</f>
        <v/>
      </c>
      <c r="BC39" t="n">
        <v>38</v>
      </c>
      <c r="BH39">
        <f>IFERROR(MATCH(39,$BF$4:$BF$13,0),0)</f>
        <v/>
      </c>
      <c r="BI39">
        <f>IF(39=$BG$5,1,0)</f>
        <v/>
      </c>
      <c r="BJ39">
        <f>IF(OR($BH39&gt;0,$BI39=1,$BL39=1),0,IFERROR(INDEX($BC$5:$BC$41,MATCH(39,$BB$5:$BB$41,0)),0))</f>
        <v/>
      </c>
      <c r="BK39">
        <f>IF($BJ39&gt;0,IF(INDEX($AZ$5:$AZ$41,MATCH(39,$BB$5:$BB$41,0))=10,1,0),IF($BH39=10,1,0))</f>
        <v/>
      </c>
      <c r="BL39">
        <f>IF(39=$BG$4,1,0)</f>
        <v/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/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/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/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/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/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/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/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/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/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/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/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/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/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/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/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/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/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/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/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/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/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/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/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/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/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/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/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/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/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/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/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/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/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/>
      </c>
    </row>
    <row r="40" ht="15" customHeight="1" s="77">
      <c r="A40" s="67">
        <f>IF($BJ39&gt;0,INDEX($BA$5:$BA$41,MATCH(39,$BB$5:$BB$41,0)),IF(OR($BI39=1,$BL39=1,$BH39&gt;0),"∑",""))</f>
        <v/>
      </c>
      <c r="B40" s="68">
        <f>IF($BJ39&gt;0,IF(INDEX('Final Calculation Sheet'!$F$4:$F$40,$BJ39-3)="","",INDEX('Final Calculation Sheet'!$F$4:$F$40,$BJ39-3)),"")</f>
        <v/>
      </c>
      <c r="C40" s="68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/>
      </c>
      <c r="D40" s="69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/>
      </c>
      <c r="E40" s="69">
        <f>IF($BJ39&gt;0,IF(INDEX('Final Calculation Sheet'!$D$4:$D$40,$BJ39-3)="","",INDEX('Final Calculation Sheet'!$D$4:$D$40,$BJ39-3)),IF(OR($BI39=1,$BL39=1,$BH39&gt;0),"–",""))</f>
        <v/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/>
      </c>
      <c r="G40" s="69">
        <f>IF($BJ39&gt;0,IF(INDEX('Final Calculation Sheet'!$E$4:$E$40,$BJ39-3)="","",INDEX('Final Calculation Sheet'!$E$4:$E$40,$BJ39-3)),IF(OR($BI39=1,$BL39=1,$BH39&gt;0),"–",""))</f>
        <v/>
      </c>
      <c r="H40" s="70">
        <f>IF($BJ39&gt;0,IF(INDEX('Final Calculation Sheet'!$C$4:$C$40,$BJ39-3)="","",INDEX('Final Calculation Sheet'!$C$4:$C$40,$BJ39-3)),IF(OR($BI39=1,$BL39=1,$BH39&gt;0),"–",""))</f>
        <v/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/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/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/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/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/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/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/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/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/>
      </c>
      <c r="R40" s="72">
        <f>IF($BJ39&gt;0,IF(INDEX('Final Calculation Sheet'!$Q$4:$Q$40,$BJ39-3)="","",INDEX('Final Calculation Sheet'!$Q$4:$Q$40,$BJ39-3)),IF(OR($BI39=1,$BL39=1,$BH39&gt;0),"–",""))</f>
        <v/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/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/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/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/>
      </c>
      <c r="W40" s="70">
        <f>IF($BJ39&gt;0,IF(INDEX('Final Calculation Sheet'!$V$4:$V$40,$BJ39-3)="","",INDEX('Final Calculation Sheet'!$V$4:$V$40,$BJ39-3)),IF(OR($BI39=1,$BL39=1,$BH39&gt;0),"–",""))</f>
        <v/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/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/>
      </c>
      <c r="Z40" s="70">
        <f>IF($BJ39&gt;0,IF(INDEX('Final Calculation Sheet'!$Y$4:$Y$40,$BJ39-3)="","",INDEX('Final Calculation Sheet'!$Y$4:$Y$40,$BJ39-3)),IF(OR($BI39=1,$BL39=1,$BH39&gt;0),"–",""))</f>
        <v/>
      </c>
      <c r="AA40" s="70">
        <f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/>
      </c>
      <c r="AB40" s="70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/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/>
      </c>
      <c r="AF40" s="70">
        <f>IF($BJ39&gt;0,IF(INDEX('Final Calculation Sheet'!$AE$4:$AE$40,$BJ39-3)="","",INDEX('Final Calculation Sheet'!$AE$4:$AE$40,$BJ39-3)),IF(OR($BI39=1,$BL39=1,$BH39&gt;0),"–",""))</f>
        <v/>
      </c>
      <c r="AG40" s="74">
        <f>IF($BJ39&gt;0,IF(INDEX('Final Calculation Sheet'!$AF$4:$AF$40,$BJ39-3)="","",INDEX('Final Calculation Sheet'!$AF$4:$AF$40,$BJ39-3)),IF(OR($BI39=1,$BL39=1,$BH39&gt;0),"–",""))</f>
        <v/>
      </c>
      <c r="AH40" s="70">
        <f>IF($BJ39&gt;0,IF(INDEX('Final Calculation Sheet'!$AG$4:$AG$40,$BJ39-3)="","",INDEX('Final Calculation Sheet'!$AG$4:$AG$40,$BJ39-3)),IF(OR($BI39=1,$BL39=1,$BH39&gt;0),"–",""))</f>
        <v/>
      </c>
      <c r="AI40" s="75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/>
      </c>
      <c r="AJ40" s="85" t="inlineStr">
        <is>
          <t>AI - Payment Status</t>
        </is>
      </c>
      <c r="AK40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/>
      </c>
      <c r="AM40">
        <f>IF(COUNTIF($BM40:$CU40,0)&gt;0,0,IF($B$3="",1,IF(AND(IF(COUNTIF($AR$9:$AY$9,1)=0,TRUE,SUMPRODUCT(($AR$9:$AY$9=1)*($AR$6:$AY$6&lt;&gt;"")*ISNUMBER(SEARCH($AR$6:$AY$6,$AK40)))&gt;0),IF(COUNTIF($AR$9:$AY$9,2)=0,TRUE,SUMPRODUCT(($AR$9:$AY$9=2)*($AR$6:$AY$6&lt;&gt;"")*ISNUMBER(SEARCH($AR$6:$AY$6,$AK40)))&gt;0),IF(COUNTIF($AR$9:$AY$9,3)=0,TRUE,SUMPRODUCT(($AR$9:$AY$9=3)*($AR$6:$AY$6&lt;&gt;"")*ISNUMBER(SEARCH($AR$6:$AY$6,$AK40)))&gt;0),IF(COUNTIF($AR$9:$AY$9,4)=0,TRUE,SUMPRODUCT(($AR$9:$AY$9=4)*($AR$6:$AY$6&lt;&gt;"")*ISNUMBER(SEARCH($AR$6:$AY$6,$AK40)))&gt;0),IF(COUNTIF($AR$9:$AY$9,5)=0,TRUE,SUMPRODUCT(($AR$9:$AY$9=5)*($AR$6:$AY$6&lt;&gt;"")*ISNUMBER(SEARCH($AR$6:$AY$6,$AK40)))&gt;0),IF(COUNTIF($AR$9:$AY$9,6)=0,TRUE,SUMPRODUCT(($AR$9:$AY$9=6)*($AR$6:$AY$6&lt;&gt;"")*ISNUMBER(SEARCH($AR$6:$AY$6,$AK40)))&gt;0),IF(COUNTIF($AR$9:$AY$9,7)=0,TRUE,SUMPRODUCT(($AR$9:$AY$9=7)*($AR$6:$AY$6&lt;&gt;"")*ISNUMBER(SEARCH($AR$6:$AY$6,$AK40)))&gt;0),IF(COUNTIF($AR$9:$AY$9,8)=0,TRUE,SUMPRODUCT(($AR$9:$AY$9=8)*($AR$6:$AY$6&lt;&gt;"")*ISNUMBER(SEARCH($AR$6:$AY$6,$AK40)))&gt;0)),1,0)))</f>
        <v/>
      </c>
      <c r="AN40">
        <f>IF($AP40="","",IF(OR($AN$2="W",$AN$2="Z",$AN$2="AC",$AN$2="AH"),IF(ISNUMBER($AP40),$AP40,IFERROR(DATE(VALUE(RIGHT($AP40,4)),VALUE(MID($AP40,4,2)),VALUE(LEFT($AP40,2))),$AP40)),$AP40))</f>
        <v/>
      </c>
      <c r="AP40">
        <f>IFERROR(IF($AN$2="","",IF($AN$2="A",$BC40,CHOOSE(MATCH($AN$2,{"B","C","D","E","F","G","H","I","J","K","L","M","N","O","P","Q","R","S","T","U","V","W","X","Y","Z","AA","AB","AC","AD","AE","AF","AG","AH","AI"},0),'Final Calculation Sheet'!$F$39,'Final Calculation Sheet'!$G$39,'Final Calculation Sheet'!$B$39,'Final Calculation Sheet'!$D$39,'Final Calculation Sheet'!$A$39,'Final Calculation Sheet'!$E$39,'Final Calculation Sheet'!$C$39,'Final Calculation Sheet'!$H$39,'Final Calculation Sheet'!$I$39,'Final Calculation Sheet'!$J$39,'Final Calculation Sheet'!$K$39,'Final Calculation Sheet'!$L$39,'Final Calculation Sheet'!$M$39,'Final Calculation Sheet'!$N$39,'Final Calculation Sheet'!$O$39,'Final Calculation Sheet'!$P$39,'Final Calculation Sheet'!$Q$39,'Final Calculation Sheet'!$R$39,'Final Calculation Sheet'!$S$39,'Final Calculation Sheet'!$T$39,'Final Calculation Sheet'!$U$39,'Final Calculation Sheet'!$V$39,'Final Calculation Sheet'!$W$39,'Final Calculation Sheet'!$X$39,'Final Calculation Sheet'!$Y$39,'Final Calculation Sheet'!$Z$39,'Final Calculation Sheet'!$AA$39,'Final Calculation Sheet'!$AB$39,'Final Calculation Sheet'!$AC$39,'Final Calculation Sheet'!$AD$39,'Final Calculation Sheet'!$AE$39,'Final Calculation Sheet'!$AF$39,'Final Calculation Sheet'!$AG$39,IF('Final Calculation Sheet'!$AD$39="","",IF('Final Calculation Sheet'!$AD$39&lt;=0,"SETTLED","OUTSTANDING"))))),"")</f>
        <v/>
      </c>
      <c r="AZ40">
        <f>IF($B$3="",IF(COUNTIF($A$4:$AI$4,"&lt;&gt;")=0,9,IF($AM40=1,9,10)),IF($AM40=0,10,IF(AND($AR$6&lt;&gt;"",ISNUMBER(SEARCH($AR$6,$AK40))),1,IF(AND($AS$6&lt;&gt;"",ISNUMBER(SEARCH($AS$6,$AK40))),2,IF(AND($AT$6&lt;&gt;"",ISNUMBER(SEARCH($AT$6,$AK40))),3,IF(AND($AU$6&lt;&gt;"",ISNUMBER(SEARCH($AU$6,$AK40))),4,IF(AND($AV$6&lt;&gt;"",ISNUMBER(SEARCH($AV$6,$AK40))),5,IF(AND($AW$6&lt;&gt;"",ISNUMBER(SEARCH($AW$6,$AK40))),6,IF(AND($AX$6&lt;&gt;"",ISNUMBER(SEARCH($AX$6,$AK40))),7,IF(AND($AY$6&lt;&gt;"",ISNUMBER(SEARCH($AY$6,$AK40))),8,0))))))))))</f>
        <v/>
      </c>
      <c r="BA40">
        <f>IF($AN$2="",SUMPRODUCT(($AZ$5:$AZ$41=$AZ40)*($BC$5:$BC$41&lt;$BC40))+1,IF($AN40="",SUMPRODUCT(($AZ$5:$AZ$41=$AZ40)*($AN$5:$AN$41&lt;&gt;""))+SUMPRODUCT(($AZ$5:$AZ$41=$AZ40)*($AN$5:$AN$41="")*($BC$5:$BC$41&lt;$BC40))+1,IF($AL$2="▼ Descending",SUMPRODUCT(($AZ$5:$AZ$41=$AZ40)*($AN$5:$AN$41&gt;$AN40)*($AN$5:$AN$41&lt;&gt;""))+SUMPRODUCT(($AZ$5:$AZ$41=$AZ40)*($AN$5:$AN$41=$AN40)*($BC$5:$BC$41&lt;$BC40))+1,SUMPRODUCT(($AZ$5:$AZ$41=$AZ40)*($AN$5:$AN$41&lt;$AN40)*($AN$5:$AN$41&lt;&gt;""))+SUMPRODUCT(($AZ$5:$AZ$41=$AZ40)*($AN$5:$AN$41=$AN40)*($BC$5:$BC$41&lt;$BC40))+1)))</f>
        <v/>
      </c>
      <c r="BB40">
        <f>IF(INDEX($BF$4:$BF$13,$AZ40)=0,0,INDEX($BE$4:$BE$13,$AZ40)+$BA40-1)</f>
        <v/>
      </c>
      <c r="BC40" t="n">
        <v>39</v>
      </c>
      <c r="BH40">
        <f>IFERROR(MATCH(40,$BF$4:$BF$13,0),0)</f>
        <v/>
      </c>
      <c r="BI40">
        <f>IF(40=$BG$5,1,0)</f>
        <v/>
      </c>
      <c r="BJ40">
        <f>IF(OR($BH40&gt;0,$BI40=1,$BL40=1),0,IFERROR(INDEX($BC$5:$BC$41,MATCH(40,$BB$5:$BB$41,0)),0))</f>
        <v/>
      </c>
      <c r="BK40">
        <f>IF($BJ40&gt;0,IF(INDEX($AZ$5:$AZ$41,MATCH(40,$BB$5:$BB$41,0))=10,1,0),IF($BH40=10,1,0))</f>
        <v/>
      </c>
      <c r="BL40">
        <f>IF(40=$BG$4,1,0)</f>
        <v/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/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/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/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/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/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/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/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/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/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/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/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/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/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/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/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/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/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/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/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/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/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/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/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/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/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/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/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/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/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/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/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/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/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/>
      </c>
    </row>
    <row r="41" ht="15" customHeight="1" s="77">
      <c r="A41" s="67">
        <f>IF($BJ40&gt;0,INDEX($BA$5:$BA$41,MATCH(40,$BB$5:$BB$41,0)),IF(OR($BI40=1,$BL40=1,$BH40&gt;0),"∑",""))</f>
        <v/>
      </c>
      <c r="B41" s="68">
        <f>IF($BJ40&gt;0,IF(INDEX('Final Calculation Sheet'!$F$4:$F$40,$BJ40-3)="","",INDEX('Final Calculation Sheet'!$F$4:$F$40,$BJ40-3)),"")</f>
        <v/>
      </c>
      <c r="C41" s="68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/>
      </c>
      <c r="D41" s="69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/>
      </c>
      <c r="E41" s="69">
        <f>IF($BJ40&gt;0,IF(INDEX('Final Calculation Sheet'!$D$4:$D$40,$BJ40-3)="","",INDEX('Final Calculation Sheet'!$D$4:$D$40,$BJ40-3)),IF(OR($BI40=1,$BL40=1,$BH40&gt;0),"–",""))</f>
        <v/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/>
      </c>
      <c r="G41" s="69">
        <f>IF($BJ40&gt;0,IF(INDEX('Final Calculation Sheet'!$E$4:$E$40,$BJ40-3)="","",INDEX('Final Calculation Sheet'!$E$4:$E$40,$BJ40-3)),IF(OR($BI40=1,$BL40=1,$BH40&gt;0),"–",""))</f>
        <v/>
      </c>
      <c r="H41" s="70">
        <f>IF($BJ40&gt;0,IF(INDEX('Final Calculation Sheet'!$C$4:$C$40,$BJ40-3)="","",INDEX('Final Calculation Sheet'!$C$4:$C$40,$BJ40-3)),IF(OR($BI40=1,$BL40=1,$BH40&gt;0),"–",""))</f>
        <v/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/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/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/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/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/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/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/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/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/>
      </c>
      <c r="R41" s="72">
        <f>IF($BJ40&gt;0,IF(INDEX('Final Calculation Sheet'!$Q$4:$Q$40,$BJ40-3)="","",INDEX('Final Calculation Sheet'!$Q$4:$Q$40,$BJ40-3)),IF(OR($BI40=1,$BL40=1,$BH40&gt;0),"–",""))</f>
        <v/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/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/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/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/>
      </c>
      <c r="W41" s="70">
        <f>IF($BJ40&gt;0,IF(INDEX('Final Calculation Sheet'!$V$4:$V$40,$BJ40-3)="","",INDEX('Final Calculation Sheet'!$V$4:$V$40,$BJ40-3)),IF(OR($BI40=1,$BL40=1,$BH40&gt;0),"–",""))</f>
        <v/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/>
      </c>
      <c r="Y41" s="70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/>
      </c>
      <c r="AA41" s="70">
        <f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/>
      </c>
      <c r="AB41" s="70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/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/>
      </c>
      <c r="AF41" s="70">
        <f>IF($BJ40&gt;0,IF(INDEX('Final Calculation Sheet'!$AE$4:$AE$40,$BJ40-3)="","",INDEX('Final Calculation Sheet'!$AE$4:$AE$40,$BJ40-3)),IF(OR($BI40=1,$BL40=1,$BH40&gt;0),"–",""))</f>
        <v/>
      </c>
      <c r="AG41" s="74">
        <f>IF($BJ40&gt;0,IF(INDEX('Final Calculation Sheet'!$AF$4:$AF$40,$BJ40-3)="","",INDEX('Final Calculation Sheet'!$AF$4:$AF$40,$BJ40-3)),IF(OR($BI40=1,$BL40=1,$BH40&gt;0),"–",""))</f>
        <v/>
      </c>
      <c r="AH41" s="70">
        <f>IF($BJ40&gt;0,IF(INDEX('Final Calculation Sheet'!$AG$4:$AG$40,$BJ40-3)="","",INDEX('Final Calculation Sheet'!$AG$4:$AG$40,$BJ40-3)),IF(OR($BI40=1,$BL40=1,$BH40&gt;0),"–",""))</f>
        <v/>
      </c>
      <c r="AI41" s="75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/>
      </c>
      <c r="AK41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/>
      </c>
      <c r="AM41">
        <f>IF(COUNTIF($BM41:$CU41,0)&gt;0,0,IF($B$3="",1,IF(AND(IF(COUNTIF($AR$9:$AY$9,1)=0,TRUE,SUMPRODUCT(($AR$9:$AY$9=1)*($AR$6:$AY$6&lt;&gt;"")*ISNUMBER(SEARCH($AR$6:$AY$6,$AK41)))&gt;0),IF(COUNTIF($AR$9:$AY$9,2)=0,TRUE,SUMPRODUCT(($AR$9:$AY$9=2)*($AR$6:$AY$6&lt;&gt;"")*ISNUMBER(SEARCH($AR$6:$AY$6,$AK41)))&gt;0),IF(COUNTIF($AR$9:$AY$9,3)=0,TRUE,SUMPRODUCT(($AR$9:$AY$9=3)*($AR$6:$AY$6&lt;&gt;"")*ISNUMBER(SEARCH($AR$6:$AY$6,$AK41)))&gt;0),IF(COUNTIF($AR$9:$AY$9,4)=0,TRUE,SUMPRODUCT(($AR$9:$AY$9=4)*($AR$6:$AY$6&lt;&gt;"")*ISNUMBER(SEARCH($AR$6:$AY$6,$AK41)))&gt;0),IF(COUNTIF($AR$9:$AY$9,5)=0,TRUE,SUMPRODUCT(($AR$9:$AY$9=5)*($AR$6:$AY$6&lt;&gt;"")*ISNUMBER(SEARCH($AR$6:$AY$6,$AK41)))&gt;0),IF(COUNTIF($AR$9:$AY$9,6)=0,TRUE,SUMPRODUCT(($AR$9:$AY$9=6)*($AR$6:$AY$6&lt;&gt;"")*ISNUMBER(SEARCH($AR$6:$AY$6,$AK41)))&gt;0),IF(COUNTIF($AR$9:$AY$9,7)=0,TRUE,SUMPRODUCT(($AR$9:$AY$9=7)*($AR$6:$AY$6&lt;&gt;"")*ISNUMBER(SEARCH($AR$6:$AY$6,$AK41)))&gt;0),IF(COUNTIF($AR$9:$AY$9,8)=0,TRUE,SUMPRODUCT(($AR$9:$AY$9=8)*($AR$6:$AY$6&lt;&gt;"")*ISNUMBER(SEARCH($AR$6:$AY$6,$AK41)))&gt;0)),1,0)))</f>
        <v/>
      </c>
      <c r="AN41">
        <f>IF($AP41="","",IF(OR($AN$2="W",$AN$2="Z",$AN$2="AC",$AN$2="AH"),IF(ISNUMBER($AP41),$AP41,IFERROR(DATE(VALUE(RIGHT($AP41,4)),VALUE(MID($AP41,4,2)),VALUE(LEFT($AP41,2))),$AP41)),$AP41))</f>
        <v/>
      </c>
      <c r="AP41">
        <f>IFERROR(IF($AN$2="","",IF($AN$2="A",$BC41,CHOOSE(MATCH($AN$2,{"B","C","D","E","F","G","H","I","J","K","L","M","N","O","P","Q","R","S","T","U","V","W","X","Y","Z","AA","AB","AC","AD","AE","AF","AG","AH","AI"},0),'Final Calculation Sheet'!$F$40,'Final Calculation Sheet'!$G$40,'Final Calculation Sheet'!$B$40,'Final Calculation Sheet'!$D$40,'Final Calculation Sheet'!$A$40,'Final Calculation Sheet'!$E$40,'Final Calculation Sheet'!$C$40,'Final Calculation Sheet'!$H$40,'Final Calculation Sheet'!$I$40,'Final Calculation Sheet'!$J$40,'Final Calculation Sheet'!$K$40,'Final Calculation Sheet'!$L$40,'Final Calculation Sheet'!$M$40,'Final Calculation Sheet'!$N$40,'Final Calculation Sheet'!$O$40,'Final Calculation Sheet'!$P$40,'Final Calculation Sheet'!$Q$40,'Final Calculation Sheet'!$R$40,'Final Calculation Sheet'!$S$40,'Final Calculation Sheet'!$T$40,'Final Calculation Sheet'!$U$40,'Final Calculation Sheet'!$V$40,'Final Calculation Sheet'!$W$40,'Final Calculation Sheet'!$X$40,'Final Calculation Sheet'!$Y$40,'Final Calculation Sheet'!$Z$40,'Final Calculation Sheet'!$AA$40,'Final Calculation Sheet'!$AB$40,'Final Calculation Sheet'!$AC$40,'Final Calculation Sheet'!$AD$40,'Final Calculation Sheet'!$AE$40,'Final Calculation Sheet'!$AF$40,'Final Calculation Sheet'!$AG$40,IF('Final Calculation Sheet'!$AD$40="","",IF('Final Calculation Sheet'!$AD$40&lt;=0,"SETTLED","OUTSTANDING"))))),"")</f>
        <v/>
      </c>
      <c r="AZ41">
        <f>IF($B$3="",IF(COUNTIF($A$4:$AI$4,"&lt;&gt;")=0,9,IF($AM41=1,9,10)),IF($AM41=0,10,IF(AND($AR$6&lt;&gt;"",ISNUMBER(SEARCH($AR$6,$AK41))),1,IF(AND($AS$6&lt;&gt;"",ISNUMBER(SEARCH($AS$6,$AK41))),2,IF(AND($AT$6&lt;&gt;"",ISNUMBER(SEARCH($AT$6,$AK41))),3,IF(AND($AU$6&lt;&gt;"",ISNUMBER(SEARCH($AU$6,$AK41))),4,IF(AND($AV$6&lt;&gt;"",ISNUMBER(SEARCH($AV$6,$AK41))),5,IF(AND($AW$6&lt;&gt;"",ISNUMBER(SEARCH($AW$6,$AK41))),6,IF(AND($AX$6&lt;&gt;"",ISNUMBER(SEARCH($AX$6,$AK41))),7,IF(AND($AY$6&lt;&gt;"",ISNUMBER(SEARCH($AY$6,$AK41))),8,0))))))))))</f>
        <v/>
      </c>
      <c r="BA41">
        <f>IF($AN$2="",SUMPRODUCT(($AZ$5:$AZ$41=$AZ41)*($BC$5:$BC$41&lt;$BC41))+1,IF($AN41="",SUMPRODUCT(($AZ$5:$AZ$41=$AZ41)*($AN$5:$AN$41&lt;&gt;""))+SUMPRODUCT(($AZ$5:$AZ$41=$AZ41)*($AN$5:$AN$41="")*($BC$5:$BC$41&lt;$BC41))+1,IF($AL$2="▼ Descending",SUMPRODUCT(($AZ$5:$AZ$41=$AZ41)*($AN$5:$AN$41&gt;$AN41)*($AN$5:$AN$41&lt;&gt;""))+SUMPRODUCT(($AZ$5:$AZ$41=$AZ41)*($AN$5:$AN$41=$AN41)*($BC$5:$BC$41&lt;$BC41))+1,SUMPRODUCT(($AZ$5:$AZ$41=$AZ41)*($AN$5:$AN$41&lt;$AN41)*($AN$5:$AN$41&lt;&gt;""))+SUMPRODUCT(($AZ$5:$AZ$41=$AZ41)*($AN$5:$AN$41=$AN41)*($BC$5:$BC$41&lt;$BC41))+1)))</f>
        <v/>
      </c>
      <c r="BB41">
        <f>IF(INDEX($BF$4:$BF$13,$AZ41)=0,0,INDEX($BE$4:$BE$13,$AZ41)+$BA41-1)</f>
        <v/>
      </c>
      <c r="BC41" t="n">
        <v>40</v>
      </c>
      <c r="BH41">
        <f>IFERROR(MATCH(41,$BF$4:$BF$13,0),0)</f>
        <v/>
      </c>
      <c r="BI41">
        <f>IF(41=$BG$5,1,0)</f>
        <v/>
      </c>
      <c r="BJ41">
        <f>IF(OR($BH41&gt;0,$BI41=1,$BL41=1),0,IFERROR(INDEX($BC$5:$BC$41,MATCH(41,$BB$5:$BB$41,0)),0))</f>
        <v/>
      </c>
      <c r="BK41">
        <f>IF($BJ41&gt;0,IF(INDEX($AZ$5:$AZ$41,MATCH(41,$BB$5:$BB$41,0))=10,1,0),IF($BH41=10,1,0))</f>
        <v/>
      </c>
      <c r="BL41">
        <f>IF(41=$BG$4,1,0)</f>
        <v/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/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/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/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/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/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/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/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/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/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/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/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/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/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/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/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/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/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/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/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/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/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/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/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/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/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/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/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/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/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/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/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/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/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/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/>
      </c>
    </row>
    <row r="42" ht="15" customHeight="1" s="77">
      <c r="A42" s="67">
        <f>IF($BJ41&gt;0,INDEX($BA$5:$BA$41,MATCH(41,$BB$5:$BB$41,0)),IF(OR($BI41=1,$BL41=1,$BH41&gt;0),"∑",""))</f>
        <v/>
      </c>
      <c r="B42" s="68">
        <f>IF($BJ41&gt;0,IF(INDEX('Final Calculation Sheet'!$F$4:$F$40,$BJ41-3)="","",INDEX('Final Calculation Sheet'!$F$4:$F$40,$BJ41-3)),"")</f>
        <v/>
      </c>
      <c r="C42" s="68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/>
      </c>
      <c r="D42" s="69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/>
      </c>
      <c r="E42" s="69">
        <f>IF($BJ41&gt;0,IF(INDEX('Final Calculation Sheet'!$D$4:$D$40,$BJ41-3)="","",INDEX('Final Calculation Sheet'!$D$4:$D$40,$BJ41-3)),IF(OR($BI41=1,$BL41=1,$BH41&gt;0),"–",""))</f>
        <v/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/>
      </c>
      <c r="G42" s="69">
        <f>IF($BJ41&gt;0,IF(INDEX('Final Calculation Sheet'!$E$4:$E$40,$BJ41-3)="","",INDEX('Final Calculation Sheet'!$E$4:$E$40,$BJ41-3)),IF(OR($BI41=1,$BL41=1,$BH41&gt;0),"–",""))</f>
        <v/>
      </c>
      <c r="H42" s="70">
        <f>IF($BJ41&gt;0,IF(INDEX('Final Calculation Sheet'!$C$4:$C$40,$BJ41-3)="","",INDEX('Final Calculation Sheet'!$C$4:$C$40,$BJ41-3)),IF(OR($BI41=1,$BL41=1,$BH41&gt;0),"–",""))</f>
        <v/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/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/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/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/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/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/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/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/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/>
      </c>
      <c r="R42" s="72">
        <f>IF($BJ41&gt;0,IF(INDEX('Final Calculation Sheet'!$Q$4:$Q$40,$BJ41-3)="","",INDEX('Final Calculation Sheet'!$Q$4:$Q$40,$BJ41-3)),IF(OR($BI41=1,$BL41=1,$BH41&gt;0),"–",""))</f>
        <v/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/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/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/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/>
      </c>
      <c r="W42" s="70">
        <f>IF($BJ41&gt;0,IF(INDEX('Final Calculation Sheet'!$V$4:$V$40,$BJ41-3)="","",INDEX('Final Calculation Sheet'!$V$4:$V$40,$BJ41-3)),IF(OR($BI41=1,$BL41=1,$BH41&gt;0),"–",""))</f>
        <v/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/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/>
      </c>
      <c r="Z42" s="70">
        <f>IF($BJ41&gt;0,IF(INDEX('Final Calculation Sheet'!$Y$4:$Y$40,$BJ41-3)="","",INDEX('Final Calculation Sheet'!$Y$4:$Y$40,$BJ41-3)),IF(OR($BI41=1,$BL41=1,$BH41&gt;0),"–",""))</f>
        <v/>
      </c>
      <c r="AA42" s="70">
        <f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/>
      </c>
      <c r="AB42" s="70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/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/>
      </c>
      <c r="AF42" s="70">
        <f>IF($BJ41&gt;0,IF(INDEX('Final Calculation Sheet'!$AE$4:$AE$40,$BJ41-3)="","",INDEX('Final Calculation Sheet'!$AE$4:$AE$40,$BJ41-3)),IF(OR($BI41=1,$BL41=1,$BH41&gt;0),"–",""))</f>
        <v/>
      </c>
      <c r="AG42" s="74">
        <f>IF($BJ41&gt;0,IF(INDEX('Final Calculation Sheet'!$AF$4:$AF$40,$BJ41-3)="","",INDEX('Final Calculation Sheet'!$AF$4:$AF$40,$BJ41-3)),IF(OR($BI41=1,$BL41=1,$BH41&gt;0),"–",""))</f>
        <v/>
      </c>
      <c r="AH42" s="70">
        <f>IF($BJ41&gt;0,IF(INDEX('Final Calculation Sheet'!$AG$4:$AG$40,$BJ41-3)="","",INDEX('Final Calculation Sheet'!$AG$4:$AG$40,$BJ41-3)),IF(OR($BI41=1,$BL41=1,$BH41&gt;0),"–",""))</f>
        <v/>
      </c>
      <c r="AI42" s="75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/>
      </c>
      <c r="BH42">
        <f>IFERROR(MATCH(42,$BF$4:$BF$13,0),0)</f>
        <v/>
      </c>
      <c r="BI42">
        <f>IF(42=$BG$5,1,0)</f>
        <v/>
      </c>
      <c r="BJ42">
        <f>IF(OR($BH42&gt;0,$BI42=1,$BL42=1),0,IFERROR(INDEX($BC$5:$BC$41,MATCH(42,$BB$5:$BB$41,0)),0))</f>
        <v/>
      </c>
      <c r="BK42">
        <f>IF($BJ42&gt;0,IF(INDEX($AZ$5:$AZ$41,MATCH(42,$BB$5:$BB$41,0))=10,1,0),IF($BH42=10,1,0))</f>
        <v/>
      </c>
      <c r="BL42">
        <f>IF(42=$BG$4,1,0)</f>
        <v/>
      </c>
    </row>
    <row r="43" ht="15" customHeight="1" s="77">
      <c r="A43" s="67">
        <f>IF($BJ42&gt;0,INDEX($BA$5:$BA$41,MATCH(42,$BB$5:$BB$41,0)),IF(OR($BI42=1,$BL42=1,$BH42&gt;0),"∑",""))</f>
        <v/>
      </c>
      <c r="B43" s="68">
        <f>IF($BJ42&gt;0,IF(INDEX('Final Calculation Sheet'!$F$4:$F$40,$BJ42-3)="","",INDEX('Final Calculation Sheet'!$F$4:$F$40,$BJ42-3)),"")</f>
        <v/>
      </c>
      <c r="C43" s="68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/>
      </c>
      <c r="D43" s="69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/>
      </c>
      <c r="E43" s="69">
        <f>IF($BJ42&gt;0,IF(INDEX('Final Calculation Sheet'!$D$4:$D$40,$BJ42-3)="","",INDEX('Final Calculation Sheet'!$D$4:$D$40,$BJ42-3)),IF(OR($BI42=1,$BL42=1,$BH42&gt;0),"–",""))</f>
        <v/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/>
      </c>
      <c r="G43" s="69">
        <f>IF($BJ42&gt;0,IF(INDEX('Final Calculation Sheet'!$E$4:$E$40,$BJ42-3)="","",INDEX('Final Calculation Sheet'!$E$4:$E$40,$BJ42-3)),IF(OR($BI42=1,$BL42=1,$BH42&gt;0),"–",""))</f>
        <v/>
      </c>
      <c r="H43" s="70">
        <f>IF($BJ42&gt;0,IF(INDEX('Final Calculation Sheet'!$C$4:$C$40,$BJ42-3)="","",INDEX('Final Calculation Sheet'!$C$4:$C$40,$BJ42-3)),IF(OR($BI42=1,$BL42=1,$BH42&gt;0),"–",""))</f>
        <v/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/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/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/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/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/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/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/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/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/>
      </c>
      <c r="R43" s="72">
        <f>IF($BJ42&gt;0,IF(INDEX('Final Calculation Sheet'!$Q$4:$Q$40,$BJ42-3)="","",INDEX('Final Calculation Sheet'!$Q$4:$Q$40,$BJ42-3)),IF(OR($BI42=1,$BL42=1,$BH42&gt;0),"–",""))</f>
        <v/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/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/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/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/>
      </c>
      <c r="W43" s="70">
        <f>IF($BJ42&gt;0,IF(INDEX('Final Calculation Sheet'!$V$4:$V$40,$BJ42-3)="","",INDEX('Final Calculation Sheet'!$V$4:$V$40,$BJ42-3)),IF(OR($BI42=1,$BL42=1,$BH42&gt;0),"–",""))</f>
        <v/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/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/>
      </c>
      <c r="Z43" s="70">
        <f>IF($BJ42&gt;0,IF(INDEX('Final Calculation Sheet'!$Y$4:$Y$40,$BJ42-3)="","",INDEX('Final Calculation Sheet'!$Y$4:$Y$40,$BJ42-3)),IF(OR($BI42=1,$BL42=1,$BH42&gt;0),"–",""))</f>
        <v/>
      </c>
      <c r="AA43" s="70">
        <f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/>
      </c>
      <c r="AB43" s="70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/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/>
      </c>
      <c r="AF43" s="70">
        <f>IF($BJ42&gt;0,IF(INDEX('Final Calculation Sheet'!$AE$4:$AE$40,$BJ42-3)="","",INDEX('Final Calculation Sheet'!$AE$4:$AE$40,$BJ42-3)),IF(OR($BI42=1,$BL42=1,$BH42&gt;0),"–",""))</f>
        <v/>
      </c>
      <c r="AG43" s="74">
        <f>IF($BJ42&gt;0,IF(INDEX('Final Calculation Sheet'!$AF$4:$AF$40,$BJ42-3)="","",INDEX('Final Calculation Sheet'!$AF$4:$AF$40,$BJ42-3)),IF(OR($BI42=1,$BL42=1,$BH42&gt;0),"–",""))</f>
        <v/>
      </c>
      <c r="AH43" s="70">
        <f>IF($BJ42&gt;0,IF(INDEX('Final Calculation Sheet'!$AG$4:$AG$40,$BJ42-3)="","",INDEX('Final Calculation Sheet'!$AG$4:$AG$40,$BJ42-3)),IF(OR($BI42=1,$BL42=1,$BH42&gt;0),"–",""))</f>
        <v/>
      </c>
      <c r="AI43" s="75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/>
      </c>
      <c r="BH43">
        <f>IFERROR(MATCH(43,$BF$4:$BF$13,0),0)</f>
        <v/>
      </c>
      <c r="BI43">
        <f>IF(43=$BG$5,1,0)</f>
        <v/>
      </c>
      <c r="BJ43">
        <f>IF(OR($BH43&gt;0,$BI43=1,$BL43=1),0,IFERROR(INDEX($BC$5:$BC$41,MATCH(43,$BB$5:$BB$41,0)),0))</f>
        <v/>
      </c>
      <c r="BK43">
        <f>IF($BJ43&gt;0,IF(INDEX($AZ$5:$AZ$41,MATCH(43,$BB$5:$BB$41,0))=10,1,0),IF($BH43=10,1,0))</f>
        <v/>
      </c>
      <c r="BL43">
        <f>IF(43=$BG$4,1,0)</f>
        <v/>
      </c>
    </row>
    <row r="44" ht="15" customHeight="1" s="77">
      <c r="A44" s="67">
        <f>IF($BJ43&gt;0,INDEX($BA$5:$BA$41,MATCH(43,$BB$5:$BB$41,0)),IF(OR($BI43=1,$BL43=1,$BH43&gt;0),"∑",""))</f>
        <v/>
      </c>
      <c r="B44" s="68">
        <f>IF($BJ43&gt;0,IF(INDEX('Final Calculation Sheet'!$F$4:$F$40,$BJ43-3)="","",INDEX('Final Calculation Sheet'!$F$4:$F$40,$BJ43-3)),"")</f>
        <v/>
      </c>
      <c r="C44" s="68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/>
      </c>
      <c r="D44" s="69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/>
      </c>
      <c r="E44" s="69">
        <f>IF($BJ43&gt;0,IF(INDEX('Final Calculation Sheet'!$D$4:$D$40,$BJ43-3)="","",INDEX('Final Calculation Sheet'!$D$4:$D$40,$BJ43-3)),IF(OR($BI43=1,$BL43=1,$BH43&gt;0),"–",""))</f>
        <v/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/>
      </c>
      <c r="G44" s="69">
        <f>IF($BJ43&gt;0,IF(INDEX('Final Calculation Sheet'!$E$4:$E$40,$BJ43-3)="","",INDEX('Final Calculation Sheet'!$E$4:$E$40,$BJ43-3)),IF(OR($BI43=1,$BL43=1,$BH43&gt;0),"–",""))</f>
        <v/>
      </c>
      <c r="H44" s="70">
        <f>IF($BJ43&gt;0,IF(INDEX('Final Calculation Sheet'!$C$4:$C$40,$BJ43-3)="","",INDEX('Final Calculation Sheet'!$C$4:$C$40,$BJ43-3)),IF(OR($BI43=1,$BL43=1,$BH43&gt;0),"–",""))</f>
        <v/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/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/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/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/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/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/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/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/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/>
      </c>
      <c r="R44" s="72">
        <f>IF($BJ43&gt;0,IF(INDEX('Final Calculation Sheet'!$Q$4:$Q$40,$BJ43-3)="","",INDEX('Final Calculation Sheet'!$Q$4:$Q$40,$BJ43-3)),IF(OR($BI43=1,$BL43=1,$BH43&gt;0),"–",""))</f>
        <v/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/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/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/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/>
      </c>
      <c r="W44" s="70">
        <f>IF($BJ43&gt;0,IF(INDEX('Final Calculation Sheet'!$V$4:$V$40,$BJ43-3)="","",INDEX('Final Calculation Sheet'!$V$4:$V$40,$BJ43-3)),IF(OR($BI43=1,$BL43=1,$BH43&gt;0),"–",""))</f>
        <v/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/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/>
      </c>
      <c r="Z44" s="70">
        <f>IF($BJ43&gt;0,IF(INDEX('Final Calculation Sheet'!$Y$4:$Y$40,$BJ43-3)="","",INDEX('Final Calculation Sheet'!$Y$4:$Y$40,$BJ43-3)),IF(OR($BI43=1,$BL43=1,$BH43&gt;0),"–",""))</f>
        <v/>
      </c>
      <c r="AA44" s="70">
        <f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/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/>
      </c>
      <c r="AC44" s="70">
        <f>IF($BJ43&gt;0,IF(INDEX('Final Calculation Sheet'!$AB$4:$AB$40,$BJ43-3)="","",INDEX('Final Calculation Sheet'!$AB$4:$AB$40,$BJ43-3)),IF(OR($BI43=1,$BL43=1,$BH43&gt;0),"–",""))</f>
        <v/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/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/>
      </c>
      <c r="AF44" s="70">
        <f>IF($BJ43&gt;0,IF(INDEX('Final Calculation Sheet'!$AE$4:$AE$40,$BJ43-3)="","",INDEX('Final Calculation Sheet'!$AE$4:$AE$40,$BJ43-3)),IF(OR($BI43=1,$BL43=1,$BH43&gt;0),"–",""))</f>
        <v/>
      </c>
      <c r="AG44" s="74">
        <f>IF($BJ43&gt;0,IF(INDEX('Final Calculation Sheet'!$AF$4:$AF$40,$BJ43-3)="","",INDEX('Final Calculation Sheet'!$AF$4:$AF$40,$BJ43-3)),IF(OR($BI43=1,$BL43=1,$BH43&gt;0),"–",""))</f>
        <v/>
      </c>
      <c r="AH44" s="70">
        <f>IF($BJ43&gt;0,IF(INDEX('Final Calculation Sheet'!$AG$4:$AG$40,$BJ43-3)="","",INDEX('Final Calculation Sheet'!$AG$4:$AG$40,$BJ43-3)),IF(OR($BI43=1,$BL43=1,$BH43&gt;0),"–",""))</f>
        <v/>
      </c>
      <c r="AI44" s="75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/>
      </c>
      <c r="BH44">
        <f>IFERROR(MATCH(44,$BF$4:$BF$13,0),0)</f>
        <v/>
      </c>
      <c r="BI44">
        <f>IF(44=$BG$5,1,0)</f>
        <v/>
      </c>
      <c r="BJ44">
        <f>IF(OR($BH44&gt;0,$BI44=1,$BL44=1),0,IFERROR(INDEX($BC$5:$BC$41,MATCH(44,$BB$5:$BB$41,0)),0))</f>
        <v/>
      </c>
      <c r="BK44">
        <f>IF($BJ44&gt;0,IF(INDEX($AZ$5:$AZ$41,MATCH(44,$BB$5:$BB$41,0))=10,1,0),IF($BH44=10,1,0))</f>
        <v/>
      </c>
      <c r="BL44">
        <f>IF(44=$BG$4,1,0)</f>
        <v/>
      </c>
    </row>
    <row r="45" ht="15" customHeight="1" s="77">
      <c r="A45" s="67">
        <f>IF($BJ44&gt;0,INDEX($BA$5:$BA$41,MATCH(44,$BB$5:$BB$41,0)),IF(OR($BI44=1,$BL44=1,$BH44&gt;0),"∑",""))</f>
        <v/>
      </c>
      <c r="B45" s="68">
        <f>IF($BJ44&gt;0,IF(INDEX('Final Calculation Sheet'!$F$4:$F$40,$BJ44-3)="","",INDEX('Final Calculation Sheet'!$F$4:$F$40,$BJ44-3)),"")</f>
        <v/>
      </c>
      <c r="C45" s="68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/>
      </c>
      <c r="D45" s="69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/>
      </c>
      <c r="E45" s="69">
        <f>IF($BJ44&gt;0,IF(INDEX('Final Calculation Sheet'!$D$4:$D$40,$BJ44-3)="","",INDEX('Final Calculation Sheet'!$D$4:$D$40,$BJ44-3)),IF(OR($BI44=1,$BL44=1,$BH44&gt;0),"–",""))</f>
        <v/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/>
      </c>
      <c r="G45" s="69">
        <f>IF($BJ44&gt;0,IF(INDEX('Final Calculation Sheet'!$E$4:$E$40,$BJ44-3)="","",INDEX('Final Calculation Sheet'!$E$4:$E$40,$BJ44-3)),IF(OR($BI44=1,$BL44=1,$BH44&gt;0),"–",""))</f>
        <v/>
      </c>
      <c r="H45" s="70">
        <f>IF($BJ44&gt;0,IF(INDEX('Final Calculation Sheet'!$C$4:$C$40,$BJ44-3)="","",INDEX('Final Calculation Sheet'!$C$4:$C$40,$BJ44-3)),IF(OR($BI44=1,$BL44=1,$BH44&gt;0),"–",""))</f>
        <v/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/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/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/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/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/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/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/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/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/>
      </c>
      <c r="R45" s="72">
        <f>IF($BJ44&gt;0,IF(INDEX('Final Calculation Sheet'!$Q$4:$Q$40,$BJ44-3)="","",INDEX('Final Calculation Sheet'!$Q$4:$Q$40,$BJ44-3)),IF(OR($BI44=1,$BL44=1,$BH44&gt;0),"–",""))</f>
        <v/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/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/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/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/>
      </c>
      <c r="W45" s="70">
        <f>IF($BJ44&gt;0,IF(INDEX('Final Calculation Sheet'!$V$4:$V$40,$BJ44-3)="","",INDEX('Final Calculation Sheet'!$V$4:$V$40,$BJ44-3)),IF(OR($BI44=1,$BL44=1,$BH44&gt;0),"–",""))</f>
        <v/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/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/>
      </c>
      <c r="Z45" s="70">
        <f>IF($BJ44&gt;0,IF(INDEX('Final Calculation Sheet'!$Y$4:$Y$40,$BJ44-3)="","",INDEX('Final Calculation Sheet'!$Y$4:$Y$40,$BJ44-3)),IF(OR($BI44=1,$BL44=1,$BH44&gt;0),"–",""))</f>
        <v/>
      </c>
      <c r="AA45" s="70">
        <f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/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/>
      </c>
      <c r="AC45" s="70">
        <f>IF($BJ44&gt;0,IF(INDEX('Final Calculation Sheet'!$AB$4:$AB$40,$BJ44-3)="","",INDEX('Final Calculation Sheet'!$AB$4:$AB$40,$BJ44-3)),IF(OR($BI44=1,$BL44=1,$BH44&gt;0),"–",""))</f>
        <v/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/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/>
      </c>
      <c r="AF45" s="70">
        <f>IF($BJ44&gt;0,IF(INDEX('Final Calculation Sheet'!$AE$4:$AE$40,$BJ44-3)="","",INDEX('Final Calculation Sheet'!$AE$4:$AE$40,$BJ44-3)),IF(OR($BI44=1,$BL44=1,$BH44&gt;0),"–",""))</f>
        <v/>
      </c>
      <c r="AG45" s="74">
        <f>IF($BJ44&gt;0,IF(INDEX('Final Calculation Sheet'!$AF$4:$AF$40,$BJ44-3)="","",INDEX('Final Calculation Sheet'!$AF$4:$AF$40,$BJ44-3)),IF(OR($BI44=1,$BL44=1,$BH44&gt;0),"–",""))</f>
        <v/>
      </c>
      <c r="AH45" s="70">
        <f>IF($BJ44&gt;0,IF(INDEX('Final Calculation Sheet'!$AG$4:$AG$40,$BJ44-3)="","",INDEX('Final Calculation Sheet'!$AG$4:$AG$40,$BJ44-3)),IF(OR($BI44=1,$BL44=1,$BH44&gt;0),"–",""))</f>
        <v/>
      </c>
      <c r="AI45" s="75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/>
      </c>
      <c r="BH45">
        <f>IFERROR(MATCH(45,$BF$4:$BF$13,0),0)</f>
        <v/>
      </c>
      <c r="BI45">
        <f>IF(45=$BG$5,1,0)</f>
        <v/>
      </c>
      <c r="BJ45">
        <f>IF(OR($BH45&gt;0,$BI45=1,$BL45=1),0,IFERROR(INDEX($BC$5:$BC$41,MATCH(45,$BB$5:$BB$41,0)),0))</f>
        <v/>
      </c>
      <c r="BK45">
        <f>IF($BJ45&gt;0,IF(INDEX($AZ$5:$AZ$41,MATCH(45,$BB$5:$BB$41,0))=10,1,0),IF($BH45=10,1,0))</f>
        <v/>
      </c>
      <c r="BL45">
        <f>IF(45=$BG$4,1,0)</f>
        <v/>
      </c>
    </row>
    <row r="46" ht="15" customHeight="1" s="77">
      <c r="A46" s="67">
        <f>IF($BJ45&gt;0,INDEX($BA$5:$BA$41,MATCH(45,$BB$5:$BB$41,0)),IF(OR($BI45=1,$BL45=1,$BH45&gt;0),"∑",""))</f>
        <v/>
      </c>
      <c r="B46" s="68">
        <f>IF($BJ45&gt;0,IF(INDEX('Final Calculation Sheet'!$F$4:$F$40,$BJ45-3)="","",INDEX('Final Calculation Sheet'!$F$4:$F$40,$BJ45-3)),"")</f>
        <v/>
      </c>
      <c r="C46" s="68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/>
      </c>
      <c r="D46" s="69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/>
      </c>
      <c r="E46" s="69">
        <f>IF($BJ45&gt;0,IF(INDEX('Final Calculation Sheet'!$D$4:$D$40,$BJ45-3)="","",INDEX('Final Calculation Sheet'!$D$4:$D$40,$BJ45-3)),IF(OR($BI45=1,$BL45=1,$BH45&gt;0),"–",""))</f>
        <v/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/>
      </c>
      <c r="G46" s="69">
        <f>IF($BJ45&gt;0,IF(INDEX('Final Calculation Sheet'!$E$4:$E$40,$BJ45-3)="","",INDEX('Final Calculation Sheet'!$E$4:$E$40,$BJ45-3)),IF(OR($BI45=1,$BL45=1,$BH45&gt;0),"–",""))</f>
        <v/>
      </c>
      <c r="H46" s="70">
        <f>IF($BJ45&gt;0,IF(INDEX('Final Calculation Sheet'!$C$4:$C$40,$BJ45-3)="","",INDEX('Final Calculation Sheet'!$C$4:$C$40,$BJ45-3)),IF(OR($BI45=1,$BL45=1,$BH45&gt;0),"–",""))</f>
        <v/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/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/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/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/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/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/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/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/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/>
      </c>
      <c r="R46" s="72">
        <f>IF($BJ45&gt;0,IF(INDEX('Final Calculation Sheet'!$Q$4:$Q$40,$BJ45-3)="","",INDEX('Final Calculation Sheet'!$Q$4:$Q$40,$BJ45-3)),IF(OR($BI45=1,$BL45=1,$BH45&gt;0),"–",""))</f>
        <v/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/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/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/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/>
      </c>
      <c r="W46" s="70">
        <f>IF($BJ45&gt;0,IF(INDEX('Final Calculation Sheet'!$V$4:$V$40,$BJ45-3)="","",INDEX('Final Calculation Sheet'!$V$4:$V$40,$BJ45-3)),IF(OR($BI45=1,$BL45=1,$BH45&gt;0),"–",""))</f>
        <v/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/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/>
      </c>
      <c r="Z46" s="70">
        <f>IF($BJ45&gt;0,IF(INDEX('Final Calculation Sheet'!$Y$4:$Y$40,$BJ45-3)="","",INDEX('Final Calculation Sheet'!$Y$4:$Y$40,$BJ45-3)),IF(OR($BI45=1,$BL45=1,$BH45&gt;0),"–",""))</f>
        <v/>
      </c>
      <c r="AA46" s="70">
        <f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/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/>
      </c>
      <c r="AC46" s="70">
        <f>IF($BJ45&gt;0,IF(INDEX('Final Calculation Sheet'!$AB$4:$AB$40,$BJ45-3)="","",INDEX('Final Calculation Sheet'!$AB$4:$AB$40,$BJ45-3)),IF(OR($BI45=1,$BL45=1,$BH45&gt;0),"–",""))</f>
        <v/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/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/>
      </c>
      <c r="AF46" s="70">
        <f>IF($BJ45&gt;0,IF(INDEX('Final Calculation Sheet'!$AE$4:$AE$40,$BJ45-3)="","",INDEX('Final Calculation Sheet'!$AE$4:$AE$40,$BJ45-3)),IF(OR($BI45=1,$BL45=1,$BH45&gt;0),"–",""))</f>
        <v/>
      </c>
      <c r="AG46" s="74">
        <f>IF($BJ45&gt;0,IF(INDEX('Final Calculation Sheet'!$AF$4:$AF$40,$BJ45-3)="","",INDEX('Final Calculation Sheet'!$AF$4:$AF$40,$BJ45-3)),IF(OR($BI45=1,$BL45=1,$BH45&gt;0),"–",""))</f>
        <v/>
      </c>
      <c r="AH46" s="70">
        <f>IF($BJ45&gt;0,IF(INDEX('Final Calculation Sheet'!$AG$4:$AG$40,$BJ45-3)="","",INDEX('Final Calculation Sheet'!$AG$4:$AG$40,$BJ45-3)),IF(OR($BI45=1,$BL45=1,$BH45&gt;0),"–",""))</f>
        <v/>
      </c>
      <c r="AI46" s="75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/>
      </c>
      <c r="BH46">
        <f>IFERROR(MATCH(46,$BF$4:$BF$13,0),0)</f>
        <v/>
      </c>
      <c r="BI46">
        <f>IF(46=$BG$5,1,0)</f>
        <v/>
      </c>
      <c r="BJ46">
        <f>IF(OR($BH46&gt;0,$BI46=1,$BL46=1),0,IFERROR(INDEX($BC$5:$BC$41,MATCH(46,$BB$5:$BB$41,0)),0))</f>
        <v/>
      </c>
      <c r="BK46">
        <f>IF($BJ46&gt;0,IF(INDEX($AZ$5:$AZ$41,MATCH(46,$BB$5:$BB$41,0))=10,1,0),IF($BH46=10,1,0))</f>
        <v/>
      </c>
      <c r="BL46">
        <f>IF(46=$BG$4,1,0)</f>
        <v/>
      </c>
    </row>
    <row r="47" ht="15" customHeight="1" s="77">
      <c r="A47" s="67">
        <f>IF($BJ46&gt;0,INDEX($BA$5:$BA$41,MATCH(46,$BB$5:$BB$41,0)),IF(OR($BI46=1,$BL46=1,$BH46&gt;0),"∑",""))</f>
        <v/>
      </c>
      <c r="B47" s="68">
        <f>IF($BJ46&gt;0,IF(INDEX('Final Calculation Sheet'!$F$4:$F$40,$BJ46-3)="","",INDEX('Final Calculation Sheet'!$F$4:$F$40,$BJ46-3)),"")</f>
        <v/>
      </c>
      <c r="C47" s="68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/>
      </c>
      <c r="D47" s="69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/>
      </c>
      <c r="E47" s="69">
        <f>IF($BJ46&gt;0,IF(INDEX('Final Calculation Sheet'!$D$4:$D$40,$BJ46-3)="","",INDEX('Final Calculation Sheet'!$D$4:$D$40,$BJ46-3)),IF(OR($BI46=1,$BL46=1,$BH46&gt;0),"–",""))</f>
        <v/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/>
      </c>
      <c r="G47" s="69">
        <f>IF($BJ46&gt;0,IF(INDEX('Final Calculation Sheet'!$E$4:$E$40,$BJ46-3)="","",INDEX('Final Calculation Sheet'!$E$4:$E$40,$BJ46-3)),IF(OR($BI46=1,$BL46=1,$BH46&gt;0),"–",""))</f>
        <v/>
      </c>
      <c r="H47" s="70">
        <f>IF($BJ46&gt;0,IF(INDEX('Final Calculation Sheet'!$C$4:$C$40,$BJ46-3)="","",INDEX('Final Calculation Sheet'!$C$4:$C$40,$BJ46-3)),IF(OR($BI46=1,$BL46=1,$BH46&gt;0),"–",""))</f>
        <v/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/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/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/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/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/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/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/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/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/>
      </c>
      <c r="R47" s="72">
        <f>IF($BJ46&gt;0,IF(INDEX('Final Calculation Sheet'!$Q$4:$Q$40,$BJ46-3)="","",INDEX('Final Calculation Sheet'!$Q$4:$Q$40,$BJ46-3)),IF(OR($BI46=1,$BL46=1,$BH46&gt;0),"–",""))</f>
        <v/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/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/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/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/>
      </c>
      <c r="W47" s="70">
        <f>IF($BJ46&gt;0,IF(INDEX('Final Calculation Sheet'!$V$4:$V$40,$BJ46-3)="","",INDEX('Final Calculation Sheet'!$V$4:$V$40,$BJ46-3)),IF(OR($BI46=1,$BL46=1,$BH46&gt;0),"–",""))</f>
        <v/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/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/>
      </c>
      <c r="Z47" s="70">
        <f>IF($BJ46&gt;0,IF(INDEX('Final Calculation Sheet'!$Y$4:$Y$40,$BJ46-3)="","",INDEX('Final Calculation Sheet'!$Y$4:$Y$40,$BJ46-3)),IF(OR($BI46=1,$BL46=1,$BH46&gt;0),"–",""))</f>
        <v/>
      </c>
      <c r="AA47" s="70">
        <f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/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/>
      </c>
      <c r="AC47" s="70">
        <f>IF($BJ46&gt;0,IF(INDEX('Final Calculation Sheet'!$AB$4:$AB$40,$BJ46-3)="","",INDEX('Final Calculation Sheet'!$AB$4:$AB$40,$BJ46-3)),IF(OR($BI46=1,$BL46=1,$BH46&gt;0),"–",""))</f>
        <v/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/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/>
      </c>
      <c r="AF47" s="70">
        <f>IF($BJ46&gt;0,IF(INDEX('Final Calculation Sheet'!$AE$4:$AE$40,$BJ46-3)="","",INDEX('Final Calculation Sheet'!$AE$4:$AE$40,$BJ46-3)),IF(OR($BI46=1,$BL46=1,$BH46&gt;0),"–",""))</f>
        <v/>
      </c>
      <c r="AG47" s="74">
        <f>IF($BJ46&gt;0,IF(INDEX('Final Calculation Sheet'!$AF$4:$AF$40,$BJ46-3)="","",INDEX('Final Calculation Sheet'!$AF$4:$AF$40,$BJ46-3)),IF(OR($BI46=1,$BL46=1,$BH46&gt;0),"–",""))</f>
        <v/>
      </c>
      <c r="AH47" s="70">
        <f>IF($BJ46&gt;0,IF(INDEX('Final Calculation Sheet'!$AG$4:$AG$40,$BJ46-3)="","",INDEX('Final Calculation Sheet'!$AG$4:$AG$40,$BJ46-3)),IF(OR($BI46=1,$BL46=1,$BH46&gt;0),"–",""))</f>
        <v/>
      </c>
      <c r="AI47" s="75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/>
      </c>
      <c r="BH47">
        <f>IFERROR(MATCH(47,$BF$4:$BF$13,0),0)</f>
        <v/>
      </c>
      <c r="BI47">
        <f>IF(47=$BG$5,1,0)</f>
        <v/>
      </c>
      <c r="BJ47">
        <f>IF(OR($BH47&gt;0,$BI47=1,$BL47=1),0,IFERROR(INDEX($BC$5:$BC$41,MATCH(47,$BB$5:$BB$41,0)),0))</f>
        <v/>
      </c>
      <c r="BK47">
        <f>IF($BJ47&gt;0,IF(INDEX($AZ$5:$AZ$41,MATCH(47,$BB$5:$BB$41,0))=10,1,0),IF($BH47=10,1,0))</f>
        <v/>
      </c>
      <c r="BL47">
        <f>IF(47=$BG$4,1,0)</f>
        <v/>
      </c>
    </row>
    <row r="48" ht="15" customHeight="1" s="77">
      <c r="A48" s="67">
        <f>IF($BJ47&gt;0,INDEX($BA$5:$BA$41,MATCH(47,$BB$5:$BB$41,0)),IF(OR($BI47=1,$BL47=1,$BH47&gt;0),"∑",""))</f>
        <v/>
      </c>
      <c r="B48" s="68">
        <f>IF($BJ47&gt;0,IF(INDEX('Final Calculation Sheet'!$F$4:$F$40,$BJ47-3)="","",INDEX('Final Calculation Sheet'!$F$4:$F$40,$BJ47-3)),"")</f>
        <v/>
      </c>
      <c r="C48" s="68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>
        <f>IF($BJ47&gt;0,IF(INDEX('Final Calculation Sheet'!$D$4:$D$40,$BJ47-3)="","",INDEX('Final Calculation Sheet'!$D$4:$D$40,$BJ47-3)),IF(OR($BI47=1,$BL47=1,$BH47&gt;0),"–",""))</f>
        <v/>
      </c>
      <c r="F48" s="69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>
        <f>IF($BJ47&gt;0,IF(INDEX('Final Calculation Sheet'!$E$4:$E$40,$BJ47-3)="","",INDEX('Final Calculation Sheet'!$E$4:$E$40,$BJ47-3)),IF(OR($BI47=1,$BL47=1,$BH47&gt;0),"–",""))</f>
        <v/>
      </c>
      <c r="H48" s="70">
        <f>IF($BJ47&gt;0,IF(INDEX('Final Calculation Sheet'!$C$4:$C$40,$BJ47-3)="","",INDEX('Final Calculation Sheet'!$C$4:$C$40,$BJ47-3)),IF(OR($BI47=1,$BL47=1,$BH47&gt;0),"–",""))</f>
        <v/>
      </c>
      <c r="I48" s="70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>
        <f>IF($BJ47&gt;0,IF(INDEX('Final Calculation Sheet'!$Q$4:$Q$40,$BJ47-3)="","",INDEX('Final Calculation Sheet'!$Q$4:$Q$40,$BJ47-3)),IF(OR($BI47=1,$BL47=1,$BH47&gt;0),"–",""))</f>
        <v/>
      </c>
      <c r="S48" s="70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>
        <f>IF($BJ47&gt;0,IF(INDEX('Final Calculation Sheet'!$V$4:$V$40,$BJ47-3)="","",INDEX('Final Calculation Sheet'!$V$4:$V$40,$BJ47-3)),IF(OR($BI47=1,$BL47=1,$BH47&gt;0),"–",""))</f>
        <v/>
      </c>
      <c r="X48" s="70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>
        <f>IF($BJ47&gt;0,IF(INDEX('Final Calculation Sheet'!$Y$4:$Y$40,$BJ47-3)="","",INDEX('Final Calculation Sheet'!$Y$4:$Y$40,$BJ47-3)),IF(OR($BI47=1,$BL47=1,$BH47&gt;0),"–",""))</f>
        <v/>
      </c>
      <c r="AA48" s="70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>
        <f>IF($BJ47&gt;0,IF(INDEX('Final Calculation Sheet'!$AB$4:$AB$40,$BJ47-3)="","",INDEX('Final Calculation Sheet'!$AB$4:$AB$40,$BJ47-3)),IF(OR($BI47=1,$BL47=1,$BH47&gt;0),"–",""))</f>
        <v/>
      </c>
      <c r="AD48" s="70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>
        <f>IF($BJ47&gt;0,IF(INDEX('Final Calculation Sheet'!$AE$4:$AE$40,$BJ47-3)="","",INDEX('Final Calculation Sheet'!$AE$4:$AE$40,$BJ47-3)),IF(OR($BI47=1,$BL47=1,$BH47&gt;0),"–",""))</f>
        <v/>
      </c>
      <c r="AG48" s="74">
        <f>IF($BJ47&gt;0,IF(INDEX('Final Calculation Sheet'!$AF$4:$AF$40,$BJ47-3)="","",INDEX('Final Calculation Sheet'!$AF$4:$AF$40,$BJ47-3)),IF(OR($BI47=1,$BL47=1,$BH47&gt;0),"–",""))</f>
        <v/>
      </c>
      <c r="AH48" s="70">
        <f>IF($BJ47&gt;0,IF(INDEX('Final Calculation Sheet'!$AG$4:$AG$40,$BJ47-3)="","",INDEX('Final Calculation Sheet'!$AG$4:$AG$40,$BJ47-3)),IF(OR($BI47=1,$BL47=1,$BH47&gt;0),"–",""))</f>
        <v/>
      </c>
      <c r="AI48" s="75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/>
      </c>
      <c r="BI48">
        <f>IF(48=$BG$5,1,0)</f>
        <v/>
      </c>
      <c r="BJ48">
        <f>IF(OR($BH48&gt;0,$BI48=1,$BL48=1),0,IFERROR(INDEX($BC$5:$BC$41,MATCH(48,$BB$5:$BB$41,0)),0))</f>
        <v/>
      </c>
      <c r="BK48">
        <f>IF($BJ48&gt;0,IF(INDEX($AZ$5:$AZ$41,MATCH(48,$BB$5:$BB$41,0))=10,1,0),IF($BH48=10,1,0))</f>
        <v/>
      </c>
      <c r="BL48">
        <f>IF(48=$BG$4,1,0)</f>
        <v/>
      </c>
    </row>
    <row r="49" ht="15" customHeight="1" s="77">
      <c r="A49" s="67">
        <f>IF($BJ48&gt;0,INDEX($BA$5:$BA$41,MATCH(48,$BB$5:$BB$41,0)),IF(OR($BI48=1,$BL48=1,$BH48&gt;0),"∑",""))</f>
        <v/>
      </c>
      <c r="B49" s="68">
        <f>IF($BJ48&gt;0,IF(INDEX('Final Calculation Sheet'!$F$4:$F$40,$BJ48-3)="","",INDEX('Final Calculation Sheet'!$F$4:$F$40,$BJ48-3)),"")</f>
        <v/>
      </c>
      <c r="C49" s="68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>
        <f>IF($BJ48&gt;0,IF(INDEX('Final Calculation Sheet'!$D$4:$D$40,$BJ48-3)="","",INDEX('Final Calculation Sheet'!$D$4:$D$40,$BJ48-3)),IF(OR($BI48=1,$BL48=1,$BH48&gt;0),"–",""))</f>
        <v/>
      </c>
      <c r="F49" s="69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>
        <f>IF($BJ48&gt;0,IF(INDEX('Final Calculation Sheet'!$E$4:$E$40,$BJ48-3)="","",INDEX('Final Calculation Sheet'!$E$4:$E$40,$BJ48-3)),IF(OR($BI48=1,$BL48=1,$BH48&gt;0),"–",""))</f>
        <v/>
      </c>
      <c r="H49" s="70">
        <f>IF($BJ48&gt;0,IF(INDEX('Final Calculation Sheet'!$C$4:$C$40,$BJ48-3)="","",INDEX('Final Calculation Sheet'!$C$4:$C$40,$BJ48-3)),IF(OR($BI48=1,$BL48=1,$BH48&gt;0),"–",""))</f>
        <v/>
      </c>
      <c r="I49" s="70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>
        <f>IF($BJ48&gt;0,IF(INDEX('Final Calculation Sheet'!$Q$4:$Q$40,$BJ48-3)="","",INDEX('Final Calculation Sheet'!$Q$4:$Q$40,$BJ48-3)),IF(OR($BI48=1,$BL48=1,$BH48&gt;0),"–",""))</f>
        <v/>
      </c>
      <c r="S49" s="70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>
        <f>IF($BJ48&gt;0,IF(INDEX('Final Calculation Sheet'!$V$4:$V$40,$BJ48-3)="","",INDEX('Final Calculation Sheet'!$V$4:$V$40,$BJ48-3)),IF(OR($BI48=1,$BL48=1,$BH48&gt;0),"–",""))</f>
        <v/>
      </c>
      <c r="X49" s="70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>
        <f>IF($BJ48&gt;0,IF(INDEX('Final Calculation Sheet'!$Y$4:$Y$40,$BJ48-3)="","",INDEX('Final Calculation Sheet'!$Y$4:$Y$40,$BJ48-3)),IF(OR($BI48=1,$BL48=1,$BH48&gt;0),"–",""))</f>
        <v/>
      </c>
      <c r="AA49" s="70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>
        <f>IF($BJ48&gt;0,IF(INDEX('Final Calculation Sheet'!$AB$4:$AB$40,$BJ48-3)="","",INDEX('Final Calculation Sheet'!$AB$4:$AB$40,$BJ48-3)),IF(OR($BI48=1,$BL48=1,$BH48&gt;0),"–",""))</f>
        <v/>
      </c>
      <c r="AD49" s="70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>
        <f>IF($BJ48&gt;0,IF(INDEX('Final Calculation Sheet'!$AE$4:$AE$40,$BJ48-3)="","",INDEX('Final Calculation Sheet'!$AE$4:$AE$40,$BJ48-3)),IF(OR($BI48=1,$BL48=1,$BH48&gt;0),"–",""))</f>
        <v/>
      </c>
      <c r="AG49" s="74">
        <f>IF($BJ48&gt;0,IF(INDEX('Final Calculation Sheet'!$AF$4:$AF$40,$BJ48-3)="","",INDEX('Final Calculation Sheet'!$AF$4:$AF$40,$BJ48-3)),IF(OR($BI48=1,$BL48=1,$BH48&gt;0),"–",""))</f>
        <v/>
      </c>
      <c r="AH49" s="70">
        <f>IF($BJ48&gt;0,IF(INDEX('Final Calculation Sheet'!$AG$4:$AG$40,$BJ48-3)="","",INDEX('Final Calculation Sheet'!$AG$4:$AG$40,$BJ48-3)),IF(OR($BI48=1,$BL48=1,$BH48&gt;0),"–",""))</f>
        <v/>
      </c>
      <c r="AI49" s="75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/>
      </c>
      <c r="BI49">
        <f>IF(49=$BG$5,1,0)</f>
        <v/>
      </c>
      <c r="BJ49">
        <f>IF(OR($BH49&gt;0,$BI49=1,$BL49=1),0,IFERROR(INDEX($BC$5:$BC$41,MATCH(49,$BB$5:$BB$41,0)),0))</f>
        <v/>
      </c>
      <c r="BK49">
        <f>IF($BJ49&gt;0,IF(INDEX($AZ$5:$AZ$41,MATCH(49,$BB$5:$BB$41,0))=10,1,0),IF($BH49=10,1,0))</f>
        <v/>
      </c>
      <c r="BL49">
        <f>IF(49=$BG$4,1,0)</f>
        <v/>
      </c>
    </row>
    <row r="50" ht="15" customHeight="1" s="77">
      <c r="A50" s="67">
        <f>IF($BJ49&gt;0,INDEX($BA$5:$BA$41,MATCH(49,$BB$5:$BB$41,0)),IF(OR($BI49=1,$BL49=1,$BH49&gt;0),"∑",""))</f>
        <v/>
      </c>
      <c r="B50" s="68">
        <f>IF($BJ49&gt;0,IF(INDEX('Final Calculation Sheet'!$F$4:$F$40,$BJ49-3)="","",INDEX('Final Calculation Sheet'!$F$4:$F$40,$BJ49-3)),"")</f>
        <v/>
      </c>
      <c r="C50" s="68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>
        <f>IF($BJ49&gt;0,IF(INDEX('Final Calculation Sheet'!$D$4:$D$40,$BJ49-3)="","",INDEX('Final Calculation Sheet'!$D$4:$D$40,$BJ49-3)),IF(OR($BI49=1,$BL49=1,$BH49&gt;0),"–",""))</f>
        <v/>
      </c>
      <c r="F50" s="69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>
        <f>IF($BJ49&gt;0,IF(INDEX('Final Calculation Sheet'!$E$4:$E$40,$BJ49-3)="","",INDEX('Final Calculation Sheet'!$E$4:$E$40,$BJ49-3)),IF(OR($BI49=1,$BL49=1,$BH49&gt;0),"–",""))</f>
        <v/>
      </c>
      <c r="H50" s="70">
        <f>IF($BJ49&gt;0,IF(INDEX('Final Calculation Sheet'!$C$4:$C$40,$BJ49-3)="","",INDEX('Final Calculation Sheet'!$C$4:$C$40,$BJ49-3)),IF(OR($BI49=1,$BL49=1,$BH49&gt;0),"–",""))</f>
        <v/>
      </c>
      <c r="I50" s="70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>
        <f>IF($BJ49&gt;0,IF(INDEX('Final Calculation Sheet'!$Q$4:$Q$40,$BJ49-3)="","",INDEX('Final Calculation Sheet'!$Q$4:$Q$40,$BJ49-3)),IF(OR($BI49=1,$BL49=1,$BH49&gt;0),"–",""))</f>
        <v/>
      </c>
      <c r="S50" s="70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>
        <f>IF($BJ49&gt;0,IF(INDEX('Final Calculation Sheet'!$V$4:$V$40,$BJ49-3)="","",INDEX('Final Calculation Sheet'!$V$4:$V$40,$BJ49-3)),IF(OR($BI49=1,$BL49=1,$BH49&gt;0),"–",""))</f>
        <v/>
      </c>
      <c r="X50" s="70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>
        <f>IF($BJ49&gt;0,IF(INDEX('Final Calculation Sheet'!$Y$4:$Y$40,$BJ49-3)="","",INDEX('Final Calculation Sheet'!$Y$4:$Y$40,$BJ49-3)),IF(OR($BI49=1,$BL49=1,$BH49&gt;0),"–",""))</f>
        <v/>
      </c>
      <c r="AA50" s="70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>
        <f>IF($BJ49&gt;0,IF(INDEX('Final Calculation Sheet'!$AB$4:$AB$40,$BJ49-3)="","",INDEX('Final Calculation Sheet'!$AB$4:$AB$40,$BJ49-3)),IF(OR($BI49=1,$BL49=1,$BH49&gt;0),"–",""))</f>
        <v/>
      </c>
      <c r="AD50" s="70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>
        <f>IF($BJ49&gt;0,IF(INDEX('Final Calculation Sheet'!$AE$4:$AE$40,$BJ49-3)="","",INDEX('Final Calculation Sheet'!$AE$4:$AE$40,$BJ49-3)),IF(OR($BI49=1,$BL49=1,$BH49&gt;0),"–",""))</f>
        <v/>
      </c>
      <c r="AG50" s="74">
        <f>IF($BJ49&gt;0,IF(INDEX('Final Calculation Sheet'!$AF$4:$AF$40,$BJ49-3)="","",INDEX('Final Calculation Sheet'!$AF$4:$AF$40,$BJ49-3)),IF(OR($BI49=1,$BL49=1,$BH49&gt;0),"–",""))</f>
        <v/>
      </c>
      <c r="AH50" s="70">
        <f>IF($BJ49&gt;0,IF(INDEX('Final Calculation Sheet'!$AG$4:$AG$40,$BJ49-3)="","",INDEX('Final Calculation Sheet'!$AG$4:$AG$40,$BJ49-3)),IF(OR($BI49=1,$BL49=1,$BH49&gt;0),"–",""))</f>
        <v/>
      </c>
      <c r="AI50" s="75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/>
      </c>
      <c r="BI50">
        <f>IF(50=$BG$5,1,0)</f>
        <v/>
      </c>
      <c r="BJ50">
        <f>IF(OR($BH50&gt;0,$BI50=1,$BL50=1),0,IFERROR(INDEX($BC$5:$BC$41,MATCH(50,$BB$5:$BB$41,0)),0))</f>
        <v/>
      </c>
      <c r="BK50">
        <f>IF($BJ50&gt;0,IF(INDEX($AZ$5:$AZ$41,MATCH(50,$BB$5:$BB$41,0))=10,1,0),IF($BH50=10,1,0))</f>
        <v/>
      </c>
      <c r="BL50">
        <f>IF(50=$BG$4,1,0)</f>
        <v/>
      </c>
    </row>
    <row r="51" ht="15" customHeight="1" s="77">
      <c r="A51" s="67">
        <f>IF($BJ50&gt;0,INDEX($BA$5:$BA$41,MATCH(50,$BB$5:$BB$41,0)),IF(OR($BI50=1,$BL50=1,$BH50&gt;0),"∑",""))</f>
        <v/>
      </c>
      <c r="B51" s="68">
        <f>IF($BJ50&gt;0,IF(INDEX('Final Calculation Sheet'!$F$4:$F$40,$BJ50-3)="","",INDEX('Final Calculation Sheet'!$F$4:$F$40,$BJ50-3)),"")</f>
        <v/>
      </c>
      <c r="C51" s="68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>
        <f>IF($BJ50&gt;0,IF(INDEX('Final Calculation Sheet'!$D$4:$D$40,$BJ50-3)="","",INDEX('Final Calculation Sheet'!$D$4:$D$40,$BJ50-3)),IF(OR($BI50=1,$BL50=1,$BH50&gt;0),"–",""))</f>
        <v/>
      </c>
      <c r="F51" s="69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>
        <f>IF($BJ50&gt;0,IF(INDEX('Final Calculation Sheet'!$E$4:$E$40,$BJ50-3)="","",INDEX('Final Calculation Sheet'!$E$4:$E$40,$BJ50-3)),IF(OR($BI50=1,$BL50=1,$BH50&gt;0),"–",""))</f>
        <v/>
      </c>
      <c r="H51" s="70">
        <f>IF($BJ50&gt;0,IF(INDEX('Final Calculation Sheet'!$C$4:$C$40,$BJ50-3)="","",INDEX('Final Calculation Sheet'!$C$4:$C$40,$BJ50-3)),IF(OR($BI50=1,$BL50=1,$BH50&gt;0),"–",""))</f>
        <v/>
      </c>
      <c r="I51" s="70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>
        <f>IF($BJ50&gt;0,IF(INDEX('Final Calculation Sheet'!$Q$4:$Q$40,$BJ50-3)="","",INDEX('Final Calculation Sheet'!$Q$4:$Q$40,$BJ50-3)),IF(OR($BI50=1,$BL50=1,$BH50&gt;0),"–",""))</f>
        <v/>
      </c>
      <c r="S51" s="70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>
        <f>IF($BJ50&gt;0,IF(INDEX('Final Calculation Sheet'!$V$4:$V$40,$BJ50-3)="","",INDEX('Final Calculation Sheet'!$V$4:$V$40,$BJ50-3)),IF(OR($BI50=1,$BL50=1,$BH50&gt;0),"–",""))</f>
        <v/>
      </c>
      <c r="X51" s="70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>
        <f>IF($BJ50&gt;0,IF(INDEX('Final Calculation Sheet'!$Y$4:$Y$40,$BJ50-3)="","",INDEX('Final Calculation Sheet'!$Y$4:$Y$40,$BJ50-3)),IF(OR($BI50=1,$BL50=1,$BH50&gt;0),"–",""))</f>
        <v/>
      </c>
      <c r="AA51" s="70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>
        <f>IF($BJ50&gt;0,IF(INDEX('Final Calculation Sheet'!$AB$4:$AB$40,$BJ50-3)="","",INDEX('Final Calculation Sheet'!$AB$4:$AB$40,$BJ50-3)),IF(OR($BI50=1,$BL50=1,$BH50&gt;0),"–",""))</f>
        <v/>
      </c>
      <c r="AD51" s="70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>
        <f>IF($BJ50&gt;0,IF(INDEX('Final Calculation Sheet'!$AE$4:$AE$40,$BJ50-3)="","",INDEX('Final Calculation Sheet'!$AE$4:$AE$40,$BJ50-3)),IF(OR($BI50=1,$BL50=1,$BH50&gt;0),"–",""))</f>
        <v/>
      </c>
      <c r="AG51" s="74">
        <f>IF($BJ50&gt;0,IF(INDEX('Final Calculation Sheet'!$AF$4:$AF$40,$BJ50-3)="","",INDEX('Final Calculation Sheet'!$AF$4:$AF$40,$BJ50-3)),IF(OR($BI50=1,$BL50=1,$BH50&gt;0),"–",""))</f>
        <v/>
      </c>
      <c r="AH51" s="70">
        <f>IF($BJ50&gt;0,IF(INDEX('Final Calculation Sheet'!$AG$4:$AG$40,$BJ50-3)="","",INDEX('Final Calculation Sheet'!$AG$4:$AG$40,$BJ50-3)),IF(OR($BI50=1,$BL50=1,$BH50&gt;0),"–",""))</f>
        <v/>
      </c>
      <c r="AI51" s="75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/>
      </c>
      <c r="BI51">
        <f>IF(51=$BG$5,1,0)</f>
        <v/>
      </c>
      <c r="BJ51">
        <f>IF(OR($BH51&gt;0,$BI51=1,$BL51=1),0,IFERROR(INDEX($BC$5:$BC$41,MATCH(51,$BB$5:$BB$41,0)),0))</f>
        <v/>
      </c>
      <c r="BK51">
        <f>IF($BJ51&gt;0,IF(INDEX($AZ$5:$AZ$41,MATCH(51,$BB$5:$BB$41,0))=10,1,0),IF($BH51=10,1,0))</f>
        <v/>
      </c>
      <c r="BL51">
        <f>IF(51=$BG$4,1,0)</f>
        <v/>
      </c>
    </row>
    <row r="52" ht="15" customHeight="1" s="77">
      <c r="A52" s="67">
        <f>IF($BJ51&gt;0,INDEX($BA$5:$BA$41,MATCH(51,$BB$5:$BB$41,0)),IF(OR($BI51=1,$BL51=1,$BH51&gt;0),"∑",""))</f>
        <v/>
      </c>
      <c r="B52" s="68">
        <f>IF($BJ51&gt;0,IF(INDEX('Final Calculation Sheet'!$F$4:$F$40,$BJ51-3)="","",INDEX('Final Calculation Sheet'!$F$4:$F$40,$BJ51-3)),"")</f>
        <v/>
      </c>
      <c r="C52" s="68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>
        <f>IF($BJ51&gt;0,IF(INDEX('Final Calculation Sheet'!$D$4:$D$40,$BJ51-3)="","",INDEX('Final Calculation Sheet'!$D$4:$D$40,$BJ51-3)),IF(OR($BI51=1,$BL51=1,$BH51&gt;0),"–",""))</f>
        <v/>
      </c>
      <c r="F52" s="69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>
        <f>IF($BJ51&gt;0,IF(INDEX('Final Calculation Sheet'!$E$4:$E$40,$BJ51-3)="","",INDEX('Final Calculation Sheet'!$E$4:$E$40,$BJ51-3)),IF(OR($BI51=1,$BL51=1,$BH51&gt;0),"–",""))</f>
        <v/>
      </c>
      <c r="H52" s="70">
        <f>IF($BJ51&gt;0,IF(INDEX('Final Calculation Sheet'!$C$4:$C$40,$BJ51-3)="","",INDEX('Final Calculation Sheet'!$C$4:$C$40,$BJ51-3)),IF(OR($BI51=1,$BL51=1,$BH51&gt;0),"–",""))</f>
        <v/>
      </c>
      <c r="I52" s="70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>
        <f>IF($BJ51&gt;0,IF(INDEX('Final Calculation Sheet'!$Q$4:$Q$40,$BJ51-3)="","",INDEX('Final Calculation Sheet'!$Q$4:$Q$40,$BJ51-3)),IF(OR($BI51=1,$BL51=1,$BH51&gt;0),"–",""))</f>
        <v/>
      </c>
      <c r="S52" s="70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>
        <f>IF($BJ51&gt;0,IF(INDEX('Final Calculation Sheet'!$V$4:$V$40,$BJ51-3)="","",INDEX('Final Calculation Sheet'!$V$4:$V$40,$BJ51-3)),IF(OR($BI51=1,$BL51=1,$BH51&gt;0),"–",""))</f>
        <v/>
      </c>
      <c r="X52" s="70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>
        <f>IF($BJ51&gt;0,IF(INDEX('Final Calculation Sheet'!$Y$4:$Y$40,$BJ51-3)="","",INDEX('Final Calculation Sheet'!$Y$4:$Y$40,$BJ51-3)),IF(OR($BI51=1,$BL51=1,$BH51&gt;0),"–",""))</f>
        <v/>
      </c>
      <c r="AA52" s="70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>
        <f>IF($BJ51&gt;0,IF(INDEX('Final Calculation Sheet'!$AB$4:$AB$40,$BJ51-3)="","",INDEX('Final Calculation Sheet'!$AB$4:$AB$40,$BJ51-3)),IF(OR($BI51=1,$BL51=1,$BH51&gt;0),"–",""))</f>
        <v/>
      </c>
      <c r="AD52" s="70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>
        <f>IF($BJ51&gt;0,IF(INDEX('Final Calculation Sheet'!$AE$4:$AE$40,$BJ51-3)="","",INDEX('Final Calculation Sheet'!$AE$4:$AE$40,$BJ51-3)),IF(OR($BI51=1,$BL51=1,$BH51&gt;0),"–",""))</f>
        <v/>
      </c>
      <c r="AG52" s="74">
        <f>IF($BJ51&gt;0,IF(INDEX('Final Calculation Sheet'!$AF$4:$AF$40,$BJ51-3)="","",INDEX('Final Calculation Sheet'!$AF$4:$AF$40,$BJ51-3)),IF(OR($BI51=1,$BL51=1,$BH51&gt;0),"–",""))</f>
        <v/>
      </c>
      <c r="AH52" s="70">
        <f>IF($BJ51&gt;0,IF(INDEX('Final Calculation Sheet'!$AG$4:$AG$40,$BJ51-3)="","",INDEX('Final Calculation Sheet'!$AG$4:$AG$40,$BJ51-3)),IF(OR($BI51=1,$BL51=1,$BH51&gt;0),"–",""))</f>
        <v/>
      </c>
      <c r="AI52" s="75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/>
      </c>
      <c r="BI52">
        <f>IF(52=$BG$5,1,0)</f>
        <v/>
      </c>
      <c r="BJ52">
        <f>IF(OR($BH52&gt;0,$BI52=1,$BL52=1),0,IFERROR(INDEX($BC$5:$BC$41,MATCH(52,$BB$5:$BB$41,0)),0))</f>
        <v/>
      </c>
      <c r="BK52">
        <f>IF($BJ52&gt;0,IF(INDEX($AZ$5:$AZ$41,MATCH(52,$BB$5:$BB$41,0))=10,1,0),IF($BH52=10,1,0))</f>
        <v/>
      </c>
      <c r="BL52">
        <f>IF(52=$BG$4,1,0)</f>
        <v/>
      </c>
    </row>
    <row r="53" ht="15" customHeight="1" s="77">
      <c r="A53" s="67">
        <f>IF($BJ52&gt;0,INDEX($BA$5:$BA$41,MATCH(52,$BB$5:$BB$41,0)),IF(OR($BI52=1,$BL52=1,$BH52&gt;0),"∑",""))</f>
        <v/>
      </c>
      <c r="B53" s="68">
        <f>IF($BJ52&gt;0,IF(INDEX('Final Calculation Sheet'!$F$4:$F$40,$BJ52-3)="","",INDEX('Final Calculation Sheet'!$F$4:$F$40,$BJ52-3)),"")</f>
        <v/>
      </c>
      <c r="C53" s="68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>
        <f>IF($BJ52&gt;0,IF(INDEX('Final Calculation Sheet'!$D$4:$D$40,$BJ52-3)="","",INDEX('Final Calculation Sheet'!$D$4:$D$40,$BJ52-3)),IF(OR($BI52=1,$BL52=1,$BH52&gt;0),"–",""))</f>
        <v/>
      </c>
      <c r="F53" s="69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>
        <f>IF($BJ52&gt;0,IF(INDEX('Final Calculation Sheet'!$E$4:$E$40,$BJ52-3)="","",INDEX('Final Calculation Sheet'!$E$4:$E$40,$BJ52-3)),IF(OR($BI52=1,$BL52=1,$BH52&gt;0),"–",""))</f>
        <v/>
      </c>
      <c r="H53" s="70">
        <f>IF($BJ52&gt;0,IF(INDEX('Final Calculation Sheet'!$C$4:$C$40,$BJ52-3)="","",INDEX('Final Calculation Sheet'!$C$4:$C$40,$BJ52-3)),IF(OR($BI52=1,$BL52=1,$BH52&gt;0),"–",""))</f>
        <v/>
      </c>
      <c r="I53" s="70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>
        <f>IF($BJ52&gt;0,IF(INDEX('Final Calculation Sheet'!$Q$4:$Q$40,$BJ52-3)="","",INDEX('Final Calculation Sheet'!$Q$4:$Q$40,$BJ52-3)),IF(OR($BI52=1,$BL52=1,$BH52&gt;0),"–",""))</f>
        <v/>
      </c>
      <c r="S53" s="70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>
        <f>IF($BJ52&gt;0,IF(INDEX('Final Calculation Sheet'!$V$4:$V$40,$BJ52-3)="","",INDEX('Final Calculation Sheet'!$V$4:$V$40,$BJ52-3)),IF(OR($BI52=1,$BL52=1,$BH52&gt;0),"–",""))</f>
        <v/>
      </c>
      <c r="X53" s="70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>
        <f>IF($BJ52&gt;0,IF(INDEX('Final Calculation Sheet'!$Y$4:$Y$40,$BJ52-3)="","",INDEX('Final Calculation Sheet'!$Y$4:$Y$40,$BJ52-3)),IF(OR($BI52=1,$BL52=1,$BH52&gt;0),"–",""))</f>
        <v/>
      </c>
      <c r="AA53" s="70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>
        <f>IF($BJ52&gt;0,IF(INDEX('Final Calculation Sheet'!$AB$4:$AB$40,$BJ52-3)="","",INDEX('Final Calculation Sheet'!$AB$4:$AB$40,$BJ52-3)),IF(OR($BI52=1,$BL52=1,$BH52&gt;0),"–",""))</f>
        <v/>
      </c>
      <c r="AD53" s="70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>
        <f>IF($BJ52&gt;0,IF(INDEX('Final Calculation Sheet'!$AE$4:$AE$40,$BJ52-3)="","",INDEX('Final Calculation Sheet'!$AE$4:$AE$40,$BJ52-3)),IF(OR($BI52=1,$BL52=1,$BH52&gt;0),"–",""))</f>
        <v/>
      </c>
      <c r="AG53" s="74">
        <f>IF($BJ52&gt;0,IF(INDEX('Final Calculation Sheet'!$AF$4:$AF$40,$BJ52-3)="","",INDEX('Final Calculation Sheet'!$AF$4:$AF$40,$BJ52-3)),IF(OR($BI52=1,$BL52=1,$BH52&gt;0),"–",""))</f>
        <v/>
      </c>
      <c r="AH53" s="70">
        <f>IF($BJ52&gt;0,IF(INDEX('Final Calculation Sheet'!$AG$4:$AG$40,$BJ52-3)="","",INDEX('Final Calculation Sheet'!$AG$4:$AG$40,$BJ52-3)),IF(OR($BI52=1,$BL52=1,$BH52&gt;0),"–",""))</f>
        <v/>
      </c>
      <c r="AI53" s="75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/>
      </c>
      <c r="BI53">
        <f>IF(53=$BG$5,1,0)</f>
        <v/>
      </c>
      <c r="BJ53">
        <f>IF(OR($BH53&gt;0,$BI53=1,$BL53=1),0,IFERROR(INDEX($BC$5:$BC$41,MATCH(53,$BB$5:$BB$41,0)),0))</f>
        <v/>
      </c>
      <c r="BK53">
        <f>IF($BJ53&gt;0,IF(INDEX($AZ$5:$AZ$41,MATCH(53,$BB$5:$BB$41,0))=10,1,0),IF($BH53=10,1,0))</f>
        <v/>
      </c>
      <c r="BL53">
        <f>IF(53=$BG$4,1,0)</f>
        <v/>
      </c>
    </row>
    <row r="54" ht="15" customHeight="1" s="77">
      <c r="A54" s="67">
        <f>IF($BJ53&gt;0,INDEX($BA$5:$BA$41,MATCH(53,$BB$5:$BB$41,0)),IF(OR($BI53=1,$BL53=1,$BH53&gt;0),"∑",""))</f>
        <v/>
      </c>
      <c r="B54" s="68">
        <f>IF($BJ53&gt;0,IF(INDEX('Final Calculation Sheet'!$F$4:$F$40,$BJ53-3)="","",INDEX('Final Calculation Sheet'!$F$4:$F$40,$BJ53-3)),"")</f>
        <v/>
      </c>
      <c r="C54" s="68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>
        <f>IF($BJ53&gt;0,IF(INDEX('Final Calculation Sheet'!$D$4:$D$40,$BJ53-3)="","",INDEX('Final Calculation Sheet'!$D$4:$D$40,$BJ53-3)),IF(OR($BI53=1,$BL53=1,$BH53&gt;0),"–",""))</f>
        <v/>
      </c>
      <c r="F54" s="69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>
        <f>IF($BJ53&gt;0,IF(INDEX('Final Calculation Sheet'!$E$4:$E$40,$BJ53-3)="","",INDEX('Final Calculation Sheet'!$E$4:$E$40,$BJ53-3)),IF(OR($BI53=1,$BL53=1,$BH53&gt;0),"–",""))</f>
        <v/>
      </c>
      <c r="H54" s="70">
        <f>IF($BJ53&gt;0,IF(INDEX('Final Calculation Sheet'!$C$4:$C$40,$BJ53-3)="","",INDEX('Final Calculation Sheet'!$C$4:$C$40,$BJ53-3)),IF(OR($BI53=1,$BL53=1,$BH53&gt;0),"–",""))</f>
        <v/>
      </c>
      <c r="I54" s="70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>
        <f>IF($BJ53&gt;0,IF(INDEX('Final Calculation Sheet'!$Q$4:$Q$40,$BJ53-3)="","",INDEX('Final Calculation Sheet'!$Q$4:$Q$40,$BJ53-3)),IF(OR($BI53=1,$BL53=1,$BH53&gt;0),"–",""))</f>
        <v/>
      </c>
      <c r="S54" s="70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>
        <f>IF($BJ53&gt;0,IF(INDEX('Final Calculation Sheet'!$V$4:$V$40,$BJ53-3)="","",INDEX('Final Calculation Sheet'!$V$4:$V$40,$BJ53-3)),IF(OR($BI53=1,$BL53=1,$BH53&gt;0),"–",""))</f>
        <v/>
      </c>
      <c r="X54" s="70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>
        <f>IF($BJ53&gt;0,IF(INDEX('Final Calculation Sheet'!$Y$4:$Y$40,$BJ53-3)="","",INDEX('Final Calculation Sheet'!$Y$4:$Y$40,$BJ53-3)),IF(OR($BI53=1,$BL53=1,$BH53&gt;0),"–",""))</f>
        <v/>
      </c>
      <c r="AA54" s="70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>
        <f>IF($BJ53&gt;0,IF(INDEX('Final Calculation Sheet'!$AB$4:$AB$40,$BJ53-3)="","",INDEX('Final Calculation Sheet'!$AB$4:$AB$40,$BJ53-3)),IF(OR($BI53=1,$BL53=1,$BH53&gt;0),"–",""))</f>
        <v/>
      </c>
      <c r="AD54" s="70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>
        <f>IF($BJ53&gt;0,IF(INDEX('Final Calculation Sheet'!$AE$4:$AE$40,$BJ53-3)="","",INDEX('Final Calculation Sheet'!$AE$4:$AE$40,$BJ53-3)),IF(OR($BI53=1,$BL53=1,$BH53&gt;0),"–",""))</f>
        <v/>
      </c>
      <c r="AG54" s="74">
        <f>IF($BJ53&gt;0,IF(INDEX('Final Calculation Sheet'!$AF$4:$AF$40,$BJ53-3)="","",INDEX('Final Calculation Sheet'!$AF$4:$AF$40,$BJ53-3)),IF(OR($BI53=1,$BL53=1,$BH53&gt;0),"–",""))</f>
        <v/>
      </c>
      <c r="AH54" s="70">
        <f>IF($BJ53&gt;0,IF(INDEX('Final Calculation Sheet'!$AG$4:$AG$40,$BJ53-3)="","",INDEX('Final Calculation Sheet'!$AG$4:$AG$40,$BJ53-3)),IF(OR($BI53=1,$BL53=1,$BH53&gt;0),"–",""))</f>
        <v/>
      </c>
      <c r="AI54" s="75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priority="1" dxfId="10">
      <formula>AND($B$3&lt;&gt;"",$BK5=1,$BH5=0,$BI5=0)</formula>
    </cfRule>
    <cfRule type="expression" priority="2" dxfId="9">
      <formula>$BH5=10</formula>
    </cfRule>
    <cfRule type="expression" priority="3" dxfId="8">
      <formula>$BI5=1</formula>
    </cfRule>
    <cfRule type="expression" priority="4" dxfId="7">
      <formula>$BL5=1</formula>
    </cfRule>
    <cfRule type="expression" priority="5" dxfId="6">
      <formula>$BH5&gt;0</formula>
    </cfRule>
    <cfRule type="expression" priority="6" dxfId="5">
      <formula>AND($B$3&lt;&gt;"",$BJ5&gt;0,$BK5=0)</formula>
    </cfRule>
    <cfRule type="expression" priority="7" dxfId="4">
      <formula>AND($BJ5&gt;0,MOD($BJ5,2)=0)</formula>
    </cfRule>
  </conditionalFormatting>
  <conditionalFormatting sqref="A6:AI54">
    <cfRule type="expression" priority="11" dxfId="3">
      <formula>OR($BJ5&gt;0,$BH5&gt;0,$BI5=1,$BL5=1)</formula>
    </cfRule>
  </conditionalFormatting>
  <conditionalFormatting sqref="AE6:AE54">
    <cfRule type="cellIs" priority="8" operator="greaterThan" dxfId="2">
      <formula>0</formula>
    </cfRule>
  </conditionalFormatting>
  <conditionalFormatting sqref="AI6:AI54">
    <cfRule type="cellIs" priority="9" operator="equal" dxfId="1">
      <formula>"SETTLED"</formula>
    </cfRule>
    <cfRule type="cellIs" priority="10" operator="equal" dxfId="0">
      <formula>"OUTSTANDING"</formula>
    </cfRule>
  </conditionalFormatting>
  <dataValidations count="4">
    <dataValidation sqref="F3" showDropDown="0" showInputMessage="0" showErrorMessage="0" allowBlank="0" type="list">
      <formula1>$AO$4:$AO$9</formula1>
    </dataValidation>
    <dataValidation sqref="A4:AI4" showDropDown="0" showInputMessage="1" showErrorMessage="0" allowBlank="1" promptTitle="Column wildcard search" prompt="Type text; comma or / means ANY. Use * for any text or ? for one character." type="custom">
      <formula1>1=1</formula1>
    </dataValidation>
    <dataValidation sqref="AJ2" showDropDown="1" showInputMessage="1" showErrorMessage="1" allowBlank="1" errorTitle="Pick from the list" error="Please choose a column from the SORT BY dropdown list." promptTitle="Sort by column" prompt="Pick a column to sort the Live Search results by. Choose (none) to restore the original order." type="list">
      <formula1>$AJ$5:$AJ$40</formula1>
    </dataValidation>
    <dataValidation sqref="AL2" showDropDown="1" showInputMessage="1" showErrorMessage="1" allowBlank="1" errorTitle="Pick from the list" error="Please choose ▲ Ascending or ▼ Descending." promptTitle="Sort direction" prompt="▲ Ascending = A to Z / smallest first.  ▼ Descending = Z to A / largest first." type="list">
      <formula1>"▲ Ascending,▼ Descending"</formula1>
    </dataValidation>
  </dataValidations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2026-09-09T07:29:17Z</dcterms:modified>
  <cp:lastModifiedBy>S.M.C</cp:lastModifiedBy>
  <cp:revision>0</cp:revision>
</cp:coreProperties>
</file>